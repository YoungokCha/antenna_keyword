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1FA048FD-08C6-C243-A2CE-A1B6C20075B0}" xr6:coauthVersionLast="47" xr6:coauthVersionMax="47" xr10:uidLastSave="{2B6C33A2-5B0A-8E49-A111-CE8F842F5D58}"/>
  <bookViews>
    <workbookView xWindow="15260" yWindow="9200" windowWidth="27640" windowHeight="16940" xr2:uid="{4EABD107-1986-0C49-92FB-05CDBF005FA6}"/>
  </bookViews>
  <sheets>
    <sheet name="1996"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U2" i="1"/>
  <c r="AM2" i="1" s="1"/>
  <c r="AN2" i="1" s="1"/>
  <c r="Y2" i="1"/>
  <c r="AU2" i="1" s="1"/>
  <c r="S3" i="1"/>
  <c r="U3" i="1"/>
  <c r="AM3" i="1" s="1"/>
  <c r="AN3" i="1" s="1"/>
  <c r="Y3" i="1"/>
  <c r="AU3" i="1" s="1"/>
  <c r="S4" i="1"/>
  <c r="U4" i="1"/>
  <c r="AM4" i="1" s="1"/>
  <c r="AN4" i="1" s="1"/>
  <c r="Y4" i="1"/>
  <c r="S5" i="1"/>
  <c r="U5" i="1"/>
  <c r="Y5" i="1"/>
  <c r="AM5" i="1"/>
  <c r="AN5" i="1"/>
  <c r="S6" i="1"/>
  <c r="U6" i="1"/>
  <c r="Y6" i="1"/>
  <c r="AM6" i="1"/>
  <c r="AN6" i="1" s="1"/>
  <c r="S7" i="1"/>
  <c r="U7" i="1"/>
  <c r="AM7" i="1" s="1"/>
  <c r="Y7" i="1"/>
  <c r="AV7" i="1" s="1"/>
  <c r="AN7" i="1"/>
  <c r="AW7" i="1" s="1"/>
  <c r="S8" i="1"/>
  <c r="U8" i="1"/>
  <c r="AM8" i="1" s="1"/>
  <c r="Y8" i="1"/>
  <c r="AN8" i="1"/>
  <c r="S9" i="1"/>
  <c r="U9" i="1"/>
  <c r="Y9" i="1"/>
  <c r="AM9" i="1"/>
  <c r="AN9" i="1" s="1"/>
  <c r="S10" i="1"/>
  <c r="U10" i="1"/>
  <c r="Y10" i="1"/>
  <c r="AM10" i="1"/>
  <c r="AN10" i="1"/>
  <c r="S11" i="1"/>
  <c r="U11" i="1"/>
  <c r="Y11" i="1"/>
  <c r="AM11" i="1"/>
  <c r="AN11" i="1"/>
  <c r="S12" i="1"/>
  <c r="U12" i="1"/>
  <c r="AM12" i="1" s="1"/>
  <c r="Y12" i="1"/>
  <c r="AN12" i="1"/>
  <c r="AW12" i="1" s="1"/>
  <c r="S13" i="1"/>
  <c r="U13" i="1"/>
  <c r="AM13" i="1" s="1"/>
  <c r="AN13" i="1" s="1"/>
  <c r="Y13" i="1"/>
  <c r="S14" i="1"/>
  <c r="U14" i="1"/>
  <c r="Y14" i="1"/>
  <c r="AM14" i="1"/>
  <c r="AN14" i="1"/>
  <c r="S15" i="1"/>
  <c r="U15" i="1"/>
  <c r="Y15" i="1"/>
  <c r="AM15" i="1"/>
  <c r="AN15" i="1" s="1"/>
  <c r="S16" i="1"/>
  <c r="U16" i="1"/>
  <c r="Y16" i="1"/>
  <c r="AM16" i="1"/>
  <c r="AN16" i="1" s="1"/>
  <c r="S17" i="1"/>
  <c r="U17" i="1"/>
  <c r="AM17" i="1" s="1"/>
  <c r="AN17" i="1" s="1"/>
  <c r="Y17" i="1"/>
  <c r="S18" i="1"/>
  <c r="U18" i="1"/>
  <c r="AM18" i="1" s="1"/>
  <c r="AN18" i="1" s="1"/>
  <c r="AW18" i="1" s="1"/>
  <c r="Y18" i="1"/>
  <c r="S19" i="1"/>
  <c r="U19" i="1"/>
  <c r="Y19" i="1"/>
  <c r="AM19" i="1"/>
  <c r="AN19" i="1"/>
  <c r="AU19" i="1" s="1"/>
  <c r="AV19" i="1"/>
  <c r="S20" i="1"/>
  <c r="U20" i="1"/>
  <c r="Y20" i="1"/>
  <c r="AM20" i="1"/>
  <c r="AN20" i="1"/>
  <c r="S21" i="1"/>
  <c r="U21" i="1"/>
  <c r="Y21" i="1"/>
  <c r="AM21" i="1"/>
  <c r="AN21" i="1" s="1"/>
  <c r="S22" i="1"/>
  <c r="U22" i="1"/>
  <c r="AM22" i="1" s="1"/>
  <c r="AN22" i="1" s="1"/>
  <c r="Y22" i="1"/>
  <c r="S23" i="1"/>
  <c r="U23" i="1"/>
  <c r="AM23" i="1" s="1"/>
  <c r="Y23" i="1"/>
  <c r="AN23" i="1"/>
  <c r="AW23" i="1"/>
  <c r="S24" i="1"/>
  <c r="U24" i="1"/>
  <c r="AM24" i="1" s="1"/>
  <c r="AN24" i="1" s="1"/>
  <c r="Y24" i="1"/>
  <c r="S25" i="1"/>
  <c r="U25" i="1"/>
  <c r="Y25" i="1"/>
  <c r="AM25" i="1"/>
  <c r="AN25" i="1" s="1"/>
  <c r="S26" i="1"/>
  <c r="U26" i="1"/>
  <c r="Y26" i="1"/>
  <c r="AM26" i="1"/>
  <c r="AN26" i="1" s="1"/>
  <c r="AV26" i="1" s="1"/>
  <c r="S27" i="1"/>
  <c r="U27" i="1"/>
  <c r="AM27" i="1" s="1"/>
  <c r="AN27" i="1" s="1"/>
  <c r="AV27" i="1" s="1"/>
  <c r="Y27" i="1"/>
  <c r="S28" i="1"/>
  <c r="U28" i="1"/>
  <c r="AM28" i="1" s="1"/>
  <c r="AN28" i="1" s="1"/>
  <c r="Y28" i="1"/>
  <c r="S29" i="1"/>
  <c r="U29" i="1"/>
  <c r="Y29" i="1"/>
  <c r="AM29" i="1"/>
  <c r="AN29" i="1"/>
  <c r="AV29" i="1" s="1"/>
  <c r="S30" i="1"/>
  <c r="U30" i="1"/>
  <c r="Y30" i="1"/>
  <c r="AM30" i="1"/>
  <c r="AN30" i="1" s="1"/>
  <c r="S31" i="1"/>
  <c r="U31" i="1"/>
  <c r="Y31" i="1"/>
  <c r="AM31" i="1"/>
  <c r="AN31" i="1" s="1"/>
  <c r="AV31" i="1" s="1"/>
  <c r="S32" i="1"/>
  <c r="U32" i="1"/>
  <c r="AM32" i="1" s="1"/>
  <c r="AN32" i="1" s="1"/>
  <c r="AV32" i="1" s="1"/>
  <c r="Y32" i="1"/>
  <c r="S33" i="1"/>
  <c r="U33" i="1"/>
  <c r="AM33" i="1" s="1"/>
  <c r="Y33" i="1"/>
  <c r="AN33" i="1"/>
  <c r="AW33" i="1"/>
  <c r="S34" i="1"/>
  <c r="U34" i="1"/>
  <c r="AM34" i="1" s="1"/>
  <c r="AN34" i="1" s="1"/>
  <c r="Y34" i="1"/>
  <c r="S35" i="1"/>
  <c r="U35" i="1"/>
  <c r="AM35" i="1" s="1"/>
  <c r="AN35" i="1" s="1"/>
  <c r="Y35" i="1"/>
  <c r="S36" i="1"/>
  <c r="U36" i="1"/>
  <c r="AM36" i="1" s="1"/>
  <c r="AN36" i="1" s="1"/>
  <c r="Y36" i="1"/>
  <c r="S37" i="1"/>
  <c r="U37" i="1"/>
  <c r="AM37" i="1" s="1"/>
  <c r="AN37" i="1" s="1"/>
  <c r="Y37" i="1"/>
  <c r="S38" i="1"/>
  <c r="U38" i="1"/>
  <c r="AM38" i="1" s="1"/>
  <c r="AN38" i="1" s="1"/>
  <c r="Y38" i="1"/>
  <c r="AW38" i="1" s="1"/>
  <c r="S39" i="1"/>
  <c r="U39" i="1"/>
  <c r="Y39" i="1"/>
  <c r="AM39" i="1"/>
  <c r="AN39" i="1" s="1"/>
  <c r="AV39" i="1" s="1"/>
  <c r="S40" i="1"/>
  <c r="U40" i="1"/>
  <c r="Y40" i="1"/>
  <c r="AM40" i="1"/>
  <c r="AN40" i="1" s="1"/>
  <c r="S41" i="1"/>
  <c r="U41" i="1"/>
  <c r="Y41" i="1"/>
  <c r="AM41" i="1"/>
  <c r="AN41" i="1"/>
  <c r="AV41" i="1" s="1"/>
  <c r="S42" i="1"/>
  <c r="U42" i="1"/>
  <c r="AM42" i="1" s="1"/>
  <c r="AN42" i="1" s="1"/>
  <c r="Y42" i="1"/>
  <c r="AV42" i="1" s="1"/>
  <c r="S43" i="1"/>
  <c r="U43" i="1"/>
  <c r="AM43" i="1" s="1"/>
  <c r="Y43" i="1"/>
  <c r="AN43" i="1"/>
  <c r="AW43" i="1" s="1"/>
  <c r="S44" i="1"/>
  <c r="U44" i="1"/>
  <c r="AM44" i="1" s="1"/>
  <c r="AN44" i="1" s="1"/>
  <c r="Y44" i="1"/>
  <c r="S45" i="1"/>
  <c r="U45" i="1"/>
  <c r="Y45" i="1"/>
  <c r="AM45" i="1"/>
  <c r="AN45" i="1"/>
  <c r="S46" i="1"/>
  <c r="U46" i="1"/>
  <c r="AM46" i="1" s="1"/>
  <c r="AN46" i="1" s="1"/>
  <c r="AV46" i="1" s="1"/>
  <c r="Y46" i="1"/>
  <c r="S47" i="1"/>
  <c r="U47" i="1"/>
  <c r="AM47" i="1" s="1"/>
  <c r="AN47" i="1" s="1"/>
  <c r="Y47" i="1"/>
  <c r="S48" i="1"/>
  <c r="U48" i="1"/>
  <c r="AM48" i="1" s="1"/>
  <c r="AN48" i="1" s="1"/>
  <c r="Y48" i="1"/>
  <c r="S49" i="1"/>
  <c r="U49" i="1"/>
  <c r="AM49" i="1" s="1"/>
  <c r="AN49" i="1" s="1"/>
  <c r="Y49" i="1"/>
  <c r="S50" i="1"/>
  <c r="U50" i="1"/>
  <c r="Y50" i="1"/>
  <c r="AM50" i="1"/>
  <c r="AN50" i="1" s="1"/>
  <c r="S51" i="1"/>
  <c r="U51" i="1"/>
  <c r="AM51" i="1" s="1"/>
  <c r="AN51" i="1" s="1"/>
  <c r="Y51" i="1"/>
  <c r="S52" i="1"/>
  <c r="U52" i="1"/>
  <c r="AM52" i="1" s="1"/>
  <c r="AN52" i="1" s="1"/>
  <c r="Y52" i="1"/>
  <c r="S53" i="1"/>
  <c r="U53" i="1"/>
  <c r="AM53" i="1" s="1"/>
  <c r="AN53" i="1" s="1"/>
  <c r="Y53" i="1"/>
  <c r="S54" i="1"/>
  <c r="U54" i="1"/>
  <c r="Y54" i="1"/>
  <c r="AM54" i="1"/>
  <c r="AN54" i="1"/>
  <c r="AV54" i="1" s="1"/>
  <c r="S55" i="1"/>
  <c r="U55" i="1"/>
  <c r="Y55" i="1"/>
  <c r="AM55" i="1"/>
  <c r="AN55" i="1"/>
  <c r="S56" i="1"/>
  <c r="U56" i="1"/>
  <c r="AM56" i="1" s="1"/>
  <c r="AN56" i="1" s="1"/>
  <c r="Y56" i="1"/>
  <c r="AV56" i="1"/>
  <c r="S57" i="1"/>
  <c r="U57" i="1"/>
  <c r="AM57" i="1" s="1"/>
  <c r="AN57" i="1" s="1"/>
  <c r="Y57" i="1"/>
  <c r="S58" i="1"/>
  <c r="U58" i="1"/>
  <c r="AM58" i="1" s="1"/>
  <c r="AN58" i="1" s="1"/>
  <c r="AU58" i="1" s="1"/>
  <c r="Y58" i="1"/>
  <c r="S59" i="1"/>
  <c r="U59" i="1"/>
  <c r="Y59" i="1"/>
  <c r="AM59" i="1"/>
  <c r="AN59" i="1"/>
  <c r="S60" i="1"/>
  <c r="U60" i="1"/>
  <c r="Y60" i="1"/>
  <c r="AM60" i="1"/>
  <c r="AN60" i="1" s="1"/>
  <c r="S61" i="1"/>
  <c r="U61" i="1"/>
  <c r="AM61" i="1" s="1"/>
  <c r="AN61" i="1" s="1"/>
  <c r="Y61" i="1"/>
  <c r="S62" i="1"/>
  <c r="U62" i="1"/>
  <c r="AM62" i="1" s="1"/>
  <c r="AN62" i="1" s="1"/>
  <c r="Y62" i="1"/>
  <c r="S63" i="1"/>
  <c r="U63" i="1"/>
  <c r="AM63" i="1" s="1"/>
  <c r="AN63" i="1" s="1"/>
  <c r="AU63" i="1" s="1"/>
  <c r="Y63" i="1"/>
  <c r="S64" i="1"/>
  <c r="U64" i="1"/>
  <c r="Y64" i="1"/>
  <c r="AM64" i="1"/>
  <c r="AN64" i="1" s="1"/>
  <c r="S65" i="1"/>
  <c r="U65" i="1"/>
  <c r="AM65" i="1" s="1"/>
  <c r="AN65" i="1" s="1"/>
  <c r="Y65" i="1"/>
  <c r="S66" i="1"/>
  <c r="U66" i="1"/>
  <c r="Y66" i="1"/>
  <c r="AM66" i="1"/>
  <c r="AN66" i="1" s="1"/>
  <c r="S67" i="1"/>
  <c r="U67" i="1"/>
  <c r="AM67" i="1" s="1"/>
  <c r="AN67" i="1" s="1"/>
  <c r="Y67" i="1"/>
  <c r="AV67" i="1" s="1"/>
  <c r="S68" i="1"/>
  <c r="U68" i="1"/>
  <c r="AM68" i="1" s="1"/>
  <c r="AN68" i="1" s="1"/>
  <c r="Y68" i="1"/>
  <c r="S69" i="1"/>
  <c r="U69" i="1"/>
  <c r="Y69" i="1"/>
  <c r="AM69" i="1"/>
  <c r="AN69" i="1" s="1"/>
  <c r="AV69" i="1" s="1"/>
  <c r="S70" i="1"/>
  <c r="U70" i="1"/>
  <c r="AM70" i="1" s="1"/>
  <c r="AN70" i="1" s="1"/>
  <c r="Y70" i="1"/>
  <c r="S71" i="1"/>
  <c r="U71" i="1"/>
  <c r="Y71" i="1"/>
  <c r="AM71" i="1"/>
  <c r="AN71" i="1" s="1"/>
  <c r="AV71" i="1" s="1"/>
  <c r="S72" i="1"/>
  <c r="U72" i="1"/>
  <c r="AM72" i="1" s="1"/>
  <c r="AN72" i="1" s="1"/>
  <c r="Y72" i="1"/>
  <c r="S73" i="1"/>
  <c r="U73" i="1"/>
  <c r="AM73" i="1" s="1"/>
  <c r="AN73" i="1" s="1"/>
  <c r="Y73" i="1"/>
  <c r="S74" i="1"/>
  <c r="U74" i="1"/>
  <c r="Y74" i="1"/>
  <c r="AM74" i="1"/>
  <c r="AN74" i="1" s="1"/>
  <c r="S75" i="1"/>
  <c r="U75" i="1"/>
  <c r="Y75" i="1"/>
  <c r="AM75" i="1"/>
  <c r="AN75" i="1" s="1"/>
  <c r="S76" i="1"/>
  <c r="U76" i="1"/>
  <c r="AM76" i="1" s="1"/>
  <c r="AN76" i="1" s="1"/>
  <c r="Y76" i="1"/>
  <c r="S77" i="1"/>
  <c r="U77" i="1"/>
  <c r="AM77" i="1" s="1"/>
  <c r="AN77" i="1" s="1"/>
  <c r="Y77" i="1"/>
  <c r="S78" i="1"/>
  <c r="U78" i="1"/>
  <c r="AM78" i="1" s="1"/>
  <c r="AN78" i="1" s="1"/>
  <c r="Y78" i="1"/>
  <c r="S79" i="1"/>
  <c r="U79" i="1"/>
  <c r="Y79" i="1"/>
  <c r="AM79" i="1"/>
  <c r="AN79" i="1" s="1"/>
  <c r="AV79" i="1" s="1"/>
  <c r="S80" i="1"/>
  <c r="U80" i="1"/>
  <c r="AM80" i="1" s="1"/>
  <c r="AN80" i="1" s="1"/>
  <c r="Y80" i="1"/>
  <c r="S81" i="1"/>
  <c r="U81" i="1"/>
  <c r="AM81" i="1" s="1"/>
  <c r="AN81" i="1" s="1"/>
  <c r="AV81" i="1" s="1"/>
  <c r="Y81" i="1"/>
  <c r="S82" i="1"/>
  <c r="U82" i="1"/>
  <c r="AM82" i="1" s="1"/>
  <c r="AN82" i="1" s="1"/>
  <c r="Y82" i="1"/>
  <c r="S83" i="1"/>
  <c r="U83" i="1"/>
  <c r="AM83" i="1" s="1"/>
  <c r="Y83" i="1"/>
  <c r="AN83" i="1"/>
  <c r="S84" i="1"/>
  <c r="U84" i="1"/>
  <c r="Y84" i="1"/>
  <c r="AM84" i="1"/>
  <c r="AN84" i="1" s="1"/>
  <c r="S85" i="1"/>
  <c r="U85" i="1"/>
  <c r="AM85" i="1" s="1"/>
  <c r="AN85" i="1" s="1"/>
  <c r="Y85" i="1"/>
  <c r="S86" i="1"/>
  <c r="U86" i="1"/>
  <c r="Y86" i="1"/>
  <c r="AM86" i="1"/>
  <c r="AN86" i="1"/>
  <c r="AV86" i="1"/>
  <c r="S87" i="1"/>
  <c r="U87" i="1"/>
  <c r="AM87" i="1" s="1"/>
  <c r="AN87" i="1" s="1"/>
  <c r="Y87" i="1"/>
  <c r="S88" i="1"/>
  <c r="U88" i="1"/>
  <c r="AM88" i="1" s="1"/>
  <c r="AN88" i="1" s="1"/>
  <c r="AV88" i="1" s="1"/>
  <c r="Y88" i="1"/>
  <c r="S89" i="1"/>
  <c r="U89" i="1"/>
  <c r="Y89" i="1"/>
  <c r="AM89" i="1"/>
  <c r="AN89" i="1" s="1"/>
  <c r="AV89" i="1" s="1"/>
  <c r="S90" i="1"/>
  <c r="U90" i="1"/>
  <c r="Y90" i="1"/>
  <c r="AM90" i="1"/>
  <c r="AN90" i="1" s="1"/>
  <c r="S91" i="1"/>
  <c r="U91" i="1"/>
  <c r="Y91" i="1"/>
  <c r="AM91" i="1"/>
  <c r="AN91" i="1"/>
  <c r="AV91" i="1"/>
  <c r="S92" i="1"/>
  <c r="U92" i="1"/>
  <c r="AM92" i="1" s="1"/>
  <c r="AN92" i="1" s="1"/>
  <c r="Y92" i="1"/>
  <c r="S93" i="1"/>
  <c r="U93" i="1"/>
  <c r="AM93" i="1" s="1"/>
  <c r="Y93" i="1"/>
  <c r="AN93" i="1"/>
  <c r="AV93" i="1" s="1"/>
  <c r="AW93" i="1"/>
  <c r="S94" i="1"/>
  <c r="U94" i="1"/>
  <c r="Y94" i="1"/>
  <c r="AM94" i="1"/>
  <c r="AN94" i="1" s="1"/>
  <c r="S95" i="1"/>
  <c r="U95" i="1"/>
  <c r="Y95" i="1"/>
  <c r="AM95" i="1"/>
  <c r="AN95" i="1"/>
  <c r="AV95" i="1" s="1"/>
  <c r="S96" i="1"/>
  <c r="U96" i="1"/>
  <c r="AM96" i="1" s="1"/>
  <c r="Y96" i="1"/>
  <c r="AN96" i="1"/>
  <c r="AV96" i="1"/>
  <c r="S97" i="1"/>
  <c r="U97" i="1"/>
  <c r="AM97" i="1" s="1"/>
  <c r="AN97" i="1" s="1"/>
  <c r="AV97" i="1" s="1"/>
  <c r="Y97" i="1"/>
  <c r="S98" i="1"/>
  <c r="U98" i="1"/>
  <c r="AM98" i="1" s="1"/>
  <c r="AN98" i="1" s="1"/>
  <c r="Y98" i="1"/>
  <c r="AV98" i="1" s="1"/>
  <c r="S99" i="1"/>
  <c r="U99" i="1"/>
  <c r="AM99" i="1" s="1"/>
  <c r="AN99" i="1" s="1"/>
  <c r="AV99" i="1" s="1"/>
  <c r="Y99" i="1"/>
  <c r="S100" i="1"/>
  <c r="U100" i="1"/>
  <c r="Y100" i="1"/>
  <c r="AM100" i="1"/>
  <c r="AN100" i="1"/>
  <c r="S101" i="1"/>
  <c r="U101" i="1"/>
  <c r="Y101" i="1"/>
  <c r="AM101" i="1"/>
  <c r="AN101" i="1" s="1"/>
  <c r="AV101" i="1" s="1"/>
  <c r="S102" i="1"/>
  <c r="U102" i="1"/>
  <c r="AM102" i="1" s="1"/>
  <c r="Y102" i="1"/>
  <c r="AN102" i="1"/>
  <c r="AV102" i="1" s="1"/>
  <c r="S103" i="1"/>
  <c r="U103" i="1"/>
  <c r="AM103" i="1" s="1"/>
  <c r="AN103" i="1" s="1"/>
  <c r="Y103" i="1"/>
  <c r="S104" i="1"/>
  <c r="U104" i="1"/>
  <c r="AM104" i="1" s="1"/>
  <c r="AN104" i="1" s="1"/>
  <c r="Y104" i="1"/>
  <c r="S105" i="1"/>
  <c r="U105" i="1"/>
  <c r="Y105" i="1"/>
  <c r="AM105" i="1"/>
  <c r="AN105" i="1" s="1"/>
  <c r="AV105" i="1" s="1"/>
  <c r="S106" i="1"/>
  <c r="U106" i="1"/>
  <c r="Y106" i="1"/>
  <c r="AM106" i="1"/>
  <c r="AN106" i="1" s="1"/>
  <c r="S107" i="1"/>
  <c r="U107" i="1"/>
  <c r="AM107" i="1" s="1"/>
  <c r="AN107" i="1" s="1"/>
  <c r="Y107" i="1"/>
  <c r="S108" i="1"/>
  <c r="U108" i="1"/>
  <c r="AM108" i="1" s="1"/>
  <c r="AN108" i="1" s="1"/>
  <c r="Y108" i="1"/>
  <c r="S109" i="1"/>
  <c r="U109" i="1"/>
  <c r="AM109" i="1" s="1"/>
  <c r="AN109" i="1" s="1"/>
  <c r="Y109" i="1"/>
  <c r="AV109" i="1" s="1"/>
  <c r="S110" i="1"/>
  <c r="U110" i="1"/>
  <c r="AM110" i="1" s="1"/>
  <c r="AN110" i="1" s="1"/>
  <c r="AV110" i="1" s="1"/>
  <c r="Y110" i="1"/>
  <c r="S111" i="1"/>
  <c r="U111" i="1"/>
  <c r="AM111" i="1" s="1"/>
  <c r="AN111" i="1" s="1"/>
  <c r="Y111" i="1"/>
  <c r="S112" i="1"/>
  <c r="U112" i="1"/>
  <c r="AM112" i="1" s="1"/>
  <c r="Y112" i="1"/>
  <c r="AN112" i="1"/>
  <c r="AV112" i="1"/>
  <c r="S113" i="1"/>
  <c r="U113" i="1"/>
  <c r="AM113" i="1" s="1"/>
  <c r="AN113" i="1" s="1"/>
  <c r="Y113" i="1"/>
  <c r="S114" i="1"/>
  <c r="U114" i="1"/>
  <c r="AM114" i="1" s="1"/>
  <c r="AN114" i="1" s="1"/>
  <c r="Y114" i="1"/>
  <c r="S115" i="1"/>
  <c r="U115" i="1"/>
  <c r="AM115" i="1" s="1"/>
  <c r="AN115" i="1" s="1"/>
  <c r="Y115" i="1"/>
  <c r="S116" i="1"/>
  <c r="U116" i="1"/>
  <c r="AM116" i="1" s="1"/>
  <c r="AN116" i="1" s="1"/>
  <c r="Y116" i="1"/>
  <c r="S117" i="1"/>
  <c r="U117" i="1"/>
  <c r="AM117" i="1" s="1"/>
  <c r="AN117" i="1" s="1"/>
  <c r="Y117" i="1"/>
  <c r="S118" i="1"/>
  <c r="U118" i="1"/>
  <c r="AM118" i="1" s="1"/>
  <c r="AN118" i="1" s="1"/>
  <c r="Y118" i="1"/>
  <c r="S119" i="1"/>
  <c r="U119" i="1"/>
  <c r="Y119" i="1"/>
  <c r="AM119" i="1"/>
  <c r="AN119" i="1" s="1"/>
  <c r="S120" i="1"/>
  <c r="U120" i="1"/>
  <c r="Y120" i="1"/>
  <c r="AM120" i="1"/>
  <c r="AN120" i="1"/>
  <c r="AV120" i="1" s="1"/>
  <c r="S121" i="1"/>
  <c r="U121" i="1"/>
  <c r="AM121" i="1" s="1"/>
  <c r="AN121" i="1" s="1"/>
  <c r="Y121" i="1"/>
  <c r="S122" i="1"/>
  <c r="U122" i="1"/>
  <c r="AM122" i="1" s="1"/>
  <c r="Y122" i="1"/>
  <c r="AN122" i="1"/>
  <c r="S123" i="1"/>
  <c r="U123" i="1"/>
  <c r="AM123" i="1" s="1"/>
  <c r="AN123" i="1" s="1"/>
  <c r="Y123" i="1"/>
  <c r="S124" i="1"/>
  <c r="U124" i="1"/>
  <c r="AM124" i="1" s="1"/>
  <c r="AN124" i="1" s="1"/>
  <c r="Y124" i="1"/>
  <c r="S125" i="1"/>
  <c r="U125" i="1"/>
  <c r="Y125" i="1"/>
  <c r="AM125" i="1"/>
  <c r="AN125" i="1" s="1"/>
  <c r="AU125" i="1" s="1"/>
  <c r="S126" i="1"/>
  <c r="U126" i="1"/>
  <c r="Y126" i="1"/>
  <c r="AM126" i="1"/>
  <c r="AN126" i="1" s="1"/>
  <c r="AV126" i="1" s="1"/>
  <c r="S127" i="1"/>
  <c r="U127" i="1"/>
  <c r="AM127" i="1" s="1"/>
  <c r="AN127" i="1" s="1"/>
  <c r="Y127" i="1"/>
  <c r="S128" i="1"/>
  <c r="U128" i="1"/>
  <c r="AM128" i="1" s="1"/>
  <c r="AN128" i="1" s="1"/>
  <c r="Y128" i="1"/>
  <c r="S129" i="1"/>
  <c r="U129" i="1"/>
  <c r="AM129" i="1" s="1"/>
  <c r="AN129" i="1" s="1"/>
  <c r="Y129" i="1"/>
  <c r="S130" i="1"/>
  <c r="U130" i="1"/>
  <c r="AM130" i="1" s="1"/>
  <c r="AN130" i="1" s="1"/>
  <c r="Y130" i="1"/>
  <c r="S131" i="1"/>
  <c r="U131" i="1"/>
  <c r="Y131" i="1"/>
  <c r="AM131" i="1"/>
  <c r="AN131" i="1" s="1"/>
  <c r="AV131" i="1" s="1"/>
  <c r="S132" i="1"/>
  <c r="U132" i="1"/>
  <c r="AM132" i="1" s="1"/>
  <c r="Y132" i="1"/>
  <c r="AN132" i="1"/>
  <c r="S133" i="1"/>
  <c r="U133" i="1"/>
  <c r="AM133" i="1" s="1"/>
  <c r="AN133" i="1" s="1"/>
  <c r="Y133" i="1"/>
  <c r="S134" i="1"/>
  <c r="U134" i="1"/>
  <c r="Y134" i="1"/>
  <c r="AM134" i="1"/>
  <c r="AN134" i="1"/>
  <c r="AV134" i="1" s="1"/>
  <c r="S135" i="1"/>
  <c r="U135" i="1"/>
  <c r="Y135" i="1"/>
  <c r="AM135" i="1"/>
  <c r="AN135" i="1" s="1"/>
  <c r="S136" i="1"/>
  <c r="U136" i="1"/>
  <c r="AM136" i="1" s="1"/>
  <c r="AN136" i="1" s="1"/>
  <c r="Y136" i="1"/>
  <c r="S137" i="1"/>
  <c r="U137" i="1"/>
  <c r="AM137" i="1" s="1"/>
  <c r="AN137" i="1" s="1"/>
  <c r="Y137" i="1"/>
  <c r="S138" i="1"/>
  <c r="U138" i="1"/>
  <c r="AM138" i="1" s="1"/>
  <c r="AN138" i="1" s="1"/>
  <c r="AV138" i="1" s="1"/>
  <c r="Y138" i="1"/>
  <c r="S139" i="1"/>
  <c r="U139" i="1"/>
  <c r="Y139" i="1"/>
  <c r="AM139" i="1"/>
  <c r="AN139" i="1"/>
  <c r="S140" i="1"/>
  <c r="U140" i="1"/>
  <c r="Y140" i="1"/>
  <c r="AM140" i="1"/>
  <c r="AN140" i="1"/>
  <c r="AV140" i="1" s="1"/>
  <c r="AW140" i="1"/>
  <c r="S141" i="1"/>
  <c r="U141" i="1"/>
  <c r="Y141" i="1"/>
  <c r="AM141" i="1"/>
  <c r="AN141" i="1"/>
  <c r="S142" i="1"/>
  <c r="U142" i="1"/>
  <c r="AM142" i="1" s="1"/>
  <c r="AN142" i="1" s="1"/>
  <c r="Y142" i="1"/>
  <c r="S143" i="1"/>
  <c r="U143" i="1"/>
  <c r="AM143" i="1" s="1"/>
  <c r="AN143" i="1" s="1"/>
  <c r="Y143" i="1"/>
  <c r="AV143" i="1" s="1"/>
  <c r="S144" i="1"/>
  <c r="U144" i="1"/>
  <c r="AM144" i="1" s="1"/>
  <c r="AN144" i="1" s="1"/>
  <c r="Y144" i="1"/>
  <c r="S145" i="1"/>
  <c r="U145" i="1"/>
  <c r="AM145" i="1" s="1"/>
  <c r="AN145" i="1" s="1"/>
  <c r="Y145" i="1"/>
  <c r="S146" i="1"/>
  <c r="U146" i="1"/>
  <c r="AM146" i="1" s="1"/>
  <c r="AN146" i="1" s="1"/>
  <c r="AV146" i="1" s="1"/>
  <c r="Y146" i="1"/>
  <c r="S147" i="1"/>
  <c r="U147" i="1"/>
  <c r="AM147" i="1" s="1"/>
  <c r="AN147" i="1" s="1"/>
  <c r="Y147" i="1"/>
  <c r="S148" i="1"/>
  <c r="U148" i="1"/>
  <c r="Y148" i="1"/>
  <c r="AM148" i="1"/>
  <c r="AN148" i="1" s="1"/>
  <c r="AV148" i="1" s="1"/>
  <c r="S149" i="1"/>
  <c r="U149" i="1"/>
  <c r="AM149" i="1" s="1"/>
  <c r="AN149" i="1" s="1"/>
  <c r="Y149" i="1"/>
  <c r="S150" i="1"/>
  <c r="U150" i="1"/>
  <c r="Y150" i="1"/>
  <c r="AM150" i="1"/>
  <c r="AN150" i="1"/>
  <c r="S151" i="1"/>
  <c r="U151" i="1"/>
  <c r="AM151" i="1" s="1"/>
  <c r="AN151" i="1" s="1"/>
  <c r="Y151" i="1"/>
  <c r="S152" i="1"/>
  <c r="U152" i="1"/>
  <c r="AM152" i="1" s="1"/>
  <c r="AN152" i="1" s="1"/>
  <c r="Y152" i="1"/>
  <c r="S153" i="1"/>
  <c r="U153" i="1"/>
  <c r="Y153" i="1"/>
  <c r="AM153" i="1"/>
  <c r="AN153" i="1" s="1"/>
  <c r="S154" i="1"/>
  <c r="U154" i="1"/>
  <c r="AM154" i="1" s="1"/>
  <c r="AN154" i="1" s="1"/>
  <c r="AU154" i="1" s="1"/>
  <c r="Y154" i="1"/>
  <c r="S155" i="1"/>
  <c r="U155" i="1"/>
  <c r="Y155" i="1"/>
  <c r="AM155" i="1"/>
  <c r="AN155" i="1"/>
  <c r="AW155" i="1"/>
  <c r="S156" i="1"/>
  <c r="U156" i="1"/>
  <c r="Y156" i="1"/>
  <c r="AM156" i="1"/>
  <c r="AN156" i="1" s="1"/>
  <c r="S157" i="1"/>
  <c r="U157" i="1"/>
  <c r="AM157" i="1" s="1"/>
  <c r="Y157" i="1"/>
  <c r="AN157" i="1"/>
  <c r="S158" i="1"/>
  <c r="U158" i="1"/>
  <c r="AM158" i="1" s="1"/>
  <c r="AN158" i="1" s="1"/>
  <c r="Y158" i="1"/>
  <c r="S159" i="1"/>
  <c r="U159" i="1"/>
  <c r="AM159" i="1" s="1"/>
  <c r="AN159" i="1" s="1"/>
  <c r="AU159" i="1" s="1"/>
  <c r="Y159" i="1"/>
  <c r="S160" i="1"/>
  <c r="U160" i="1"/>
  <c r="Y160" i="1"/>
  <c r="AM160" i="1"/>
  <c r="AN160" i="1" s="1"/>
  <c r="AU160" i="1" s="1"/>
  <c r="S161" i="1"/>
  <c r="U161" i="1"/>
  <c r="Y161" i="1"/>
  <c r="AM161" i="1"/>
  <c r="AN161" i="1" s="1"/>
  <c r="S162" i="1"/>
  <c r="U162" i="1"/>
  <c r="AM162" i="1" s="1"/>
  <c r="AN162" i="1" s="1"/>
  <c r="Y162" i="1"/>
  <c r="S163" i="1"/>
  <c r="U163" i="1"/>
  <c r="Y163" i="1"/>
  <c r="AM163" i="1"/>
  <c r="AN163" i="1" s="1"/>
  <c r="S164" i="1"/>
  <c r="U164" i="1"/>
  <c r="Y164" i="1"/>
  <c r="AM164" i="1"/>
  <c r="AN164" i="1"/>
  <c r="S165" i="1"/>
  <c r="U165" i="1"/>
  <c r="AM165" i="1" s="1"/>
  <c r="AN165" i="1" s="1"/>
  <c r="Y165" i="1"/>
  <c r="S166" i="1"/>
  <c r="U166" i="1"/>
  <c r="Y166" i="1"/>
  <c r="AM166" i="1"/>
  <c r="AN166" i="1" s="1"/>
  <c r="S167" i="1"/>
  <c r="U167" i="1"/>
  <c r="AM167" i="1" s="1"/>
  <c r="AN167" i="1" s="1"/>
  <c r="Y167" i="1"/>
  <c r="AV167" i="1" s="1"/>
  <c r="S168" i="1"/>
  <c r="U168" i="1"/>
  <c r="AM168" i="1" s="1"/>
  <c r="AN168" i="1" s="1"/>
  <c r="Y168" i="1"/>
  <c r="S169" i="1"/>
  <c r="U169" i="1"/>
  <c r="AM169" i="1" s="1"/>
  <c r="AN169" i="1" s="1"/>
  <c r="AU169" i="1" s="1"/>
  <c r="Y169" i="1"/>
  <c r="S170" i="1"/>
  <c r="U170" i="1"/>
  <c r="Y170" i="1"/>
  <c r="AM170" i="1"/>
  <c r="AN170" i="1" s="1"/>
  <c r="S171" i="1"/>
  <c r="U171" i="1"/>
  <c r="AM171" i="1" s="1"/>
  <c r="AN171" i="1" s="1"/>
  <c r="Y171" i="1"/>
  <c r="AV171" i="1" s="1"/>
  <c r="S172" i="1"/>
  <c r="U172" i="1"/>
  <c r="AM172" i="1" s="1"/>
  <c r="AN172" i="1" s="1"/>
  <c r="Y172" i="1"/>
  <c r="AU172" i="1" s="1"/>
  <c r="S173" i="1"/>
  <c r="U173" i="1"/>
  <c r="AM173" i="1" s="1"/>
  <c r="AN173" i="1" s="1"/>
  <c r="Y173" i="1"/>
  <c r="S174" i="1"/>
  <c r="U174" i="1"/>
  <c r="AM174" i="1" s="1"/>
  <c r="AN174" i="1" s="1"/>
  <c r="Y174" i="1"/>
  <c r="S175" i="1"/>
  <c r="U175" i="1"/>
  <c r="Y175" i="1"/>
  <c r="AM175" i="1"/>
  <c r="AN175" i="1" s="1"/>
  <c r="AU175" i="1" s="1"/>
  <c r="S176" i="1"/>
  <c r="U176" i="1"/>
  <c r="Y176" i="1"/>
  <c r="AM176" i="1"/>
  <c r="AN176" i="1"/>
  <c r="AV176" i="1" s="1"/>
  <c r="S177" i="1"/>
  <c r="U177" i="1"/>
  <c r="AM177" i="1" s="1"/>
  <c r="AN177" i="1" s="1"/>
  <c r="Y177" i="1"/>
  <c r="S178" i="1"/>
  <c r="U178" i="1"/>
  <c r="AM178" i="1" s="1"/>
  <c r="AN178" i="1" s="1"/>
  <c r="Y178" i="1"/>
  <c r="AV178" i="1" s="1"/>
  <c r="S179" i="1"/>
  <c r="U179" i="1"/>
  <c r="Y179" i="1"/>
  <c r="AM179" i="1"/>
  <c r="AN179" i="1"/>
  <c r="AU179" i="1" s="1"/>
  <c r="AV179" i="1"/>
  <c r="S180" i="1"/>
  <c r="U180" i="1"/>
  <c r="Y180" i="1"/>
  <c r="AM180" i="1"/>
  <c r="AN180" i="1" s="1"/>
  <c r="S181" i="1"/>
  <c r="U181" i="1"/>
  <c r="AM181" i="1" s="1"/>
  <c r="AN181" i="1" s="1"/>
  <c r="Y181" i="1"/>
  <c r="S182" i="1"/>
  <c r="U182" i="1"/>
  <c r="AM182" i="1" s="1"/>
  <c r="Y182" i="1"/>
  <c r="AN182" i="1"/>
  <c r="S183" i="1"/>
  <c r="U183" i="1"/>
  <c r="AM183" i="1" s="1"/>
  <c r="AN183" i="1" s="1"/>
  <c r="Y183" i="1"/>
  <c r="S184" i="1"/>
  <c r="U184" i="1"/>
  <c r="Y184" i="1"/>
  <c r="AM184" i="1"/>
  <c r="AN184" i="1" s="1"/>
  <c r="S185" i="1"/>
  <c r="U185" i="1"/>
  <c r="AM185" i="1" s="1"/>
  <c r="AN185" i="1" s="1"/>
  <c r="AU185" i="1" s="1"/>
  <c r="Y185" i="1"/>
  <c r="S186" i="1"/>
  <c r="U186" i="1"/>
  <c r="Y186" i="1"/>
  <c r="AM186" i="1"/>
  <c r="AN186" i="1" s="1"/>
  <c r="AV186" i="1" s="1"/>
  <c r="S187" i="1"/>
  <c r="U187" i="1"/>
  <c r="AM187" i="1" s="1"/>
  <c r="AN187" i="1" s="1"/>
  <c r="Y187" i="1"/>
  <c r="AV187" i="1" s="1"/>
  <c r="S188" i="1"/>
  <c r="U188" i="1"/>
  <c r="Y188" i="1"/>
  <c r="AM188" i="1"/>
  <c r="AN188" i="1"/>
  <c r="AU188" i="1" s="1"/>
  <c r="S189" i="1"/>
  <c r="U189" i="1"/>
  <c r="AM189" i="1" s="1"/>
  <c r="AN189" i="1" s="1"/>
  <c r="Y189" i="1"/>
  <c r="S190" i="1"/>
  <c r="U190" i="1"/>
  <c r="AM190" i="1" s="1"/>
  <c r="AN190" i="1" s="1"/>
  <c r="Y190" i="1"/>
  <c r="S191" i="1"/>
  <c r="U191" i="1"/>
  <c r="AM191" i="1" s="1"/>
  <c r="AN191" i="1" s="1"/>
  <c r="Y191" i="1"/>
  <c r="AV191" i="1" s="1"/>
  <c r="S192" i="1"/>
  <c r="U192" i="1"/>
  <c r="AM192" i="1" s="1"/>
  <c r="AN192" i="1" s="1"/>
  <c r="Y192" i="1"/>
  <c r="AU192" i="1" s="1"/>
  <c r="S193" i="1"/>
  <c r="U193" i="1"/>
  <c r="AM193" i="1" s="1"/>
  <c r="AN193" i="1" s="1"/>
  <c r="Y193" i="1"/>
  <c r="S194" i="1"/>
  <c r="U194" i="1"/>
  <c r="AM194" i="1" s="1"/>
  <c r="AN194" i="1" s="1"/>
  <c r="Y194" i="1"/>
  <c r="S195" i="1"/>
  <c r="U195" i="1"/>
  <c r="Y195" i="1"/>
  <c r="AM195" i="1"/>
  <c r="AN195" i="1" s="1"/>
  <c r="AU195" i="1" s="1"/>
  <c r="S196" i="1"/>
  <c r="U196" i="1"/>
  <c r="AM196" i="1" s="1"/>
  <c r="AN196" i="1" s="1"/>
  <c r="AV196" i="1" s="1"/>
  <c r="Y196" i="1"/>
  <c r="S197" i="1"/>
  <c r="U197" i="1"/>
  <c r="AM197" i="1" s="1"/>
  <c r="AN197" i="1" s="1"/>
  <c r="Y197" i="1"/>
  <c r="S198" i="1"/>
  <c r="U198" i="1"/>
  <c r="AM198" i="1" s="1"/>
  <c r="AN198" i="1" s="1"/>
  <c r="Y198" i="1"/>
  <c r="S199" i="1"/>
  <c r="U199" i="1"/>
  <c r="Y199" i="1"/>
  <c r="AU199" i="1" s="1"/>
  <c r="AM199" i="1"/>
  <c r="AN199" i="1"/>
  <c r="S200" i="1"/>
  <c r="U200" i="1"/>
  <c r="AM200" i="1" s="1"/>
  <c r="AN200" i="1" s="1"/>
  <c r="Y200" i="1"/>
  <c r="S201" i="1"/>
  <c r="U201" i="1"/>
  <c r="AM201" i="1" s="1"/>
  <c r="AN201" i="1" s="1"/>
  <c r="Y201" i="1"/>
  <c r="S202" i="1"/>
  <c r="U202" i="1"/>
  <c r="AM202" i="1" s="1"/>
  <c r="AN202" i="1" s="1"/>
  <c r="Y202" i="1"/>
  <c r="S203" i="1"/>
  <c r="U203" i="1"/>
  <c r="Y203" i="1"/>
  <c r="AM203" i="1"/>
  <c r="AN203" i="1" s="1"/>
  <c r="S204" i="1"/>
  <c r="U204" i="1"/>
  <c r="AM204" i="1" s="1"/>
  <c r="AN204" i="1" s="1"/>
  <c r="Y204" i="1"/>
  <c r="S205" i="1"/>
  <c r="U205" i="1"/>
  <c r="AM205" i="1" s="1"/>
  <c r="AN205" i="1" s="1"/>
  <c r="Y205" i="1"/>
  <c r="S206" i="1"/>
  <c r="U206" i="1"/>
  <c r="AM206" i="1" s="1"/>
  <c r="AN206" i="1" s="1"/>
  <c r="Y206" i="1"/>
  <c r="S207" i="1"/>
  <c r="U207" i="1"/>
  <c r="AM207" i="1" s="1"/>
  <c r="AN207" i="1" s="1"/>
  <c r="Y207" i="1"/>
  <c r="S208" i="1"/>
  <c r="U208" i="1"/>
  <c r="AM208" i="1" s="1"/>
  <c r="AN208" i="1" s="1"/>
  <c r="Y208" i="1"/>
  <c r="AU208" i="1" s="1"/>
  <c r="S209" i="1"/>
  <c r="U209" i="1"/>
  <c r="Y209" i="1"/>
  <c r="AM209" i="1"/>
  <c r="AN209" i="1" s="1"/>
  <c r="S210" i="1"/>
  <c r="U210" i="1"/>
  <c r="Y210" i="1"/>
  <c r="AM210" i="1"/>
  <c r="AN210" i="1" s="1"/>
  <c r="AW210" i="1"/>
  <c r="S211" i="1"/>
  <c r="U211" i="1"/>
  <c r="AM211" i="1" s="1"/>
  <c r="AN211" i="1" s="1"/>
  <c r="Y211" i="1"/>
  <c r="S212" i="1"/>
  <c r="U212" i="1"/>
  <c r="AM212" i="1" s="1"/>
  <c r="Y212" i="1"/>
  <c r="AN212" i="1"/>
  <c r="S213" i="1"/>
  <c r="U213" i="1"/>
  <c r="Y213" i="1"/>
  <c r="AM213" i="1"/>
  <c r="AN213" i="1"/>
  <c r="AU213" i="1" s="1"/>
  <c r="AV213" i="1"/>
  <c r="AW213" i="1"/>
  <c r="S214" i="1"/>
  <c r="U214" i="1"/>
  <c r="Y214" i="1"/>
  <c r="AM214" i="1"/>
  <c r="AN214" i="1" s="1"/>
  <c r="S215" i="1"/>
  <c r="U215" i="1"/>
  <c r="AM215" i="1" s="1"/>
  <c r="AN215" i="1" s="1"/>
  <c r="AW215" i="1" s="1"/>
  <c r="Y215" i="1"/>
  <c r="S216" i="1"/>
  <c r="U216" i="1"/>
  <c r="AM216" i="1" s="1"/>
  <c r="AN216" i="1" s="1"/>
  <c r="Y216" i="1"/>
  <c r="S217" i="1"/>
  <c r="U217" i="1"/>
  <c r="AM217" i="1" s="1"/>
  <c r="AN217" i="1" s="1"/>
  <c r="Y217" i="1"/>
  <c r="S218" i="1"/>
  <c r="U218" i="1"/>
  <c r="Y218" i="1"/>
  <c r="AM218" i="1"/>
  <c r="AN218" i="1"/>
  <c r="AU218" i="1" s="1"/>
  <c r="S219" i="1"/>
  <c r="U219" i="1"/>
  <c r="AM219" i="1" s="1"/>
  <c r="AN219" i="1" s="1"/>
  <c r="Y219" i="1"/>
  <c r="S220" i="1"/>
  <c r="U220" i="1"/>
  <c r="AM220" i="1" s="1"/>
  <c r="AN220" i="1" s="1"/>
  <c r="Y220" i="1"/>
  <c r="S221" i="1"/>
  <c r="U221" i="1"/>
  <c r="Y221" i="1"/>
  <c r="AM221" i="1"/>
  <c r="AN221" i="1" s="1"/>
  <c r="S222" i="1"/>
  <c r="U222" i="1"/>
  <c r="Y222" i="1"/>
  <c r="AM222" i="1"/>
  <c r="AN222" i="1" s="1"/>
  <c r="S223" i="1"/>
  <c r="U223" i="1"/>
  <c r="AM223" i="1" s="1"/>
  <c r="AN223" i="1" s="1"/>
  <c r="Y223" i="1"/>
  <c r="S224" i="1"/>
  <c r="U224" i="1"/>
  <c r="AM224" i="1" s="1"/>
  <c r="AN224" i="1" s="1"/>
  <c r="Y224" i="1"/>
  <c r="S225" i="1"/>
  <c r="U225" i="1"/>
  <c r="AM225" i="1" s="1"/>
  <c r="AN225" i="1" s="1"/>
  <c r="Y225" i="1"/>
  <c r="S226" i="1"/>
  <c r="U226" i="1"/>
  <c r="AM226" i="1" s="1"/>
  <c r="AN226" i="1" s="1"/>
  <c r="AU226" i="1" s="1"/>
  <c r="Y226" i="1"/>
  <c r="S227" i="1"/>
  <c r="U227" i="1"/>
  <c r="Y227" i="1"/>
  <c r="AM227" i="1"/>
  <c r="AN227" i="1" s="1"/>
  <c r="S228" i="1"/>
  <c r="U228" i="1"/>
  <c r="AM228" i="1" s="1"/>
  <c r="AN228" i="1" s="1"/>
  <c r="Y228" i="1"/>
  <c r="S229" i="1"/>
  <c r="U229" i="1"/>
  <c r="AM229" i="1" s="1"/>
  <c r="AN229" i="1" s="1"/>
  <c r="Y229" i="1"/>
  <c r="S230" i="1"/>
  <c r="U230" i="1"/>
  <c r="AM230" i="1" s="1"/>
  <c r="AN230" i="1" s="1"/>
  <c r="Y230" i="1"/>
  <c r="S231" i="1"/>
  <c r="U231" i="1"/>
  <c r="Y231" i="1"/>
  <c r="AM231" i="1"/>
  <c r="AN231" i="1" s="1"/>
  <c r="AU231" i="1" s="1"/>
  <c r="S232" i="1"/>
  <c r="U232" i="1"/>
  <c r="Y232" i="1"/>
  <c r="AM232" i="1"/>
  <c r="AN232" i="1" s="1"/>
  <c r="S233" i="1"/>
  <c r="U233" i="1"/>
  <c r="AM233" i="1" s="1"/>
  <c r="AN233" i="1" s="1"/>
  <c r="Y233" i="1"/>
  <c r="S234" i="1"/>
  <c r="U234" i="1"/>
  <c r="AM234" i="1" s="1"/>
  <c r="AN234" i="1" s="1"/>
  <c r="Y234" i="1"/>
  <c r="S235" i="1"/>
  <c r="U235" i="1"/>
  <c r="Y235" i="1"/>
  <c r="AM235" i="1"/>
  <c r="AN235" i="1" s="1"/>
  <c r="S236" i="1"/>
  <c r="U236" i="1"/>
  <c r="Y236" i="1"/>
  <c r="AM236" i="1"/>
  <c r="AN236" i="1"/>
  <c r="AU236" i="1" s="1"/>
  <c r="S237" i="1"/>
  <c r="U237" i="1"/>
  <c r="Y237" i="1"/>
  <c r="AM237" i="1"/>
  <c r="AN237" i="1"/>
  <c r="S238" i="1"/>
  <c r="U238" i="1"/>
  <c r="AM238" i="1" s="1"/>
  <c r="AN238" i="1" s="1"/>
  <c r="Y238" i="1"/>
  <c r="S239" i="1"/>
  <c r="U239" i="1"/>
  <c r="AM239" i="1" s="1"/>
  <c r="AN239" i="1" s="1"/>
  <c r="Y239" i="1"/>
  <c r="S240" i="1"/>
  <c r="U240" i="1"/>
  <c r="Y240" i="1"/>
  <c r="AM240" i="1"/>
  <c r="AN240" i="1" s="1"/>
  <c r="S241" i="1"/>
  <c r="U241" i="1"/>
  <c r="Y241" i="1"/>
  <c r="AM241" i="1"/>
  <c r="AN241" i="1"/>
  <c r="AU241" i="1" s="1"/>
  <c r="S242" i="1"/>
  <c r="U242" i="1"/>
  <c r="AM242" i="1" s="1"/>
  <c r="AN242" i="1" s="1"/>
  <c r="Y242" i="1"/>
  <c r="S243" i="1"/>
  <c r="U243" i="1"/>
  <c r="AM243" i="1" s="1"/>
  <c r="AN243" i="1" s="1"/>
  <c r="Y243" i="1"/>
  <c r="S244" i="1"/>
  <c r="U244" i="1"/>
  <c r="AM244" i="1" s="1"/>
  <c r="AN244" i="1" s="1"/>
  <c r="Y244" i="1"/>
  <c r="S245" i="1"/>
  <c r="U245" i="1"/>
  <c r="Y245" i="1"/>
  <c r="AM245" i="1"/>
  <c r="AN245" i="1" s="1"/>
  <c r="S246" i="1"/>
  <c r="U246" i="1"/>
  <c r="AM246" i="1" s="1"/>
  <c r="AN246" i="1" s="1"/>
  <c r="Y246" i="1"/>
  <c r="S247" i="1"/>
  <c r="U247" i="1"/>
  <c r="Y247" i="1"/>
  <c r="AM247" i="1"/>
  <c r="AN247" i="1" s="1"/>
  <c r="S248" i="1"/>
  <c r="U248" i="1"/>
  <c r="AM248" i="1" s="1"/>
  <c r="AN248" i="1" s="1"/>
  <c r="Y248" i="1"/>
  <c r="S249" i="1"/>
  <c r="U249" i="1"/>
  <c r="AM249" i="1" s="1"/>
  <c r="AN249" i="1" s="1"/>
  <c r="Y249" i="1"/>
  <c r="S250" i="1"/>
  <c r="U250" i="1"/>
  <c r="Y250" i="1"/>
  <c r="AM250" i="1"/>
  <c r="AN250" i="1" s="1"/>
  <c r="S251" i="1"/>
  <c r="U251" i="1"/>
  <c r="AM251" i="1" s="1"/>
  <c r="AN251" i="1" s="1"/>
  <c r="Y251" i="1"/>
  <c r="S252" i="1"/>
  <c r="U252" i="1"/>
  <c r="Y252" i="1"/>
  <c r="AM252" i="1"/>
  <c r="AN252" i="1"/>
  <c r="AU252" i="1" s="1"/>
  <c r="S253" i="1"/>
  <c r="U253" i="1"/>
  <c r="AM253" i="1" s="1"/>
  <c r="AN253" i="1" s="1"/>
  <c r="Y253" i="1"/>
  <c r="S254" i="1"/>
  <c r="U254" i="1"/>
  <c r="AM254" i="1" s="1"/>
  <c r="AN254" i="1" s="1"/>
  <c r="Y254" i="1"/>
  <c r="S255" i="1"/>
  <c r="U255" i="1"/>
  <c r="Y255" i="1"/>
  <c r="AM255" i="1"/>
  <c r="AN255" i="1" s="1"/>
  <c r="S256" i="1"/>
  <c r="U256" i="1"/>
  <c r="Y256" i="1"/>
  <c r="AM256" i="1"/>
  <c r="AN256" i="1" s="1"/>
  <c r="AU256" i="1" s="1"/>
  <c r="S257" i="1"/>
  <c r="U257" i="1"/>
  <c r="Y257" i="1"/>
  <c r="AM257" i="1"/>
  <c r="AN257" i="1"/>
  <c r="AU257" i="1" s="1"/>
  <c r="S258" i="1"/>
  <c r="U258" i="1"/>
  <c r="AM258" i="1" s="1"/>
  <c r="AN258" i="1" s="1"/>
  <c r="Y258" i="1"/>
  <c r="S259" i="1"/>
  <c r="U259" i="1"/>
  <c r="AM259" i="1" s="1"/>
  <c r="AN259" i="1" s="1"/>
  <c r="Y259" i="1"/>
  <c r="S260" i="1"/>
  <c r="U260" i="1"/>
  <c r="Y260" i="1"/>
  <c r="AM260" i="1"/>
  <c r="AN260" i="1" s="1"/>
  <c r="S261" i="1"/>
  <c r="U261" i="1"/>
  <c r="AM261" i="1" s="1"/>
  <c r="AN261" i="1" s="1"/>
  <c r="Y261" i="1"/>
  <c r="S262" i="1"/>
  <c r="U262" i="1"/>
  <c r="Y262" i="1"/>
  <c r="AM262" i="1"/>
  <c r="AN262" i="1"/>
  <c r="AU262" i="1" s="1"/>
  <c r="S263" i="1"/>
  <c r="U263" i="1"/>
  <c r="AM263" i="1" s="1"/>
  <c r="AN263" i="1" s="1"/>
  <c r="Y263" i="1"/>
  <c r="S264" i="1"/>
  <c r="U264" i="1"/>
  <c r="AM264" i="1" s="1"/>
  <c r="AN264" i="1" s="1"/>
  <c r="Y264" i="1"/>
  <c r="S265" i="1"/>
  <c r="U265" i="1"/>
  <c r="AM265" i="1" s="1"/>
  <c r="AN265" i="1" s="1"/>
  <c r="Y265" i="1"/>
  <c r="S266" i="1"/>
  <c r="U266" i="1"/>
  <c r="AM266" i="1" s="1"/>
  <c r="AN266" i="1" s="1"/>
  <c r="Y266" i="1"/>
  <c r="S267" i="1"/>
  <c r="U267" i="1"/>
  <c r="Y267" i="1"/>
  <c r="AM267" i="1"/>
  <c r="AN267" i="1" s="1"/>
  <c r="AU267" i="1" s="1"/>
  <c r="S268" i="1"/>
  <c r="U268" i="1"/>
  <c r="AM268" i="1" s="1"/>
  <c r="AN268" i="1" s="1"/>
  <c r="Y268" i="1"/>
  <c r="S269" i="1"/>
  <c r="U269" i="1"/>
  <c r="AM269" i="1" s="1"/>
  <c r="AN269" i="1" s="1"/>
  <c r="Y269" i="1"/>
  <c r="S270" i="1"/>
  <c r="U270" i="1"/>
  <c r="AM270" i="1" s="1"/>
  <c r="AN270" i="1" s="1"/>
  <c r="Y270" i="1"/>
  <c r="S271" i="1"/>
  <c r="U271" i="1"/>
  <c r="Y271" i="1"/>
  <c r="AM271" i="1"/>
  <c r="AN271" i="1"/>
  <c r="AU271" i="1" s="1"/>
  <c r="S272" i="1"/>
  <c r="U272" i="1"/>
  <c r="AM272" i="1" s="1"/>
  <c r="AN272" i="1" s="1"/>
  <c r="Y272" i="1"/>
  <c r="S273" i="1"/>
  <c r="U273" i="1"/>
  <c r="AM273" i="1" s="1"/>
  <c r="AN273" i="1" s="1"/>
  <c r="Y273" i="1"/>
  <c r="S274" i="1"/>
  <c r="U274" i="1"/>
  <c r="AM274" i="1" s="1"/>
  <c r="AN274" i="1" s="1"/>
  <c r="Y274" i="1"/>
  <c r="S275" i="1"/>
  <c r="U275" i="1"/>
  <c r="AM275" i="1" s="1"/>
  <c r="AN275" i="1" s="1"/>
  <c r="Y275" i="1"/>
  <c r="S276" i="1"/>
  <c r="U276" i="1"/>
  <c r="Y276" i="1"/>
  <c r="AM276" i="1"/>
  <c r="AN276" i="1"/>
  <c r="AU276" i="1" s="1"/>
  <c r="S277" i="1"/>
  <c r="U277" i="1"/>
  <c r="AM277" i="1" s="1"/>
  <c r="AN277" i="1" s="1"/>
  <c r="Y277" i="1"/>
  <c r="S278" i="1"/>
  <c r="U278" i="1"/>
  <c r="AM278" i="1" s="1"/>
  <c r="AN278" i="1" s="1"/>
  <c r="Y278" i="1"/>
  <c r="S279" i="1"/>
  <c r="U279" i="1"/>
  <c r="AM279" i="1" s="1"/>
  <c r="AN279" i="1" s="1"/>
  <c r="Y279" i="1"/>
  <c r="S280" i="1"/>
  <c r="U280" i="1"/>
  <c r="AM280" i="1" s="1"/>
  <c r="AN280" i="1" s="1"/>
  <c r="Y280" i="1"/>
  <c r="S281" i="1"/>
  <c r="U281" i="1"/>
  <c r="Y281" i="1"/>
  <c r="AM281" i="1"/>
  <c r="AN281" i="1" s="1"/>
  <c r="AU281" i="1" s="1"/>
  <c r="S282" i="1"/>
  <c r="U282" i="1"/>
  <c r="Y282" i="1"/>
  <c r="AM282" i="1"/>
  <c r="AN282" i="1"/>
  <c r="S283" i="1"/>
  <c r="U283" i="1"/>
  <c r="AM283" i="1" s="1"/>
  <c r="AN283" i="1" s="1"/>
  <c r="Y283" i="1"/>
  <c r="S284" i="1"/>
  <c r="U284" i="1"/>
  <c r="AM284" i="1" s="1"/>
  <c r="AN284" i="1" s="1"/>
  <c r="Y284" i="1"/>
  <c r="S285" i="1"/>
  <c r="U285" i="1"/>
  <c r="AM285" i="1" s="1"/>
  <c r="AN285" i="1" s="1"/>
  <c r="Y285" i="1"/>
  <c r="S286" i="1"/>
  <c r="U286" i="1"/>
  <c r="AM286" i="1" s="1"/>
  <c r="AN286" i="1" s="1"/>
  <c r="AU286" i="1" s="1"/>
  <c r="Y286" i="1"/>
  <c r="S287" i="1"/>
  <c r="U287" i="1"/>
  <c r="Y287" i="1"/>
  <c r="AM287" i="1"/>
  <c r="AN287" i="1"/>
  <c r="S288" i="1"/>
  <c r="U288" i="1"/>
  <c r="AM288" i="1" s="1"/>
  <c r="AN288" i="1" s="1"/>
  <c r="Y288" i="1"/>
  <c r="S289" i="1"/>
  <c r="U289" i="1"/>
  <c r="AM289" i="1" s="1"/>
  <c r="AN289" i="1" s="1"/>
  <c r="Y289" i="1"/>
  <c r="S290" i="1"/>
  <c r="U290" i="1"/>
  <c r="Y290" i="1"/>
  <c r="AM290" i="1"/>
  <c r="AN290" i="1" s="1"/>
  <c r="S291" i="1"/>
  <c r="U291" i="1"/>
  <c r="AM291" i="1" s="1"/>
  <c r="AN291" i="1" s="1"/>
  <c r="AU291" i="1" s="1"/>
  <c r="Y291" i="1"/>
  <c r="S292" i="1"/>
  <c r="U292" i="1"/>
  <c r="Y292" i="1"/>
  <c r="AM292" i="1"/>
  <c r="AN292" i="1" s="1"/>
  <c r="AU292" i="1" s="1"/>
  <c r="S293" i="1"/>
  <c r="U293" i="1"/>
  <c r="AM293" i="1" s="1"/>
  <c r="AN293" i="1" s="1"/>
  <c r="Y293" i="1"/>
  <c r="S294" i="1"/>
  <c r="U294" i="1"/>
  <c r="AM294" i="1" s="1"/>
  <c r="AN294" i="1" s="1"/>
  <c r="Y294" i="1"/>
  <c r="S295" i="1"/>
  <c r="U295" i="1"/>
  <c r="AM295" i="1" s="1"/>
  <c r="AN295" i="1" s="1"/>
  <c r="Y295" i="1"/>
  <c r="S296" i="1"/>
  <c r="U296" i="1"/>
  <c r="AM296" i="1" s="1"/>
  <c r="AN296" i="1" s="1"/>
  <c r="Y296" i="1"/>
  <c r="S297" i="1"/>
  <c r="U297" i="1"/>
  <c r="AM297" i="1" s="1"/>
  <c r="AN297" i="1" s="1"/>
  <c r="Y297" i="1"/>
  <c r="S298" i="1"/>
  <c r="U298" i="1"/>
  <c r="AM298" i="1" s="1"/>
  <c r="AN298" i="1" s="1"/>
  <c r="Y298" i="1"/>
  <c r="S299" i="1"/>
  <c r="U299" i="1"/>
  <c r="AM299" i="1" s="1"/>
  <c r="AN299" i="1" s="1"/>
  <c r="Y299" i="1"/>
  <c r="S300" i="1"/>
  <c r="U300" i="1"/>
  <c r="Y300" i="1"/>
  <c r="AM300" i="1"/>
  <c r="AN300" i="1" s="1"/>
  <c r="S301" i="1"/>
  <c r="U301" i="1"/>
  <c r="AM301" i="1" s="1"/>
  <c r="AN301" i="1" s="1"/>
  <c r="AU301" i="1" s="1"/>
  <c r="Y301" i="1"/>
  <c r="S302" i="1"/>
  <c r="U302" i="1"/>
  <c r="AM302" i="1" s="1"/>
  <c r="AN302" i="1" s="1"/>
  <c r="AU302" i="1" s="1"/>
  <c r="Y302" i="1"/>
  <c r="S303" i="1"/>
  <c r="U303" i="1"/>
  <c r="AM303" i="1" s="1"/>
  <c r="AN303" i="1" s="1"/>
  <c r="Y303" i="1"/>
  <c r="S304" i="1"/>
  <c r="U304" i="1"/>
  <c r="AM304" i="1" s="1"/>
  <c r="AN304" i="1" s="1"/>
  <c r="Y304" i="1"/>
  <c r="S305" i="1"/>
  <c r="U305" i="1"/>
  <c r="AM305" i="1" s="1"/>
  <c r="AN305" i="1" s="1"/>
  <c r="Y305" i="1"/>
  <c r="S306" i="1"/>
  <c r="U306" i="1"/>
  <c r="Y306" i="1"/>
  <c r="AM306" i="1"/>
  <c r="AN306" i="1"/>
  <c r="AU306" i="1" s="1"/>
  <c r="S307" i="1"/>
  <c r="U307" i="1"/>
  <c r="AM307" i="1" s="1"/>
  <c r="AN307" i="1" s="1"/>
  <c r="Y307" i="1"/>
  <c r="S308" i="1"/>
  <c r="U308" i="1"/>
  <c r="AM308" i="1" s="1"/>
  <c r="AN308" i="1" s="1"/>
  <c r="Y308" i="1"/>
  <c r="S309" i="1"/>
  <c r="U309" i="1"/>
  <c r="AM309" i="1" s="1"/>
  <c r="AN309" i="1" s="1"/>
  <c r="Y309" i="1"/>
  <c r="S310" i="1"/>
  <c r="U310" i="1"/>
  <c r="Y310" i="1"/>
  <c r="AM310" i="1"/>
  <c r="AN310" i="1" s="1"/>
  <c r="S311" i="1"/>
  <c r="U311" i="1"/>
  <c r="AM311" i="1" s="1"/>
  <c r="AN311" i="1" s="1"/>
  <c r="Y311" i="1"/>
  <c r="S312" i="1"/>
  <c r="U312" i="1"/>
  <c r="Y312" i="1"/>
  <c r="AM312" i="1"/>
  <c r="AN312" i="1" s="1"/>
  <c r="AU312" i="1" s="1"/>
  <c r="S313" i="1"/>
  <c r="U313" i="1"/>
  <c r="AM313" i="1" s="1"/>
  <c r="AN313" i="1" s="1"/>
  <c r="Y313" i="1"/>
  <c r="S314" i="1"/>
  <c r="U314" i="1"/>
  <c r="AM314" i="1" s="1"/>
  <c r="AN314" i="1" s="1"/>
  <c r="Y314" i="1"/>
  <c r="S315" i="1"/>
  <c r="U315" i="1"/>
  <c r="Y315" i="1"/>
  <c r="AM315" i="1"/>
  <c r="AN315" i="1" s="1"/>
  <c r="S316" i="1"/>
  <c r="U316" i="1"/>
  <c r="AM316" i="1" s="1"/>
  <c r="AN316" i="1" s="1"/>
  <c r="Y316" i="1"/>
  <c r="S317" i="1"/>
  <c r="U317" i="1"/>
  <c r="Y317" i="1"/>
  <c r="AM317" i="1"/>
  <c r="AN317" i="1"/>
  <c r="AU317" i="1" s="1"/>
  <c r="S318" i="1"/>
  <c r="U318" i="1"/>
  <c r="AM318" i="1" s="1"/>
  <c r="AN318" i="1" s="1"/>
  <c r="Y318" i="1"/>
  <c r="S319" i="1"/>
  <c r="U319" i="1"/>
  <c r="AM319" i="1" s="1"/>
  <c r="AN319" i="1" s="1"/>
  <c r="Y319" i="1"/>
  <c r="S320" i="1"/>
  <c r="U320" i="1"/>
  <c r="Y320" i="1"/>
  <c r="AM320" i="1"/>
  <c r="AN320" i="1" s="1"/>
  <c r="S321" i="1"/>
  <c r="U321" i="1"/>
  <c r="AM321" i="1" s="1"/>
  <c r="AN321" i="1" s="1"/>
  <c r="Y321" i="1"/>
  <c r="S322" i="1"/>
  <c r="U322" i="1"/>
  <c r="AM322" i="1" s="1"/>
  <c r="AN322" i="1" s="1"/>
  <c r="Y322" i="1"/>
  <c r="S323" i="1"/>
  <c r="U323" i="1"/>
  <c r="AM323" i="1" s="1"/>
  <c r="AN323" i="1" s="1"/>
  <c r="Y323" i="1"/>
  <c r="S324" i="1"/>
  <c r="U324" i="1"/>
  <c r="AM324" i="1" s="1"/>
  <c r="AN324" i="1" s="1"/>
  <c r="Y324" i="1"/>
  <c r="S325" i="1"/>
  <c r="U325" i="1"/>
  <c r="AM325" i="1" s="1"/>
  <c r="AN325" i="1" s="1"/>
  <c r="Y325" i="1"/>
  <c r="S326" i="1"/>
  <c r="U326" i="1"/>
  <c r="Y326" i="1"/>
  <c r="AM326" i="1"/>
  <c r="AN326" i="1" s="1"/>
  <c r="AU326" i="1" s="1"/>
  <c r="S327" i="1"/>
  <c r="U327" i="1"/>
  <c r="Y327" i="1"/>
  <c r="AM327" i="1"/>
  <c r="AN327" i="1"/>
  <c r="AU327" i="1" s="1"/>
  <c r="AV327" i="1"/>
  <c r="AW327" i="1"/>
  <c r="S328" i="1"/>
  <c r="U328" i="1"/>
  <c r="Y328" i="1"/>
  <c r="AM328" i="1"/>
  <c r="AN328" i="1" s="1"/>
  <c r="AU328" i="1" s="1"/>
  <c r="S329" i="1"/>
  <c r="U329" i="1"/>
  <c r="AM329" i="1" s="1"/>
  <c r="AN329" i="1" s="1"/>
  <c r="Y329" i="1"/>
  <c r="S330" i="1"/>
  <c r="U330" i="1"/>
  <c r="AM330" i="1" s="1"/>
  <c r="AN330" i="1" s="1"/>
  <c r="Y330" i="1"/>
  <c r="S331" i="1"/>
  <c r="U331" i="1"/>
  <c r="Y331" i="1"/>
  <c r="AM331" i="1"/>
  <c r="AN331" i="1"/>
  <c r="AU331" i="1" s="1"/>
  <c r="S332" i="1"/>
  <c r="U332" i="1"/>
  <c r="Y332" i="1"/>
  <c r="AM332" i="1"/>
  <c r="AN332" i="1"/>
  <c r="AU332" i="1" s="1"/>
  <c r="AV332" i="1"/>
  <c r="AW332" i="1"/>
  <c r="S333" i="1"/>
  <c r="U333" i="1"/>
  <c r="Y333" i="1"/>
  <c r="AM333" i="1"/>
  <c r="AN333" i="1"/>
  <c r="AU333" i="1" s="1"/>
  <c r="AV333" i="1"/>
  <c r="S334" i="1"/>
  <c r="U334" i="1"/>
  <c r="AM334" i="1" s="1"/>
  <c r="AN334" i="1" s="1"/>
  <c r="Y334" i="1"/>
  <c r="S335" i="1"/>
  <c r="U335" i="1"/>
  <c r="AM335" i="1" s="1"/>
  <c r="AN335" i="1" s="1"/>
  <c r="Y335" i="1"/>
  <c r="S336" i="1"/>
  <c r="U336" i="1"/>
  <c r="Y336" i="1"/>
  <c r="AM336" i="1"/>
  <c r="AN336" i="1" s="1"/>
  <c r="AU336" i="1" s="1"/>
  <c r="S337" i="1"/>
  <c r="U337" i="1"/>
  <c r="AM337" i="1" s="1"/>
  <c r="AN337" i="1" s="1"/>
  <c r="Y337" i="1"/>
  <c r="S338" i="1"/>
  <c r="U338" i="1"/>
  <c r="AM338" i="1" s="1"/>
  <c r="AN338" i="1" s="1"/>
  <c r="Y338" i="1"/>
  <c r="S339" i="1"/>
  <c r="U339" i="1"/>
  <c r="AM339" i="1" s="1"/>
  <c r="AN339" i="1" s="1"/>
  <c r="Y339" i="1"/>
  <c r="S340" i="1"/>
  <c r="U340" i="1"/>
  <c r="AM340" i="1" s="1"/>
  <c r="AN340" i="1" s="1"/>
  <c r="Y340" i="1"/>
  <c r="S341" i="1"/>
  <c r="U341" i="1"/>
  <c r="Y341" i="1"/>
  <c r="AM341" i="1"/>
  <c r="AN341" i="1"/>
  <c r="AU341" i="1" s="1"/>
  <c r="S342" i="1"/>
  <c r="U342" i="1"/>
  <c r="AM342" i="1" s="1"/>
  <c r="AN342" i="1" s="1"/>
  <c r="Y342" i="1"/>
  <c r="S343" i="1"/>
  <c r="U343" i="1"/>
  <c r="AM343" i="1" s="1"/>
  <c r="AN343" i="1" s="1"/>
  <c r="Y343" i="1"/>
  <c r="S344" i="1"/>
  <c r="U344" i="1"/>
  <c r="AM344" i="1" s="1"/>
  <c r="AN344" i="1" s="1"/>
  <c r="Y344" i="1"/>
  <c r="S345" i="1"/>
  <c r="U345" i="1"/>
  <c r="Y345" i="1"/>
  <c r="AM345" i="1"/>
  <c r="AN345" i="1" s="1"/>
  <c r="S346" i="1"/>
  <c r="U346" i="1"/>
  <c r="AM346" i="1" s="1"/>
  <c r="AN346" i="1" s="1"/>
  <c r="Y346" i="1"/>
  <c r="S347" i="1"/>
  <c r="U347" i="1"/>
  <c r="Y347" i="1"/>
  <c r="AM347" i="1"/>
  <c r="AN347" i="1"/>
  <c r="AU347" i="1" s="1"/>
  <c r="S348" i="1"/>
  <c r="U348" i="1"/>
  <c r="AM348" i="1" s="1"/>
  <c r="AN348" i="1" s="1"/>
  <c r="Y348" i="1"/>
  <c r="S349" i="1"/>
  <c r="U349" i="1"/>
  <c r="AM349" i="1" s="1"/>
  <c r="AN349" i="1" s="1"/>
  <c r="Y349" i="1"/>
  <c r="S350" i="1"/>
  <c r="U350" i="1"/>
  <c r="Y350" i="1"/>
  <c r="AM350" i="1"/>
  <c r="AN350" i="1" s="1"/>
  <c r="S351" i="1"/>
  <c r="U351" i="1"/>
  <c r="AM351" i="1" s="1"/>
  <c r="AN351" i="1" s="1"/>
  <c r="Y351" i="1"/>
  <c r="S352" i="1"/>
  <c r="U352" i="1"/>
  <c r="AM352" i="1" s="1"/>
  <c r="AN352" i="1" s="1"/>
  <c r="AU352" i="1" s="1"/>
  <c r="Y352" i="1"/>
  <c r="S353" i="1"/>
  <c r="U353" i="1"/>
  <c r="AM353" i="1" s="1"/>
  <c r="AN353" i="1" s="1"/>
  <c r="Y353" i="1"/>
  <c r="S354" i="1"/>
  <c r="U354" i="1"/>
  <c r="Y354" i="1"/>
  <c r="AM354" i="1"/>
  <c r="AN354" i="1" s="1"/>
  <c r="AW354" i="1" s="1"/>
  <c r="S355" i="1"/>
  <c r="U355" i="1"/>
  <c r="AM355" i="1" s="1"/>
  <c r="AN355" i="1" s="1"/>
  <c r="Y355" i="1"/>
  <c r="S356" i="1"/>
  <c r="U356" i="1"/>
  <c r="AM356" i="1" s="1"/>
  <c r="AN356" i="1" s="1"/>
  <c r="Y356" i="1"/>
  <c r="S357" i="1"/>
  <c r="U357" i="1"/>
  <c r="AM357" i="1" s="1"/>
  <c r="AN357" i="1" s="1"/>
  <c r="Y357" i="1"/>
  <c r="S358" i="1"/>
  <c r="U358" i="1"/>
  <c r="AM358" i="1" s="1"/>
  <c r="AN358" i="1" s="1"/>
  <c r="Y358" i="1"/>
  <c r="S359" i="1"/>
  <c r="U359" i="1"/>
  <c r="Y359" i="1"/>
  <c r="AM359" i="1"/>
  <c r="AN359" i="1" s="1"/>
  <c r="AW359" i="1" s="1"/>
  <c r="S360" i="1"/>
  <c r="U360" i="1"/>
  <c r="AM360" i="1" s="1"/>
  <c r="AN360" i="1" s="1"/>
  <c r="Y360" i="1"/>
  <c r="S361" i="1"/>
  <c r="U361" i="1"/>
  <c r="Y361" i="1"/>
  <c r="AM361" i="1"/>
  <c r="AN361" i="1" s="1"/>
  <c r="S362" i="1"/>
  <c r="U362" i="1"/>
  <c r="Y362" i="1"/>
  <c r="AM362" i="1"/>
  <c r="AN362" i="1" s="1"/>
  <c r="S363" i="1"/>
  <c r="U363" i="1"/>
  <c r="AM363" i="1" s="1"/>
  <c r="AN363" i="1" s="1"/>
  <c r="Y363" i="1"/>
  <c r="S364" i="1"/>
  <c r="U364" i="1"/>
  <c r="Y364" i="1"/>
  <c r="AM364" i="1"/>
  <c r="AN364" i="1" s="1"/>
  <c r="S365" i="1"/>
  <c r="U365" i="1"/>
  <c r="Y365" i="1"/>
  <c r="AM365" i="1"/>
  <c r="AN365" i="1" s="1"/>
  <c r="S366" i="1"/>
  <c r="U366" i="1"/>
  <c r="Y366" i="1"/>
  <c r="AM366" i="1"/>
  <c r="AN366" i="1" s="1"/>
  <c r="S367" i="1"/>
  <c r="U367" i="1"/>
  <c r="Y367" i="1"/>
  <c r="AM367" i="1"/>
  <c r="AN367" i="1" s="1"/>
  <c r="AU367" i="1" s="1"/>
  <c r="S368" i="1"/>
  <c r="U368" i="1"/>
  <c r="AM368" i="1" s="1"/>
  <c r="AN368" i="1" s="1"/>
  <c r="Y368" i="1"/>
  <c r="S369" i="1"/>
  <c r="U369" i="1"/>
  <c r="AM369" i="1" s="1"/>
  <c r="AN369" i="1" s="1"/>
  <c r="Y369" i="1"/>
  <c r="AW369" i="1" s="1"/>
  <c r="S370" i="1"/>
  <c r="U370" i="1"/>
  <c r="Y370" i="1"/>
  <c r="AM370" i="1"/>
  <c r="AN370" i="1" s="1"/>
  <c r="S371" i="1"/>
  <c r="U371" i="1"/>
  <c r="AM371" i="1" s="1"/>
  <c r="AN371" i="1" s="1"/>
  <c r="Y371" i="1"/>
  <c r="S372" i="1"/>
  <c r="U372" i="1"/>
  <c r="AM372" i="1" s="1"/>
  <c r="AN372" i="1" s="1"/>
  <c r="Y372" i="1"/>
  <c r="S373" i="1"/>
  <c r="U373" i="1"/>
  <c r="AM373" i="1" s="1"/>
  <c r="AN373" i="1" s="1"/>
  <c r="Y373" i="1"/>
  <c r="S374" i="1"/>
  <c r="U374" i="1"/>
  <c r="Y374" i="1"/>
  <c r="AM374" i="1"/>
  <c r="AN374" i="1" s="1"/>
  <c r="S375" i="1"/>
  <c r="U375" i="1"/>
  <c r="AM375" i="1" s="1"/>
  <c r="AN375" i="1" s="1"/>
  <c r="Y375" i="1"/>
  <c r="S376" i="1"/>
  <c r="U376" i="1"/>
  <c r="Y376" i="1"/>
  <c r="AM376" i="1"/>
  <c r="AN376" i="1" s="1"/>
  <c r="S377" i="1"/>
  <c r="U377" i="1"/>
  <c r="Y377" i="1"/>
  <c r="AM377" i="1"/>
  <c r="AN377" i="1"/>
  <c r="AU377" i="1" s="1"/>
  <c r="S378" i="1"/>
  <c r="U378" i="1"/>
  <c r="AM378" i="1" s="1"/>
  <c r="AN378" i="1" s="1"/>
  <c r="Y378" i="1"/>
  <c r="S379" i="1"/>
  <c r="U379" i="1"/>
  <c r="AM379" i="1" s="1"/>
  <c r="AN379" i="1" s="1"/>
  <c r="Y379" i="1"/>
  <c r="AW379" i="1" s="1"/>
  <c r="S380" i="1"/>
  <c r="U380" i="1"/>
  <c r="Y380" i="1"/>
  <c r="AM380" i="1"/>
  <c r="AN380" i="1" s="1"/>
  <c r="S381" i="1"/>
  <c r="U381" i="1"/>
  <c r="AM381" i="1" s="1"/>
  <c r="AN381" i="1" s="1"/>
  <c r="Y381" i="1"/>
  <c r="S382" i="1"/>
  <c r="U382" i="1"/>
  <c r="AM382" i="1" s="1"/>
  <c r="AN382" i="1" s="1"/>
  <c r="AU382" i="1" s="1"/>
  <c r="Y382" i="1"/>
  <c r="AV382" i="1"/>
  <c r="AW382" i="1"/>
  <c r="S383" i="1"/>
  <c r="U383" i="1"/>
  <c r="AM383" i="1" s="1"/>
  <c r="AN383" i="1" s="1"/>
  <c r="Y383" i="1"/>
  <c r="S384" i="1"/>
  <c r="U384" i="1"/>
  <c r="Y384" i="1"/>
  <c r="AM384" i="1"/>
  <c r="AN384" i="1" s="1"/>
  <c r="AW384" i="1" s="1"/>
  <c r="S385" i="1"/>
  <c r="U385" i="1"/>
  <c r="AM385" i="1" s="1"/>
  <c r="AN385" i="1" s="1"/>
  <c r="Y385" i="1"/>
  <c r="S386" i="1"/>
  <c r="U386" i="1"/>
  <c r="Y386" i="1"/>
  <c r="AM386" i="1"/>
  <c r="AN386" i="1"/>
  <c r="S387" i="1"/>
  <c r="U387" i="1"/>
  <c r="Y387" i="1"/>
  <c r="AM387" i="1"/>
  <c r="AN387" i="1"/>
  <c r="AW387" i="1" s="1"/>
  <c r="AU387" i="1"/>
  <c r="S388" i="1"/>
  <c r="U388" i="1"/>
  <c r="AM388" i="1" s="1"/>
  <c r="AN388" i="1" s="1"/>
  <c r="Y388" i="1"/>
  <c r="S389" i="1"/>
  <c r="U389" i="1"/>
  <c r="AM389" i="1" s="1"/>
  <c r="AN389" i="1" s="1"/>
  <c r="Y389" i="1"/>
  <c r="S390" i="1"/>
  <c r="U390" i="1"/>
  <c r="Y390" i="1"/>
  <c r="AM390" i="1"/>
  <c r="AN390" i="1" s="1"/>
  <c r="S391" i="1"/>
  <c r="U391" i="1"/>
  <c r="AM391" i="1" s="1"/>
  <c r="AN391" i="1" s="1"/>
  <c r="Y391" i="1"/>
  <c r="S392" i="1"/>
  <c r="U392" i="1"/>
  <c r="AM392" i="1" s="1"/>
  <c r="AN392" i="1" s="1"/>
  <c r="Y392" i="1"/>
  <c r="S393" i="1"/>
  <c r="U393" i="1"/>
  <c r="AM393" i="1" s="1"/>
  <c r="AN393" i="1" s="1"/>
  <c r="Y393" i="1"/>
  <c r="S394" i="1"/>
  <c r="U394" i="1"/>
  <c r="AM394" i="1" s="1"/>
  <c r="AN394" i="1" s="1"/>
  <c r="Y394" i="1"/>
  <c r="AU394" i="1" s="1"/>
  <c r="S395" i="1"/>
  <c r="U395" i="1"/>
  <c r="Y395" i="1"/>
  <c r="AM395" i="1"/>
  <c r="AN395" i="1" s="1"/>
  <c r="S396" i="1"/>
  <c r="U396" i="1"/>
  <c r="Y396" i="1"/>
  <c r="AM396" i="1"/>
  <c r="AN396" i="1" s="1"/>
  <c r="S397" i="1"/>
  <c r="U397" i="1"/>
  <c r="AM397" i="1" s="1"/>
  <c r="AN397" i="1" s="1"/>
  <c r="Y397" i="1"/>
  <c r="S398" i="1"/>
  <c r="U398" i="1"/>
  <c r="AM398" i="1" s="1"/>
  <c r="AN398" i="1" s="1"/>
  <c r="AW398" i="1" s="1"/>
  <c r="Y398" i="1"/>
  <c r="S399" i="1"/>
  <c r="U399" i="1"/>
  <c r="AM399" i="1" s="1"/>
  <c r="AN399" i="1" s="1"/>
  <c r="Y399" i="1"/>
  <c r="AW399" i="1" s="1"/>
  <c r="S400" i="1"/>
  <c r="U400" i="1"/>
  <c r="Y400" i="1"/>
  <c r="AM400" i="1"/>
  <c r="AN400" i="1" s="1"/>
  <c r="S401" i="1"/>
  <c r="U401" i="1"/>
  <c r="AM401" i="1" s="1"/>
  <c r="AN401" i="1" s="1"/>
  <c r="Y401" i="1"/>
  <c r="S402" i="1"/>
  <c r="U402" i="1"/>
  <c r="AM402" i="1" s="1"/>
  <c r="AN402" i="1" s="1"/>
  <c r="Y402" i="1"/>
  <c r="S403" i="1"/>
  <c r="U403" i="1"/>
  <c r="AM403" i="1" s="1"/>
  <c r="AN403" i="1" s="1"/>
  <c r="Y403" i="1"/>
  <c r="S404" i="1"/>
  <c r="U404" i="1"/>
  <c r="AM404" i="1" s="1"/>
  <c r="AN404" i="1" s="1"/>
  <c r="Y404" i="1"/>
  <c r="S405" i="1"/>
  <c r="U405" i="1"/>
  <c r="AM405" i="1" s="1"/>
  <c r="AN405" i="1" s="1"/>
  <c r="Y405" i="1"/>
  <c r="S406" i="1"/>
  <c r="U406" i="1"/>
  <c r="AM406" i="1" s="1"/>
  <c r="AN406" i="1" s="1"/>
  <c r="Y406" i="1"/>
  <c r="S407" i="1"/>
  <c r="U407" i="1"/>
  <c r="Y407" i="1"/>
  <c r="AM407" i="1"/>
  <c r="AN407" i="1" s="1"/>
  <c r="AW407" i="1"/>
  <c r="S408" i="1"/>
  <c r="U408" i="1"/>
  <c r="AM408" i="1" s="1"/>
  <c r="AN408" i="1" s="1"/>
  <c r="Y408" i="1"/>
  <c r="AV408" i="1" s="1"/>
  <c r="S409" i="1"/>
  <c r="U409" i="1"/>
  <c r="Y409" i="1"/>
  <c r="AV409" i="1" s="1"/>
  <c r="AM409" i="1"/>
  <c r="AN409" i="1" s="1"/>
  <c r="AU409" i="1"/>
  <c r="S410" i="1"/>
  <c r="U410" i="1"/>
  <c r="AM410" i="1" s="1"/>
  <c r="AN410" i="1" s="1"/>
  <c r="Y410" i="1"/>
  <c r="S411" i="1"/>
  <c r="U411" i="1"/>
  <c r="AM411" i="1" s="1"/>
  <c r="AN411" i="1" s="1"/>
  <c r="Y411" i="1"/>
  <c r="S412" i="1"/>
  <c r="U412" i="1"/>
  <c r="Y412" i="1"/>
  <c r="AM412" i="1"/>
  <c r="AN412" i="1" s="1"/>
  <c r="S413" i="1"/>
  <c r="U413" i="1"/>
  <c r="AM413" i="1" s="1"/>
  <c r="AN413" i="1" s="1"/>
  <c r="Y413" i="1"/>
  <c r="AV413" i="1" s="1"/>
  <c r="S414" i="1"/>
  <c r="U414" i="1"/>
  <c r="AM414" i="1" s="1"/>
  <c r="AN414" i="1" s="1"/>
  <c r="Y414" i="1"/>
  <c r="S415" i="1"/>
  <c r="U415" i="1"/>
  <c r="Y415" i="1"/>
  <c r="AM415" i="1"/>
  <c r="AN415" i="1" s="1"/>
  <c r="S416" i="1"/>
  <c r="U416" i="1"/>
  <c r="AM416" i="1" s="1"/>
  <c r="AN416" i="1" s="1"/>
  <c r="Y416" i="1"/>
  <c r="S417" i="1"/>
  <c r="U417" i="1"/>
  <c r="Y417" i="1"/>
  <c r="AM417" i="1"/>
  <c r="AN417" i="1" s="1"/>
  <c r="S418" i="1"/>
  <c r="U418" i="1"/>
  <c r="AM418" i="1" s="1"/>
  <c r="AN418" i="1" s="1"/>
  <c r="Y418" i="1"/>
  <c r="AV418" i="1"/>
  <c r="AW418" i="1"/>
  <c r="S419" i="1"/>
  <c r="U419" i="1"/>
  <c r="AM419" i="1" s="1"/>
  <c r="AN419" i="1" s="1"/>
  <c r="Y419" i="1"/>
  <c r="S420" i="1"/>
  <c r="U420" i="1"/>
  <c r="AM420" i="1" s="1"/>
  <c r="AN420" i="1" s="1"/>
  <c r="Y420" i="1"/>
  <c r="S421" i="1"/>
  <c r="U421" i="1"/>
  <c r="AM421" i="1" s="1"/>
  <c r="AN421" i="1" s="1"/>
  <c r="AU421" i="1" s="1"/>
  <c r="Y421" i="1"/>
  <c r="S422" i="1"/>
  <c r="U422" i="1"/>
  <c r="Y422" i="1"/>
  <c r="AM422" i="1"/>
  <c r="AN422" i="1" s="1"/>
  <c r="S423" i="1"/>
  <c r="U423" i="1"/>
  <c r="AM423" i="1" s="1"/>
  <c r="AN423" i="1" s="1"/>
  <c r="Y423" i="1"/>
  <c r="S424" i="1"/>
  <c r="U424" i="1"/>
  <c r="AM424" i="1" s="1"/>
  <c r="AN424" i="1" s="1"/>
  <c r="Y424" i="1"/>
  <c r="S425" i="1"/>
  <c r="U425" i="1"/>
  <c r="AM425" i="1" s="1"/>
  <c r="AN425" i="1" s="1"/>
  <c r="Y425" i="1"/>
  <c r="S426" i="1"/>
  <c r="U426" i="1"/>
  <c r="AM426" i="1" s="1"/>
  <c r="AN426" i="1" s="1"/>
  <c r="AU426" i="1" s="1"/>
  <c r="Y426" i="1"/>
  <c r="S427" i="1"/>
  <c r="U427" i="1"/>
  <c r="AM427" i="1" s="1"/>
  <c r="AN427" i="1" s="1"/>
  <c r="Y427" i="1"/>
  <c r="S428" i="1"/>
  <c r="U428" i="1"/>
  <c r="AM428" i="1" s="1"/>
  <c r="AN428" i="1" s="1"/>
  <c r="Y428" i="1"/>
  <c r="AW428" i="1" s="1"/>
  <c r="AV428" i="1"/>
  <c r="S429" i="1"/>
  <c r="U429" i="1"/>
  <c r="Y429" i="1"/>
  <c r="AU429" i="1" s="1"/>
  <c r="AM429" i="1"/>
  <c r="AN429" i="1" s="1"/>
  <c r="AW429" i="1" s="1"/>
  <c r="S430" i="1"/>
  <c r="U430" i="1"/>
  <c r="AM430" i="1" s="1"/>
  <c r="AN430" i="1" s="1"/>
  <c r="Y430" i="1"/>
  <c r="S431" i="1"/>
  <c r="U431" i="1"/>
  <c r="Y431" i="1"/>
  <c r="AM431" i="1"/>
  <c r="AN431" i="1" s="1"/>
  <c r="S432" i="1"/>
  <c r="U432" i="1"/>
  <c r="AM432" i="1" s="1"/>
  <c r="AN432" i="1" s="1"/>
  <c r="Y432" i="1"/>
  <c r="S433" i="1"/>
  <c r="U433" i="1"/>
  <c r="AM433" i="1" s="1"/>
  <c r="AN433" i="1" s="1"/>
  <c r="Y433" i="1"/>
  <c r="S434" i="1"/>
  <c r="U434" i="1"/>
  <c r="Y434" i="1"/>
  <c r="AM434" i="1"/>
  <c r="AN434" i="1" s="1"/>
  <c r="AU434" i="1" s="1"/>
  <c r="AV434" i="1"/>
  <c r="AW434" i="1"/>
  <c r="S435" i="1"/>
  <c r="U435" i="1"/>
  <c r="AM435" i="1" s="1"/>
  <c r="AN435" i="1" s="1"/>
  <c r="Y435" i="1"/>
  <c r="S436" i="1"/>
  <c r="U436" i="1"/>
  <c r="AM436" i="1" s="1"/>
  <c r="AN436" i="1" s="1"/>
  <c r="Y436" i="1"/>
  <c r="S437" i="1"/>
  <c r="U437" i="1"/>
  <c r="Y437" i="1"/>
  <c r="AM437" i="1"/>
  <c r="AN437" i="1" s="1"/>
  <c r="S438" i="1"/>
  <c r="U438" i="1"/>
  <c r="AM438" i="1" s="1"/>
  <c r="AN438" i="1" s="1"/>
  <c r="Y438" i="1"/>
  <c r="S439" i="1"/>
  <c r="U439" i="1"/>
  <c r="AM439" i="1" s="1"/>
  <c r="AN439" i="1" s="1"/>
  <c r="Y439" i="1"/>
  <c r="S440" i="1"/>
  <c r="U440" i="1"/>
  <c r="AM440" i="1" s="1"/>
  <c r="AN440" i="1" s="1"/>
  <c r="Y440" i="1"/>
  <c r="S441" i="1"/>
  <c r="U441" i="1"/>
  <c r="Y441" i="1"/>
  <c r="AM441" i="1"/>
  <c r="AN441" i="1" s="1"/>
  <c r="S442" i="1"/>
  <c r="U442" i="1"/>
  <c r="Y442" i="1"/>
  <c r="AM442" i="1"/>
  <c r="AN442" i="1" s="1"/>
  <c r="S443" i="1"/>
  <c r="U443" i="1"/>
  <c r="AM443" i="1" s="1"/>
  <c r="AN443" i="1" s="1"/>
  <c r="Y443" i="1"/>
  <c r="AV443" i="1"/>
  <c r="AW443" i="1"/>
  <c r="S444" i="1"/>
  <c r="U444" i="1"/>
  <c r="AM444" i="1" s="1"/>
  <c r="AN444" i="1" s="1"/>
  <c r="Y444" i="1"/>
  <c r="S445" i="1"/>
  <c r="U445" i="1"/>
  <c r="AM445" i="1" s="1"/>
  <c r="AN445" i="1" s="1"/>
  <c r="Y445" i="1"/>
  <c r="S446" i="1"/>
  <c r="U446" i="1"/>
  <c r="Y446" i="1"/>
  <c r="AM446" i="1"/>
  <c r="AN446" i="1" s="1"/>
  <c r="AU446" i="1" s="1"/>
  <c r="S447" i="1"/>
  <c r="U447" i="1"/>
  <c r="AM447" i="1" s="1"/>
  <c r="AN447" i="1" s="1"/>
  <c r="Y447" i="1"/>
  <c r="S448" i="1"/>
  <c r="U448" i="1"/>
  <c r="AM448" i="1" s="1"/>
  <c r="AN448" i="1" s="1"/>
  <c r="Y448" i="1"/>
  <c r="AV448" i="1"/>
  <c r="AW448" i="1"/>
  <c r="S449" i="1"/>
  <c r="U449" i="1"/>
  <c r="AM449" i="1" s="1"/>
  <c r="AN449" i="1" s="1"/>
  <c r="Y449" i="1"/>
  <c r="S450" i="1"/>
  <c r="U450" i="1"/>
  <c r="AM450" i="1" s="1"/>
  <c r="AN450" i="1" s="1"/>
  <c r="Y450" i="1"/>
  <c r="S451" i="1"/>
  <c r="U451" i="1"/>
  <c r="AM451" i="1" s="1"/>
  <c r="AN451" i="1" s="1"/>
  <c r="Y451" i="1"/>
  <c r="S452" i="1"/>
  <c r="U452" i="1"/>
  <c r="AM452" i="1" s="1"/>
  <c r="AN452" i="1" s="1"/>
  <c r="AU452" i="1" s="1"/>
  <c r="Y452" i="1"/>
  <c r="S453" i="1"/>
  <c r="U453" i="1"/>
  <c r="AM453" i="1" s="1"/>
  <c r="AN453" i="1" s="1"/>
  <c r="Y453" i="1"/>
  <c r="S454" i="1"/>
  <c r="U454" i="1"/>
  <c r="AM454" i="1" s="1"/>
  <c r="AN454" i="1" s="1"/>
  <c r="Y454" i="1"/>
  <c r="S455" i="1"/>
  <c r="U455" i="1"/>
  <c r="Y455" i="1"/>
  <c r="AM455" i="1"/>
  <c r="AN455" i="1" s="1"/>
  <c r="S456" i="1"/>
  <c r="U456" i="1"/>
  <c r="Y456" i="1"/>
  <c r="AM456" i="1"/>
  <c r="AN456" i="1" s="1"/>
  <c r="S457" i="1"/>
  <c r="U457" i="1"/>
  <c r="AM457" i="1" s="1"/>
  <c r="AN457" i="1" s="1"/>
  <c r="Y457" i="1"/>
  <c r="AU457" i="1" s="1"/>
  <c r="S458" i="1"/>
  <c r="U458" i="1"/>
  <c r="AM458" i="1" s="1"/>
  <c r="AN458" i="1" s="1"/>
  <c r="AV458" i="1" s="1"/>
  <c r="Y458" i="1"/>
  <c r="S459" i="1"/>
  <c r="U459" i="1"/>
  <c r="Y459" i="1"/>
  <c r="AM459" i="1"/>
  <c r="AN459" i="1" s="1"/>
  <c r="AU459" i="1" s="1"/>
  <c r="S460" i="1"/>
  <c r="U460" i="1"/>
  <c r="Y460" i="1"/>
  <c r="AM460" i="1"/>
  <c r="AN460" i="1" s="1"/>
  <c r="S461" i="1"/>
  <c r="U461" i="1"/>
  <c r="Y461" i="1"/>
  <c r="AM461" i="1"/>
  <c r="AN461" i="1" s="1"/>
  <c r="S462" i="1"/>
  <c r="U462" i="1"/>
  <c r="AM462" i="1" s="1"/>
  <c r="AN462" i="1" s="1"/>
  <c r="Y462" i="1"/>
  <c r="S463" i="1"/>
  <c r="U463" i="1"/>
  <c r="AM463" i="1" s="1"/>
  <c r="AN463" i="1" s="1"/>
  <c r="Y463" i="1"/>
  <c r="AU463" i="1" s="1"/>
  <c r="S464" i="1"/>
  <c r="U464" i="1"/>
  <c r="AM464" i="1" s="1"/>
  <c r="AN464" i="1" s="1"/>
  <c r="Y464" i="1"/>
  <c r="S465" i="1"/>
  <c r="U465" i="1"/>
  <c r="Y465" i="1"/>
  <c r="AM465" i="1"/>
  <c r="AN465" i="1" s="1"/>
  <c r="S466" i="1"/>
  <c r="U466" i="1"/>
  <c r="AM466" i="1" s="1"/>
  <c r="AN466" i="1" s="1"/>
  <c r="Y466" i="1"/>
  <c r="AV466" i="1"/>
  <c r="S467" i="1"/>
  <c r="U467" i="1"/>
  <c r="Y467" i="1"/>
  <c r="AM467" i="1"/>
  <c r="AN467" i="1" s="1"/>
  <c r="S468" i="1"/>
  <c r="U468" i="1"/>
  <c r="AM468" i="1" s="1"/>
  <c r="AN468" i="1" s="1"/>
  <c r="Y468" i="1"/>
  <c r="AV468" i="1"/>
  <c r="AW468" i="1"/>
  <c r="S469" i="1"/>
  <c r="U469" i="1"/>
  <c r="AM469" i="1" s="1"/>
  <c r="AN469" i="1" s="1"/>
  <c r="Y469" i="1"/>
  <c r="AU469" i="1" s="1"/>
  <c r="S470" i="1"/>
  <c r="U470" i="1"/>
  <c r="Y470" i="1"/>
  <c r="AM470" i="1"/>
  <c r="AN470" i="1" s="1"/>
  <c r="S471" i="1"/>
  <c r="U471" i="1"/>
  <c r="Y471" i="1"/>
  <c r="AM471" i="1"/>
  <c r="AN471" i="1" s="1"/>
  <c r="AU471" i="1" s="1"/>
  <c r="S472" i="1"/>
  <c r="U472" i="1"/>
  <c r="AM472" i="1" s="1"/>
  <c r="AN472" i="1" s="1"/>
  <c r="Y472" i="1"/>
  <c r="S473" i="1"/>
  <c r="U473" i="1"/>
  <c r="AM473" i="1" s="1"/>
  <c r="AN473" i="1" s="1"/>
  <c r="Y473" i="1"/>
  <c r="AU473" i="1" s="1"/>
  <c r="AV473" i="1"/>
  <c r="S474" i="1"/>
  <c r="U474" i="1"/>
  <c r="AM474" i="1" s="1"/>
  <c r="AN474" i="1" s="1"/>
  <c r="Y474" i="1"/>
  <c r="S475" i="1"/>
  <c r="U475" i="1"/>
  <c r="AM475" i="1" s="1"/>
  <c r="AN475" i="1" s="1"/>
  <c r="Y475" i="1"/>
  <c r="S476" i="1"/>
  <c r="U476" i="1"/>
  <c r="Y476" i="1"/>
  <c r="AM476" i="1"/>
  <c r="AN476" i="1" s="1"/>
  <c r="S477" i="1"/>
  <c r="U477" i="1"/>
  <c r="AM477" i="1" s="1"/>
  <c r="AN477" i="1" s="1"/>
  <c r="Y477" i="1"/>
  <c r="S478" i="1"/>
  <c r="U478" i="1"/>
  <c r="AM478" i="1" s="1"/>
  <c r="AN478" i="1" s="1"/>
  <c r="Y478" i="1"/>
  <c r="AU478" i="1" s="1"/>
  <c r="AV478" i="1"/>
  <c r="AW478" i="1"/>
  <c r="S479" i="1"/>
  <c r="U479" i="1"/>
  <c r="AM479" i="1" s="1"/>
  <c r="AN479" i="1" s="1"/>
  <c r="Y479" i="1"/>
  <c r="S480" i="1"/>
  <c r="U480" i="1"/>
  <c r="AM480" i="1" s="1"/>
  <c r="AN480" i="1" s="1"/>
  <c r="Y480" i="1"/>
  <c r="S481" i="1"/>
  <c r="U481" i="1"/>
  <c r="Y481" i="1"/>
  <c r="AM481" i="1"/>
  <c r="AN481" i="1" s="1"/>
  <c r="S482" i="1"/>
  <c r="U482" i="1"/>
  <c r="AM482" i="1" s="1"/>
  <c r="AN482" i="1" s="1"/>
  <c r="Y482" i="1"/>
  <c r="S483" i="1"/>
  <c r="U483" i="1"/>
  <c r="AM483" i="1" s="1"/>
  <c r="AN483" i="1" s="1"/>
  <c r="Y483" i="1"/>
  <c r="AV483" i="1" s="1"/>
  <c r="S484" i="1"/>
  <c r="U484" i="1"/>
  <c r="AM484" i="1" s="1"/>
  <c r="AN484" i="1" s="1"/>
  <c r="Y484" i="1"/>
  <c r="S485" i="1"/>
  <c r="U485" i="1"/>
  <c r="AM485" i="1" s="1"/>
  <c r="AN485" i="1" s="1"/>
  <c r="Y485" i="1"/>
  <c r="S486" i="1"/>
  <c r="U486" i="1"/>
  <c r="Y486" i="1"/>
  <c r="AM486" i="1"/>
  <c r="AN486" i="1"/>
  <c r="S487" i="1"/>
  <c r="U487" i="1"/>
  <c r="AM487" i="1" s="1"/>
  <c r="AN487" i="1" s="1"/>
  <c r="Y487" i="1"/>
  <c r="S488" i="1"/>
  <c r="U488" i="1"/>
  <c r="AM488" i="1" s="1"/>
  <c r="AN488" i="1" s="1"/>
  <c r="Y488" i="1"/>
  <c r="S489" i="1"/>
  <c r="U489" i="1"/>
  <c r="AM489" i="1" s="1"/>
  <c r="AN489" i="1" s="1"/>
  <c r="Y489" i="1"/>
  <c r="AU489" i="1" s="1"/>
  <c r="AW489" i="1"/>
  <c r="S490" i="1"/>
  <c r="U490" i="1"/>
  <c r="AM490" i="1" s="1"/>
  <c r="AN490" i="1" s="1"/>
  <c r="AV490" i="1" s="1"/>
  <c r="Y490" i="1"/>
  <c r="S491" i="1"/>
  <c r="U491" i="1"/>
  <c r="AM491" i="1" s="1"/>
  <c r="AN491" i="1" s="1"/>
  <c r="AW491" i="1" s="1"/>
  <c r="Y491" i="1"/>
  <c r="S492" i="1"/>
  <c r="U492" i="1"/>
  <c r="AM492" i="1" s="1"/>
  <c r="AN492" i="1" s="1"/>
  <c r="Y492" i="1"/>
  <c r="S493" i="1"/>
  <c r="U493" i="1"/>
  <c r="AM493" i="1" s="1"/>
  <c r="AN493" i="1" s="1"/>
  <c r="Y493" i="1"/>
  <c r="S494" i="1"/>
  <c r="U494" i="1"/>
  <c r="AM494" i="1" s="1"/>
  <c r="AN494" i="1" s="1"/>
  <c r="Y494" i="1"/>
  <c r="S495" i="1"/>
  <c r="U495" i="1"/>
  <c r="AM495" i="1" s="1"/>
  <c r="AN495" i="1" s="1"/>
  <c r="Y495" i="1"/>
  <c r="S496" i="1"/>
  <c r="U496" i="1"/>
  <c r="Y496" i="1"/>
  <c r="AM496" i="1"/>
  <c r="AN496" i="1" s="1"/>
  <c r="AV496" i="1" s="1"/>
  <c r="S497" i="1"/>
  <c r="U497" i="1"/>
  <c r="AM497" i="1" s="1"/>
  <c r="AN497" i="1" s="1"/>
  <c r="Y497" i="1"/>
  <c r="S498" i="1"/>
  <c r="U498" i="1"/>
  <c r="AM498" i="1" s="1"/>
  <c r="AN498" i="1" s="1"/>
  <c r="Y498" i="1"/>
  <c r="S499" i="1"/>
  <c r="U499" i="1"/>
  <c r="Y499" i="1"/>
  <c r="AM499" i="1"/>
  <c r="AN499" i="1" s="1"/>
  <c r="S500" i="1"/>
  <c r="U500" i="1"/>
  <c r="AM500" i="1" s="1"/>
  <c r="AN500" i="1" s="1"/>
  <c r="Y500" i="1"/>
  <c r="S501" i="1"/>
  <c r="U501" i="1"/>
  <c r="AM501" i="1" s="1"/>
  <c r="AN501" i="1" s="1"/>
  <c r="Y501" i="1"/>
  <c r="AW501" i="1" s="1"/>
  <c r="S502" i="1"/>
  <c r="U502" i="1"/>
  <c r="AM502" i="1" s="1"/>
  <c r="AN502" i="1" s="1"/>
  <c r="Y502" i="1"/>
  <c r="S503" i="1"/>
  <c r="U503" i="1"/>
  <c r="AM503" i="1" s="1"/>
  <c r="AN503" i="1" s="1"/>
  <c r="Y503" i="1"/>
  <c r="S504" i="1"/>
  <c r="U504" i="1"/>
  <c r="Y504" i="1"/>
  <c r="AM504" i="1"/>
  <c r="AN504" i="1" s="1"/>
  <c r="S505" i="1"/>
  <c r="U505" i="1"/>
  <c r="AM505" i="1" s="1"/>
  <c r="AN505" i="1" s="1"/>
  <c r="Y505" i="1"/>
  <c r="S506" i="1"/>
  <c r="U506" i="1"/>
  <c r="Y506" i="1"/>
  <c r="AM506" i="1"/>
  <c r="AN506" i="1" s="1"/>
  <c r="AV506" i="1" s="1"/>
  <c r="S507" i="1"/>
  <c r="U507" i="1"/>
  <c r="AM507" i="1" s="1"/>
  <c r="AN507" i="1" s="1"/>
  <c r="Y507" i="1"/>
  <c r="S508" i="1"/>
  <c r="U508" i="1"/>
  <c r="AM508" i="1" s="1"/>
  <c r="AN508" i="1" s="1"/>
  <c r="Y508" i="1"/>
  <c r="S509" i="1"/>
  <c r="U509" i="1"/>
  <c r="AM509" i="1" s="1"/>
  <c r="AN509" i="1" s="1"/>
  <c r="Y509" i="1"/>
  <c r="S510" i="1"/>
  <c r="U510" i="1"/>
  <c r="AM510" i="1" s="1"/>
  <c r="AN510" i="1" s="1"/>
  <c r="Y510" i="1"/>
  <c r="S511" i="1"/>
  <c r="U511" i="1"/>
  <c r="Y511" i="1"/>
  <c r="AW511" i="1" s="1"/>
  <c r="AM511" i="1"/>
  <c r="AN511" i="1" s="1"/>
  <c r="AV511" i="1" s="1"/>
  <c r="S512" i="1"/>
  <c r="U512" i="1"/>
  <c r="AM512" i="1" s="1"/>
  <c r="Y512" i="1"/>
  <c r="AV512" i="1" s="1"/>
  <c r="AN512" i="1"/>
  <c r="AU512" i="1" s="1"/>
  <c r="S513" i="1"/>
  <c r="U513" i="1"/>
  <c r="AM513" i="1" s="1"/>
  <c r="AN513" i="1" s="1"/>
  <c r="Y513" i="1"/>
  <c r="S514" i="1"/>
  <c r="U514" i="1"/>
  <c r="Y514" i="1"/>
  <c r="AM514" i="1"/>
  <c r="AN514" i="1" s="1"/>
  <c r="S515" i="1"/>
  <c r="U515" i="1"/>
  <c r="AM515" i="1" s="1"/>
  <c r="AN515" i="1" s="1"/>
  <c r="Y515" i="1"/>
  <c r="S516" i="1"/>
  <c r="U516" i="1"/>
  <c r="Y516" i="1"/>
  <c r="AM516" i="1"/>
  <c r="AN516" i="1" s="1"/>
  <c r="AV516" i="1" s="1"/>
  <c r="S517" i="1"/>
  <c r="U517" i="1"/>
  <c r="AM517" i="1" s="1"/>
  <c r="Y517" i="1"/>
  <c r="AN517" i="1"/>
  <c r="AU517" i="1" s="1"/>
  <c r="AV517" i="1"/>
  <c r="S518" i="1"/>
  <c r="U518" i="1"/>
  <c r="AM518" i="1" s="1"/>
  <c r="AN518" i="1" s="1"/>
  <c r="Y518" i="1"/>
  <c r="S519" i="1"/>
  <c r="U519" i="1"/>
  <c r="Y519" i="1"/>
  <c r="AM519" i="1"/>
  <c r="AN519" i="1" s="1"/>
  <c r="S520" i="1"/>
  <c r="U520" i="1"/>
  <c r="AM520" i="1" s="1"/>
  <c r="AN520" i="1" s="1"/>
  <c r="Y520" i="1"/>
  <c r="S521" i="1"/>
  <c r="U521" i="1"/>
  <c r="Y521" i="1"/>
  <c r="AM521" i="1"/>
  <c r="AN521" i="1" s="1"/>
  <c r="S522" i="1"/>
  <c r="U522" i="1"/>
  <c r="AM522" i="1" s="1"/>
  <c r="AN522" i="1" s="1"/>
  <c r="Y522" i="1"/>
  <c r="S523" i="1"/>
  <c r="U523" i="1"/>
  <c r="AM523" i="1" s="1"/>
  <c r="AN523" i="1" s="1"/>
  <c r="Y523" i="1"/>
  <c r="S524" i="1"/>
  <c r="U524" i="1"/>
  <c r="AM524" i="1" s="1"/>
  <c r="AN524" i="1" s="1"/>
  <c r="Y524" i="1"/>
  <c r="S525" i="1"/>
  <c r="U525" i="1"/>
  <c r="AM525" i="1" s="1"/>
  <c r="AN525" i="1" s="1"/>
  <c r="Y525" i="1"/>
  <c r="S526" i="1"/>
  <c r="U526" i="1"/>
  <c r="Y526" i="1"/>
  <c r="AM526" i="1"/>
  <c r="AN526" i="1"/>
  <c r="AV526" i="1" s="1"/>
  <c r="AW526" i="1"/>
  <c r="S527" i="1"/>
  <c r="U527" i="1"/>
  <c r="AM527" i="1" s="1"/>
  <c r="AN527" i="1" s="1"/>
  <c r="Y527" i="1"/>
  <c r="S528" i="1"/>
  <c r="U528" i="1"/>
  <c r="AM528" i="1" s="1"/>
  <c r="AN528" i="1" s="1"/>
  <c r="Y528" i="1"/>
  <c r="S529" i="1"/>
  <c r="U529" i="1"/>
  <c r="AM529" i="1" s="1"/>
  <c r="AN529" i="1" s="1"/>
  <c r="Y529" i="1"/>
  <c r="S530" i="1"/>
  <c r="U530" i="1"/>
  <c r="AM530" i="1" s="1"/>
  <c r="AN530" i="1" s="1"/>
  <c r="Y530" i="1"/>
  <c r="S531" i="1"/>
  <c r="U531" i="1"/>
  <c r="Y531" i="1"/>
  <c r="AM531" i="1"/>
  <c r="AN531" i="1"/>
  <c r="AV531" i="1" s="1"/>
  <c r="S532" i="1"/>
  <c r="U532" i="1"/>
  <c r="AM532" i="1" s="1"/>
  <c r="AN532" i="1" s="1"/>
  <c r="Y532" i="1"/>
  <c r="S533" i="1"/>
  <c r="U533" i="1"/>
  <c r="AM533" i="1" s="1"/>
  <c r="AN533" i="1" s="1"/>
  <c r="Y533" i="1"/>
  <c r="S534" i="1"/>
  <c r="U534" i="1"/>
  <c r="Y534" i="1"/>
  <c r="AM534" i="1"/>
  <c r="AN534" i="1" s="1"/>
  <c r="AU534" i="1" s="1"/>
  <c r="S535" i="1"/>
  <c r="U535" i="1"/>
  <c r="AM535" i="1" s="1"/>
  <c r="AN535" i="1" s="1"/>
  <c r="Y535" i="1"/>
  <c r="S536" i="1"/>
  <c r="U536" i="1"/>
  <c r="Y536" i="1"/>
  <c r="AM536" i="1"/>
  <c r="AN536" i="1" s="1"/>
  <c r="S537" i="1"/>
  <c r="U537" i="1"/>
  <c r="Y537" i="1"/>
  <c r="AM537" i="1"/>
  <c r="AN537" i="1" s="1"/>
  <c r="S538" i="1"/>
  <c r="U538" i="1"/>
  <c r="Y538" i="1"/>
  <c r="AV538" i="1" s="1"/>
  <c r="AM538" i="1"/>
  <c r="AN538" i="1" s="1"/>
  <c r="S539" i="1"/>
  <c r="U539" i="1"/>
  <c r="Y539" i="1"/>
  <c r="AM539" i="1"/>
  <c r="AN539" i="1" s="1"/>
  <c r="S540" i="1"/>
  <c r="U540" i="1"/>
  <c r="AM540" i="1" s="1"/>
  <c r="AN540" i="1" s="1"/>
  <c r="Y540" i="1"/>
  <c r="S541" i="1"/>
  <c r="U541" i="1"/>
  <c r="AM541" i="1" s="1"/>
  <c r="AN541" i="1" s="1"/>
  <c r="Y541" i="1"/>
  <c r="S542" i="1"/>
  <c r="U542" i="1"/>
  <c r="AM542" i="1" s="1"/>
  <c r="AN542" i="1" s="1"/>
  <c r="Y542" i="1"/>
  <c r="AU542" i="1"/>
  <c r="AV542" i="1"/>
  <c r="S543" i="1"/>
  <c r="U543" i="1"/>
  <c r="Y543" i="1"/>
  <c r="AV543" i="1" s="1"/>
  <c r="AM543" i="1"/>
  <c r="AN543" i="1" s="1"/>
  <c r="S544" i="1"/>
  <c r="U544" i="1"/>
  <c r="AM544" i="1" s="1"/>
  <c r="AN544" i="1" s="1"/>
  <c r="Y544" i="1"/>
  <c r="S545" i="1"/>
  <c r="U545" i="1"/>
  <c r="AM545" i="1" s="1"/>
  <c r="AN545" i="1" s="1"/>
  <c r="Y545" i="1"/>
  <c r="S546" i="1"/>
  <c r="U546" i="1"/>
  <c r="Y546" i="1"/>
  <c r="AM546" i="1"/>
  <c r="AN546" i="1"/>
  <c r="S547" i="1"/>
  <c r="U547" i="1"/>
  <c r="Y547" i="1"/>
  <c r="AM547" i="1"/>
  <c r="AN547" i="1" s="1"/>
  <c r="S548" i="1"/>
  <c r="U548" i="1"/>
  <c r="Y548" i="1"/>
  <c r="AV548" i="1" s="1"/>
  <c r="AM548" i="1"/>
  <c r="AN548" i="1" s="1"/>
  <c r="S549" i="1"/>
  <c r="U549" i="1"/>
  <c r="AM549" i="1" s="1"/>
  <c r="AN549" i="1" s="1"/>
  <c r="Y549" i="1"/>
  <c r="S550" i="1"/>
  <c r="U550" i="1"/>
  <c r="AM550" i="1" s="1"/>
  <c r="AN550" i="1" s="1"/>
  <c r="Y550" i="1"/>
  <c r="S551" i="1"/>
  <c r="U551" i="1"/>
  <c r="Y551" i="1"/>
  <c r="AM551" i="1"/>
  <c r="AN551" i="1" s="1"/>
  <c r="S552" i="1"/>
  <c r="U552" i="1"/>
  <c r="Y552" i="1"/>
  <c r="AM552" i="1"/>
  <c r="AN552" i="1"/>
  <c r="AU552" i="1" s="1"/>
  <c r="S553" i="1"/>
  <c r="U553" i="1"/>
  <c r="AM553" i="1" s="1"/>
  <c r="AN553" i="1" s="1"/>
  <c r="Y553" i="1"/>
  <c r="S554" i="1"/>
  <c r="U554" i="1"/>
  <c r="Y554" i="1"/>
  <c r="AM554" i="1"/>
  <c r="AN554" i="1" s="1"/>
  <c r="S555" i="1"/>
  <c r="U555" i="1"/>
  <c r="AM555" i="1" s="1"/>
  <c r="AN555" i="1" s="1"/>
  <c r="Y555" i="1"/>
  <c r="S556" i="1"/>
  <c r="U556" i="1"/>
  <c r="AM556" i="1" s="1"/>
  <c r="AN556" i="1" s="1"/>
  <c r="AU556" i="1" s="1"/>
  <c r="Y556" i="1"/>
  <c r="S557" i="1"/>
  <c r="U557" i="1"/>
  <c r="AM557" i="1" s="1"/>
  <c r="AN557" i="1" s="1"/>
  <c r="Y557" i="1"/>
  <c r="AU557" i="1"/>
  <c r="AV557" i="1"/>
  <c r="S558" i="1"/>
  <c r="U558" i="1"/>
  <c r="Y558" i="1"/>
  <c r="AM558" i="1"/>
  <c r="AN558" i="1" s="1"/>
  <c r="AV558" i="1"/>
  <c r="S559" i="1"/>
  <c r="U559" i="1"/>
  <c r="AM559" i="1" s="1"/>
  <c r="AN559" i="1" s="1"/>
  <c r="Y559" i="1"/>
  <c r="AV559" i="1" s="1"/>
  <c r="S560" i="1"/>
  <c r="U560" i="1"/>
  <c r="AM560" i="1" s="1"/>
  <c r="AN560" i="1" s="1"/>
  <c r="Y560" i="1"/>
  <c r="S561" i="1"/>
  <c r="U561" i="1"/>
  <c r="AM561" i="1" s="1"/>
  <c r="AN561" i="1" s="1"/>
  <c r="Y561" i="1"/>
  <c r="AU561" i="1" s="1"/>
  <c r="S562" i="1"/>
  <c r="U562" i="1"/>
  <c r="Y562" i="1"/>
  <c r="AM562" i="1"/>
  <c r="AN562" i="1" s="1"/>
  <c r="S563" i="1"/>
  <c r="U563" i="1"/>
  <c r="AM563" i="1" s="1"/>
  <c r="AN563" i="1" s="1"/>
  <c r="Y563" i="1"/>
  <c r="S564" i="1"/>
  <c r="U564" i="1"/>
  <c r="Y564" i="1"/>
  <c r="AM564" i="1"/>
  <c r="AN564" i="1" s="1"/>
  <c r="S565" i="1"/>
  <c r="U565" i="1"/>
  <c r="AM565" i="1" s="1"/>
  <c r="AN565" i="1" s="1"/>
  <c r="Y565" i="1"/>
  <c r="S566" i="1"/>
  <c r="U566" i="1"/>
  <c r="AM566" i="1" s="1"/>
  <c r="AN566" i="1" s="1"/>
  <c r="Y566" i="1"/>
  <c r="S567" i="1"/>
  <c r="U567" i="1"/>
  <c r="Y567" i="1"/>
  <c r="AM567" i="1"/>
  <c r="AN567" i="1"/>
  <c r="AU567" i="1" s="1"/>
  <c r="S568" i="1"/>
  <c r="U568" i="1"/>
  <c r="AM568" i="1" s="1"/>
  <c r="AN568" i="1" s="1"/>
  <c r="Y568" i="1"/>
  <c r="AV568" i="1" s="1"/>
  <c r="S569" i="1"/>
  <c r="U569" i="1"/>
  <c r="Y569" i="1"/>
  <c r="AM569" i="1"/>
  <c r="AN569" i="1" s="1"/>
  <c r="S570" i="1"/>
  <c r="U570" i="1"/>
  <c r="AM570" i="1" s="1"/>
  <c r="AN570" i="1" s="1"/>
  <c r="Y570" i="1"/>
  <c r="S571" i="1"/>
  <c r="U571" i="1"/>
  <c r="AM571" i="1" s="1"/>
  <c r="AN571" i="1" s="1"/>
  <c r="Y571" i="1"/>
  <c r="S572" i="1"/>
  <c r="U572" i="1"/>
  <c r="AM572" i="1" s="1"/>
  <c r="AN572" i="1" s="1"/>
  <c r="Y572" i="1"/>
  <c r="S573" i="1"/>
  <c r="U573" i="1"/>
  <c r="Y573" i="1"/>
  <c r="AM573" i="1"/>
  <c r="AN573" i="1" s="1"/>
  <c r="AV573" i="1" s="1"/>
  <c r="S574" i="1"/>
  <c r="U574" i="1"/>
  <c r="AM574" i="1" s="1"/>
  <c r="AN574" i="1" s="1"/>
  <c r="Y574" i="1"/>
  <c r="S575" i="1"/>
  <c r="U575" i="1"/>
  <c r="AM575" i="1" s="1"/>
  <c r="AN575" i="1" s="1"/>
  <c r="Y575" i="1"/>
  <c r="S576" i="1"/>
  <c r="U576" i="1"/>
  <c r="Y576" i="1"/>
  <c r="AM576" i="1"/>
  <c r="AN576" i="1" s="1"/>
  <c r="S577" i="1"/>
  <c r="U577" i="1"/>
  <c r="AM577" i="1" s="1"/>
  <c r="AN577" i="1" s="1"/>
  <c r="Y577" i="1"/>
  <c r="S578" i="1"/>
  <c r="U578" i="1"/>
  <c r="AM578" i="1" s="1"/>
  <c r="AN578" i="1" s="1"/>
  <c r="Y578" i="1"/>
  <c r="S579" i="1"/>
  <c r="U579" i="1"/>
  <c r="AM579" i="1" s="1"/>
  <c r="AN579" i="1" s="1"/>
  <c r="Y579" i="1"/>
  <c r="S580" i="1"/>
  <c r="U580" i="1"/>
  <c r="AM580" i="1" s="1"/>
  <c r="AN580" i="1" s="1"/>
  <c r="Y580" i="1"/>
  <c r="S581" i="1"/>
  <c r="U581" i="1"/>
  <c r="AM581" i="1" s="1"/>
  <c r="AN581" i="1" s="1"/>
  <c r="Y581" i="1"/>
  <c r="S582" i="1"/>
  <c r="U582" i="1"/>
  <c r="AM582" i="1" s="1"/>
  <c r="AN582" i="1" s="1"/>
  <c r="Y582" i="1"/>
  <c r="S583" i="1"/>
  <c r="U583" i="1"/>
  <c r="Y583" i="1"/>
  <c r="AM583" i="1"/>
  <c r="AN583" i="1" s="1"/>
  <c r="S584" i="1"/>
  <c r="U584" i="1"/>
  <c r="Y584" i="1"/>
  <c r="AM584" i="1"/>
  <c r="AN584" i="1"/>
  <c r="AU584" i="1" s="1"/>
  <c r="AW584" i="1"/>
  <c r="S585" i="1"/>
  <c r="U585" i="1"/>
  <c r="AM585" i="1" s="1"/>
  <c r="AN585" i="1" s="1"/>
  <c r="Y585" i="1"/>
  <c r="S586" i="1"/>
  <c r="U586" i="1"/>
  <c r="AM586" i="1" s="1"/>
  <c r="AN586" i="1" s="1"/>
  <c r="AU586" i="1" s="1"/>
  <c r="Y586" i="1"/>
  <c r="S587" i="1"/>
  <c r="U587" i="1"/>
  <c r="AM587" i="1" s="1"/>
  <c r="AN587" i="1" s="1"/>
  <c r="Y587" i="1"/>
  <c r="S588" i="1"/>
  <c r="U588" i="1"/>
  <c r="AM588" i="1" s="1"/>
  <c r="AN588" i="1" s="1"/>
  <c r="Y588" i="1"/>
  <c r="S589" i="1"/>
  <c r="U589" i="1"/>
  <c r="Y589" i="1"/>
  <c r="AM589" i="1"/>
  <c r="AN589" i="1"/>
  <c r="AU589" i="1"/>
  <c r="AV589" i="1"/>
  <c r="AW589" i="1"/>
  <c r="S590" i="1"/>
  <c r="U590" i="1"/>
  <c r="AM590" i="1" s="1"/>
  <c r="AN590" i="1" s="1"/>
  <c r="Y590" i="1"/>
  <c r="AW590" i="1" s="1"/>
  <c r="S591" i="1"/>
  <c r="U591" i="1"/>
  <c r="Y591" i="1"/>
  <c r="AM591" i="1"/>
  <c r="AN591" i="1" s="1"/>
  <c r="S592" i="1"/>
  <c r="U592" i="1"/>
  <c r="AM592" i="1" s="1"/>
  <c r="AN592" i="1" s="1"/>
  <c r="Y592" i="1"/>
  <c r="S593" i="1"/>
  <c r="U593" i="1"/>
  <c r="Y593" i="1"/>
  <c r="AM593" i="1"/>
  <c r="AN593" i="1" s="1"/>
  <c r="S594" i="1"/>
  <c r="U594" i="1"/>
  <c r="Y594" i="1"/>
  <c r="AM594" i="1"/>
  <c r="AN594" i="1" s="1"/>
  <c r="S595" i="1"/>
  <c r="U595" i="1"/>
  <c r="AM595" i="1" s="1"/>
  <c r="AN595" i="1" s="1"/>
  <c r="Y595" i="1"/>
  <c r="AU595" i="1" s="1"/>
  <c r="AW595" i="1"/>
  <c r="S596" i="1"/>
  <c r="U596" i="1"/>
  <c r="AM596" i="1" s="1"/>
  <c r="AN596" i="1" s="1"/>
  <c r="AV596" i="1" s="1"/>
  <c r="Y596" i="1"/>
  <c r="S597" i="1"/>
  <c r="U597" i="1"/>
  <c r="AM597" i="1" s="1"/>
  <c r="AN597" i="1" s="1"/>
  <c r="Y597" i="1"/>
  <c r="S598" i="1"/>
  <c r="U598" i="1"/>
  <c r="Y598" i="1"/>
  <c r="AM598" i="1"/>
  <c r="AN598" i="1" s="1"/>
  <c r="S599" i="1"/>
  <c r="U599" i="1"/>
  <c r="Y599" i="1"/>
  <c r="AM599" i="1"/>
  <c r="AN599" i="1" s="1"/>
  <c r="S600" i="1"/>
  <c r="U600" i="1"/>
  <c r="AM600" i="1" s="1"/>
  <c r="AN600" i="1" s="1"/>
  <c r="Y600" i="1"/>
  <c r="S601" i="1"/>
  <c r="U601" i="1"/>
  <c r="AM601" i="1" s="1"/>
  <c r="AN601" i="1" s="1"/>
  <c r="Y601" i="1"/>
  <c r="S602" i="1"/>
  <c r="U602" i="1"/>
  <c r="Y602" i="1"/>
  <c r="AM602" i="1"/>
  <c r="AN602" i="1" s="1"/>
  <c r="S603" i="1"/>
  <c r="U603" i="1"/>
  <c r="AM603" i="1" s="1"/>
  <c r="AN603" i="1" s="1"/>
  <c r="AV603" i="1" s="1"/>
  <c r="Y603" i="1"/>
  <c r="S604" i="1"/>
  <c r="U604" i="1"/>
  <c r="AM604" i="1" s="1"/>
  <c r="AN604" i="1" s="1"/>
  <c r="Y604" i="1"/>
  <c r="S605" i="1"/>
  <c r="U605" i="1"/>
  <c r="AM605" i="1" s="1"/>
  <c r="AN605" i="1" s="1"/>
  <c r="Y605" i="1"/>
  <c r="AV605" i="1"/>
  <c r="S606" i="1"/>
  <c r="U606" i="1"/>
  <c r="AM606" i="1" s="1"/>
  <c r="Y606" i="1"/>
  <c r="AN606" i="1"/>
  <c r="AU606" i="1"/>
  <c r="AV606" i="1"/>
  <c r="AW606" i="1"/>
  <c r="S607" i="1"/>
  <c r="U607" i="1"/>
  <c r="AM607" i="1" s="1"/>
  <c r="AN607" i="1" s="1"/>
  <c r="Y607" i="1"/>
  <c r="S608" i="1"/>
  <c r="U608" i="1"/>
  <c r="AM608" i="1" s="1"/>
  <c r="AN608" i="1" s="1"/>
  <c r="AV608" i="1" s="1"/>
  <c r="Y608" i="1"/>
  <c r="S609" i="1"/>
  <c r="U609" i="1"/>
  <c r="Y609" i="1"/>
  <c r="AM609" i="1"/>
  <c r="AN609" i="1"/>
  <c r="AU609" i="1"/>
  <c r="AV609" i="1"/>
  <c r="AW609" i="1"/>
  <c r="S610" i="1"/>
  <c r="U610" i="1"/>
  <c r="AM610" i="1" s="1"/>
  <c r="AN610" i="1" s="1"/>
  <c r="Y610" i="1"/>
  <c r="AU610" i="1" s="1"/>
  <c r="S611" i="1"/>
  <c r="U611" i="1"/>
  <c r="AM611" i="1" s="1"/>
  <c r="Y611" i="1"/>
  <c r="AN611" i="1"/>
  <c r="S612" i="1"/>
  <c r="U612" i="1"/>
  <c r="AM612" i="1" s="1"/>
  <c r="AN612" i="1" s="1"/>
  <c r="Y612" i="1"/>
  <c r="S613" i="1"/>
  <c r="U613" i="1"/>
  <c r="AM613" i="1" s="1"/>
  <c r="AN613" i="1" s="1"/>
  <c r="Y613" i="1"/>
  <c r="S614" i="1"/>
  <c r="U614" i="1"/>
  <c r="Y614" i="1"/>
  <c r="AM614" i="1"/>
  <c r="AN614" i="1" s="1"/>
  <c r="S615" i="1"/>
  <c r="U615" i="1"/>
  <c r="AM615" i="1" s="1"/>
  <c r="AN615" i="1" s="1"/>
  <c r="Y615" i="1"/>
  <c r="AV615" i="1"/>
  <c r="AW615" i="1"/>
  <c r="S616" i="1"/>
  <c r="U616" i="1"/>
  <c r="AM616" i="1" s="1"/>
  <c r="AN616" i="1" s="1"/>
  <c r="Y616" i="1"/>
  <c r="S617" i="1"/>
  <c r="U617" i="1"/>
  <c r="AM617" i="1" s="1"/>
  <c r="AN617" i="1" s="1"/>
  <c r="AV617" i="1" s="1"/>
  <c r="Y617" i="1"/>
  <c r="S618" i="1"/>
  <c r="U618" i="1"/>
  <c r="AM618" i="1" s="1"/>
  <c r="AN618" i="1" s="1"/>
  <c r="Y618" i="1"/>
  <c r="S619" i="1"/>
  <c r="U619" i="1"/>
  <c r="AM619" i="1" s="1"/>
  <c r="AN619" i="1" s="1"/>
  <c r="Y619" i="1"/>
  <c r="S620" i="1"/>
  <c r="U620" i="1"/>
  <c r="AM620" i="1" s="1"/>
  <c r="AN620" i="1" s="1"/>
  <c r="Y620" i="1"/>
  <c r="AU620" i="1" s="1"/>
  <c r="AV620" i="1"/>
  <c r="AW620" i="1"/>
  <c r="S621" i="1"/>
  <c r="U621" i="1"/>
  <c r="AM621" i="1" s="1"/>
  <c r="AN621" i="1" s="1"/>
  <c r="Y621" i="1"/>
  <c r="S622" i="1"/>
  <c r="U622" i="1"/>
  <c r="AM622" i="1" s="1"/>
  <c r="AN622" i="1" s="1"/>
  <c r="Y622" i="1"/>
  <c r="S623" i="1"/>
  <c r="U623" i="1"/>
  <c r="AM623" i="1" s="1"/>
  <c r="AN623" i="1" s="1"/>
  <c r="Y623" i="1"/>
  <c r="S624" i="1"/>
  <c r="U624" i="1"/>
  <c r="Y624" i="1"/>
  <c r="AM624" i="1"/>
  <c r="AN624" i="1" s="1"/>
  <c r="S625" i="1"/>
  <c r="U625" i="1"/>
  <c r="AM625" i="1" s="1"/>
  <c r="AN625" i="1" s="1"/>
  <c r="Y625" i="1"/>
  <c r="AV625" i="1"/>
  <c r="AW625" i="1"/>
  <c r="S626" i="1"/>
  <c r="U626" i="1"/>
  <c r="Y626" i="1"/>
  <c r="AM626" i="1"/>
  <c r="AN626" i="1"/>
  <c r="AV626" i="1" s="1"/>
  <c r="S627" i="1"/>
  <c r="U627" i="1"/>
  <c r="AM627" i="1" s="1"/>
  <c r="AN627" i="1" s="1"/>
  <c r="Y627" i="1"/>
  <c r="S628" i="1"/>
  <c r="U628" i="1"/>
  <c r="Y628" i="1"/>
  <c r="AM628" i="1"/>
  <c r="AN628" i="1"/>
  <c r="AU628" i="1" s="1"/>
  <c r="S629" i="1"/>
  <c r="U629" i="1"/>
  <c r="Y629" i="1"/>
  <c r="AM629" i="1"/>
  <c r="AN629" i="1" s="1"/>
  <c r="S630" i="1"/>
  <c r="U630" i="1"/>
  <c r="AM630" i="1" s="1"/>
  <c r="AN630" i="1" s="1"/>
  <c r="Y630" i="1"/>
  <c r="AV630" i="1"/>
  <c r="AW630" i="1"/>
  <c r="S631" i="1"/>
  <c r="U631" i="1"/>
  <c r="Y631" i="1"/>
  <c r="AM631" i="1"/>
  <c r="AN631" i="1" s="1"/>
  <c r="S632" i="1"/>
  <c r="U632" i="1"/>
  <c r="Y632" i="1"/>
  <c r="AM632" i="1"/>
  <c r="AN632" i="1" s="1"/>
  <c r="S633" i="1"/>
  <c r="U633" i="1"/>
  <c r="AM633" i="1" s="1"/>
  <c r="AN633" i="1" s="1"/>
  <c r="Y633" i="1"/>
  <c r="S634" i="1"/>
  <c r="U634" i="1"/>
  <c r="Y634" i="1"/>
  <c r="AM634" i="1"/>
  <c r="AN634" i="1" s="1"/>
  <c r="S635" i="1"/>
  <c r="U635" i="1"/>
  <c r="AM635" i="1" s="1"/>
  <c r="Y635" i="1"/>
  <c r="AN635" i="1"/>
  <c r="S636" i="1"/>
  <c r="U636" i="1"/>
  <c r="AM636" i="1" s="1"/>
  <c r="AN636" i="1" s="1"/>
  <c r="AV636" i="1" s="1"/>
  <c r="Y636" i="1"/>
  <c r="S637" i="1"/>
  <c r="U637" i="1"/>
  <c r="Y637" i="1"/>
  <c r="AM637" i="1"/>
  <c r="AN637" i="1" s="1"/>
  <c r="AU637" i="1" s="1"/>
  <c r="S638" i="1"/>
  <c r="U638" i="1"/>
  <c r="AM638" i="1" s="1"/>
  <c r="AN638" i="1" s="1"/>
  <c r="Y638" i="1"/>
  <c r="S639" i="1"/>
  <c r="U639" i="1"/>
  <c r="AM639" i="1" s="1"/>
  <c r="AN639" i="1" s="1"/>
  <c r="Y639" i="1"/>
  <c r="S640" i="1"/>
  <c r="U640" i="1"/>
  <c r="AM640" i="1" s="1"/>
  <c r="AN640" i="1" s="1"/>
  <c r="Y640" i="1"/>
  <c r="S641" i="1"/>
  <c r="U641" i="1"/>
  <c r="Y641" i="1"/>
  <c r="AM641" i="1"/>
  <c r="AN641" i="1" s="1"/>
  <c r="S642" i="1"/>
  <c r="U642" i="1"/>
  <c r="Y642" i="1"/>
  <c r="AM642" i="1"/>
  <c r="AN642" i="1"/>
  <c r="AU642" i="1"/>
  <c r="AV642" i="1"/>
  <c r="S643" i="1"/>
  <c r="U643" i="1"/>
  <c r="Y643" i="1"/>
  <c r="AM643" i="1"/>
  <c r="AN643" i="1" s="1"/>
  <c r="S644" i="1"/>
  <c r="U644" i="1"/>
  <c r="Y644" i="1"/>
  <c r="AM644" i="1"/>
  <c r="AN644" i="1" s="1"/>
  <c r="AU644" i="1" s="1"/>
  <c r="S645" i="1"/>
  <c r="U645" i="1"/>
  <c r="Y645" i="1"/>
  <c r="AM645" i="1"/>
  <c r="AN645" i="1" s="1"/>
  <c r="S646" i="1"/>
  <c r="U646" i="1"/>
  <c r="Y646" i="1"/>
  <c r="AM646" i="1"/>
  <c r="AN646" i="1" s="1"/>
  <c r="S647" i="1"/>
  <c r="U647" i="1"/>
  <c r="Y647" i="1"/>
  <c r="AM647" i="1"/>
  <c r="AN647" i="1" s="1"/>
  <c r="S648" i="1"/>
  <c r="U648" i="1"/>
  <c r="Y648" i="1"/>
  <c r="AM648" i="1"/>
  <c r="AN648" i="1" s="1"/>
  <c r="S649" i="1"/>
  <c r="U649" i="1"/>
  <c r="AM649" i="1" s="1"/>
  <c r="AN649" i="1" s="1"/>
  <c r="Y649" i="1"/>
  <c r="S650" i="1"/>
  <c r="U650" i="1"/>
  <c r="AM650" i="1" s="1"/>
  <c r="AN650" i="1" s="1"/>
  <c r="Y650" i="1"/>
  <c r="S651" i="1"/>
  <c r="U651" i="1"/>
  <c r="AM651" i="1" s="1"/>
  <c r="AN651" i="1" s="1"/>
  <c r="Y651" i="1"/>
  <c r="S652" i="1"/>
  <c r="U652" i="1"/>
  <c r="Y652" i="1"/>
  <c r="AM652" i="1"/>
  <c r="AN652" i="1" s="1"/>
  <c r="S653" i="1"/>
  <c r="U653" i="1"/>
  <c r="Y653" i="1"/>
  <c r="AM653" i="1"/>
  <c r="AN653" i="1" s="1"/>
  <c r="S654" i="1"/>
  <c r="U654" i="1"/>
  <c r="Y654" i="1"/>
  <c r="AW654" i="1" s="1"/>
  <c r="AM654" i="1"/>
  <c r="AN654" i="1"/>
  <c r="AU654" i="1" s="1"/>
  <c r="S655" i="1"/>
  <c r="U655" i="1"/>
  <c r="Y655" i="1"/>
  <c r="AM655" i="1"/>
  <c r="AN655" i="1" s="1"/>
  <c r="S656" i="1"/>
  <c r="U656" i="1"/>
  <c r="AM656" i="1" s="1"/>
  <c r="AN656" i="1" s="1"/>
  <c r="Y656" i="1"/>
  <c r="S657" i="1"/>
  <c r="U657" i="1"/>
  <c r="Y657" i="1"/>
  <c r="AM657" i="1"/>
  <c r="AN657" i="1" s="1"/>
  <c r="S658" i="1"/>
  <c r="U658" i="1"/>
  <c r="AM658" i="1" s="1"/>
  <c r="AN658" i="1" s="1"/>
  <c r="Y658" i="1"/>
  <c r="S659" i="1"/>
  <c r="U659" i="1"/>
  <c r="Y659" i="1"/>
  <c r="AM659" i="1"/>
  <c r="AN659" i="1" s="1"/>
  <c r="S660" i="1"/>
  <c r="U660" i="1"/>
  <c r="Y660" i="1"/>
  <c r="AM660" i="1"/>
  <c r="AN660" i="1" s="1"/>
  <c r="S661" i="1"/>
  <c r="U661" i="1"/>
  <c r="AM661" i="1" s="1"/>
  <c r="AN661" i="1" s="1"/>
  <c r="Y661" i="1"/>
  <c r="S662" i="1"/>
  <c r="U662" i="1"/>
  <c r="Y662" i="1"/>
  <c r="AM662" i="1"/>
  <c r="AN662" i="1" s="1"/>
  <c r="S663" i="1"/>
  <c r="U663" i="1"/>
  <c r="AM663" i="1" s="1"/>
  <c r="AN663" i="1" s="1"/>
  <c r="Y663" i="1"/>
  <c r="S664" i="1"/>
  <c r="U664" i="1"/>
  <c r="AM664" i="1" s="1"/>
  <c r="AN664" i="1" s="1"/>
  <c r="Y664" i="1"/>
  <c r="S665" i="1"/>
  <c r="U665" i="1"/>
  <c r="AM665" i="1" s="1"/>
  <c r="AN665" i="1" s="1"/>
  <c r="Y665" i="1"/>
  <c r="S666" i="1"/>
  <c r="U666" i="1"/>
  <c r="Y666" i="1"/>
  <c r="AM666" i="1"/>
  <c r="AN666" i="1" s="1"/>
  <c r="S667" i="1"/>
  <c r="U667" i="1"/>
  <c r="AM667" i="1" s="1"/>
  <c r="AN667" i="1" s="1"/>
  <c r="Y667" i="1"/>
  <c r="S668" i="1"/>
  <c r="U668" i="1"/>
  <c r="Y668" i="1"/>
  <c r="AM668" i="1"/>
  <c r="AN668" i="1" s="1"/>
  <c r="S669" i="1"/>
  <c r="U669" i="1"/>
  <c r="Y669" i="1"/>
  <c r="AM669" i="1"/>
  <c r="AN669" i="1"/>
  <c r="AV669" i="1" s="1"/>
  <c r="AW669" i="1"/>
  <c r="S670" i="1"/>
  <c r="U670" i="1"/>
  <c r="AM670" i="1" s="1"/>
  <c r="AN670" i="1" s="1"/>
  <c r="Y670" i="1"/>
  <c r="S671" i="1"/>
  <c r="U671" i="1"/>
  <c r="AM671" i="1" s="1"/>
  <c r="AN671" i="1" s="1"/>
  <c r="Y671" i="1"/>
  <c r="S672" i="1"/>
  <c r="U672" i="1"/>
  <c r="Y672" i="1"/>
  <c r="AM672" i="1"/>
  <c r="AN672" i="1" s="1"/>
  <c r="S673" i="1"/>
  <c r="U673" i="1"/>
  <c r="AM673" i="1" s="1"/>
  <c r="AN673" i="1" s="1"/>
  <c r="Y673" i="1"/>
  <c r="S674" i="1"/>
  <c r="U674" i="1"/>
  <c r="Y674" i="1"/>
  <c r="AM674" i="1"/>
  <c r="AN674" i="1"/>
  <c r="AV674" i="1" s="1"/>
  <c r="S675" i="1"/>
  <c r="U675" i="1"/>
  <c r="AM675" i="1" s="1"/>
  <c r="AN675" i="1" s="1"/>
  <c r="Y675" i="1"/>
  <c r="S676" i="1"/>
  <c r="U676" i="1"/>
  <c r="AM676" i="1" s="1"/>
  <c r="AN676" i="1" s="1"/>
  <c r="Y676" i="1"/>
  <c r="S677" i="1"/>
  <c r="U677" i="1"/>
  <c r="Y677" i="1"/>
  <c r="AM677" i="1"/>
  <c r="AN677" i="1" s="1"/>
  <c r="S678" i="1"/>
  <c r="U678" i="1"/>
  <c r="Y678" i="1"/>
  <c r="AM678" i="1"/>
  <c r="AN678" i="1" s="1"/>
  <c r="S679" i="1"/>
  <c r="U679" i="1"/>
  <c r="Y679" i="1"/>
  <c r="AM679" i="1"/>
  <c r="AN679" i="1" s="1"/>
  <c r="S680" i="1"/>
  <c r="U680" i="1"/>
  <c r="Y680" i="1"/>
  <c r="AM680" i="1"/>
  <c r="AN680" i="1" s="1"/>
  <c r="S681" i="1"/>
  <c r="U681" i="1"/>
  <c r="Y681" i="1"/>
  <c r="AM681" i="1"/>
  <c r="AN681" i="1"/>
  <c r="AW681" i="1" s="1"/>
  <c r="S682" i="1"/>
  <c r="U682" i="1"/>
  <c r="Y682" i="1"/>
  <c r="AM682" i="1"/>
  <c r="AN682" i="1" s="1"/>
  <c r="S683" i="1"/>
  <c r="U683" i="1"/>
  <c r="Y683" i="1"/>
  <c r="AM683" i="1"/>
  <c r="AN683" i="1" s="1"/>
  <c r="S684" i="1"/>
  <c r="U684" i="1"/>
  <c r="Y684" i="1"/>
  <c r="AM684" i="1"/>
  <c r="AN684" i="1"/>
  <c r="AV684" i="1" s="1"/>
  <c r="S685" i="1"/>
  <c r="U685" i="1"/>
  <c r="Y685" i="1"/>
  <c r="AM685" i="1"/>
  <c r="AN685" i="1" s="1"/>
  <c r="S686" i="1"/>
  <c r="U686" i="1"/>
  <c r="Y686" i="1"/>
  <c r="AM686" i="1"/>
  <c r="AN686" i="1" s="1"/>
  <c r="S687" i="1"/>
  <c r="U687" i="1"/>
  <c r="Y687" i="1"/>
  <c r="AM687" i="1"/>
  <c r="AN687" i="1" s="1"/>
  <c r="S688" i="1"/>
  <c r="U688" i="1"/>
  <c r="AM688" i="1" s="1"/>
  <c r="AN688" i="1" s="1"/>
  <c r="Y688" i="1"/>
  <c r="AU688" i="1" s="1"/>
  <c r="S689" i="1"/>
  <c r="U689" i="1"/>
  <c r="Y689" i="1"/>
  <c r="AM689" i="1"/>
  <c r="AN689" i="1" s="1"/>
  <c r="AV689" i="1" s="1"/>
  <c r="S690" i="1"/>
  <c r="U690" i="1"/>
  <c r="AM690" i="1" s="1"/>
  <c r="AN690" i="1" s="1"/>
  <c r="Y690" i="1"/>
  <c r="S691" i="1"/>
  <c r="U691" i="1"/>
  <c r="Y691" i="1"/>
  <c r="AM691" i="1"/>
  <c r="AN691" i="1"/>
  <c r="AU691" i="1" s="1"/>
  <c r="AW691" i="1"/>
  <c r="AU414" i="1" l="1"/>
  <c r="AW414" i="1"/>
  <c r="AU247" i="1"/>
  <c r="AW247" i="1"/>
  <c r="AU232" i="1"/>
  <c r="AW232" i="1"/>
  <c r="AU622" i="1"/>
  <c r="AV622" i="1"/>
  <c r="AW200" i="1"/>
  <c r="AV686" i="1"/>
  <c r="AW686" i="1"/>
  <c r="AU686" i="1"/>
  <c r="AU200" i="1"/>
  <c r="AV200" i="1"/>
  <c r="AU311" i="1"/>
  <c r="AV51" i="1"/>
  <c r="AW486" i="1"/>
  <c r="AU448" i="1"/>
  <c r="AU443" i="1"/>
  <c r="AU321" i="1"/>
  <c r="AV49" i="1"/>
  <c r="AU251" i="1"/>
  <c r="AV61" i="1"/>
  <c r="AV182" i="1"/>
  <c r="AV82" i="1"/>
  <c r="AV44" i="1"/>
  <c r="AV578" i="1"/>
  <c r="AV480" i="1"/>
  <c r="AW389" i="1"/>
  <c r="AU237" i="1"/>
  <c r="AU216" i="1"/>
  <c r="AV64" i="1"/>
  <c r="AW28" i="1"/>
  <c r="AV34" i="1"/>
  <c r="AU198" i="1"/>
  <c r="AV598" i="1"/>
  <c r="AW561" i="1"/>
  <c r="AW496" i="1"/>
  <c r="AU447" i="1"/>
  <c r="AV553" i="1"/>
  <c r="AU649" i="1"/>
  <c r="AU261" i="1"/>
  <c r="AU413" i="1"/>
  <c r="AU449" i="1"/>
  <c r="AU266" i="1"/>
  <c r="AU322" i="1"/>
  <c r="AV24" i="1"/>
  <c r="AU316" i="1"/>
  <c r="AV681" i="1"/>
  <c r="AW626" i="1"/>
  <c r="AV583" i="1"/>
  <c r="AV577" i="1"/>
  <c r="AV561" i="1"/>
  <c r="AV485" i="1"/>
  <c r="AU346" i="1"/>
  <c r="AV232" i="1"/>
  <c r="AV211" i="1"/>
  <c r="AU337" i="1"/>
  <c r="AU433" i="1"/>
  <c r="AU681" i="1"/>
  <c r="AU626" i="1"/>
  <c r="AW473" i="1"/>
  <c r="AU458" i="1"/>
  <c r="AW377" i="1"/>
  <c r="AW257" i="1"/>
  <c r="AW252" i="1"/>
  <c r="AV153" i="1"/>
  <c r="AU120" i="1"/>
  <c r="AW614" i="1"/>
  <c r="AW58" i="1"/>
  <c r="AV47" i="1"/>
  <c r="AU145" i="1"/>
  <c r="AU484" i="1"/>
  <c r="AU53" i="1"/>
  <c r="AW8" i="1"/>
  <c r="AW349" i="1"/>
  <c r="AU296" i="1"/>
  <c r="AV174" i="1"/>
  <c r="AU183" i="1"/>
  <c r="AV563" i="1"/>
  <c r="AU466" i="1"/>
  <c r="AW202" i="1"/>
  <c r="AU616" i="1"/>
  <c r="AW483" i="1"/>
  <c r="AW409" i="1"/>
  <c r="AV199" i="1"/>
  <c r="AU189" i="1"/>
  <c r="AW184" i="1"/>
  <c r="AU168" i="1"/>
  <c r="AV152" i="1"/>
  <c r="AW640" i="1"/>
  <c r="AV533" i="1"/>
  <c r="AU462" i="1"/>
  <c r="AV414" i="1"/>
  <c r="AV246" i="1"/>
  <c r="AU173" i="1"/>
  <c r="AU297" i="1"/>
  <c r="AV297" i="1"/>
  <c r="AU422" i="1"/>
  <c r="AW422" i="1"/>
  <c r="AW502" i="1"/>
  <c r="AU502" i="1"/>
  <c r="AU416" i="1"/>
  <c r="AW416" i="1"/>
  <c r="AW464" i="1"/>
  <c r="AU464" i="1"/>
  <c r="AV464" i="1"/>
  <c r="AV170" i="1"/>
  <c r="AW170" i="1"/>
  <c r="AV139" i="1"/>
  <c r="AU544" i="1"/>
  <c r="AV544" i="1"/>
  <c r="AW544" i="1"/>
  <c r="AV554" i="1"/>
  <c r="AU554" i="1"/>
  <c r="AW554" i="1"/>
  <c r="AV302" i="1"/>
  <c r="AW302" i="1"/>
  <c r="AW211" i="1"/>
  <c r="AV502" i="1"/>
  <c r="AU407" i="1"/>
  <c r="AV407" i="1"/>
  <c r="AV128" i="1"/>
  <c r="AW128" i="1"/>
  <c r="AW297" i="1"/>
  <c r="AV90" i="1"/>
  <c r="AV77" i="1"/>
  <c r="AU180" i="1"/>
  <c r="AV180" i="1"/>
  <c r="AW180" i="1"/>
  <c r="AU581" i="1"/>
  <c r="AV581" i="1"/>
  <c r="AV307" i="1"/>
  <c r="AW307" i="1"/>
  <c r="AU497" i="1"/>
  <c r="AV497" i="1"/>
  <c r="AU576" i="1"/>
  <c r="AV576" i="1"/>
  <c r="AW576" i="1"/>
  <c r="AW292" i="1"/>
  <c r="AU467" i="1"/>
  <c r="AV467" i="1"/>
  <c r="AU307" i="1"/>
  <c r="AV404" i="1"/>
  <c r="AU404" i="1"/>
  <c r="AU571" i="1"/>
  <c r="AV571" i="1"/>
  <c r="AW571" i="1"/>
  <c r="AU614" i="1"/>
  <c r="AU412" i="1"/>
  <c r="AV412" i="1"/>
  <c r="AW412" i="1"/>
  <c r="AU227" i="1"/>
  <c r="AV227" i="1"/>
  <c r="AW227" i="1"/>
  <c r="AU342" i="1"/>
  <c r="AV342" i="1"/>
  <c r="AW342" i="1"/>
  <c r="AW374" i="1"/>
  <c r="AU210" i="1"/>
  <c r="AV210" i="1"/>
  <c r="AW153" i="1"/>
  <c r="AV521" i="1"/>
  <c r="AW521" i="1"/>
  <c r="AV306" i="1"/>
  <c r="AV231" i="1"/>
  <c r="AU636" i="1"/>
  <c r="AW636" i="1"/>
  <c r="AV463" i="1"/>
  <c r="AV168" i="1"/>
  <c r="AV157" i="1"/>
  <c r="AV321" i="1"/>
  <c r="AV316" i="1"/>
  <c r="AV311" i="1"/>
  <c r="AV219" i="1"/>
  <c r="AW219" i="1"/>
  <c r="AV114" i="1"/>
  <c r="AW53" i="1"/>
  <c r="AU641" i="1"/>
  <c r="AV641" i="1"/>
  <c r="AW641" i="1"/>
  <c r="AU587" i="1"/>
  <c r="AV587" i="1"/>
  <c r="AU547" i="1"/>
  <c r="AV547" i="1"/>
  <c r="AW463" i="1"/>
  <c r="AU246" i="1"/>
  <c r="AW689" i="1"/>
  <c r="AV326" i="1"/>
  <c r="AV183" i="1"/>
  <c r="AW183" i="1"/>
  <c r="AV119" i="1"/>
  <c r="AV52" i="1"/>
  <c r="AV471" i="1"/>
  <c r="AW471" i="1"/>
  <c r="AW467" i="1"/>
  <c r="AV399" i="1"/>
  <c r="AU684" i="1"/>
  <c r="AW684" i="1"/>
  <c r="AU551" i="1"/>
  <c r="AV551" i="1"/>
  <c r="AW551" i="1"/>
  <c r="AU282" i="1"/>
  <c r="AW282" i="1"/>
  <c r="AU277" i="1"/>
  <c r="AW277" i="1"/>
  <c r="AU255" i="1"/>
  <c r="AV78" i="1"/>
  <c r="AW78" i="1"/>
  <c r="AU492" i="1"/>
  <c r="AU486" i="1"/>
  <c r="AU481" i="1"/>
  <c r="AU287" i="1"/>
  <c r="AW287" i="1"/>
  <c r="AV679" i="1"/>
  <c r="AW679" i="1"/>
  <c r="AW404" i="1"/>
  <c r="AU398" i="1"/>
  <c r="AU265" i="1"/>
  <c r="AV72" i="1"/>
  <c r="AU635" i="1"/>
  <c r="AW581" i="1"/>
  <c r="AU527" i="1"/>
  <c r="AV527" i="1"/>
  <c r="AV387" i="1"/>
  <c r="AU219" i="1"/>
  <c r="AU372" i="1"/>
  <c r="AW372" i="1"/>
  <c r="AW333" i="1"/>
  <c r="AV162" i="1"/>
  <c r="AW674" i="1"/>
  <c r="AV659" i="1"/>
  <c r="AW659" i="1"/>
  <c r="AW649" i="1"/>
  <c r="AV584" i="1"/>
  <c r="AW517" i="1"/>
  <c r="AV501" i="1"/>
  <c r="AU397" i="1"/>
  <c r="AV372" i="1"/>
  <c r="AV347" i="1"/>
  <c r="AW347" i="1"/>
  <c r="AW328" i="1"/>
  <c r="AW218" i="1"/>
  <c r="AV122" i="1"/>
  <c r="AU103" i="1"/>
  <c r="AW103" i="1"/>
  <c r="AW98" i="1"/>
  <c r="AV85" i="1"/>
  <c r="AW644" i="1"/>
  <c r="AU612" i="1"/>
  <c r="AV612" i="1"/>
  <c r="AU597" i="1"/>
  <c r="AU592" i="1"/>
  <c r="AV592" i="1"/>
  <c r="AU451" i="1"/>
  <c r="AV402" i="1"/>
  <c r="AU402" i="1"/>
  <c r="AV328" i="1"/>
  <c r="AU275" i="1"/>
  <c r="AV218" i="1"/>
  <c r="AV117" i="1"/>
  <c r="AV691" i="1"/>
  <c r="AU679" i="1"/>
  <c r="AV639" i="1"/>
  <c r="AU280" i="1"/>
  <c r="AV664" i="1"/>
  <c r="AW664" i="1"/>
  <c r="AU461" i="1"/>
  <c r="AV461" i="1"/>
  <c r="AW461" i="1"/>
  <c r="AV36" i="1"/>
  <c r="AU658" i="1"/>
  <c r="AU648" i="1"/>
  <c r="AU611" i="1"/>
  <c r="AV611" i="1"/>
  <c r="AW611" i="1"/>
  <c r="AU596" i="1"/>
  <c r="AU521" i="1"/>
  <c r="AU531" i="1"/>
  <c r="AW531" i="1"/>
  <c r="AU526" i="1"/>
  <c r="AU424" i="1"/>
  <c r="AV424" i="1"/>
  <c r="AW424" i="1"/>
  <c r="AV346" i="1"/>
  <c r="AV242" i="1"/>
  <c r="AW242" i="1"/>
  <c r="AV237" i="1"/>
  <c r="AW237" i="1"/>
  <c r="AW591" i="1"/>
  <c r="AU559" i="1"/>
  <c r="AU536" i="1"/>
  <c r="AV536" i="1"/>
  <c r="AV336" i="1"/>
  <c r="AU242" i="1"/>
  <c r="AU209" i="1"/>
  <c r="AW145" i="1"/>
  <c r="AV106" i="1"/>
  <c r="AU546" i="1"/>
  <c r="AV541" i="1"/>
  <c r="AW541" i="1"/>
  <c r="AV341" i="1"/>
  <c r="AW194" i="1"/>
  <c r="AV194" i="1"/>
  <c r="AU115" i="1"/>
  <c r="AV115" i="1"/>
  <c r="AW115" i="1"/>
  <c r="AU135" i="1"/>
  <c r="AV74" i="1"/>
  <c r="AU488" i="1"/>
  <c r="AU423" i="1"/>
  <c r="AW267" i="1"/>
  <c r="AV188" i="1"/>
  <c r="AU140" i="1"/>
  <c r="AU600" i="1"/>
  <c r="AU472" i="1"/>
  <c r="AU438" i="1"/>
  <c r="AV438" i="1"/>
  <c r="AW438" i="1"/>
  <c r="AU428" i="1"/>
  <c r="AU418" i="1"/>
  <c r="AV322" i="1"/>
  <c r="AW322" i="1"/>
  <c r="AV317" i="1"/>
  <c r="AW317" i="1"/>
  <c r="AV261" i="1"/>
  <c r="AV256" i="1"/>
  <c r="AV241" i="1"/>
  <c r="AV236" i="1"/>
  <c r="AU193" i="1"/>
  <c r="AW364" i="1"/>
  <c r="AU272" i="1"/>
  <c r="AW272" i="1"/>
  <c r="AV251" i="1"/>
  <c r="AV202" i="1"/>
  <c r="AV198" i="1"/>
  <c r="AW149" i="1"/>
  <c r="AW144" i="1"/>
  <c r="AU130" i="1"/>
  <c r="AU78" i="1"/>
  <c r="AU674" i="1"/>
  <c r="AU566" i="1"/>
  <c r="AW459" i="1"/>
  <c r="AU170" i="1"/>
  <c r="AV147" i="1"/>
  <c r="AV92" i="1"/>
  <c r="AU605" i="1"/>
  <c r="AW594" i="1"/>
  <c r="AU511" i="1"/>
  <c r="AV481" i="1"/>
  <c r="AV398" i="1"/>
  <c r="AV301" i="1"/>
  <c r="AV226" i="1"/>
  <c r="AW182" i="1"/>
  <c r="AU113" i="1"/>
  <c r="AV100" i="1"/>
  <c r="AW88" i="1"/>
  <c r="AU669" i="1"/>
  <c r="AW586" i="1"/>
  <c r="AV469" i="1"/>
  <c r="AW466" i="1"/>
  <c r="AU454" i="1"/>
  <c r="AU444" i="1"/>
  <c r="AW394" i="1"/>
  <c r="AW262" i="1"/>
  <c r="AV217" i="1"/>
  <c r="AU165" i="1"/>
  <c r="AV142" i="1"/>
  <c r="AW138" i="1"/>
  <c r="AV58" i="1"/>
  <c r="AW642" i="1"/>
  <c r="AU625" i="1"/>
  <c r="AV586" i="1"/>
  <c r="AW462" i="1"/>
  <c r="AW458" i="1"/>
  <c r="AV429" i="1"/>
  <c r="AV296" i="1"/>
  <c r="AW174" i="1"/>
  <c r="AV129" i="1"/>
  <c r="AV116" i="1"/>
  <c r="AV84" i="1"/>
  <c r="AV17" i="1"/>
  <c r="AU664" i="1"/>
  <c r="AW628" i="1"/>
  <c r="AU604" i="1"/>
  <c r="AV593" i="1"/>
  <c r="AV291" i="1"/>
  <c r="AV62" i="1"/>
  <c r="AW481" i="1"/>
  <c r="AV472" i="1"/>
  <c r="AV394" i="1"/>
  <c r="AV286" i="1"/>
  <c r="AW216" i="1"/>
  <c r="AU178" i="1"/>
  <c r="AV133" i="1"/>
  <c r="AU689" i="1"/>
  <c r="AU659" i="1"/>
  <c r="AV453" i="1"/>
  <c r="AV331" i="1"/>
  <c r="AV281" i="1"/>
  <c r="AV185" i="1"/>
  <c r="AU155" i="1"/>
  <c r="AV137" i="1"/>
  <c r="AV75" i="1"/>
  <c r="AU624" i="1"/>
  <c r="AU615" i="1"/>
  <c r="AU577" i="1"/>
  <c r="AV489" i="1"/>
  <c r="AV276" i="1"/>
  <c r="AW164" i="1"/>
  <c r="AU150" i="1"/>
  <c r="AV141" i="1"/>
  <c r="AV83" i="1"/>
  <c r="AV556" i="1"/>
  <c r="AV416" i="1"/>
  <c r="AU290" i="1"/>
  <c r="AV271" i="1"/>
  <c r="AU215" i="1"/>
  <c r="AW208" i="1"/>
  <c r="AV132" i="1"/>
  <c r="AV57" i="1"/>
  <c r="AV2" i="1"/>
  <c r="AU541" i="1"/>
  <c r="AV266" i="1"/>
  <c r="AV159" i="1"/>
  <c r="AV107" i="1"/>
  <c r="AU24" i="1"/>
  <c r="AU623" i="1"/>
  <c r="AV623" i="1"/>
  <c r="AW623" i="1"/>
  <c r="AU619" i="1"/>
  <c r="AV619" i="1"/>
  <c r="AW619" i="1"/>
  <c r="AV680" i="1"/>
  <c r="AW680" i="1"/>
  <c r="AU671" i="1"/>
  <c r="AV671" i="1"/>
  <c r="AW671" i="1"/>
  <c r="AU662" i="1"/>
  <c r="AV662" i="1"/>
  <c r="AW662" i="1"/>
  <c r="AU631" i="1"/>
  <c r="AV631" i="1"/>
  <c r="AW631" i="1"/>
  <c r="AU602" i="1"/>
  <c r="AV602" i="1"/>
  <c r="AU680" i="1"/>
  <c r="AU653" i="1"/>
  <c r="AU522" i="1"/>
  <c r="AV522" i="1"/>
  <c r="AU687" i="1"/>
  <c r="AV687" i="1"/>
  <c r="AW687" i="1"/>
  <c r="AV675" i="1"/>
  <c r="AW675" i="1"/>
  <c r="AU666" i="1"/>
  <c r="AV666" i="1"/>
  <c r="AW666" i="1"/>
  <c r="AU657" i="1"/>
  <c r="AV657" i="1"/>
  <c r="AW657" i="1"/>
  <c r="AU675" i="1"/>
  <c r="AU618" i="1"/>
  <c r="AV618" i="1"/>
  <c r="AW618" i="1"/>
  <c r="AV670" i="1"/>
  <c r="AW670" i="1"/>
  <c r="AU661" i="1"/>
  <c r="AV661" i="1"/>
  <c r="AW661" i="1"/>
  <c r="AU652" i="1"/>
  <c r="AV652" i="1"/>
  <c r="AW652" i="1"/>
  <c r="AU640" i="1"/>
  <c r="AV640" i="1"/>
  <c r="AU683" i="1"/>
  <c r="AU670" i="1"/>
  <c r="AU643" i="1"/>
  <c r="AU601" i="1"/>
  <c r="AV601" i="1"/>
  <c r="AW601" i="1"/>
  <c r="AU562" i="1"/>
  <c r="AU539" i="1"/>
  <c r="AU507" i="1"/>
  <c r="AV507" i="1"/>
  <c r="AV665" i="1"/>
  <c r="AW665" i="1"/>
  <c r="AU656" i="1"/>
  <c r="AV656" i="1"/>
  <c r="AW656" i="1"/>
  <c r="AU647" i="1"/>
  <c r="AV647" i="1"/>
  <c r="AW647" i="1"/>
  <c r="AU613" i="1"/>
  <c r="AU665" i="1"/>
  <c r="AU639" i="1"/>
  <c r="AW639" i="1"/>
  <c r="AV690" i="1"/>
  <c r="AW690" i="1"/>
  <c r="AU682" i="1"/>
  <c r="AV682" i="1"/>
  <c r="AW682" i="1"/>
  <c r="AV660" i="1"/>
  <c r="AW660" i="1"/>
  <c r="AU651" i="1"/>
  <c r="AV651" i="1"/>
  <c r="AW651" i="1"/>
  <c r="AU634" i="1"/>
  <c r="AV634" i="1"/>
  <c r="AW634" i="1"/>
  <c r="AU617" i="1"/>
  <c r="AU690" i="1"/>
  <c r="AU660" i="1"/>
  <c r="AU629" i="1"/>
  <c r="AV629" i="1"/>
  <c r="AW629" i="1"/>
  <c r="AV655" i="1"/>
  <c r="AW655" i="1"/>
  <c r="AU646" i="1"/>
  <c r="AV646" i="1"/>
  <c r="AW646" i="1"/>
  <c r="AU638" i="1"/>
  <c r="AV638" i="1"/>
  <c r="AW638" i="1"/>
  <c r="AU599" i="1"/>
  <c r="AV599" i="1"/>
  <c r="AW599" i="1"/>
  <c r="AU579" i="1"/>
  <c r="AV579" i="1"/>
  <c r="AW579" i="1"/>
  <c r="AU549" i="1"/>
  <c r="AV549" i="1"/>
  <c r="AW549" i="1"/>
  <c r="AU678" i="1"/>
  <c r="AU655" i="1"/>
  <c r="AW621" i="1"/>
  <c r="AU574" i="1"/>
  <c r="AV574" i="1"/>
  <c r="AW574" i="1"/>
  <c r="AV650" i="1"/>
  <c r="AW650" i="1"/>
  <c r="AU633" i="1"/>
  <c r="AV633" i="1"/>
  <c r="AW633" i="1"/>
  <c r="AU673" i="1"/>
  <c r="AU650" i="1"/>
  <c r="AU537" i="1"/>
  <c r="AV537" i="1"/>
  <c r="AV685" i="1"/>
  <c r="AW685" i="1"/>
  <c r="AU677" i="1"/>
  <c r="AV677" i="1"/>
  <c r="AW677" i="1"/>
  <c r="AV645" i="1"/>
  <c r="AW645" i="1"/>
  <c r="AU569" i="1"/>
  <c r="AU685" i="1"/>
  <c r="AU668" i="1"/>
  <c r="AU645" i="1"/>
  <c r="AU564" i="1"/>
  <c r="AV564" i="1"/>
  <c r="AW564" i="1"/>
  <c r="AU672" i="1"/>
  <c r="AV672" i="1"/>
  <c r="AW672" i="1"/>
  <c r="AU532" i="1"/>
  <c r="AV532" i="1"/>
  <c r="AU663" i="1"/>
  <c r="AU632" i="1"/>
  <c r="AU676" i="1"/>
  <c r="AV676" i="1"/>
  <c r="AW676" i="1"/>
  <c r="AU667" i="1"/>
  <c r="AV667" i="1"/>
  <c r="AW667" i="1"/>
  <c r="AV632" i="1"/>
  <c r="AW627" i="1"/>
  <c r="AV621" i="1"/>
  <c r="AW607" i="1"/>
  <c r="AV597" i="1"/>
  <c r="AV594" i="1"/>
  <c r="AV591" i="1"/>
  <c r="AU588" i="1"/>
  <c r="AW588" i="1"/>
  <c r="AU585" i="1"/>
  <c r="AV585" i="1"/>
  <c r="AW582" i="1"/>
  <c r="AV562" i="1"/>
  <c r="AW546" i="1"/>
  <c r="AW539" i="1"/>
  <c r="AU528" i="1"/>
  <c r="AV528" i="1"/>
  <c r="AW528" i="1"/>
  <c r="AW507" i="1"/>
  <c r="AV442" i="1"/>
  <c r="AW442" i="1"/>
  <c r="AU621" i="1"/>
  <c r="AU594" i="1"/>
  <c r="AU591" i="1"/>
  <c r="AV546" i="1"/>
  <c r="AU524" i="1"/>
  <c r="AV524" i="1"/>
  <c r="AW524" i="1"/>
  <c r="AU520" i="1"/>
  <c r="AV520" i="1"/>
  <c r="AW520" i="1"/>
  <c r="AU516" i="1"/>
  <c r="AV492" i="1"/>
  <c r="AV447" i="1"/>
  <c r="AW447" i="1"/>
  <c r="AU442" i="1"/>
  <c r="AU392" i="1"/>
  <c r="AV392" i="1"/>
  <c r="AW392" i="1"/>
  <c r="AV637" i="1"/>
  <c r="AW600" i="1"/>
  <c r="AU575" i="1"/>
  <c r="AV575" i="1"/>
  <c r="AW575" i="1"/>
  <c r="AW572" i="1"/>
  <c r="AV552" i="1"/>
  <c r="AW497" i="1"/>
  <c r="AV600" i="1"/>
  <c r="AU578" i="1"/>
  <c r="AW578" i="1"/>
  <c r="AW532" i="1"/>
  <c r="AW506" i="1"/>
  <c r="AW492" i="1"/>
  <c r="AU474" i="1"/>
  <c r="AV474" i="1"/>
  <c r="AW474" i="1"/>
  <c r="AU456" i="1"/>
  <c r="AV456" i="1"/>
  <c r="AW456" i="1"/>
  <c r="AU437" i="1"/>
  <c r="AV437" i="1"/>
  <c r="AW437" i="1"/>
  <c r="AU419" i="1"/>
  <c r="AV419" i="1"/>
  <c r="AW419" i="1"/>
  <c r="AW632" i="1"/>
  <c r="AW597" i="1"/>
  <c r="AU565" i="1"/>
  <c r="AV565" i="1"/>
  <c r="AW565" i="1"/>
  <c r="AW562" i="1"/>
  <c r="AV539" i="1"/>
  <c r="AU523" i="1"/>
  <c r="AV523" i="1"/>
  <c r="AW523" i="1"/>
  <c r="AU515" i="1"/>
  <c r="AV515" i="1"/>
  <c r="AW515" i="1"/>
  <c r="AU487" i="1"/>
  <c r="AV487" i="1"/>
  <c r="AW487" i="1"/>
  <c r="AU479" i="1"/>
  <c r="AV479" i="1"/>
  <c r="AW479" i="1"/>
  <c r="AV441" i="1"/>
  <c r="AW441" i="1"/>
  <c r="AU432" i="1"/>
  <c r="AV432" i="1"/>
  <c r="AW432" i="1"/>
  <c r="AU603" i="1"/>
  <c r="AW603" i="1"/>
  <c r="AU568" i="1"/>
  <c r="AW568" i="1"/>
  <c r="AU519" i="1"/>
  <c r="AV519" i="1"/>
  <c r="AW519" i="1"/>
  <c r="AU506" i="1"/>
  <c r="AU441" i="1"/>
  <c r="AU427" i="1"/>
  <c r="AV427" i="1"/>
  <c r="AW427" i="1"/>
  <c r="AW637" i="1"/>
  <c r="AU555" i="1"/>
  <c r="AV555" i="1"/>
  <c r="AW555" i="1"/>
  <c r="AW552" i="1"/>
  <c r="AU535" i="1"/>
  <c r="AV535" i="1"/>
  <c r="AW535" i="1"/>
  <c r="AU510" i="1"/>
  <c r="AV510" i="1"/>
  <c r="AW510" i="1"/>
  <c r="AU501" i="1"/>
  <c r="AW596" i="1"/>
  <c r="AU558" i="1"/>
  <c r="AW558" i="1"/>
  <c r="AU545" i="1"/>
  <c r="AV545" i="1"/>
  <c r="AW545" i="1"/>
  <c r="AW542" i="1"/>
  <c r="AW527" i="1"/>
  <c r="AU496" i="1"/>
  <c r="AU482" i="1"/>
  <c r="AV482" i="1"/>
  <c r="AW482" i="1"/>
  <c r="AU431" i="1"/>
  <c r="AW612" i="1"/>
  <c r="AU590" i="1"/>
  <c r="AV590" i="1"/>
  <c r="AW587" i="1"/>
  <c r="AU538" i="1"/>
  <c r="AW538" i="1"/>
  <c r="AU518" i="1"/>
  <c r="AV518" i="1"/>
  <c r="AW518" i="1"/>
  <c r="AU514" i="1"/>
  <c r="AV514" i="1"/>
  <c r="AW514" i="1"/>
  <c r="AU505" i="1"/>
  <c r="AV505" i="1"/>
  <c r="AW505" i="1"/>
  <c r="AU491" i="1"/>
  <c r="AU436" i="1"/>
  <c r="AV654" i="1"/>
  <c r="AV649" i="1"/>
  <c r="AV644" i="1"/>
  <c r="AV628" i="1"/>
  <c r="AV614" i="1"/>
  <c r="AU593" i="1"/>
  <c r="AV567" i="1"/>
  <c r="AU548" i="1"/>
  <c r="AW548" i="1"/>
  <c r="AU500" i="1"/>
  <c r="AV500" i="1"/>
  <c r="AW500" i="1"/>
  <c r="AW605" i="1"/>
  <c r="AU509" i="1"/>
  <c r="AU495" i="1"/>
  <c r="AV495" i="1"/>
  <c r="AW495" i="1"/>
  <c r="AU417" i="1"/>
  <c r="AV417" i="1"/>
  <c r="AW417" i="1"/>
  <c r="AU580" i="1"/>
  <c r="AV580" i="1"/>
  <c r="AW580" i="1"/>
  <c r="AW577" i="1"/>
  <c r="AW522" i="1"/>
  <c r="AU513" i="1"/>
  <c r="AV513" i="1"/>
  <c r="AW513" i="1"/>
  <c r="AU477" i="1"/>
  <c r="AV477" i="1"/>
  <c r="AW477" i="1"/>
  <c r="AW617" i="1"/>
  <c r="AW602" i="1"/>
  <c r="AU583" i="1"/>
  <c r="AW583" i="1"/>
  <c r="AV534" i="1"/>
  <c r="AW534" i="1"/>
  <c r="AU504" i="1"/>
  <c r="AU608" i="1"/>
  <c r="AW608" i="1"/>
  <c r="AU570" i="1"/>
  <c r="AV570" i="1"/>
  <c r="AW570" i="1"/>
  <c r="AW567" i="1"/>
  <c r="AU530" i="1"/>
  <c r="AV530" i="1"/>
  <c r="AW530" i="1"/>
  <c r="AU508" i="1"/>
  <c r="AV508" i="1"/>
  <c r="AW508" i="1"/>
  <c r="AU499" i="1"/>
  <c r="AV444" i="1"/>
  <c r="AW444" i="1"/>
  <c r="AU439" i="1"/>
  <c r="AV439" i="1"/>
  <c r="AW439" i="1"/>
  <c r="AU573" i="1"/>
  <c r="AW573" i="1"/>
  <c r="AU494" i="1"/>
  <c r="AW616" i="1"/>
  <c r="AW604" i="1"/>
  <c r="AV595" i="1"/>
  <c r="AU560" i="1"/>
  <c r="AV560" i="1"/>
  <c r="AW560" i="1"/>
  <c r="AW557" i="1"/>
  <c r="AU503" i="1"/>
  <c r="AV503" i="1"/>
  <c r="AW503" i="1"/>
  <c r="AU476" i="1"/>
  <c r="AV476" i="1"/>
  <c r="AW476" i="1"/>
  <c r="AU362" i="1"/>
  <c r="AV362" i="1"/>
  <c r="AW362" i="1"/>
  <c r="AW688" i="1"/>
  <c r="AW683" i="1"/>
  <c r="AW678" i="1"/>
  <c r="AW673" i="1"/>
  <c r="AW668" i="1"/>
  <c r="AW663" i="1"/>
  <c r="AW658" i="1"/>
  <c r="AW653" i="1"/>
  <c r="AW648" i="1"/>
  <c r="AW643" i="1"/>
  <c r="AV627" i="1"/>
  <c r="AW624" i="1"/>
  <c r="AW622" i="1"/>
  <c r="AV616" i="1"/>
  <c r="AW613" i="1"/>
  <c r="AV607" i="1"/>
  <c r="AV604" i="1"/>
  <c r="AW592" i="1"/>
  <c r="AV582" i="1"/>
  <c r="AW569" i="1"/>
  <c r="AW566" i="1"/>
  <c r="AU563" i="1"/>
  <c r="AW563" i="1"/>
  <c r="AW537" i="1"/>
  <c r="AU533" i="1"/>
  <c r="AW533" i="1"/>
  <c r="AU498" i="1"/>
  <c r="AV498" i="1"/>
  <c r="AW498" i="1"/>
  <c r="AU357" i="1"/>
  <c r="AV357" i="1"/>
  <c r="AW357" i="1"/>
  <c r="AV688" i="1"/>
  <c r="AV683" i="1"/>
  <c r="AV678" i="1"/>
  <c r="AV673" i="1"/>
  <c r="AV668" i="1"/>
  <c r="AV663" i="1"/>
  <c r="AV658" i="1"/>
  <c r="AV653" i="1"/>
  <c r="AV648" i="1"/>
  <c r="AV643" i="1"/>
  <c r="AW635" i="1"/>
  <c r="AU630" i="1"/>
  <c r="AU627" i="1"/>
  <c r="AV624" i="1"/>
  <c r="AV613" i="1"/>
  <c r="AU607" i="1"/>
  <c r="AU598" i="1"/>
  <c r="AW598" i="1"/>
  <c r="AU582" i="1"/>
  <c r="AV569" i="1"/>
  <c r="AV566" i="1"/>
  <c r="AU550" i="1"/>
  <c r="AV550" i="1"/>
  <c r="AW550" i="1"/>
  <c r="AW547" i="1"/>
  <c r="AU540" i="1"/>
  <c r="AV540" i="1"/>
  <c r="AW540" i="1"/>
  <c r="AU529" i="1"/>
  <c r="AV529" i="1"/>
  <c r="AW529" i="1"/>
  <c r="AU525" i="1"/>
  <c r="AV525" i="1"/>
  <c r="AW525" i="1"/>
  <c r="AU493" i="1"/>
  <c r="AV493" i="1"/>
  <c r="AW493" i="1"/>
  <c r="AV635" i="1"/>
  <c r="AW610" i="1"/>
  <c r="AV572" i="1"/>
  <c r="AW559" i="1"/>
  <c r="AW556" i="1"/>
  <c r="AU553" i="1"/>
  <c r="AW553" i="1"/>
  <c r="AW516" i="1"/>
  <c r="AW512" i="1"/>
  <c r="AV610" i="1"/>
  <c r="AV588" i="1"/>
  <c r="AW585" i="1"/>
  <c r="AU572" i="1"/>
  <c r="AU543" i="1"/>
  <c r="AW543" i="1"/>
  <c r="AW536" i="1"/>
  <c r="AV484" i="1"/>
  <c r="AU363" i="1"/>
  <c r="AV363" i="1"/>
  <c r="AW363" i="1"/>
  <c r="AU303" i="1"/>
  <c r="AV303" i="1"/>
  <c r="AW303" i="1"/>
  <c r="AU228" i="1"/>
  <c r="AV228" i="1"/>
  <c r="AW228" i="1"/>
  <c r="AU163" i="1"/>
  <c r="AV163" i="1"/>
  <c r="AW163" i="1"/>
  <c r="AU460" i="1"/>
  <c r="AV460" i="1"/>
  <c r="AW460" i="1"/>
  <c r="AU294" i="1"/>
  <c r="AV294" i="1"/>
  <c r="AW294" i="1"/>
  <c r="AU214" i="1"/>
  <c r="AV214" i="1"/>
  <c r="AW214" i="1"/>
  <c r="AV207" i="1"/>
  <c r="AW207" i="1"/>
  <c r="AU475" i="1"/>
  <c r="AV475" i="1"/>
  <c r="AW475" i="1"/>
  <c r="AU406" i="1"/>
  <c r="AV406" i="1"/>
  <c r="AW406" i="1"/>
  <c r="AU383" i="1"/>
  <c r="AV383" i="1"/>
  <c r="AW383" i="1"/>
  <c r="AU379" i="1"/>
  <c r="AV379" i="1"/>
  <c r="AU329" i="1"/>
  <c r="AV329" i="1"/>
  <c r="AW329" i="1"/>
  <c r="AU298" i="1"/>
  <c r="AV298" i="1"/>
  <c r="AW298" i="1"/>
  <c r="AU289" i="1"/>
  <c r="AV289" i="1"/>
  <c r="AW289" i="1"/>
  <c r="AU270" i="1"/>
  <c r="AU223" i="1"/>
  <c r="AV223" i="1"/>
  <c r="AW223" i="1"/>
  <c r="AW509" i="1"/>
  <c r="AW504" i="1"/>
  <c r="AW499" i="1"/>
  <c r="AW494" i="1"/>
  <c r="AV426" i="1"/>
  <c r="AV422" i="1"/>
  <c r="AU395" i="1"/>
  <c r="AV395" i="1"/>
  <c r="AW395" i="1"/>
  <c r="AU375" i="1"/>
  <c r="AV375" i="1"/>
  <c r="AW375" i="1"/>
  <c r="AU371" i="1"/>
  <c r="AU354" i="1"/>
  <c r="AV354" i="1"/>
  <c r="AU350" i="1"/>
  <c r="AV350" i="1"/>
  <c r="AW350" i="1"/>
  <c r="AU284" i="1"/>
  <c r="AV284" i="1"/>
  <c r="AW284" i="1"/>
  <c r="AV206" i="1"/>
  <c r="AW206" i="1"/>
  <c r="AV123" i="1"/>
  <c r="AW123" i="1"/>
  <c r="AV509" i="1"/>
  <c r="AV504" i="1"/>
  <c r="AV499" i="1"/>
  <c r="AV494" i="1"/>
  <c r="AW453" i="1"/>
  <c r="AU391" i="1"/>
  <c r="AU358" i="1"/>
  <c r="AV358" i="1"/>
  <c r="AW358" i="1"/>
  <c r="AU293" i="1"/>
  <c r="AV293" i="1"/>
  <c r="AW293" i="1"/>
  <c r="AU279" i="1"/>
  <c r="AV279" i="1"/>
  <c r="AW279" i="1"/>
  <c r="AU260" i="1"/>
  <c r="AV222" i="1"/>
  <c r="AW222" i="1"/>
  <c r="AV193" i="1"/>
  <c r="AW193" i="1"/>
  <c r="AV486" i="1"/>
  <c r="AV462" i="1"/>
  <c r="AV459" i="1"/>
  <c r="AU435" i="1"/>
  <c r="AV435" i="1"/>
  <c r="AW435" i="1"/>
  <c r="AU325" i="1"/>
  <c r="AV325" i="1"/>
  <c r="AW325" i="1"/>
  <c r="AU288" i="1"/>
  <c r="AV288" i="1"/>
  <c r="AW288" i="1"/>
  <c r="AU274" i="1"/>
  <c r="AV274" i="1"/>
  <c r="AW274" i="1"/>
  <c r="AV197" i="1"/>
  <c r="AW197" i="1"/>
  <c r="AV118" i="1"/>
  <c r="AW118" i="1"/>
  <c r="AU453" i="1"/>
  <c r="AU450" i="1"/>
  <c r="AV450" i="1"/>
  <c r="AW450" i="1"/>
  <c r="AU405" i="1"/>
  <c r="AV405" i="1"/>
  <c r="AW405" i="1"/>
  <c r="AU283" i="1"/>
  <c r="AV283" i="1"/>
  <c r="AW283" i="1"/>
  <c r="AU269" i="1"/>
  <c r="AV269" i="1"/>
  <c r="AW269" i="1"/>
  <c r="AU250" i="1"/>
  <c r="AW73" i="1"/>
  <c r="AV73" i="1"/>
  <c r="AU425" i="1"/>
  <c r="AV425" i="1"/>
  <c r="AW425" i="1"/>
  <c r="AU378" i="1"/>
  <c r="AV378" i="1"/>
  <c r="AW378" i="1"/>
  <c r="AU374" i="1"/>
  <c r="AV374" i="1"/>
  <c r="AU370" i="1"/>
  <c r="AV370" i="1"/>
  <c r="AW370" i="1"/>
  <c r="AU366" i="1"/>
  <c r="AU349" i="1"/>
  <c r="AV349" i="1"/>
  <c r="AU345" i="1"/>
  <c r="AV345" i="1"/>
  <c r="AW345" i="1"/>
  <c r="AU320" i="1"/>
  <c r="AV320" i="1"/>
  <c r="AW320" i="1"/>
  <c r="AU278" i="1"/>
  <c r="AV278" i="1"/>
  <c r="AW278" i="1"/>
  <c r="AU264" i="1"/>
  <c r="AV264" i="1"/>
  <c r="AW264" i="1"/>
  <c r="AU245" i="1"/>
  <c r="AV175" i="1"/>
  <c r="AV166" i="1"/>
  <c r="AU68" i="1"/>
  <c r="AV68" i="1"/>
  <c r="AW68" i="1"/>
  <c r="AV491" i="1"/>
  <c r="AU483" i="1"/>
  <c r="AU468" i="1"/>
  <c r="AU465" i="1"/>
  <c r="AV465" i="1"/>
  <c r="AW465" i="1"/>
  <c r="AW431" i="1"/>
  <c r="AU401" i="1"/>
  <c r="AU390" i="1"/>
  <c r="AV390" i="1"/>
  <c r="AW390" i="1"/>
  <c r="AU353" i="1"/>
  <c r="AV353" i="1"/>
  <c r="AW353" i="1"/>
  <c r="AU273" i="1"/>
  <c r="AV273" i="1"/>
  <c r="AW273" i="1"/>
  <c r="AU259" i="1"/>
  <c r="AV259" i="1"/>
  <c r="AW259" i="1"/>
  <c r="AU205" i="1"/>
  <c r="AW488" i="1"/>
  <c r="AU480" i="1"/>
  <c r="AW480" i="1"/>
  <c r="AW452" i="1"/>
  <c r="AW449" i="1"/>
  <c r="AW446" i="1"/>
  <c r="AU415" i="1"/>
  <c r="AV415" i="1"/>
  <c r="AW415" i="1"/>
  <c r="AW397" i="1"/>
  <c r="AU386" i="1"/>
  <c r="AU340" i="1"/>
  <c r="AV340" i="1"/>
  <c r="AW340" i="1"/>
  <c r="AU324" i="1"/>
  <c r="AV324" i="1"/>
  <c r="AW324" i="1"/>
  <c r="AU315" i="1"/>
  <c r="AV315" i="1"/>
  <c r="AW315" i="1"/>
  <c r="AU268" i="1"/>
  <c r="AV268" i="1"/>
  <c r="AW268" i="1"/>
  <c r="AU254" i="1"/>
  <c r="AV254" i="1"/>
  <c r="AW254" i="1"/>
  <c r="AU240" i="1"/>
  <c r="AU221" i="1"/>
  <c r="AV161" i="1"/>
  <c r="AV488" i="1"/>
  <c r="AV452" i="1"/>
  <c r="AV449" i="1"/>
  <c r="AV446" i="1"/>
  <c r="AU440" i="1"/>
  <c r="AV440" i="1"/>
  <c r="AW440" i="1"/>
  <c r="AW421" i="1"/>
  <c r="AU408" i="1"/>
  <c r="AW408" i="1"/>
  <c r="AV397" i="1"/>
  <c r="AV377" i="1"/>
  <c r="AW352" i="1"/>
  <c r="AU263" i="1"/>
  <c r="AV263" i="1"/>
  <c r="AW263" i="1"/>
  <c r="AU249" i="1"/>
  <c r="AV249" i="1"/>
  <c r="AW249" i="1"/>
  <c r="AV156" i="1"/>
  <c r="AV121" i="1"/>
  <c r="AU13" i="1"/>
  <c r="AV13" i="1"/>
  <c r="AW13" i="1"/>
  <c r="AW593" i="1"/>
  <c r="AU369" i="1"/>
  <c r="AV369" i="1"/>
  <c r="AU365" i="1"/>
  <c r="AV365" i="1"/>
  <c r="AW365" i="1"/>
  <c r="AU361" i="1"/>
  <c r="AV352" i="1"/>
  <c r="AU344" i="1"/>
  <c r="AV344" i="1"/>
  <c r="AW344" i="1"/>
  <c r="AU335" i="1"/>
  <c r="AV335" i="1"/>
  <c r="AW335" i="1"/>
  <c r="AU319" i="1"/>
  <c r="AV319" i="1"/>
  <c r="AW319" i="1"/>
  <c r="AU310" i="1"/>
  <c r="AV310" i="1"/>
  <c r="AW310" i="1"/>
  <c r="AU258" i="1"/>
  <c r="AV258" i="1"/>
  <c r="AW258" i="1"/>
  <c r="AU244" i="1"/>
  <c r="AV244" i="1"/>
  <c r="AW244" i="1"/>
  <c r="AU235" i="1"/>
  <c r="AV76" i="1"/>
  <c r="AV431" i="1"/>
  <c r="AU400" i="1"/>
  <c r="AV400" i="1"/>
  <c r="AW400" i="1"/>
  <c r="AU393" i="1"/>
  <c r="AV393" i="1"/>
  <c r="AW393" i="1"/>
  <c r="AU389" i="1"/>
  <c r="AV389" i="1"/>
  <c r="AU373" i="1"/>
  <c r="AV373" i="1"/>
  <c r="AW373" i="1"/>
  <c r="AU348" i="1"/>
  <c r="AV348" i="1"/>
  <c r="AW348" i="1"/>
  <c r="AU323" i="1"/>
  <c r="AV323" i="1"/>
  <c r="AW323" i="1"/>
  <c r="AU253" i="1"/>
  <c r="AV253" i="1"/>
  <c r="AW253" i="1"/>
  <c r="AU204" i="1"/>
  <c r="AV151" i="1"/>
  <c r="AU385" i="1"/>
  <c r="AV385" i="1"/>
  <c r="AW385" i="1"/>
  <c r="AU339" i="1"/>
  <c r="AV339" i="1"/>
  <c r="AW339" i="1"/>
  <c r="AU314" i="1"/>
  <c r="AV314" i="1"/>
  <c r="AW314" i="1"/>
  <c r="AU305" i="1"/>
  <c r="AV305" i="1"/>
  <c r="AW305" i="1"/>
  <c r="AU248" i="1"/>
  <c r="AV248" i="1"/>
  <c r="AW248" i="1"/>
  <c r="AU239" i="1"/>
  <c r="AV239" i="1"/>
  <c r="AW239" i="1"/>
  <c r="AU230" i="1"/>
  <c r="AU220" i="1"/>
  <c r="AV190" i="1"/>
  <c r="AW190" i="1"/>
  <c r="AU455" i="1"/>
  <c r="AV455" i="1"/>
  <c r="AW455" i="1"/>
  <c r="AV421" i="1"/>
  <c r="AU411" i="1"/>
  <c r="AV411" i="1"/>
  <c r="AW411" i="1"/>
  <c r="AU381" i="1"/>
  <c r="AU343" i="1"/>
  <c r="AV343" i="1"/>
  <c r="AW343" i="1"/>
  <c r="AU318" i="1"/>
  <c r="AV318" i="1"/>
  <c r="AW318" i="1"/>
  <c r="AU243" i="1"/>
  <c r="AV243" i="1"/>
  <c r="AW243" i="1"/>
  <c r="AV195" i="1"/>
  <c r="AU190" i="1"/>
  <c r="AU485" i="1"/>
  <c r="AW485" i="1"/>
  <c r="AU470" i="1"/>
  <c r="AV470" i="1"/>
  <c r="AW470" i="1"/>
  <c r="AW433" i="1"/>
  <c r="AU364" i="1"/>
  <c r="AV364" i="1"/>
  <c r="AU360" i="1"/>
  <c r="AV360" i="1"/>
  <c r="AW360" i="1"/>
  <c r="AU356" i="1"/>
  <c r="AU334" i="1"/>
  <c r="AV334" i="1"/>
  <c r="AW334" i="1"/>
  <c r="AU309" i="1"/>
  <c r="AV309" i="1"/>
  <c r="AW309" i="1"/>
  <c r="AU300" i="1"/>
  <c r="AU234" i="1"/>
  <c r="AV234" i="1"/>
  <c r="AW234" i="1"/>
  <c r="AU225" i="1"/>
  <c r="AU203" i="1"/>
  <c r="AV203" i="1"/>
  <c r="AW203" i="1"/>
  <c r="AW436" i="1"/>
  <c r="AV433" i="1"/>
  <c r="AU430" i="1"/>
  <c r="AV430" i="1"/>
  <c r="AW430" i="1"/>
  <c r="AU403" i="1"/>
  <c r="AV403" i="1"/>
  <c r="AW403" i="1"/>
  <c r="AU399" i="1"/>
  <c r="AU368" i="1"/>
  <c r="AV368" i="1"/>
  <c r="AW368" i="1"/>
  <c r="AU338" i="1"/>
  <c r="AV338" i="1"/>
  <c r="AW338" i="1"/>
  <c r="AU313" i="1"/>
  <c r="AV313" i="1"/>
  <c r="AW313" i="1"/>
  <c r="AU238" i="1"/>
  <c r="AV238" i="1"/>
  <c r="AW238" i="1"/>
  <c r="AV108" i="1"/>
  <c r="AW108" i="1"/>
  <c r="AW457" i="1"/>
  <c r="AW454" i="1"/>
  <c r="AW451" i="1"/>
  <c r="AV436" i="1"/>
  <c r="AW423" i="1"/>
  <c r="AU388" i="1"/>
  <c r="AV388" i="1"/>
  <c r="AW388" i="1"/>
  <c r="AU384" i="1"/>
  <c r="AV384" i="1"/>
  <c r="AU351" i="1"/>
  <c r="AW351" i="1"/>
  <c r="AU304" i="1"/>
  <c r="AV304" i="1"/>
  <c r="AW304" i="1"/>
  <c r="AU295" i="1"/>
  <c r="AU229" i="1"/>
  <c r="AV229" i="1"/>
  <c r="AW229" i="1"/>
  <c r="AV173" i="1"/>
  <c r="AW173" i="1"/>
  <c r="AU490" i="1"/>
  <c r="AW490" i="1"/>
  <c r="AW484" i="1"/>
  <c r="AW472" i="1"/>
  <c r="AW469" i="1"/>
  <c r="AV457" i="1"/>
  <c r="AV454" i="1"/>
  <c r="AV451" i="1"/>
  <c r="AU445" i="1"/>
  <c r="AV445" i="1"/>
  <c r="AW445" i="1"/>
  <c r="AV423" i="1"/>
  <c r="AU420" i="1"/>
  <c r="AV420" i="1"/>
  <c r="AW420" i="1"/>
  <c r="AU410" i="1"/>
  <c r="AV410" i="1"/>
  <c r="AW410" i="1"/>
  <c r="AW402" i="1"/>
  <c r="AU380" i="1"/>
  <c r="AV380" i="1"/>
  <c r="AW380" i="1"/>
  <c r="AW367" i="1"/>
  <c r="AW337" i="1"/>
  <c r="AU330" i="1"/>
  <c r="AV330" i="1"/>
  <c r="AW330" i="1"/>
  <c r="AW312" i="1"/>
  <c r="AU308" i="1"/>
  <c r="AV308" i="1"/>
  <c r="AW308" i="1"/>
  <c r="AU233" i="1"/>
  <c r="AV233" i="1"/>
  <c r="AW233" i="1"/>
  <c r="AV177" i="1"/>
  <c r="AW177" i="1"/>
  <c r="AW426" i="1"/>
  <c r="AW413" i="1"/>
  <c r="AU396" i="1"/>
  <c r="AU376" i="1"/>
  <c r="AV367" i="1"/>
  <c r="AU359" i="1"/>
  <c r="AV359" i="1"/>
  <c r="AU355" i="1"/>
  <c r="AV355" i="1"/>
  <c r="AW355" i="1"/>
  <c r="AV351" i="1"/>
  <c r="AV337" i="1"/>
  <c r="AV312" i="1"/>
  <c r="AU299" i="1"/>
  <c r="AV299" i="1"/>
  <c r="AW299" i="1"/>
  <c r="AU285" i="1"/>
  <c r="AU224" i="1"/>
  <c r="AV224" i="1"/>
  <c r="AW224" i="1"/>
  <c r="AU201" i="1"/>
  <c r="AU181" i="1"/>
  <c r="AW181" i="1"/>
  <c r="AU158" i="1"/>
  <c r="AU127" i="1"/>
  <c r="AW127" i="1"/>
  <c r="AU124" i="1"/>
  <c r="AW124" i="1"/>
  <c r="AU94" i="1"/>
  <c r="AW94" i="1"/>
  <c r="AU87" i="1"/>
  <c r="AW87" i="1"/>
  <c r="AU59" i="1"/>
  <c r="AW59" i="1"/>
  <c r="AU48" i="1"/>
  <c r="AV48" i="1"/>
  <c r="AU37" i="1"/>
  <c r="AW37" i="1"/>
  <c r="AU26" i="1"/>
  <c r="AU14" i="1"/>
  <c r="AV14" i="1"/>
  <c r="AW14" i="1"/>
  <c r="AV292" i="1"/>
  <c r="AV287" i="1"/>
  <c r="AV282" i="1"/>
  <c r="AV277" i="1"/>
  <c r="AV272" i="1"/>
  <c r="AV267" i="1"/>
  <c r="AV262" i="1"/>
  <c r="AV257" i="1"/>
  <c r="AV252" i="1"/>
  <c r="AV247" i="1"/>
  <c r="AU212" i="1"/>
  <c r="AW192" i="1"/>
  <c r="AV189" i="1"/>
  <c r="AW172" i="1"/>
  <c r="AV169" i="1"/>
  <c r="AW160" i="1"/>
  <c r="AV145" i="1"/>
  <c r="AW120" i="1"/>
  <c r="AU111" i="1"/>
  <c r="AW111" i="1"/>
  <c r="AW83" i="1"/>
  <c r="AU80" i="1"/>
  <c r="AW80" i="1"/>
  <c r="AU66" i="1"/>
  <c r="AW66" i="1"/>
  <c r="AU33" i="1"/>
  <c r="AV33" i="1"/>
  <c r="AU22" i="1"/>
  <c r="AW22" i="1"/>
  <c r="AU18" i="1"/>
  <c r="AV18" i="1"/>
  <c r="AV192" i="1"/>
  <c r="AV172" i="1"/>
  <c r="AV160" i="1"/>
  <c r="AV154" i="1"/>
  <c r="AW148" i="1"/>
  <c r="AU136" i="1"/>
  <c r="AW136" i="1"/>
  <c r="AU104" i="1"/>
  <c r="AW104" i="1"/>
  <c r="AU97" i="1"/>
  <c r="AW97" i="1"/>
  <c r="AU73" i="1"/>
  <c r="AU55" i="1"/>
  <c r="AV55" i="1"/>
  <c r="AW55" i="1"/>
  <c r="AU10" i="1"/>
  <c r="AV10" i="1"/>
  <c r="AW10" i="1"/>
  <c r="AU6" i="1"/>
  <c r="AU217" i="1"/>
  <c r="AW209" i="1"/>
  <c r="AU133" i="1"/>
  <c r="AU114" i="1"/>
  <c r="AW114" i="1"/>
  <c r="AU90" i="1"/>
  <c r="AW90" i="1"/>
  <c r="AU62" i="1"/>
  <c r="AW62" i="1"/>
  <c r="AU44" i="1"/>
  <c r="AW44" i="1"/>
  <c r="AU222" i="1"/>
  <c r="AU206" i="1"/>
  <c r="AU166" i="1"/>
  <c r="AW166" i="1"/>
  <c r="AU151" i="1"/>
  <c r="AW151" i="1"/>
  <c r="AU142" i="1"/>
  <c r="AW142" i="1"/>
  <c r="AU139" i="1"/>
  <c r="AW139" i="1"/>
  <c r="AU117" i="1"/>
  <c r="AW117" i="1"/>
  <c r="AU107" i="1"/>
  <c r="AW107" i="1"/>
  <c r="AU83" i="1"/>
  <c r="AU76" i="1"/>
  <c r="AW76" i="1"/>
  <c r="AU69" i="1"/>
  <c r="AW69" i="1"/>
  <c r="AU40" i="1"/>
  <c r="AV40" i="1"/>
  <c r="AW40" i="1"/>
  <c r="AU29" i="1"/>
  <c r="AW29" i="1"/>
  <c r="AW189" i="1"/>
  <c r="AU186" i="1"/>
  <c r="AW186" i="1"/>
  <c r="AW169" i="1"/>
  <c r="AU157" i="1"/>
  <c r="AW157" i="1"/>
  <c r="AW135" i="1"/>
  <c r="AU100" i="1"/>
  <c r="AW100" i="1"/>
  <c r="AU51" i="1"/>
  <c r="AU25" i="1"/>
  <c r="AV25" i="1"/>
  <c r="AW25" i="1"/>
  <c r="AU9" i="1"/>
  <c r="AV9" i="1"/>
  <c r="AW9" i="1"/>
  <c r="AW154" i="1"/>
  <c r="AU148" i="1"/>
  <c r="AV135" i="1"/>
  <c r="AU126" i="1"/>
  <c r="AW126" i="1"/>
  <c r="AW113" i="1"/>
  <c r="AV103" i="1"/>
  <c r="AU93" i="1"/>
  <c r="AU86" i="1"/>
  <c r="AW86" i="1"/>
  <c r="AU65" i="1"/>
  <c r="AV65" i="1"/>
  <c r="AW65" i="1"/>
  <c r="AU47" i="1"/>
  <c r="AW47" i="1"/>
  <c r="AU36" i="1"/>
  <c r="AU21" i="1"/>
  <c r="AW221" i="1"/>
  <c r="AV216" i="1"/>
  <c r="AV208" i="1"/>
  <c r="AW205" i="1"/>
  <c r="AU194" i="1"/>
  <c r="AU174" i="1"/>
  <c r="AW165" i="1"/>
  <c r="AW150" i="1"/>
  <c r="AU123" i="1"/>
  <c r="AV113" i="1"/>
  <c r="AU110" i="1"/>
  <c r="AW110" i="1"/>
  <c r="AU79" i="1"/>
  <c r="AW79" i="1"/>
  <c r="AU72" i="1"/>
  <c r="AW72" i="1"/>
  <c r="AU43" i="1"/>
  <c r="AV43" i="1"/>
  <c r="AU32" i="1"/>
  <c r="AW32" i="1"/>
  <c r="AU17" i="1"/>
  <c r="AU5" i="1"/>
  <c r="AV5" i="1"/>
  <c r="AW5" i="1"/>
  <c r="AW401" i="1"/>
  <c r="AW396" i="1"/>
  <c r="AW391" i="1"/>
  <c r="AW386" i="1"/>
  <c r="AW381" i="1"/>
  <c r="AW376" i="1"/>
  <c r="AW371" i="1"/>
  <c r="AW366" i="1"/>
  <c r="AW361" i="1"/>
  <c r="AW356" i="1"/>
  <c r="AW346" i="1"/>
  <c r="AW341" i="1"/>
  <c r="AW336" i="1"/>
  <c r="AW331" i="1"/>
  <c r="AW326" i="1"/>
  <c r="AW321" i="1"/>
  <c r="AW316" i="1"/>
  <c r="AW311" i="1"/>
  <c r="AW306" i="1"/>
  <c r="AW301" i="1"/>
  <c r="AW296" i="1"/>
  <c r="AW291" i="1"/>
  <c r="AW286" i="1"/>
  <c r="AW281" i="1"/>
  <c r="AW276" i="1"/>
  <c r="AW271" i="1"/>
  <c r="AW266" i="1"/>
  <c r="AW261" i="1"/>
  <c r="AW256" i="1"/>
  <c r="AW251" i="1"/>
  <c r="AW246" i="1"/>
  <c r="AW241" i="1"/>
  <c r="AW236" i="1"/>
  <c r="AW231" i="1"/>
  <c r="AW226" i="1"/>
  <c r="AV221" i="1"/>
  <c r="AU211" i="1"/>
  <c r="AV205" i="1"/>
  <c r="AW188" i="1"/>
  <c r="AW185" i="1"/>
  <c r="AW168" i="1"/>
  <c r="AV165" i="1"/>
  <c r="AV150" i="1"/>
  <c r="AV144" i="1"/>
  <c r="AU132" i="1"/>
  <c r="AW132" i="1"/>
  <c r="AU129" i="1"/>
  <c r="AW129" i="1"/>
  <c r="AU96" i="1"/>
  <c r="AW96" i="1"/>
  <c r="AU54" i="1"/>
  <c r="AW54" i="1"/>
  <c r="AU28" i="1"/>
  <c r="AV28" i="1"/>
  <c r="AV401" i="1"/>
  <c r="AV396" i="1"/>
  <c r="AV391" i="1"/>
  <c r="AV386" i="1"/>
  <c r="AV381" i="1"/>
  <c r="AV376" i="1"/>
  <c r="AV371" i="1"/>
  <c r="AV366" i="1"/>
  <c r="AV361" i="1"/>
  <c r="AV356" i="1"/>
  <c r="AU197" i="1"/>
  <c r="AU177" i="1"/>
  <c r="AU144" i="1"/>
  <c r="AW125" i="1"/>
  <c r="AU89" i="1"/>
  <c r="AW89" i="1"/>
  <c r="AU82" i="1"/>
  <c r="AW82" i="1"/>
  <c r="AU61" i="1"/>
  <c r="AW61" i="1"/>
  <c r="AU191" i="1"/>
  <c r="AW191" i="1"/>
  <c r="AU171" i="1"/>
  <c r="AW171" i="1"/>
  <c r="AU141" i="1"/>
  <c r="AW141" i="1"/>
  <c r="AV125" i="1"/>
  <c r="AU116" i="1"/>
  <c r="AW116" i="1"/>
  <c r="AU106" i="1"/>
  <c r="AW106" i="1"/>
  <c r="AU75" i="1"/>
  <c r="AW75" i="1"/>
  <c r="AU50" i="1"/>
  <c r="AV50" i="1"/>
  <c r="AW50" i="1"/>
  <c r="AU39" i="1"/>
  <c r="AW39" i="1"/>
  <c r="AV12" i="1"/>
  <c r="AU4" i="1"/>
  <c r="AV4" i="1"/>
  <c r="AW4" i="1"/>
  <c r="AU156" i="1"/>
  <c r="AW156" i="1"/>
  <c r="AU147" i="1"/>
  <c r="AW147" i="1"/>
  <c r="AU138" i="1"/>
  <c r="AU99" i="1"/>
  <c r="AW99" i="1"/>
  <c r="AU92" i="1"/>
  <c r="AW92" i="1"/>
  <c r="AU57" i="1"/>
  <c r="AW57" i="1"/>
  <c r="AU35" i="1"/>
  <c r="AV35" i="1"/>
  <c r="AW35" i="1"/>
  <c r="AU20" i="1"/>
  <c r="AV20" i="1"/>
  <c r="AW20" i="1"/>
  <c r="AU8" i="1"/>
  <c r="AV8" i="1"/>
  <c r="AU162" i="1"/>
  <c r="AW162" i="1"/>
  <c r="AU122" i="1"/>
  <c r="AW122" i="1"/>
  <c r="AU119" i="1"/>
  <c r="AW119" i="1"/>
  <c r="AU85" i="1"/>
  <c r="AW85" i="1"/>
  <c r="AU64" i="1"/>
  <c r="AW64" i="1"/>
  <c r="AV53" i="1"/>
  <c r="AU46" i="1"/>
  <c r="AU16" i="1"/>
  <c r="AU12" i="1"/>
  <c r="AU202" i="1"/>
  <c r="AW159" i="1"/>
  <c r="AU153" i="1"/>
  <c r="AU109" i="1"/>
  <c r="AW109" i="1"/>
  <c r="AU102" i="1"/>
  <c r="AW102" i="1"/>
  <c r="AU71" i="1"/>
  <c r="AW71" i="1"/>
  <c r="AU42" i="1"/>
  <c r="AW42" i="1"/>
  <c r="AU31" i="1"/>
  <c r="AU182" i="1"/>
  <c r="AU131" i="1"/>
  <c r="AW131" i="1"/>
  <c r="AU95" i="1"/>
  <c r="AW95" i="1"/>
  <c r="AU60" i="1"/>
  <c r="AV60" i="1"/>
  <c r="AW60" i="1"/>
  <c r="AU38" i="1"/>
  <c r="AV38" i="1"/>
  <c r="AU27" i="1"/>
  <c r="AW27" i="1"/>
  <c r="AW220" i="1"/>
  <c r="AV215" i="1"/>
  <c r="AV204" i="1"/>
  <c r="AW199" i="1"/>
  <c r="AU196" i="1"/>
  <c r="AW196" i="1"/>
  <c r="AW179" i="1"/>
  <c r="AU176" i="1"/>
  <c r="AW176" i="1"/>
  <c r="AV164" i="1"/>
  <c r="AV155" i="1"/>
  <c r="AV149" i="1"/>
  <c r="AW143" i="1"/>
  <c r="AU128" i="1"/>
  <c r="AU112" i="1"/>
  <c r="AW112" i="1"/>
  <c r="AU88" i="1"/>
  <c r="AU81" i="1"/>
  <c r="AW81" i="1"/>
  <c r="AU67" i="1"/>
  <c r="AW67" i="1"/>
  <c r="AW63" i="1"/>
  <c r="AU23" i="1"/>
  <c r="AV23" i="1"/>
  <c r="AW300" i="1"/>
  <c r="AW295" i="1"/>
  <c r="AW290" i="1"/>
  <c r="AW285" i="1"/>
  <c r="AW280" i="1"/>
  <c r="AW275" i="1"/>
  <c r="AW270" i="1"/>
  <c r="AW265" i="1"/>
  <c r="AW260" i="1"/>
  <c r="AW255" i="1"/>
  <c r="AW250" i="1"/>
  <c r="AW245" i="1"/>
  <c r="AW240" i="1"/>
  <c r="AW235" i="1"/>
  <c r="AW230" i="1"/>
  <c r="AW225" i="1"/>
  <c r="AV220" i="1"/>
  <c r="AW201" i="1"/>
  <c r="AW187" i="1"/>
  <c r="AV184" i="1"/>
  <c r="AU164" i="1"/>
  <c r="AW158" i="1"/>
  <c r="AU149" i="1"/>
  <c r="AU137" i="1"/>
  <c r="AW137" i="1"/>
  <c r="AU134" i="1"/>
  <c r="AW134" i="1"/>
  <c r="AU105" i="1"/>
  <c r="AW105" i="1"/>
  <c r="AU74" i="1"/>
  <c r="AW74" i="1"/>
  <c r="AV63" i="1"/>
  <c r="AU49" i="1"/>
  <c r="AW49" i="1"/>
  <c r="AV300" i="1"/>
  <c r="AV295" i="1"/>
  <c r="AV290" i="1"/>
  <c r="AV285" i="1"/>
  <c r="AV280" i="1"/>
  <c r="AV275" i="1"/>
  <c r="AV270" i="1"/>
  <c r="AV265" i="1"/>
  <c r="AV260" i="1"/>
  <c r="AV255" i="1"/>
  <c r="AV250" i="1"/>
  <c r="AV245" i="1"/>
  <c r="AV240" i="1"/>
  <c r="AV235" i="1"/>
  <c r="AV230" i="1"/>
  <c r="AV225" i="1"/>
  <c r="AU207" i="1"/>
  <c r="AV201" i="1"/>
  <c r="AU184" i="1"/>
  <c r="AV181" i="1"/>
  <c r="AV158" i="1"/>
  <c r="AU146" i="1"/>
  <c r="AW146" i="1"/>
  <c r="AW130" i="1"/>
  <c r="AV124" i="1"/>
  <c r="AU98" i="1"/>
  <c r="AV94" i="1"/>
  <c r="AU91" i="1"/>
  <c r="AW91" i="1"/>
  <c r="AV59" i="1"/>
  <c r="AU56" i="1"/>
  <c r="AW56" i="1"/>
  <c r="AU45" i="1"/>
  <c r="AV45" i="1"/>
  <c r="AW45" i="1"/>
  <c r="AU34" i="1"/>
  <c r="AW34" i="1"/>
  <c r="AW19" i="1"/>
  <c r="AU15" i="1"/>
  <c r="AV15" i="1"/>
  <c r="AW15" i="1"/>
  <c r="AU11" i="1"/>
  <c r="AU7" i="1"/>
  <c r="AW212" i="1"/>
  <c r="AW198" i="1"/>
  <c r="AW195" i="1"/>
  <c r="AW178" i="1"/>
  <c r="AW175" i="1"/>
  <c r="AU167" i="1"/>
  <c r="AW167" i="1"/>
  <c r="AU161" i="1"/>
  <c r="AW161" i="1"/>
  <c r="AU152" i="1"/>
  <c r="AW152" i="1"/>
  <c r="AV130" i="1"/>
  <c r="AV127" i="1"/>
  <c r="AU121" i="1"/>
  <c r="AW121" i="1"/>
  <c r="AV111" i="1"/>
  <c r="AV87" i="1"/>
  <c r="AU84" i="1"/>
  <c r="AW84" i="1"/>
  <c r="AV80" i="1"/>
  <c r="AU77" i="1"/>
  <c r="AW77" i="1"/>
  <c r="AU70" i="1"/>
  <c r="AV70" i="1"/>
  <c r="AW70" i="1"/>
  <c r="AV66" i="1"/>
  <c r="AV37" i="1"/>
  <c r="AU30" i="1"/>
  <c r="AV30" i="1"/>
  <c r="AW30" i="1"/>
  <c r="AW217" i="1"/>
  <c r="AV212" i="1"/>
  <c r="AV209" i="1"/>
  <c r="AW204" i="1"/>
  <c r="AU187" i="1"/>
  <c r="AU143" i="1"/>
  <c r="AV136" i="1"/>
  <c r="AW133" i="1"/>
  <c r="AU118" i="1"/>
  <c r="AU108" i="1"/>
  <c r="AV104" i="1"/>
  <c r="AU101" i="1"/>
  <c r="AW101" i="1"/>
  <c r="AU52" i="1"/>
  <c r="AW52" i="1"/>
  <c r="AW48" i="1"/>
  <c r="AU41" i="1"/>
  <c r="AV22" i="1"/>
  <c r="AW51" i="1"/>
  <c r="AW46" i="1"/>
  <c r="AW41" i="1"/>
  <c r="AW36" i="1"/>
  <c r="AW31" i="1"/>
  <c r="AW26" i="1"/>
  <c r="AW21" i="1"/>
  <c r="AW16" i="1"/>
  <c r="AW11" i="1"/>
  <c r="AW6" i="1"/>
  <c r="AV21" i="1"/>
  <c r="AV16" i="1"/>
  <c r="AV11" i="1"/>
  <c r="AV6" i="1"/>
  <c r="AW3" i="1"/>
  <c r="AV3" i="1"/>
  <c r="AW17" i="1"/>
  <c r="AW2" i="1"/>
  <c r="AW24" i="1"/>
</calcChain>
</file>

<file path=xl/sharedStrings.xml><?xml version="1.0" encoding="utf-8"?>
<sst xmlns="http://schemas.openxmlformats.org/spreadsheetml/2006/main" count="13301" uniqueCount="8295">
  <si>
    <t>undefined</t>
  </si>
  <si>
    <t>Journal</t>
  </si>
  <si>
    <t>United States</t>
  </si>
  <si>
    <t>Boulder</t>
  </si>
  <si>
    <t>University of Colorado Boulder</t>
  </si>
  <si>
    <t>Article</t>
  </si>
  <si>
    <t>ar</t>
  </si>
  <si>
    <t>Australia</t>
  </si>
  <si>
    <t>Melbourne</t>
  </si>
  <si>
    <t>n</t>
  </si>
  <si>
    <t>60031004;60031004</t>
  </si>
  <si>
    <t>Brisbane</t>
  </si>
  <si>
    <t>The University of Queensland</t>
  </si>
  <si>
    <t>United States;United States</t>
  </si>
  <si>
    <t>60012708;60012708</t>
  </si>
  <si>
    <t>Palo Alto</t>
  </si>
  <si>
    <t>Stanford University</t>
  </si>
  <si>
    <t>South Korea</t>
  </si>
  <si>
    <t>Germany;Germany</t>
  </si>
  <si>
    <t>United Kingdom</t>
  </si>
  <si>
    <t>Office of Naval Research</t>
  </si>
  <si>
    <t>ONR</t>
  </si>
  <si>
    <t>Journal of Insect Behavior</t>
  </si>
  <si>
    <t>National Science Foundation</t>
  </si>
  <si>
    <t>NSF</t>
  </si>
  <si>
    <t>France</t>
  </si>
  <si>
    <t>Paris</t>
  </si>
  <si>
    <t>United States;Australia</t>
  </si>
  <si>
    <t>South Korea;South Korea</t>
  </si>
  <si>
    <t>Lee H.</t>
  </si>
  <si>
    <t>Germany</t>
  </si>
  <si>
    <t>Planegg</t>
  </si>
  <si>
    <t>Max Planck Institute for Biochemistry</t>
  </si>
  <si>
    <t>Pasadena</t>
  </si>
  <si>
    <t>Jet Propulsion Laboratory</t>
  </si>
  <si>
    <t>China</t>
  </si>
  <si>
    <t>Beijing</t>
  </si>
  <si>
    <t>San Diego</t>
  </si>
  <si>
    <t>Japan;Japan;United States</t>
  </si>
  <si>
    <t>Lawrence</t>
  </si>
  <si>
    <t>University of Kansas</t>
  </si>
  <si>
    <t>Canada</t>
  </si>
  <si>
    <t>Italy</t>
  </si>
  <si>
    <t>Florence</t>
  </si>
  <si>
    <t>Japan</t>
  </si>
  <si>
    <t>Tokyo</t>
  </si>
  <si>
    <t>Sweden</t>
  </si>
  <si>
    <t>Austin</t>
  </si>
  <si>
    <t>The University of Texas at Austin</t>
  </si>
  <si>
    <t>Rennes</t>
  </si>
  <si>
    <t>Universite de Rennes 1</t>
  </si>
  <si>
    <t>Japan;Japan</t>
  </si>
  <si>
    <t>Dallas</t>
  </si>
  <si>
    <t>National Aeronautics and Space Administration</t>
  </si>
  <si>
    <t>NASA</t>
  </si>
  <si>
    <t>China;China</t>
  </si>
  <si>
    <t>294-297</t>
  </si>
  <si>
    <t>Madison</t>
  </si>
  <si>
    <t>University of Wisconsin-Madison</t>
  </si>
  <si>
    <t>Netherlands</t>
  </si>
  <si>
    <t>Intrator T.</t>
  </si>
  <si>
    <t>Italy;Italy;Italy</t>
  </si>
  <si>
    <t>Taiwan;Taiwan</t>
  </si>
  <si>
    <t>Microwave Journal</t>
  </si>
  <si>
    <t>Ottawa</t>
  </si>
  <si>
    <t>Lund</t>
  </si>
  <si>
    <t>Lunds Universitet</t>
  </si>
  <si>
    <t>National Cancer Institute</t>
  </si>
  <si>
    <t>NCI</t>
  </si>
  <si>
    <t>Durham</t>
  </si>
  <si>
    <t>993-996</t>
  </si>
  <si>
    <t>Journal of Experimental Marine Biology and Ecology</t>
  </si>
  <si>
    <t>35-40</t>
  </si>
  <si>
    <t>Switzerland</t>
  </si>
  <si>
    <t>Journal of Communications Technology and Electronics</t>
  </si>
  <si>
    <t>;;</t>
  </si>
  <si>
    <t>International Journal of Insect Morphology and Embryology</t>
  </si>
  <si>
    <t>France;France</t>
  </si>
  <si>
    <t>Kim J.</t>
  </si>
  <si>
    <t>India;India</t>
  </si>
  <si>
    <t>NSERC</t>
  </si>
  <si>
    <t>Canada;Canada</t>
  </si>
  <si>
    <t>Insect Biochemistry and Molecular Biology</t>
  </si>
  <si>
    <t xml:space="preserve">Anon, </t>
  </si>
  <si>
    <t>Anon</t>
  </si>
  <si>
    <t>119-123</t>
  </si>
  <si>
    <t>India</t>
  </si>
  <si>
    <t>267-274</t>
  </si>
  <si>
    <t>United Kingdom;United Kingdom</t>
  </si>
  <si>
    <t>Zvonar Z.</t>
  </si>
  <si>
    <t>Italy;Italy</t>
  </si>
  <si>
    <t>Naples;Naples</t>
  </si>
  <si>
    <t>Acta Astronautica</t>
  </si>
  <si>
    <t>Cambridge</t>
  </si>
  <si>
    <t>60025778;60025778;60025778</t>
  </si>
  <si>
    <t>Ann Arbor</t>
  </si>
  <si>
    <t>University of Michigan, Ann Arbor</t>
  </si>
  <si>
    <t>Russian Federation</t>
  </si>
  <si>
    <t>Moscow</t>
  </si>
  <si>
    <t>Deutsche Forschungsgemeinschaft</t>
  </si>
  <si>
    <t>DFG</t>
  </si>
  <si>
    <t>Canterbury</t>
  </si>
  <si>
    <t>University of Kent</t>
  </si>
  <si>
    <t>Herscovici N.</t>
  </si>
  <si>
    <t>Air Force Office of Scientific Research</t>
  </si>
  <si>
    <t>AFOSR</t>
  </si>
  <si>
    <t>Washington, D.C.</t>
  </si>
  <si>
    <t>United States;Canada</t>
  </si>
  <si>
    <t>Spain;United States</t>
  </si>
  <si>
    <t>Microwave and Optical Technology Letters</t>
  </si>
  <si>
    <t>Edinburgh</t>
  </si>
  <si>
    <t>7202525203;7103317090;56683414000;36041035600</t>
  </si>
  <si>
    <t>Los Angeles</t>
  </si>
  <si>
    <t>University of California, Los Angeles</t>
  </si>
  <si>
    <t>Chew S.</t>
  </si>
  <si>
    <t>80-86</t>
  </si>
  <si>
    <t>Nippon Telegraph and Telephone Corporation</t>
  </si>
  <si>
    <t>E79-B</t>
  </si>
  <si>
    <t>IEICE Transactions on Communications</t>
  </si>
  <si>
    <t>60031126;60031126;60031126;60031126</t>
  </si>
  <si>
    <t>Tokyo Institute of Technology</t>
  </si>
  <si>
    <t>Syracuse</t>
  </si>
  <si>
    <t>Wuppertal</t>
  </si>
  <si>
    <t>Bergische Universit√§t Wuppertal</t>
  </si>
  <si>
    <t>Japan;Japan;Japan</t>
  </si>
  <si>
    <t>Radio Science</t>
  </si>
  <si>
    <t>United States;United States;United States</t>
  </si>
  <si>
    <t>60030551;60030551</t>
  </si>
  <si>
    <t>Syracuse University</t>
  </si>
  <si>
    <t>Science and Engineering Research Council</t>
  </si>
  <si>
    <t>SERC</t>
  </si>
  <si>
    <t>IEEE Journal of Oceanic Engineering</t>
  </si>
  <si>
    <t>Signal Processing</t>
  </si>
  <si>
    <t>University Park</t>
  </si>
  <si>
    <t>Pennsylvania State University</t>
  </si>
  <si>
    <t>24512080300;54679453500</t>
  </si>
  <si>
    <t>Hansen, R. C.;Gammon, Daniel</t>
  </si>
  <si>
    <t>Hansen R.</t>
  </si>
  <si>
    <t>NEC Corporation</t>
  </si>
  <si>
    <t>60003122;60003122;60003122</t>
  </si>
  <si>
    <t>Victoria</t>
  </si>
  <si>
    <t>University of Victoria</t>
  </si>
  <si>
    <t>IEEE Microwave and Guided Wave Letters</t>
  </si>
  <si>
    <t>Wright-Patterson AFB;New York</t>
  </si>
  <si>
    <t>Air Force Materiel Command;IEEE</t>
  </si>
  <si>
    <t>60076904;60000251</t>
  </si>
  <si>
    <t>Taiwan</t>
  </si>
  <si>
    <t>Kyoto</t>
  </si>
  <si>
    <t>Advanced Telecommunications Research Institute International (ATR)</t>
  </si>
  <si>
    <t>0018926X</t>
  </si>
  <si>
    <t>IEEE Transactions on Antennas and Propagation</t>
  </si>
  <si>
    <t>71-74</t>
  </si>
  <si>
    <t>Santiago de Compostela;Northridge</t>
  </si>
  <si>
    <t>Universidad de Santiago de Compostela;California State University, Northridge</t>
  </si>
  <si>
    <t>60028419;60020975</t>
  </si>
  <si>
    <t>Ares F.</t>
  </si>
  <si>
    <t>Wright-Patterson AFB</t>
  </si>
  <si>
    <t>Air Force Materiel Command</t>
  </si>
  <si>
    <t>60010818;60010818</t>
  </si>
  <si>
    <t>21-24</t>
  </si>
  <si>
    <t>74-79</t>
  </si>
  <si>
    <t>IEEE Photonics Technology Letters</t>
  </si>
  <si>
    <t>Albuquerque</t>
  </si>
  <si>
    <t>Kuwait</t>
  </si>
  <si>
    <t>Kuwait City</t>
  </si>
  <si>
    <t>Kuwait University</t>
  </si>
  <si>
    <t>Mahmoud S.</t>
  </si>
  <si>
    <t>60000745;60000745</t>
  </si>
  <si>
    <t>Urbana</t>
  </si>
  <si>
    <t>University of Illinois Urbana-Champaign</t>
  </si>
  <si>
    <t>CNRS Centre National de la Recherche Scientifique</t>
  </si>
  <si>
    <t>Berlin</t>
  </si>
  <si>
    <t>132-137</t>
  </si>
  <si>
    <t>Russian Federation;United States</t>
  </si>
  <si>
    <t>Sweden;Germany</t>
  </si>
  <si>
    <t>Tempe</t>
  </si>
  <si>
    <t>Arizona State University</t>
  </si>
  <si>
    <t>60007457;60007457</t>
  </si>
  <si>
    <t>Lomonosov Moscow State University</t>
  </si>
  <si>
    <t>Spain</t>
  </si>
  <si>
    <t>Valencia</t>
  </si>
  <si>
    <t>Universitat Polit√®cnica de Val√®ncia</t>
  </si>
  <si>
    <t>France;France;France</t>
  </si>
  <si>
    <t>Ames</t>
  </si>
  <si>
    <t>Savikhin S.</t>
  </si>
  <si>
    <t>London</t>
  </si>
  <si>
    <t>Erlangen</t>
  </si>
  <si>
    <t>Friedrich-Alexander-Universit√§t Erlangen-N√ºrnberg</t>
  </si>
  <si>
    <t>60009731;60009731</t>
  </si>
  <si>
    <t>Osnabruck</t>
  </si>
  <si>
    <t>Universit√§t Osnabr√ºck</t>
  </si>
  <si>
    <t>Israel</t>
  </si>
  <si>
    <t>Tel Aviv-Yafo</t>
  </si>
  <si>
    <t>Versailles</t>
  </si>
  <si>
    <t>Centre de recherche √éle-de-France-Versailles - Grignon</t>
  </si>
  <si>
    <t>National Institute of General Medical Sciences</t>
  </si>
  <si>
    <t>NIGMS</t>
  </si>
  <si>
    <t>Hu Q.</t>
  </si>
  <si>
    <t>60001439;60001439</t>
  </si>
  <si>
    <t>Journal of Photochemistry and Photobiology B: Biology</t>
  </si>
  <si>
    <t>Lithuania;Netherlands</t>
  </si>
  <si>
    <t>Vilnius;Amsterdam</t>
  </si>
  <si>
    <t>Fizini≈≥ ir Technologijos Moksl≈≥ Centras;Vrije Universiteit Amsterdam</t>
  </si>
  <si>
    <t>60105695;60008734</t>
  </si>
  <si>
    <t>Niigata</t>
  </si>
  <si>
    <t>Niigata University</t>
  </si>
  <si>
    <t>324-326</t>
  </si>
  <si>
    <t>60004354;60004354</t>
  </si>
  <si>
    <t>Iowa State University</t>
  </si>
  <si>
    <t>U.S. Department of Energy</t>
  </si>
  <si>
    <t>USDOE</t>
  </si>
  <si>
    <t>Tucson</t>
  </si>
  <si>
    <t>The University of Arizona</t>
  </si>
  <si>
    <t>United States;Germany</t>
  </si>
  <si>
    <t>Tamiaki H.</t>
  </si>
  <si>
    <t>Micron</t>
  </si>
  <si>
    <t>Spain;Spain</t>
  </si>
  <si>
    <t>60033012;60033012</t>
  </si>
  <si>
    <t>Monterey</t>
  </si>
  <si>
    <t>Naval Postgraduate School</t>
  </si>
  <si>
    <t>Lin Y.</t>
  </si>
  <si>
    <t>Ministry of Education, Culture, Sports, Science and Technology</t>
  </si>
  <si>
    <t>Monbusho</t>
  </si>
  <si>
    <t>Thin Solid Films</t>
  </si>
  <si>
    <t>IEE Proceedings: Microwaves, Antennas and Propagation</t>
  </si>
  <si>
    <t>60003892;60003892</t>
  </si>
  <si>
    <t>57050319800;7005725769</t>
  </si>
  <si>
    <t>Zavosh F.</t>
  </si>
  <si>
    <t>Nottingham</t>
  </si>
  <si>
    <t>University of Nottingham</t>
  </si>
  <si>
    <t>Nice</t>
  </si>
  <si>
    <t>Universit√© C√¥te d'Azur</t>
  </si>
  <si>
    <t>60017826;60017826;60017826</t>
  </si>
  <si>
    <t>Pontypridd</t>
  </si>
  <si>
    <t>University of South Wales</t>
  </si>
  <si>
    <t>Japanese Journal of Applied Physics, Part 2: Letters</t>
  </si>
  <si>
    <t>Russian Federation;Germany</t>
  </si>
  <si>
    <t>Moscow;Regensburg</t>
  </si>
  <si>
    <t>Moscow Pedagogical State University;Universit√§t Regensburg</t>
  </si>
  <si>
    <t>60068676;60030807</t>
  </si>
  <si>
    <t>Gousev Y.</t>
  </si>
  <si>
    <t>IEEE Antennas and Propagation Magazine</t>
  </si>
  <si>
    <t>Gloaguen C.</t>
  </si>
  <si>
    <t>22-34</t>
  </si>
  <si>
    <t>United States;United States;United States;United States;United States</t>
  </si>
  <si>
    <t>Kubo H.</t>
  </si>
  <si>
    <t>Saint-Aubin;Paris;Paris</t>
  </si>
  <si>
    <t>Hsinchu;Hsinchu</t>
  </si>
  <si>
    <t>National Nano Device Laboratories Taiwan;National Chiao Tung University</t>
  </si>
  <si>
    <t>60015761;60012370</t>
  </si>
  <si>
    <t>Belgium</t>
  </si>
  <si>
    <t>60023345;60023345</t>
  </si>
  <si>
    <t>Bengaluru</t>
  </si>
  <si>
    <t>Indian Space Research Organization</t>
  </si>
  <si>
    <t>1532527X</t>
  </si>
  <si>
    <t>Electromagnetics</t>
  </si>
  <si>
    <t>361-367</t>
  </si>
  <si>
    <t>Yokohama</t>
  </si>
  <si>
    <t>Yokohama National University</t>
  </si>
  <si>
    <t>Suita</t>
  </si>
  <si>
    <t>Osaka University</t>
  </si>
  <si>
    <t>60027550;60027550</t>
  </si>
  <si>
    <t>Uppsala</t>
  </si>
  <si>
    <t>Uppsala Universitet</t>
  </si>
  <si>
    <t>Milan</t>
  </si>
  <si>
    <t>60026242;60026242</t>
  </si>
  <si>
    <t>Salisbury</t>
  </si>
  <si>
    <t>Defence Science and Technology Laboratory</t>
  </si>
  <si>
    <t>National Institute of Neurological Disorders and Stroke</t>
  </si>
  <si>
    <t>NINDS</t>
  </si>
  <si>
    <t>Ishigami S.</t>
  </si>
  <si>
    <t>60022313;60022313;60022313</t>
  </si>
  <si>
    <t>60002947;60002947</t>
  </si>
  <si>
    <t>Greece</t>
  </si>
  <si>
    <t>Athens</t>
  </si>
  <si>
    <t>National Technical University of Athens</t>
  </si>
  <si>
    <t>United States;United States;United States;United States</t>
  </si>
  <si>
    <t>Gothenburg</t>
  </si>
  <si>
    <t>Chalmers University of Technology</t>
  </si>
  <si>
    <t>60015481;60015481;60015481</t>
  </si>
  <si>
    <t>Seattle</t>
  </si>
  <si>
    <t>University of Washington</t>
  </si>
  <si>
    <t>60005244;60005244;60005244</t>
  </si>
  <si>
    <t>Nanjing</t>
  </si>
  <si>
    <t>Southeast University</t>
  </si>
  <si>
    <t>Sydney</t>
  </si>
  <si>
    <t>The University of Sydney</t>
  </si>
  <si>
    <t>Pisa</t>
  </si>
  <si>
    <t>Universit√† di Pisa</t>
  </si>
  <si>
    <t>Ukraine</t>
  </si>
  <si>
    <t>Houston</t>
  </si>
  <si>
    <t>60009037;60009037;60009037</t>
  </si>
  <si>
    <t>U.S. Army</t>
  </si>
  <si>
    <t>Shanghai</t>
  </si>
  <si>
    <t>International Journal of Numerical Modelling: Electronic Networks, Devices and Fields</t>
  </si>
  <si>
    <t>Sendai</t>
  </si>
  <si>
    <t>Mitsubishi Electric Corporation</t>
  </si>
  <si>
    <t>3 PART 2</t>
  </si>
  <si>
    <t>IEEE Transactions on Magnetics</t>
  </si>
  <si>
    <t>Chengdu</t>
  </si>
  <si>
    <t>University of Electronic Science and Technology of China</t>
  </si>
  <si>
    <t>60025555;60025555;60025555</t>
  </si>
  <si>
    <t>7201993763;7401920152;35564404500</t>
  </si>
  <si>
    <t>Uehara, Kazuhiro;Seki, Tomohiro;Kagoshima, Kenichi</t>
  </si>
  <si>
    <t>Uehara K.</t>
  </si>
  <si>
    <t>IEEE Journal on Selected Areas in Communications</t>
  </si>
  <si>
    <t>Egypt</t>
  </si>
  <si>
    <t>Cairo</t>
  </si>
  <si>
    <t>Electronics Research Institute of Cairo</t>
  </si>
  <si>
    <t>Kara, Mehmet</t>
  </si>
  <si>
    <t>Defence Science and Technology Group</t>
  </si>
  <si>
    <t>Kara M.</t>
  </si>
  <si>
    <t>Jaldehag R.T.K.</t>
  </si>
  <si>
    <t>43-52</t>
  </si>
  <si>
    <t>Ying Z.</t>
  </si>
  <si>
    <t>60032144;60032144;60032144</t>
  </si>
  <si>
    <t>Daejeon</t>
  </si>
  <si>
    <t>Korea Advanced Institute of Science and Technology</t>
  </si>
  <si>
    <t>60011047;60011047;60011047</t>
  </si>
  <si>
    <t>Fukuoka</t>
  </si>
  <si>
    <t>Kyushu University</t>
  </si>
  <si>
    <t>Universit√† degli Studi di Firenze</t>
  </si>
  <si>
    <t>60000264;60000264;60000264</t>
  </si>
  <si>
    <t>Nagoya</t>
  </si>
  <si>
    <t>Nagoya University</t>
  </si>
  <si>
    <t>United Kingdom;United Kingdom;United Kingdom</t>
  </si>
  <si>
    <t>Kuga N.</t>
  </si>
  <si>
    <t>Liu H.</t>
  </si>
  <si>
    <t>Haifa</t>
  </si>
  <si>
    <t>Thessaloniki</t>
  </si>
  <si>
    <t>Aristotle University of Thessaloniki</t>
  </si>
  <si>
    <t>Dubois;University Park</t>
  </si>
  <si>
    <t>Penn State DuBois;Pennsylvania State University</t>
  </si>
  <si>
    <t>60136252;60001439</t>
  </si>
  <si>
    <t>Middlesex</t>
  </si>
  <si>
    <t>National Physical Laboratory</t>
  </si>
  <si>
    <t>Alexander M.</t>
  </si>
  <si>
    <t>543-549</t>
  </si>
  <si>
    <t>United States;</t>
  </si>
  <si>
    <t>Lexington</t>
  </si>
  <si>
    <t>Advanced Research Projects Agency</t>
  </si>
  <si>
    <t>ARPA</t>
  </si>
  <si>
    <t>60025534;60025534</t>
  </si>
  <si>
    <t>7404603068;7410280543</t>
  </si>
  <si>
    <t>Wu, Q.;Zhang, X. C.</t>
  </si>
  <si>
    <t>Troy</t>
  </si>
  <si>
    <t>Rensselaer Polytechnic Institute</t>
  </si>
  <si>
    <t>Wu Q.</t>
  </si>
  <si>
    <t>60101699;60101699</t>
  </si>
  <si>
    <t>Rome</t>
  </si>
  <si>
    <t>Sapienza Universit√† di Roma</t>
  </si>
  <si>
    <t>Alexander, M. J.</t>
  </si>
  <si>
    <t>60016418;60016418</t>
  </si>
  <si>
    <t>York</t>
  </si>
  <si>
    <t>University of York</t>
  </si>
  <si>
    <t>Netherlands;Germany</t>
  </si>
  <si>
    <t>IEEE Transactions on Electromagnetic Compatibility</t>
  </si>
  <si>
    <t>Italy;United States</t>
  </si>
  <si>
    <t>Electronics Letters</t>
  </si>
  <si>
    <t>Murray</t>
  </si>
  <si>
    <t>Nokia Bell Labs</t>
  </si>
  <si>
    <t>IEEE Transactions on Communications</t>
  </si>
  <si>
    <t>Toronto</t>
  </si>
  <si>
    <t>Nortel Networks</t>
  </si>
  <si>
    <t>Leatherhead</t>
  </si>
  <si>
    <t>ERA Technology Ltd</t>
  </si>
  <si>
    <t>60001881;60001881;60001881</t>
  </si>
  <si>
    <t>Sheffield</t>
  </si>
  <si>
    <t>The University of Sheffield</t>
  </si>
  <si>
    <t>Tel Aviv University</t>
  </si>
  <si>
    <t>Kildal P.</t>
  </si>
  <si>
    <t>7103309077;7006899159;35495699200;7201747933</t>
  </si>
  <si>
    <t>Sakakibara, Kunio;Hirokawa, Jiro;Ando, Makoto;Goto, Naohisa</t>
  </si>
  <si>
    <t>Sakakibara K.</t>
  </si>
  <si>
    <t>Saint Martin d'Heres</t>
  </si>
  <si>
    <t>60010491;60010491;60010491</t>
  </si>
  <si>
    <t>University</t>
  </si>
  <si>
    <t>University of Mississippi</t>
  </si>
  <si>
    <t>Junker G.</t>
  </si>
  <si>
    <t>335-339</t>
  </si>
  <si>
    <t>Maci S.</t>
  </si>
  <si>
    <t>Munich</t>
  </si>
  <si>
    <t>Glasgow</t>
  </si>
  <si>
    <t>Uzawa Y.</t>
  </si>
  <si>
    <t>Tani M.</t>
  </si>
  <si>
    <t>60005429;60005429</t>
  </si>
  <si>
    <t>7410258526;26023218700</t>
  </si>
  <si>
    <t>Chen, Shin Hon;Jeng, Shyh Kang</t>
  </si>
  <si>
    <t>Taipei</t>
  </si>
  <si>
    <t>National Taiwan University</t>
  </si>
  <si>
    <t>Noguchi K.</t>
  </si>
  <si>
    <t>Hong Kong</t>
  </si>
  <si>
    <t>Journal of Applied Geophysics</t>
  </si>
  <si>
    <t>60014171;60014171</t>
  </si>
  <si>
    <t>7403324500;7005164716</t>
  </si>
  <si>
    <t>Shen, Zhongxiang;MacPhie, Robert H.</t>
  </si>
  <si>
    <t>Waterloo</t>
  </si>
  <si>
    <t>University of Waterloo</t>
  </si>
  <si>
    <t>Shen Z.</t>
  </si>
  <si>
    <t>Auburn</t>
  </si>
  <si>
    <t>Auburn University</t>
  </si>
  <si>
    <t>Reddy C.</t>
  </si>
  <si>
    <t>60013983;60013983</t>
  </si>
  <si>
    <t>Kowloon</t>
  </si>
  <si>
    <t>City University of Hong Kong</t>
  </si>
  <si>
    <t>60032144;60032144</t>
  </si>
  <si>
    <t>National Natural Science Foundation of China</t>
  </si>
  <si>
    <t>Liu J.</t>
  </si>
  <si>
    <t>IEE Colloquium (Digest)</t>
  </si>
  <si>
    <t>10 PART 2</t>
  </si>
  <si>
    <t>IEEE Transactions on Microwave Theory and Techniques</t>
  </si>
  <si>
    <t>Ottobrunn</t>
  </si>
  <si>
    <t>Airbus Defence and Space</t>
  </si>
  <si>
    <t>United States;Netherlands</t>
  </si>
  <si>
    <t>CNES Centre National d'Etudes Spatiales</t>
  </si>
  <si>
    <t>Palaiseau</t>
  </si>
  <si>
    <t>Defence Research and Development Canada</t>
  </si>
  <si>
    <t>Xi'an</t>
  </si>
  <si>
    <t>Finland</t>
  </si>
  <si>
    <t>Espoo</t>
  </si>
  <si>
    <t>Department of Physics</t>
  </si>
  <si>
    <t>IEEE Personal Communications</t>
  </si>
  <si>
    <t>Santa Barbara</t>
  </si>
  <si>
    <t>60017293;60017293;60017293</t>
  </si>
  <si>
    <t>Naples</t>
  </si>
  <si>
    <t>Universit√† degli Studi di Napoli Federico II</t>
  </si>
  <si>
    <t>Space and Naval Warfare Systems Center San Diego</t>
  </si>
  <si>
    <t>60027550;60014373;60027550</t>
  </si>
  <si>
    <t>7006743311;7403676566;22977839100</t>
  </si>
  <si>
    <t>Brozek, Tomasz;Chan, Y. David;Viswanathan, Chand R.</t>
  </si>
  <si>
    <t>Los Angeles;Austin</t>
  </si>
  <si>
    <t>University of California, Los Angeles;SEMATECH Austin</t>
  </si>
  <si>
    <t>60027550;60014373</t>
  </si>
  <si>
    <t>Brozek T.</t>
  </si>
  <si>
    <t>Universit√† degli Studi della Campania Luigi Vanvitelli;Universit√† degli Studi di Napoli Federico II</t>
  </si>
  <si>
    <t>60026777;60017293</t>
  </si>
  <si>
    <t>Isernia T.</t>
  </si>
  <si>
    <t>Italy;Italy;United States;Italy</t>
  </si>
  <si>
    <t>Axelrad P.</t>
  </si>
  <si>
    <t>Northridge</t>
  </si>
  <si>
    <t>California State University, Northridge</t>
  </si>
  <si>
    <t>Rengarajan S.</t>
  </si>
  <si>
    <t>United States;United Kingdom</t>
  </si>
  <si>
    <t>Semiconductor Science and Technology</t>
  </si>
  <si>
    <t>University of California, Santa Barbara</t>
  </si>
  <si>
    <t>Russian Federation;Russian Federation</t>
  </si>
  <si>
    <t>Moscow;Moscow</t>
  </si>
  <si>
    <t>Bonn</t>
  </si>
  <si>
    <t>Deutsche Telekom</t>
  </si>
  <si>
    <t>Barcelona</t>
  </si>
  <si>
    <t>Universitat Polit√®cnica de Catalunya</t>
  </si>
  <si>
    <t>Puente C.</t>
  </si>
  <si>
    <t>European Commission</t>
  </si>
  <si>
    <t>EC</t>
  </si>
  <si>
    <t>Humes, Arthur G.</t>
  </si>
  <si>
    <t>Boston</t>
  </si>
  <si>
    <t>Boston University Marine Program</t>
  </si>
  <si>
    <t>Humes A.</t>
  </si>
  <si>
    <t>Czechoslovak Journal of Physics</t>
  </si>
  <si>
    <t>CIBA Foundation Symposia</t>
  </si>
  <si>
    <t>;</t>
  </si>
  <si>
    <t>Rome;Rome</t>
  </si>
  <si>
    <t>60000990;60000990;60000990</t>
  </si>
  <si>
    <t>Guildford</t>
  </si>
  <si>
    <t>University of Surrey</t>
  </si>
  <si>
    <t>1595-1600</t>
  </si>
  <si>
    <t>65-74</t>
  </si>
  <si>
    <t>60005510;60005510</t>
  </si>
  <si>
    <t>Singapore</t>
  </si>
  <si>
    <t>Singapore City</t>
  </si>
  <si>
    <t>Nanyang Technological University</t>
  </si>
  <si>
    <t>Space Communications</t>
  </si>
  <si>
    <t>Aachen</t>
  </si>
  <si>
    <t>Rheinisch-Westf√§lische Technische Hochschule Aachen</t>
  </si>
  <si>
    <t>Bradford</t>
  </si>
  <si>
    <t>University of Bradford</t>
  </si>
  <si>
    <t>153-160</t>
  </si>
  <si>
    <t>1499-1508</t>
  </si>
  <si>
    <t>Leiden</t>
  </si>
  <si>
    <t>275-282</t>
  </si>
  <si>
    <t>Perth</t>
  </si>
  <si>
    <t>The University of Western Australia</t>
  </si>
  <si>
    <t>77-80</t>
  </si>
  <si>
    <t>Berlin;Berlin</t>
  </si>
  <si>
    <t>['tibial spurs', 'sternum ix', 'single row', 'single genus', 'related families', 'preliminary analysis', 'partially destinguished', 'mostly temperate', 'may lock', 'male trulleum', 'lateral sclerotization', 'female specimens', 'extreme development', 'external morphology', 'evergreen forests', 'eleven species', 'conjugal process', 'complete set', 'central angola', 'cape province', 'basal lineages', 'abdominal spines', '4 ),']</t>
  </si>
  <si>
    <t>393-439</t>
  </si>
  <si>
    <t>Davis, Donald Ray</t>
  </si>
  <si>
    <t>Smithsonian National Museum of Natural History</t>
  </si>
  <si>
    <t>Davis D.R.</t>
  </si>
  <si>
    <t>A revision of the southern African family Prototheoridae (Lepidoptera: Hepialoidea)</t>
  </si>
  <si>
    <t>Amherst MA</t>
  </si>
  <si>
    <t>University of Massachusetts Amherst</t>
  </si>
  <si>
    <t>Acoustical Physics</t>
  </si>
  <si>
    <t>60021331;60021331;60021331;60021331</t>
  </si>
  <si>
    <t>Russian Academy of Sciences</t>
  </si>
  <si>
    <t>Antenna arrays | Antenna radiation patterns</t>
  </si>
  <si>
    <t>60003771;60003771;60003771</t>
  </si>
  <si>
    <t>7004358223;17435967100;55664942900</t>
  </si>
  <si>
    <t>Drossos, G.;Wu, Z.;Davis, L. E.</t>
  </si>
  <si>
    <t>Manchester</t>
  </si>
  <si>
    <t>The University of Manchester</t>
  </si>
  <si>
    <t>Drossos G.</t>
  </si>
  <si>
    <t>60026859;60026859;60026859</t>
  </si>
  <si>
    <t>Madrid</t>
  </si>
  <si>
    <t>CSIC - Instituto de F&amp;iacute;sica Aplicada (IFA)</t>
  </si>
  <si>
    <t>Journal of Geomagnetism and Geoelectricity</t>
  </si>
  <si>
    <t>Astronomical Journal</t>
  </si>
  <si>
    <t>Bethesda</t>
  </si>
  <si>
    <t>Lockheed Martin Corporation</t>
  </si>
  <si>
    <t>60032179;60032179</t>
  </si>
  <si>
    <t>60030318;60030318;60030318;60030318</t>
  </si>
  <si>
    <t>Universit√† degli Studi di Milano</t>
  </si>
  <si>
    <t>Northrop Grumman corporation</t>
  </si>
  <si>
    <t>South Africa;South Africa</t>
  </si>
  <si>
    <t>Siemens AG</t>
  </si>
  <si>
    <t>Journal of Physical Chemistry</t>
  </si>
  <si>
    <t>Chicago</t>
  </si>
  <si>
    <t>35607588100;57200717641</t>
  </si>
  <si>
    <t>Lobo J.A.</t>
  </si>
  <si>
    <t>Superconductor Science and Technology</t>
  </si>
  <si>
    <t>Gaidis M.</t>
  </si>
  <si>
    <t>0940483X</t>
  </si>
  <si>
    <t>Berichte der Bunsengesellschaft/Physical Chemistry Chemical Physics</t>
  </si>
  <si>
    <t>Bird, T. S.</t>
  </si>
  <si>
    <t>Bird T.</t>
  </si>
  <si>
    <t>Improved solution for mode coupling in different-sized circular apertures and its application</t>
  </si>
  <si>
    <t>Amsterdam</t>
  </si>
  <si>
    <t>Vrije Universiteit Amsterdam</t>
  </si>
  <si>
    <t>Van Grondelle R.</t>
  </si>
  <si>
    <t>Wu H.</t>
  </si>
  <si>
    <t>Germany;Germany;Germany;Germany</t>
  </si>
  <si>
    <t>Yekaterinburg</t>
  </si>
  <si>
    <t>Hanscom AFB</t>
  </si>
  <si>
    <t>['two ports', 'two circles', 'theoretical analysis', 'structure consists', 'small fraction', 'resonant frequency', 'resonant frequencies', 'excellent isolation', 'centres displaced', 'also presented']</t>
  </si>
  <si>
    <t>A new dual port microstrip antenna geometry for dual frequency operation is presented. The structure consists of the intersection of two circles of the same radius with their centres displaced by a small fraction of the wavelength. This antenna provides wide impedance bandwidth and excellent isolation between its ports. The gain of the antenna is comparable to that of a standard circular microstrip antenna operating at the same resonant frequency. A theoretical analysis for calculating the resonant frequencies of the two ports is also presented.</t>
  </si>
  <si>
    <t>60031544;60031544;60031544;60031544;60031544</t>
  </si>
  <si>
    <t>6508117295;57206591125;7004362848;57218539158;56259735900</t>
  </si>
  <si>
    <t>Deepukumar, M.;George, J.;Aanandan, C. K.;Mohanan, P.;Nair, K. G.</t>
  </si>
  <si>
    <t>Kochi</t>
  </si>
  <si>
    <t>Cochin University of Science and Technology</t>
  </si>
  <si>
    <t>Deepukumar M.</t>
  </si>
  <si>
    <t>Broadband dual frequency microstrip antenna</t>
  </si>
  <si>
    <t>10.1049/el:19961056</t>
  </si>
  <si>
    <t>Myra J.</t>
  </si>
  <si>
    <t>IEEE Aerospace and Electronic Systems Magazine</t>
  </si>
  <si>
    <t>1201-1217</t>
  </si>
  <si>
    <t>Japan;India;Japan;Japan</t>
  </si>
  <si>
    <t>Koganei;Mumbai;Sendai;Nagoya</t>
  </si>
  <si>
    <t>Japan National Institute of Information and Communications Technology;Tata Institute of Fundamental Research, Mumbai;Tohoku University;Nagoya University</t>
  </si>
  <si>
    <t>60032325;60031855;60008435;60000264</t>
  </si>
  <si>
    <t>Canada;United States</t>
  </si>
  <si>
    <t>University of Kentucky</t>
  </si>
  <si>
    <t>Trainotti, Valentin</t>
  </si>
  <si>
    <t>Trainotti V.</t>
  </si>
  <si>
    <t>Land Use Law &amp; Zoning Digest</t>
  </si>
  <si>
    <t>['usually characterized', 'univariate polynomials', 'specified ).', 'reals unattractive', 'problem posed', 'optimization space', 'often required', 'new algorithm', 'method algorithms', 'manageable size', 'large number', 'global minimum', 'feasibility region', 'around 50', 'algorithms involve', 'algebra concepts']</t>
  </si>
  <si>
    <t>161-182</t>
  </si>
  <si>
    <t>Applied Mathematics and Optimization</t>
  </si>
  <si>
    <t>60031226;60031226;60031226</t>
  </si>
  <si>
    <t>6603637742;7005144794;56220381700</t>
  </si>
  <si>
    <t>Thng, I.;Cantoni, A.;Leung, Y. H.</t>
  </si>
  <si>
    <t>Curtin University</t>
  </si>
  <si>
    <t>Thng I.</t>
  </si>
  <si>
    <t>Analytical solutions to the optimization of a quadratic cost function subject to linear and quadratic equality constraints</t>
  </si>
  <si>
    <t>6701421310;7406739047;7201842082</t>
  </si>
  <si>
    <t>Shlager, Kurt L.;Smith, Glenn S.;Maloney, James G.</t>
  </si>
  <si>
    <t>['vector processors', 'thus allowing', 'reduced dramatically', 'processor communication', 'paper presents', 'latter part', 'fold increase', 'flop rate', 'first part', 'dimensional bodies', 'cpu speed', 'computational domain', 'applied conformally']</t>
  </si>
  <si>
    <t>The first part of the paper presents the implementation and performance of a new absorbing boundary condition (ABC) for truncating finite element meshes. This ABC can be applied conformally to the surface of the structure for scattering and antenna radiation calculations. Consequently, the computational domain is reduced dramatically, thus allowing the simulation of much larger structures, and results are presented for three-dimensional bodies. The latter part of the paper discusses optimization issues relating to the solver's CPU speed on parallel and vector processors. It is shown that a jagged diagonal storage scheme leads to a four-fold increase in the FLOP rate of the code, and a standard matrix profile reduction algorithm substantially reduces the inter-processor communication.</t>
  </si>
  <si>
    <t>335-344</t>
  </si>
  <si>
    <t>55490941000;7102576479;7003299405</t>
  </si>
  <si>
    <t>Chatterjee, A.;Volakis, J. L.;Kempel, L. C.</t>
  </si>
  <si>
    <t>Chatterjee A.</t>
  </si>
  <si>
    <t>Optimization issues in finite element codes for solving open domain 3D electromagnetic scattering and conformal antenna problems</t>
  </si>
  <si>
    <t>International Journal of RF and Microwave Computer-Aided Engineering</t>
  </si>
  <si>
    <t>['resonant frequency', 'readily used', 'procedure utilizing', 'phase excitation', 'microstrip patch', 'identical patch', 'form expressions', 'expressions may', 'easily computed', 'desired frequency', 'coupled configuration', 'brought closer', 'also outlined', 'aided design']</t>
  </si>
  <si>
    <t>The resonant frequency of a microstrip patch (rectangular, square, and circular) changes as soon as an identical patch is brought closer than 0.2Œª to it. Closed-form expressions are presented for the H-plane-coupled configuration (the two adjacent patches are excited by same phase excitation) from which this altered resonant frequency may be easily computed. From the same expression the resonant frequency of an isolated patch antenna may also be calculated. A procedure utilizing these closed-form expressions for the design of microstrip patch antennas which will resonate at the desired frequency is also outlined. These expressions may be readily used in the computer-aided design of microstrip antenna arrays. ¬© 1996 John Wiley &amp; Sons, Inc.</t>
  </si>
  <si>
    <t>411-418</t>
  </si>
  <si>
    <t>60103561;60103561;60103561;60103561;60103561;60103561;60103561;60103561</t>
  </si>
  <si>
    <t>Durgapur</t>
  </si>
  <si>
    <t>National Institute of Technology, Durgapur</t>
  </si>
  <si>
    <t>Ghosh K.K.</t>
  </si>
  <si>
    <t>Resonant frequency of a microstrip patch in the vicinity of an identical radiator</t>
  </si>
  <si>
    <t>['unidirectional radiation', 'numerical results', 'novel conductor', 'nonleaky cpw', 'measured gain', 'domain techniques', 'difference time', 'backed circuits']</t>
  </si>
  <si>
    <t>319-327</t>
  </si>
  <si>
    <t>7410151053;7410221239;7102837381;36041035600</t>
  </si>
  <si>
    <t>Lee, Chung Yi;Liu, Yaozhong;Cha, Kimin;Itoh, Tatsuo</t>
  </si>
  <si>
    <t>Lee C.Y.</t>
  </si>
  <si>
    <t>Analysis and application of nonleaky uniplanar structures with conductor backing</t>
  </si>
  <si>
    <t>Journal of Geophysical Research B: Solid Earth</t>
  </si>
  <si>
    <t>Journal of Applied Physics</t>
  </si>
  <si>
    <t>Journal of Biological Chemistry</t>
  </si>
  <si>
    <t>Biochemistry</t>
  </si>
  <si>
    <t>Tsukuba</t>
  </si>
  <si>
    <t>Nuclear Fusion</t>
  </si>
  <si>
    <t>Selin V.</t>
  </si>
  <si>
    <t>[]</t>
  </si>
  <si>
    <t>Antennas | Slot antennas</t>
  </si>
  <si>
    <t>Steyskal H.</t>
  </si>
  <si>
    <t>North Ryde</t>
  </si>
  <si>
    <t>Macquarie University</t>
  </si>
  <si>
    <t>Esselle K.</t>
  </si>
  <si>
    <t>169-171</t>
  </si>
  <si>
    <t>35616191300;6603252809;7410012278</t>
  </si>
  <si>
    <t>Goutzoulis A.</t>
  </si>
  <si>
    <t>National Science Council</t>
  </si>
  <si>
    <t>NSC</t>
  </si>
  <si>
    <t>Taiwan;United States</t>
  </si>
  <si>
    <t>Indian Journal of Radio and Space Physics</t>
  </si>
  <si>
    <t>Radiophysics and Quantum Electronics</t>
  </si>
  <si>
    <t>Nizhny Novgorod</t>
  </si>
  <si>
    <t>Institute of Applied Physics of the Russian Academy of Sciences</t>
  </si>
  <si>
    <t>Lobachevsky State University of Nizhni Novgorod</t>
  </si>
  <si>
    <t>84-87</t>
  </si>
  <si>
    <t>55-59</t>
  </si>
  <si>
    <t>60030553;60030553;60030553;60028186</t>
  </si>
  <si>
    <t>6602892729;24722105800;7006272544;6701417455</t>
  </si>
  <si>
    <t>Gonnet, Ph;Sharaiha, A.;Terret, C.;Skrivervik, A.</t>
  </si>
  <si>
    <t>France;Switzerland</t>
  </si>
  <si>
    <t>Rennes;Lausanne</t>
  </si>
  <si>
    <t>Universite de Rennes 1;Swiss Federal Institute of Technology Lausanne</t>
  </si>
  <si>
    <t>60030553;60028186</t>
  </si>
  <si>
    <t>Gonnet P.</t>
  </si>
  <si>
    <t>Natural Sciences and Engineering Research Council of Canada</t>
  </si>
  <si>
    <t>0022460X</t>
  </si>
  <si>
    <t>Journal of Sound and Vibration</t>
  </si>
  <si>
    <t>Journal of Comparative Neurology</t>
  </si>
  <si>
    <t>Physics Letters, Section A: General, Atomic and Solid State Physics</t>
  </si>
  <si>
    <t>DE-AC03-76SF00098</t>
  </si>
  <si>
    <t>Villeneuve-d'Ascq</t>
  </si>
  <si>
    <t>Institut d'Electronique de Micro√©lectronique et de Nanotechnologie (IEMN)</t>
  </si>
  <si>
    <t>60008023;60003892;60003892;60008023</t>
  </si>
  <si>
    <t>6701607000;7406071323;57203046340;57193129444</t>
  </si>
  <si>
    <t>Savikhin, Sergei;Zhu, Yinwen;Blankenship, Robert E.;Struve, Walter S.</t>
  </si>
  <si>
    <t>Ames;Tempe</t>
  </si>
  <si>
    <t>Ames Laboratory;Arizona State University</t>
  </si>
  <si>
    <t>60008023;60003892</t>
  </si>
  <si>
    <t>Newcastle</t>
  </si>
  <si>
    <t>St John's</t>
  </si>
  <si>
    <t>Memorial University of Newfoundland</t>
  </si>
  <si>
    <t>Brussels</t>
  </si>
  <si>
    <t>Applied microwave magazine</t>
  </si>
  <si>
    <t>Journal of Electrical and Electronics Engineering, Australia</t>
  </si>
  <si>
    <t>Journal of Lightwave Technology</t>
  </si>
  <si>
    <t>IEEE Journal of Solid-State Circuits</t>
  </si>
  <si>
    <t>International Journal of Microwave and Millimeter-Wave Computer-Aided Engineering</t>
  </si>
  <si>
    <t>IEEE Transactions on Biomedical Engineering</t>
  </si>
  <si>
    <t>Russian Journal of Plant Physiology</t>
  </si>
  <si>
    <t>Kiev</t>
  </si>
  <si>
    <t>National Academy of Sciences in Ukraine</t>
  </si>
  <si>
    <t>Optics Letters</t>
  </si>
  <si>
    <t>7006366203;57203044171;35465847700;6601997352</t>
  </si>
  <si>
    <t>Boreman, Glenn D.;Dogariu, Aristide;Christodoulou, Christos;Kotter, Dale</t>
  </si>
  <si>
    <t>Boreman G.</t>
  </si>
  <si>
    <t>1559128X</t>
  </si>
  <si>
    <t>Applied Optics</t>
  </si>
  <si>
    <t>Koganei</t>
  </si>
  <si>
    <t>60015815;60015815</t>
  </si>
  <si>
    <t>6603678252;7006070055</t>
  </si>
  <si>
    <t>Ruoss, H. O.;Landstorfer, F. M.</t>
  </si>
  <si>
    <t>Stuttgart</t>
  </si>
  <si>
    <t>Universit√§t Stuttgart</t>
  </si>
  <si>
    <t>Ruoss H.</t>
  </si>
  <si>
    <t>Loughborough</t>
  </si>
  <si>
    <t>Loughborough University</t>
  </si>
  <si>
    <t>Lockyer D.</t>
  </si>
  <si>
    <t>Journal of the Chemical Society - Faraday Transactions</t>
  </si>
  <si>
    <t>Ithaca</t>
  </si>
  <si>
    <t>Cornell University</t>
  </si>
  <si>
    <t>Philadelphia</t>
  </si>
  <si>
    <t>Barzda V.</t>
  </si>
  <si>
    <t>60013983;60013983;60013983;60013983</t>
  </si>
  <si>
    <t>Chen Z.</t>
  </si>
  <si>
    <t>60004636;60004636;60004636</t>
  </si>
  <si>
    <t>7201983969;57218868885;7401505849</t>
  </si>
  <si>
    <t>Lim, B. W.;Korolkiewicz, E.;Scott, S.</t>
  </si>
  <si>
    <t>University of Northumbria</t>
  </si>
  <si>
    <t>Lim B.W.</t>
  </si>
  <si>
    <t>Vlasits T.</t>
  </si>
  <si>
    <t>60110693;60110693;60110693</t>
  </si>
  <si>
    <t>Communications Research Centre</t>
  </si>
  <si>
    <t>Petosa A.</t>
  </si>
  <si>
    <t>7006498545;7004922524;7006839683</t>
  </si>
  <si>
    <t>Antenna arrays | Dielectric resonators</t>
  </si>
  <si>
    <t>FEBS Letters</t>
  </si>
  <si>
    <t>60007257;60007257</t>
  </si>
  <si>
    <t>Heidelberg</t>
  </si>
  <si>
    <t>European Molecular Biology Laboratory Heidelberg</t>
  </si>
  <si>
    <t>Satellite Communications</t>
  </si>
  <si>
    <t>0960667X</t>
  </si>
  <si>
    <t>Microwave Engineering Europe</t>
  </si>
  <si>
    <t>Business and Commercial Aviation</t>
  </si>
  <si>
    <t>Belarus</t>
  </si>
  <si>
    <t>Minsk</t>
  </si>
  <si>
    <t>1053587X</t>
  </si>
  <si>
    <t>IEEE Transactions on Signal Processing</t>
  </si>
  <si>
    <t>Stoica P.</t>
  </si>
  <si>
    <t>['uniquely identified', 'steering vectors', 'potentially useful', 'lower bounds', 'derive upper']</t>
  </si>
  <si>
    <t>1036-1039</t>
  </si>
  <si>
    <t>DSO National Laboratories</t>
  </si>
  <si>
    <t>Tan K.</t>
  </si>
  <si>
    <t>Uniqueness study of measurements obtainable with arrays of electromagnetic vector sensors</t>
  </si>
  <si>
    <t>321-323</t>
  </si>
  <si>
    <t>89-92</t>
  </si>
  <si>
    <t>Bristol</t>
  </si>
  <si>
    <t>University of Bristol</t>
  </si>
  <si>
    <t>Regensburg</t>
  </si>
  <si>
    <t>Universit√§t Regensburg</t>
  </si>
  <si>
    <t>Kotelnikov Institute of Radioengineering and Electronics (IRE) of Russian Academy of Sciences</t>
  </si>
  <si>
    <t>Fryazino</t>
  </si>
  <si>
    <t>Kotel'nikov Institute of Radio Engineering and Electronics of Russian Academy of Sciences, Fryazino Branch</t>
  </si>
  <si>
    <t>['university budget', 'scientific goals', 'remote sensing', 'multireceiver configuration', 'led us', 'ionospheric studies', 'geophysical media', 'automatic control', 'antenna elements']</t>
  </si>
  <si>
    <t>IEEE Transactions on Geoscience and Remote Sensing</t>
  </si>
  <si>
    <t>6602653284;7103268728;7006401497;7801472719</t>
  </si>
  <si>
    <t>Six, M.;Parent, J.;Bourdillon, A.;Delloue, J.</t>
  </si>
  <si>
    <t>Six M.</t>
  </si>
  <si>
    <t>Army Research Office</t>
  </si>
  <si>
    <t>ARO</t>
  </si>
  <si>
    <t>Astronomy Reports</t>
  </si>
  <si>
    <t>P.N. Lebedev Physical Institute of the Russian Academy of Sciences</t>
  </si>
  <si>
    <t>60002959;60002959;60002959</t>
  </si>
  <si>
    <t>United States;Sweden</t>
  </si>
  <si>
    <t>Yaghjian A.</t>
  </si>
  <si>
    <t>60027550;60027550;60027550</t>
  </si>
  <si>
    <t>81-84</t>
  </si>
  <si>
    <t>1077260X</t>
  </si>
  <si>
    <t>IEEE Journal on Selected Topics in Quantum Electronics</t>
  </si>
  <si>
    <t>Los Angeles;New York</t>
  </si>
  <si>
    <t>University of California, Los Angeles;IEEE</t>
  </si>
  <si>
    <t>60027550;60000251</t>
  </si>
  <si>
    <t>60020547;60020547</t>
  </si>
  <si>
    <t>College Station</t>
  </si>
  <si>
    <t>Texas A&amp;M University</t>
  </si>
  <si>
    <t>EBU Technical Review</t>
  </si>
  <si>
    <t>University of Illinois at Chicago</t>
  </si>
  <si>
    <t>Lin J.</t>
  </si>
  <si>
    <t>14-26</t>
  </si>
  <si>
    <t>819-822</t>
  </si>
  <si>
    <t>60025578;60025578;60025578</t>
  </si>
  <si>
    <t>Xidian University</t>
  </si>
  <si>
    <t>Escuela T√©cnica Superior de Ingenieros de Telecomunicaci√≥n, Universidad Polit√©cnica de Madrid</t>
  </si>
  <si>
    <t>Proceedings of the National Academy of Sciences of the United States of America</t>
  </si>
  <si>
    <t>France;France;France;France</t>
  </si>
  <si>
    <t>13-18</t>
  </si>
  <si>
    <t>Minneapolis</t>
  </si>
  <si>
    <t>123-128</t>
  </si>
  <si>
    <t>['weight constraints', 'strong desire', 'single antenna', 'several systems', 'several antennas', 'opposing factors', 'new class', 'electronic warfare', 'article describes']</t>
  </si>
  <si>
    <t>The demand for increasingly sophisticated sensor and communications systems aboard military platforms has grown while space and weight constraints have become more stringent. These opposing factors have created a strong desire to reduce the number of associated antenna systems by combining the functions of several systems into a single antenna. Shared aperture antennas are a new class of phased array antennas that combine the functionality of several antennas into one aperture using wideband multiple beam technology. Applications for shared apertures include radar, communications, and electronic warfare. This article describes an experimental shared aperture antenna under development at the Applied Physics Laboratory. The antenna incorporates key shared aperture technologies, including wideband dual-polarized tapered notch radiating elements and dual-channel monolithic microwave integrated circuit receive modules.</t>
  </si>
  <si>
    <t>285-293</t>
  </si>
  <si>
    <t>Johns Hopkins APL Technical Digest (Applied Physics Laboratory)</t>
  </si>
  <si>
    <t>;;;</t>
  </si>
  <si>
    <t>6507712855;7102250599;7004691486;6508314368</t>
  </si>
  <si>
    <t>Axness, Timothy A.;Coffman, Robert V.;Kopp, Bruce A.;O'Haver, Kenneth W.</t>
  </si>
  <si>
    <t>Axness T.</t>
  </si>
  <si>
    <t>Shared aperture technology development</t>
  </si>
  <si>
    <t>2-s2.0-0012032925</t>
  </si>
  <si>
    <t>['transduction process', 'rhythm could', 'related cancers', 'pineal gland', 'pineal function', 'perhaps working', 'paper proposes', 'oncostimulating hormone', 'neoplastic process', 'important role', 'important chronoimmunomodulators', 'endocrine response', 'considered today', 'clinical immunodeficiencies', 'certain therapies', 'cephalic area', 'cancer patients', 'apparently emf', 'antenna effect']</t>
  </si>
  <si>
    <t>Cancer | Electromagnetic fields | Melatonin | Pineal</t>
  </si>
  <si>
    <t>The pineal gland is considered today as one of the main organs involved in the transduction process which converts environmental light information into an endocrine response. The gland and its hormone melatonin seem to be important chronoimmunomodulators, and a reduction of the latter was associated with experimental and clinical immunodeficiencies and over the control of the neoplastic process. Moreover, melatonin can be an oncostatic or oncostimulating hormone, depending on the timing of its administration. the melatonin circadian rhythm is altered in cancer patients, and this rhythm could be modified as a consequence of certain therapies. Also Electromagnetic Fields (EMF) can affect the pineal function, perhaps working as synchronizers or, as this paper proposes, also through action of the 'antenna effect' suggested for artificial human models, with a major energetic transfer over the cephalic area. The pineal could play an important role in the appearance and development of some forms of apparently EMF-related cancers.</t>
  </si>
  <si>
    <t>2033-2039</t>
  </si>
  <si>
    <t>Anticancer Research</t>
  </si>
  <si>
    <t>100438746-100844962;60029445</t>
  </si>
  <si>
    <t>7004827595;7201903788</t>
  </si>
  <si>
    <t>Ronco, Alvaro L.;Halberg, Franz</t>
  </si>
  <si>
    <t>United States;Uruguay;Uruguay</t>
  </si>
  <si>
    <t>Minneapolis;Montevideo;Montevideo</t>
  </si>
  <si>
    <t>University of Minnesota Twin Cities;National Institute of Oncology;National Institute of Oncology</t>
  </si>
  <si>
    <t>60029445;100844962;100438746</t>
  </si>
  <si>
    <t>Ronco A.L.</t>
  </si>
  <si>
    <t>The pineal gland and cancer</t>
  </si>
  <si>
    <t>2-s2.0-0029741983</t>
  </si>
  <si>
    <t>['sp .,', 'six species', 'similar characters', 'madeira islands', 'infralittoral demospongia', 'francis group', 'first time', 'endobiontic life', 'canary islands', 'breviantennata hartmann', 'aquadulcensis n', '.) aquadulcensis']</t>
  </si>
  <si>
    <t>We report on six species of the genus Exogone √ñrsted, 1845, living inside cavities of some infralittoral demospongia with a massive growth form, collected from the Canary and Madeira Islands: E (Exagone) breviantennata Hartmann-Schr√∂der, 1959, E. (E.) lourei Berkeley &amp; Berkeley, 1948, E. (E.) naidina √ñrsted, 1845, E. (E.) rostrata Naville, 1933, E. (E) marisae, n. sp., and E. (Sylline) aquadulcensis n. sp. Exogone (E.) rostrata is reported for the first time for the Canary Islands, and E. (E.) lourei for Madeira. Two new species are described, E. (E.) marisae and E. (S.) aquadulcensis; both species have similar characters for adaptation to endobiontic life in sponges: reduction in size of antennae and atrophy of the compound setae blades. ¬© 1996 Taylor &amp; Francis Group, LLC.</t>
  </si>
  <si>
    <t>67-80</t>
  </si>
  <si>
    <t>Ophelia</t>
  </si>
  <si>
    <t>60003044;60003044;60026796</t>
  </si>
  <si>
    <t>7102302645;7201854598;7003654437</t>
  </si>
  <si>
    <t>Pascual, M.;N√∫√±ez, J.;San Mart√≠n, G.</t>
  </si>
  <si>
    <t>Madrid;San Cristobal de La Laguna</t>
  </si>
  <si>
    <t>Universidad Aut√≥noma de Madrid;Universidad de la Laguna</t>
  </si>
  <si>
    <t>60026796;60003044</t>
  </si>
  <si>
    <t>Pascual M.</t>
  </si>
  <si>
    <t>Exogone (polychaeta: Syllidae: Exogoninae) Endobiontics of sponges from the canary and madeira islands with description of two new species</t>
  </si>
  <si>
    <t>10.1080/00785326.1996.10432463</t>
  </si>
  <si>
    <t>2-s2.0-0029778147</t>
  </si>
  <si>
    <t>['various ground', 'validation procedures', 'transmission matrices', 'tokyo institute', 'theoretically investigated', 'radio interference', 'properly calibrated', 'present cispr', 'plane conditions', 'oscillatory envelope', 'november 1995', 'new factors', 'measuring facilities', 'little effect', 'linear response', 'impedance matrix', 'fourier analysis', 'found inappropriate', 'focused specifically', 'experimental results', 'experimental investigations', 'existing method', 'emi antennas', 'electromagnetic interference', 'different types', 'cispr specifications', 'calibration procedures', 'balun constructions', 'apparatus currently', 'antenna dimensions', 'antenna coupling', 'antenna circuits', '0 db']</t>
  </si>
  <si>
    <t>Antenna calibration | Dipole antenna | EMC measurement | EMI measurement</t>
  </si>
  <si>
    <t>Theoretical and experimental investigations were made of the characteristics of electromagnetic interference (EMI) measuring facilities which may cause significant errors in practical radiated EMI measurements. The analyses were focused specifically on the quasi-peak (QP) and average measuring receivers, the validation procedures of EMI test sites, and the calibration procedures of EMI antennas. The findings are as follows: (1) Numerical analysis revealed that a measuring receiver using an envelope-QP detector cannot easily satisfy the present CISPR (International Special Committee on Radio Interference) specifications. To remedy this, guidelines are given on the design of an envelope-QP measuring apparatus. (2) Recurrent pulse responses of an average measuring receiver were studied using computer simulation and Fourier analysis. Some apparatus currently on the market were found to not comply with the CISPR requirements partly because of the non-linear response of the detector and partly because of the oscillatory envelope of the intermediate frequency output. (3) Numerical analysis using the moment method showed that antenna dimensions and balun constructions of EMI dipole antennas have little effect on antenna factor height patterns. Different types of dipole antennas may cause an uncertainty of less than 1.0 dB in actual EMI measurements if they are properly calibrated. (4) The site attenuation measurements for test site validation were theoretically investigated in terms of an impedance matrix and transmission matrices for antenna coupling and antenna circuits, respectively. The concept of the normalized site attenuation (NSA) is found not applicable to measurements using tuned dipole antennas. (5) Classical site attenuation was computed under various ground-plane conditions, and yielded excellent agreement between the theoretical and experimental results. (6) The existing NSA correction factors listed in the standards are found inappropriate and new factors are proposed for various measurement configurations. (7) It is shown that the EMI antenna calibration procedure known as the standard site method cannot be applied to antennas having height-dependent antenna factors. Hence, an improvement to the existing method is proposed. These results were discussed in the Japanese Telecommunication Technology Council and the CISPR, and some of them have already been included in the relevant national regulations and CISPR specifications. This is a doctoral thesis submitted to Tokyo Institute of Technology in November 1995.</t>
  </si>
  <si>
    <t>181-289</t>
  </si>
  <si>
    <t>Journal of the Communications Research Laboratory</t>
  </si>
  <si>
    <t>Sugiura, Akira</t>
  </si>
  <si>
    <t>Electromagnetic Technology Division</t>
  </si>
  <si>
    <t>Sugiura A.</t>
  </si>
  <si>
    <t>Study of the characteristics of radiated EMI measuring facilities</t>
  </si>
  <si>
    <t>2-s2.0-0030180465</t>
  </si>
  <si>
    <t>['type antenna', 'space robots', 'scale antennas', 'experiment system', 'assembling mechanism', 'assembling large']</t>
  </si>
  <si>
    <t>Antenna Assembling | ETS-VII | Space robot | Teleoperation</t>
  </si>
  <si>
    <t>Space robots are effective for assembling large-scale antennas in the space. Antenna assembling mechanism is scheduled to be tested on Engineering Test Satellite VII (ETS-VII) to examine basic space robotics technology as well as the assembling mechanism of assembling-type antenna. In this paper, we introduce the experiment and the progress of development of the experiment system.</t>
  </si>
  <si>
    <t>127-136</t>
  </si>
  <si>
    <t>100652156;100652156;;;;</t>
  </si>
  <si>
    <t>55704815700;7202906328;24829851900;57218979651;55724594000;56102609000</t>
  </si>
  <si>
    <t>Kimura, Shinichi;Okuyama, Toshiyuki;Tsuchiya, Shigeru;Takahashi, Tetsuo;Suzuki, Yoshiaki;Arimoto, Yoshinori</t>
  </si>
  <si>
    <t>Space Communications System Section</t>
  </si>
  <si>
    <t>Kimura S.</t>
  </si>
  <si>
    <t>Experiment on antenna assembling mechanism on ETS-VII - Ground test on assembling mechanism and teleoperation system</t>
  </si>
  <si>
    <t>2-s2.0-0030181022</t>
  </si>
  <si>
    <t>['thz radiation', 'photoconductive antennas', 'gaseous molecule', 'emission spectra', 'emission properties', 'domain spectroscopy', 'different designs', 'detection system', 'coherent time', 'ch3cn ).', '1012 hz']</t>
  </si>
  <si>
    <t>Coherent time-domain | Femtosecond laser | Low-temperature grown GaAs | Photomixing | Spectroscopy | Terahertz radiation | Ultrafast photoconductive antenna</t>
  </si>
  <si>
    <t>Terahertz (THz = 1012 Hz) radiation was generated and detected by exciting ultrafast photoconductive antennas with femtosecond laser pulses. Emission properties for different designs of photoconductive antennas were characterized by measuring their emission spectra and power. The generation and detection system of THz radiation was applied for the coherent time-domain spectroscopy of a gaseous molecule (CH3CN).</t>
  </si>
  <si>
    <t>151-162</t>
  </si>
  <si>
    <t>100332829;100842769;100842769</t>
  </si>
  <si>
    <t>7202550229;56675377000;7404662230</t>
  </si>
  <si>
    <t>Tani, Masahiko;Matsuura, Shuji;Sakai, Kiyomi</t>
  </si>
  <si>
    <t>;Hyogo Prefecture</t>
  </si>
  <si>
    <t>Laboratory for Quantum Electronics;Kansai Advanced Research Cent</t>
  </si>
  <si>
    <t>100842769;100332829</t>
  </si>
  <si>
    <t>Generation and detection of terahertz radiation by using ultrafast photoconductive antennas</t>
  </si>
  <si>
    <t>2-s2.0-0030181151</t>
  </si>
  <si>
    <t>['tokamak plasmas', 'tftr antenna', 'recessed cavity', 'parasitic coupling', 'large gradients', 'investigated using', 'antenna coupling']</t>
  </si>
  <si>
    <t>Parasitic coupling to the ion Bernstein wave during fast wave heating is investigated using the WICS computer code. The WICS code models ion cyclotron range of frequencies (ICRF) antenna coupling to tokamak plasmas for phased coil antenna arrays in a recessed cavity. The antenna radiation resistance and the spectrum of the ICRF power coupled to the plasma are calculated. Parasitic coupling to the ion Bernstein wave is shown to be important for low parallel wavenumbers during minority ion heating with large gradients in the plasma density near the edge of the plasma. Results are presented for TFTR antenna and plasma parameters using experimental data.</t>
  </si>
  <si>
    <t>881-890</t>
  </si>
  <si>
    <t>6701356958;7005335418</t>
  </si>
  <si>
    <t>Bettenhausen, M. H.;Scharer, J. E.</t>
  </si>
  <si>
    <t>Bettenhausen M.</t>
  </si>
  <si>
    <t>Simulation of parasitic edge ion Bernstein wave coupling during fast wave heating</t>
  </si>
  <si>
    <t>10.1088/0029-5515/36/7/I05</t>
  </si>
  <si>
    <t>2-s2.0-0030181241</t>
  </si>
  <si>
    <t>['rf performance', 'programme video', 'particular focus', 'paper describes', 'media services', 'main characteristics', 'including thematic', 'harmonised family', 'etsi standards', 'direct contribution', 'cable tv', 'bird 1']</t>
  </si>
  <si>
    <t>The European DVB Project has defined an harmonised family of ETSI Standards for transmission of multi-programme video and multi-media services over various broadcasting media, such as for example the satellites, the Cable TV (CATV) networks, the Satellite Master Antenna Systems (SMATV) and the terrestrial UHF channels. The paper describes the main characteristics and RF performance of these systems, with particular focus on the direct contribution of the RAI Research Centre in the study and definition of the standards. The activities of the RAI Research Centre for the introduction of pre-operative digital services via the Hot-bird 1 and Hot-bird 2 Eutelsat satellites are highlighted, including thematic and educational television programmes and 'datacast' services.</t>
  </si>
  <si>
    <t>ABU Technical Review</t>
  </si>
  <si>
    <t>6701454411;7005087182</t>
  </si>
  <si>
    <t>Cominetti, Mario;Morello, Alberto</t>
  </si>
  <si>
    <t>Cominetti M.</t>
  </si>
  <si>
    <t>Digital television broadcasting (DVB) via terrestrial and satellite channels</t>
  </si>
  <si>
    <t>2-s2.0-0030181420</t>
  </si>
  <si>
    <t>NSC-85-2215-E-009-035</t>
  </si>
  <si>
    <t>['uses cl2', 'trenching effect', 'thick oxides', 'si substrate', 'oxide selectivity', 'novel technique', 'mos capacitors', 'gate oxide', 'etching system', 'ecr system', 'ebd degradation', 'directly bombarded', 'charging damage']</t>
  </si>
  <si>
    <t>A novel technique, which uses Cl2/O2 mixed gas in the electron cyclotron resonance (ECR) etching system, has been proposed to remove the antenna charging effect of the MOS capacitors with 5-nm-thick oxides during polysilicon gate etching. The Cl2/O2 can cause the trenching effect and prevents the gate oxide from the charging damage. Furthermore, the ECR system can provide high polysilicon/oxide selectivity so that the Si substrate under gate oxide is not directly bombarded by the ions. Consequently, the Ebd degradation of the MOS capacitors disappears as the trenching effect is apparent by using moderate Cl2/O2 mixed gas.</t>
  </si>
  <si>
    <t>338-340</t>
  </si>
  <si>
    <t>IEEE Electron Device Letters</t>
  </si>
  <si>
    <t>60012370-60000251;60012370;60012370;60015761-60000251;60015761</t>
  </si>
  <si>
    <t>57083252500;7402968506;36756661500;35108759100;7409441445</t>
  </si>
  <si>
    <t>Cheng, Huang Chung;Kang, Tzong Kuei;Ku, Tzun Kun;Dai, Bau Tong;Chen, Liang Po</t>
  </si>
  <si>
    <t>Taiwan;Taiwan;United States</t>
  </si>
  <si>
    <t>Hsinchu;Hsinchu;New York</t>
  </si>
  <si>
    <t>National Nano Device Laboratories Taiwan;National Chiao Tung University;IEEE</t>
  </si>
  <si>
    <t>60015761;60012370;60000251</t>
  </si>
  <si>
    <t>Cheng H.C.</t>
  </si>
  <si>
    <t>A novel technology to reduce the antenna charging effects during polysilicon gate electron-cyclotron-resonance etching</t>
  </si>
  <si>
    <t>S0741310696053128</t>
  </si>
  <si>
    <t>10.1109/55.506360</t>
  </si>
  <si>
    <t>2-s2.0-0030182279</t>
  </si>
  <si>
    <t>['small aircraft', 'research institute', 'research group', 'horizon radar', 'ground wave', '120 km', '100 km', '10 kw', '1 kw']</t>
  </si>
  <si>
    <t>The ground wave over-the-horizon radar (GW-OTHR) operating at high frequency band can detect OTH moving targets using vertically polarized electromagnetic wave. In addition, this system can predict the direction of the wind on sea and sense the sea state remotely. The results of many experiments conducted by the research group of Research Institute of Electronics Engineering indicate that this system can detect and track small naval ship far away to 120 km and small aircraft at a very low altitude far away to 100 km with transmitting power less than 1 kW and 10 kW, respectively.</t>
  </si>
  <si>
    <t>Chinese Journal of Electronics</t>
  </si>
  <si>
    <t>Target detection and tracking with a ground wave over-the-horizon radar</t>
  </si>
  <si>
    <t>2-s2.0-0030182760</t>
  </si>
  <si>
    <t>['sum pattern', 'simple hardware', 'difference pattern', 'central horn', 'cassegrain antenna']</t>
  </si>
  <si>
    <t>Helices | Horn | Tracking Feed</t>
  </si>
  <si>
    <t>This is a simple wide band feed system for a cassegrain antenna , consisting of a central horn and combination of helices. This system provides near optimum charateristics for sum pattern and also has the advantage of simple hardware for difference pattern.</t>
  </si>
  <si>
    <t>Journal of Spacecraft Technology</t>
  </si>
  <si>
    <t>60023345-60026157-100775692;60023345;60023345</t>
  </si>
  <si>
    <t>6506771759;6701776440;55701310200</t>
  </si>
  <si>
    <t>Ramalakshmi, V.;Seetharaman, G. S.;Reddy, P. K.</t>
  </si>
  <si>
    <t>India;India;India</t>
  </si>
  <si>
    <t>Coimbatore;Bengaluru;Hassan</t>
  </si>
  <si>
    <t>PSG College of Technology;Indian Space Research Organization;Master Control Facility</t>
  </si>
  <si>
    <t>60026157;60023345;100775692</t>
  </si>
  <si>
    <t>Ramalakshmi V.</t>
  </si>
  <si>
    <t>Tracking feed with central horn and peripheral helices</t>
  </si>
  <si>
    <t>2-s2.0-0030189450</t>
  </si>
  <si>
    <t>['transmission lines', 'routine cable', 'measure distance', 'fdr represents', 'antenna maintenance']</t>
  </si>
  <si>
    <t>Frequency domain reflectometry (FDR) was applied to routine cable/antenna maintenance. FDR represents an opportunity for substantial cost savings by locating problems quickly and allowing them to be repaired before permanent damage results. A small, hand-held precision analysis tool that uses FDR technology to measure distance-to-fault (DTF), return loss and actual return loss on transmission lines and antennas is described.</t>
  </si>
  <si>
    <t>Dong, Cynthia</t>
  </si>
  <si>
    <t>Morgan City</t>
  </si>
  <si>
    <t>Wiltron Co</t>
  </si>
  <si>
    <t>Dong C.</t>
  </si>
  <si>
    <t>Frequency domain reflectometry: An old concept with a new application</t>
  </si>
  <si>
    <t>2-s2.0-0030189815</t>
  </si>
  <si>
    <t>['thin wire', 'physical realisation', 'model agree', 'maintained despite', 'fixed structures', 'field measurements', 'fdtd grid', 'far fields', 'computed predictions', 'broad application', 'arbitrary orientations', 'accurate near']</t>
  </si>
  <si>
    <t>The implementation of a generic mobile telephone handset model in the Finite Difference Time Domain (FDTD) method for computation of electromagnetic field distributions is described. The handset can be rotated about the principal FDTD axes to achieve any orientation. The 'thin wire' technique is used to model the antenna in a way that ensures that its correct electrical length is maintained despite the 'staircasing' effect of the FDTD grid. Computed predictions from the model agree with near-field measurements on a physical realisation of the handset, and accurate near and far fields are calculated for arbitrary orientations of the handset. It is concluded that this wire rotation technique has broad application to problems involving components that are required to move in relation to fixed structures.</t>
  </si>
  <si>
    <t>Applied Computational Electromagnetics Society Journal</t>
  </si>
  <si>
    <t>60008524;60008524;60008524-60009658</t>
  </si>
  <si>
    <t>7006824457;7005741824;7202097583</t>
  </si>
  <si>
    <t>Excell, P. S.;Olley, P.;Jackson, N. N.</t>
  </si>
  <si>
    <t>Swindon;Bradford</t>
  </si>
  <si>
    <t>Defence College of Management and Technology;University of Bradford</t>
  </si>
  <si>
    <t>60009658;60008524</t>
  </si>
  <si>
    <t>Excell P.</t>
  </si>
  <si>
    <t>Modelling of an arbitrarily-oriented mobile telephone handset in the Finite-Difference Time-Domain field computation method</t>
  </si>
  <si>
    <t>2-s2.0-0030190961</t>
  </si>
  <si>
    <t>84-NSPO-A-RDD-009-01</t>
  </si>
  <si>
    <t>['surrounding structure', 'slot line', 'propagation properties', 'like modes', 'like mode', 'leaky mode', 'field distribution']</t>
  </si>
  <si>
    <t>Propagation properties of the surface-wave-like mode in slot line are investigated with the spectral domain analysis. This surface-wave-like mode is an odd dominant mode with a magnetic wall symmetric plane placed at the center of the slot. Its field distribution is similar to that of the TM0 mode supported by the surrounding structure. It exists in the lower frequency regime and evolves into a nonphysical and nonspectral real mode in the higher frequency regime. Unlike other surface-wave-like modes in planar transmission line, the surface-wave-like mode in slot line does not evolve into a leaky mode.</t>
  </si>
  <si>
    <t>259-261</t>
  </si>
  <si>
    <t>60012370;60000251-60012370</t>
  </si>
  <si>
    <t>7004999780;57209831312</t>
  </si>
  <si>
    <t>Sheen, Jyh Wen;Lin, Yu De</t>
  </si>
  <si>
    <t>Hsinchu;New York</t>
  </si>
  <si>
    <t>National Chiao Tung University;IEEE</t>
  </si>
  <si>
    <t>60012370;60000251</t>
  </si>
  <si>
    <t>Sheen J.</t>
  </si>
  <si>
    <t>Surface-wave-like mode in slot line</t>
  </si>
  <si>
    <t>S1051820796053238</t>
  </si>
  <si>
    <t>10.1109/75.502286</t>
  </si>
  <si>
    <t>2-s2.0-0030190967</t>
  </si>
  <si>
    <t>['visual impact', 'traffic capacity', 'three aspects', 'surrounding environment', 'smaller cells', 'small cells', 'rapid growth', 'potential barriers', 'marked effect', 'likely impact', 'gsm system', 'future exploitation', 'current guidelines', 'cellular radio', 'cellular growth', 'bt laboratories']</t>
  </si>
  <si>
    <t>There has been rapid growth of cellular telephone systems throughout the world over the past few years. This has led to increased public awareness of possible electromagnetic compatibility (EMC) problems, fears about the effects on health and the visual impact of base station radio antennas on the surrounding environment. These three aspects are felt to be the main environmental issues and potential barriers to future exploitation of cellular radio. The EU EMC Directive (mandatory from 1.1.96) stipulates equipment immunity standards which will go some way to alleviating interference problems, but cellular growth itself is likely to have the most marked effect on all cellular environmental issues, because radio transmission power levels will be reduced as traffic capacity is increased through the use of smaller cells and less obvious antennas. This paper presents work performed at BT Laboratories on cellular radio EMC modelling of the GSM system, current guidelines on exposure to radio frequency transmissions, and the likely impact of evolving from large to small cells.</t>
  </si>
  <si>
    <t>132-141</t>
  </si>
  <si>
    <t>BT Technology Journal</t>
  </si>
  <si>
    <t>60014174-101923315</t>
  </si>
  <si>
    <t>Tattersall, P. R.</t>
  </si>
  <si>
    <t>United Kingdom;</t>
  </si>
  <si>
    <t>Ipswich;</t>
  </si>
  <si>
    <t>British Telecom Research Lab;Cellular Systems Development Unit</t>
  </si>
  <si>
    <t>60014174;101923315</t>
  </si>
  <si>
    <t>Tattersall P.</t>
  </si>
  <si>
    <t>Cellular environmental issues</t>
  </si>
  <si>
    <t>2-s2.0-0030193425</t>
  </si>
  <si>
    <t>['simulation techniques', 'published data', 'problem geometry', 'new procedure', 'new method', 'near zone', 'finds use', 'comparisons show', 'aperture radiation', 'aperture fields', 'antenna design', 'accurate even']</t>
  </si>
  <si>
    <t>The Finite Element Method with second order Absorbing Boundary Condition is a recently developed computational technique that finds use in antenna design and Electromagnetic Compatibility simulation. To determine the accuracy of this new procedure, the problem of aperture radiation was studied. The near zone and aperture fields of a waveguide antenna computed using the Finite Element Method are compared with published data and results found using other simulation techniques. These comparisons show that the new method is accurate even when the ABC boundary conforms to the problem geometry and is placed as near as Œª/2œÄ to the aperture.</t>
  </si>
  <si>
    <t>14-19</t>
  </si>
  <si>
    <t>60009469;60009469-60028873;60009469</t>
  </si>
  <si>
    <t>6701429640;7402202215;7005671862</t>
  </si>
  <si>
    <t>Silvestro, John;Yuan, Xingchao;Cendes, Zoltan</t>
  </si>
  <si>
    <t>San Jose;Pittsburgh</t>
  </si>
  <si>
    <t>Cadence Design Systems;Ansoft Corporation</t>
  </si>
  <si>
    <t>60028873;60009469</t>
  </si>
  <si>
    <t>Silvestro J.</t>
  </si>
  <si>
    <t>Accuracy of the Finite Element Method with second order Absorbing Boundary Conditions for the solution of aperture radiation problems</t>
  </si>
  <si>
    <t>2-s2.0-0030194065</t>
  </si>
  <si>
    <t>['using gps', 'space vehicle', 'software employed', 'simulating calculation', 'receiving condition', 'introduced first', 'gps applied', 'certain place', 'applied altitude', 'also make', 'also given']</t>
  </si>
  <si>
    <t>GPS | Navigational Satellite | Radiant Angle of GPS Satelite Antenna | Space Vehicle | Visible Satellite</t>
  </si>
  <si>
    <t>In this paper, the advantages and development of GPS applied in a space vehicle are introduced first. Then, the software employed to calculate the applied altitude of GPS in a space vehicle is explained. The detailed software flowchart is also given, and the process of choosing used GPS satellites is described in detail. In order to study the receiving condition in a space vehicle, we also make a simulating calculation with our software. The results of receiving GPS satellites over a certain place are given. The paper has not only the value for using GPS in a space vehicle, but also the significance for an aircraft whose navigation system is GPS.</t>
  </si>
  <si>
    <t>35-38</t>
  </si>
  <si>
    <t>60003977-112494643-112494475;60003977-60007902;60003977-112496769</t>
  </si>
  <si>
    <t>37109210300;57200052218;55448941800</t>
  </si>
  <si>
    <t>Li, Xiangpeng;Wang, Yongsheng;Gao, Lu</t>
  </si>
  <si>
    <t>Germany;China;;;</t>
  </si>
  <si>
    <t>Braunschweig;Xi'an;;;</t>
  </si>
  <si>
    <t>Technische Universit√§t Braunschweig;Northwestern Polytechnical University;NPU;Chinese Society of Aviation;Chinese Society of Astronautics</t>
  </si>
  <si>
    <t>60007902;60003977;112496769;112494643;112494475</t>
  </si>
  <si>
    <t>Li X.</t>
  </si>
  <si>
    <t>The radiant angle of GPS satellite antenna affecting the applied altitude of GPS in a space vehicle</t>
  </si>
  <si>
    <t>10.1109/62.533971</t>
  </si>
  <si>
    <t>2-s2.0-0030194195</t>
  </si>
  <si>
    <t>['wire antennas', 'useful applications', 'successfully validated', 'small number', 'several geometries', 'radiation patterns', 'precisely defined', 'parametric surfaces', 'nurbs surfaces', 'moment method', 'bp allows', 'bp ).', 'board resonant', 'attachment region', 'approach may']</t>
  </si>
  <si>
    <t>A Moment Method (MM) technique for the analysis of wire antennas on board resonant-sized bodies modelled with parametric surfaces is presented. The approach may have useful applications for the study of the behaviour of wire antennas on board complex conducting structures like aircrafts. The current is represented by curved rooftop functions on the body, piecewise linear functions on the wires and a new junction function in the attachment region between the body and the antenna. The bodies are precisely defined by means of a small number of NURBS surfaces (Non Uniform Rational B-Splines) and B√©zier patches (BP). In addition the new junction function that can be defined over any BP allows the antenna to be attached to any part of the body. Radiation patterns and input impedance calculations for several geometries are presented to show the accuracy of the method. The results are successfully validated when comparisons with measurements or results from other methods are carried out.</t>
  </si>
  <si>
    <t>32-39</t>
  </si>
  <si>
    <t>60015179;60015179;60015179</t>
  </si>
  <si>
    <t>7006573616;7005550631;15842946800</t>
  </si>
  <si>
    <t>Rivas, F.;Valle, L.;C√°tedra, M. F.</t>
  </si>
  <si>
    <t>Santander</t>
  </si>
  <si>
    <t>Universidad de Cantabria</t>
  </si>
  <si>
    <t>Rivas F.</t>
  </si>
  <si>
    <t>A Moment Method formulation for the analysis of wire antennas attached to arbitrary conducting bodies defined by parametric surfaces</t>
  </si>
  <si>
    <t>2-s2.0-0030196377</t>
  </si>
  <si>
    <t>['paper describes', 'microwave frequencies', 'materials meant', 'dielectric constant', 'antenna radome', 'aerospace application']</t>
  </si>
  <si>
    <t>This paper describes a method of determination of dielectric constant of thin dielectric materials at microwave frequencies. This method was used for the measurement on materials meant for antenna radome for aerospace application.</t>
  </si>
  <si>
    <t>28-30</t>
  </si>
  <si>
    <t>6507011450;6602466187</t>
  </si>
  <si>
    <t>Mruthyunjaya, L.;Suryanarayana Rao, K. N.</t>
  </si>
  <si>
    <t>Mruthyunjaya L.</t>
  </si>
  <si>
    <t>Measurement of dielectric constant of aerospace dielectric materials</t>
  </si>
  <si>
    <t>2-s2.0-0030196827</t>
  </si>
  <si>
    <t>['various applications', 'paper addresses', 'nec ).', 'national codes', 'input impedance', 'ferm code', 'complex helicopters', 'antenna analysis']</t>
  </si>
  <si>
    <t>The Finite Element Radiation Model (FERM) code is applied to examine radiation patterns and input impedance of various antenna configurations on complex helicopters. This paper addresses the strengths and weaknesses of the FERM code when applied in antenna analysis and is compared with other national codes, such as the Numerical Electromagnetics Code (NEC). In addition, guidelines are outlined for various applications of the code.</t>
  </si>
  <si>
    <t>60003892;60003892;60003892;60003892</t>
  </si>
  <si>
    <t>7202703349;35583458100;54680055300;6701682267</t>
  </si>
  <si>
    <t>Medina, Marcos C.;Balanis, Constantine A.;Peng, Jian;Tirkas, Panayiotis A.</t>
  </si>
  <si>
    <t>Medina M.</t>
  </si>
  <si>
    <t>Analysis of the Finite Element Radiation Model code for antenna modeling</t>
  </si>
  <si>
    <t>2-s2.0-0030197137</t>
  </si>
  <si>
    <t>['weibull model', 'statistical characteristics', 'signal statistics', 'sea clutter', 'scattered fields', 'scattered field', 'roughly divided', 'perpendicular direction', 'particular attention', 'orientation angle', 'numerical calculations', 'like surface', 'large number', 'incoherent returns', 'incident wavelength', 'gaussian model', 'forward direction', 'footprint size', 'ensemble samples', 'backward direction', 'approaches rayleigh', '45 ¬∞,', '135 ¬∞,']</t>
  </si>
  <si>
    <t>The statistical characteristics of bistatics sea clutter were analyzed by means of Monte Carlo simulation of EM wave scattering. Only the incoherent returns were considered. Particular attention was given to the effects of the size of the antenna footprint illuminating the surface on sea clutter. Relative to the incident wavelength, the footprint was roughly divided into three different sizes: small, medium and large. To conduct the study, a semi-empirical sea spectrum suitable for microwave radar scatter was used to synthesis a sea-like surface. As a result, 1100 ensemble samples were generated. Numerical calculations of the scattered fields were then performed by using the standard moment method. A large number of ensemble samples of a scattered field were then collected, followed by a least square fit to commonly used statistical models to find the best fitted model. It was found that in the backward direction, the signal statistics of the field envelope followed the Weibull model. It approaches Rayleigh when the footprint size increased. In addition, the means and variance of the scattered field strength decreased. In the forward direction and with an orientation angle of 135¬∞, the Gamma model best matches the return envelope regardless of the footprint size. As the orientation angle was switched to 45¬∞, the signal distribution approaches the Gaussian model. Reducing the footprint size, however, leads to the Weibull distribution even in the forward direction. In the perpendicular direction, Weibull generally best describes the clutter. Rationale of these observations were given in this paper.</t>
  </si>
  <si>
    <t>452-464</t>
  </si>
  <si>
    <t>Proceedings of the National Science Council, Republic of China, Part A: Physical Science and Engineering</t>
  </si>
  <si>
    <t>Chen, Kun Shan</t>
  </si>
  <si>
    <t>Taoyuan</t>
  </si>
  <si>
    <t>National Central University</t>
  </si>
  <si>
    <t>Chen K.</t>
  </si>
  <si>
    <t>Effects of the antenna footprint size on radar sea clutter</t>
  </si>
  <si>
    <t>2-s2.0-0030197239</t>
  </si>
  <si>
    <t>['microwave energy', 'healthy dogs', 'femoral approach', 'carotid approach', 'block consistently', '5 treatments', '30 w']</t>
  </si>
  <si>
    <t>Atrioventricular block | Cardiac arrhythmia | Dogs | Microwaves</t>
  </si>
  <si>
    <t>In this study, a transcatheter microwave system with a hemi-ellipsoidal tipped catheter antenna has been used to induce an atrioventricular (AV) block consistently in healthy dogs. A complete AV block is induced in six dogs using the femoral approach and in four dogs using the carotid approach. The successful application consisted of 1-5 treatments of 30 W of microwave energy in 7-11 s (210-330 J per treatment).</t>
  </si>
  <si>
    <t>295-298</t>
  </si>
  <si>
    <t>Medical and Biological Engineering and Computing</t>
  </si>
  <si>
    <t>60027561;60014232;60027561;60014232</t>
  </si>
  <si>
    <t>7501724941;7003424281;57200051431;16937509800</t>
  </si>
  <si>
    <t>Lin, J. C.;Hariman, R. J.;Wang, Y. J.;Wang, Y. G.</t>
  </si>
  <si>
    <t>Chicago;</t>
  </si>
  <si>
    <t>University of Illinois at Chicago;VA Medical Center</t>
  </si>
  <si>
    <t>60027561;60014232</t>
  </si>
  <si>
    <t>Microwave catheter ablation of the atrioventricular junction in closed-chest dogs</t>
  </si>
  <si>
    <t>10.1007/BF02511241</t>
  </si>
  <si>
    <t>2-s2.0-0030198486</t>
  </si>
  <si>
    <t>['visible light', 'subnanostructure consists', 'range corresponding', 'predicted relation', 'optical sensor', 'new kind', 'incident light', 'fabricated subnanostructure', 'dipole element', 'also observed']</t>
  </si>
  <si>
    <t>In this article, we report the first experimental observation of resonance light absorption by a fabricated subnanostructure and high frequency rectification in the range corresponding to that of visible light. The subnanostructure consists of a parallel dipole antenna array. A resonance peak signal of short circuit current was observed. This peak signal appeared only at the polarization of incident light parallel to the dipole element. The short circuit peak signal was also observed at a photon energy less than that of the optical band gap. The peak angle exhibited the predicted relation with the wavelength of the incident light. These experimental observations open an avenue to the fabrication of a high efficiency solar cell, as well as a new kind of optical sensor. ¬© 1996 American Institute of Physics.</t>
  </si>
  <si>
    <t>565-568</t>
  </si>
  <si>
    <t>60020547;60020547;60020547</t>
  </si>
  <si>
    <t>7401700241;6701339262;35516296300</t>
  </si>
  <si>
    <t>Lin, Guang H.;Abdu, Reyimjan;Bockris, John O.M.</t>
  </si>
  <si>
    <t>Lin G.</t>
  </si>
  <si>
    <t>Investigation of resonance light absorption and rectification by subnanostructures</t>
  </si>
  <si>
    <t>10.1063/1.362762</t>
  </si>
  <si>
    <t>2-s2.0-0037933781</t>
  </si>
  <si>
    <t>['transmitter power', 'limit corresponds', 'extraterrestrial intelligence', '75 ghz', '107 stars']</t>
  </si>
  <si>
    <t>We have used the Parkes radio telescope to observe three fields in the Small Magellanic Cloud encompassing &gt; 107 stars, looking for signals that could be ascribed to extraterrestrial intelligence. No narrow-band (‚â§1 Hz) continuous or slowly-pulsed emissions greater than ‚âà19 Jy were detected in the observed spectral band of 1.2-1.75 GHz. This limit corresponds to a transmitter power of ‚âà 5 X105 MW for a 100 m antenna at the distance of the SMC (EIRP of ‚âà 1.5 1012 MW). ¬© 1996 American Astronomical Society.</t>
  </si>
  <si>
    <t>164-166</t>
  </si>
  <si>
    <t>60007478;60005920;60017803</t>
  </si>
  <si>
    <t>7003702798;7003693235;6602289292</t>
  </si>
  <si>
    <t>Shostak, Seth;Ekers, Ron;Vaile, Roberta</t>
  </si>
  <si>
    <t>Australia;United States;Australia</t>
  </si>
  <si>
    <t>Penrith;Mountain View;Sydney</t>
  </si>
  <si>
    <t>Western Sydney University;SETI Institute;Australia Telescope National Facility</t>
  </si>
  <si>
    <t>60017803;60007478;60005920</t>
  </si>
  <si>
    <t>Shostak S.</t>
  </si>
  <si>
    <t>A search for artificial signals from the Small Magellanic Cloud</t>
  </si>
  <si>
    <t>10.1086/117996</t>
  </si>
  <si>
    <t>2-s2.0-0039468329</t>
  </si>
  <si>
    <t>['waves scattered', 'two points', 'transceiver antenna', 'rough surface', 'kirchhoff approximation', 'generalized correlator', 'dimensional case', 'different instants', 'angle tangents', 'analytic expressions']</t>
  </si>
  <si>
    <t>The correlation of waves scattered by a rough surface is studied on the basis of the Kirchhoff approximation. For the generalized correlator of backscatter multifrequency fields observed at two points and at different instants, analytic expressions are obtained. The solution is found in a three-dimensional case, taking into account a finite pattern width of the transceiver antenna and the correlation between slope-angle tangents of irregularities.</t>
  </si>
  <si>
    <t>759-766</t>
  </si>
  <si>
    <t>Potapov, A. A.</t>
  </si>
  <si>
    <t>Potapov A.</t>
  </si>
  <si>
    <t>Generalized correlator of fields scattered by rough surfaces</t>
  </si>
  <si>
    <t>2-s2.0-2842540502</t>
  </si>
  <si>
    <t>['vibrator disposed', 'semiconducting ground', 'method proposed', 'integral equations', 'field pattern']</t>
  </si>
  <si>
    <t>Integral equations for a current in a vibrator disposed over semiconducting ground are obtained. The far-field pattern and efficiency are found. The method proposed is extended to the case of an oversurface curvilinear vibrator.</t>
  </si>
  <si>
    <t>724-732</t>
  </si>
  <si>
    <t>Selin, V. I.</t>
  </si>
  <si>
    <t>On the solution of radiation problems for oversurface antennas</t>
  </si>
  <si>
    <t>2-s2.0-2842543888</t>
  </si>
  <si>
    <t>['vibrator admittance', 'resonance properties', 'planar waveguide', 'electromagnetic waves', 'accurate solution']</t>
  </si>
  <si>
    <t>Radiation of electromagnetic waves by a thin vibrator situated in a planar waveguide with perfectly conducting walls is considered. The accurate solution to the problem of the electric current distribution along the vibrator is obtained. The formulas for the calculation of the input antenna admittance are verified. The resonance properties of the vibrator admittance and impedance are determined in the broad frequency range.</t>
  </si>
  <si>
    <t>740-745</t>
  </si>
  <si>
    <t>60008673;60008673</t>
  </si>
  <si>
    <t>7006914331;6506234099</t>
  </si>
  <si>
    <t>Dokuchaev, V. P.;Yashnov, V. A.</t>
  </si>
  <si>
    <t>Dokuchaev V.</t>
  </si>
  <si>
    <t>Radiation of electromagnetic waves by a thin electric vibrator in a planar waveguide</t>
  </si>
  <si>
    <t>2-s2.0-2842549435</t>
  </si>
  <si>
    <t>['multibeam antennas', 'forming networks', 'efficiency levels', 'brief review', 'approximate theory', 'approximate estimation', 'antenna arrays']</t>
  </si>
  <si>
    <t>A brief review of the types of multibeam antennas and antenna arrays is presented. Details of the approximate theory of multibeam antenna arrays with beam-forming networks and multibeam antennas with equally efficient channels, including cyclic antennas and antenna arrays, are considered. A number of formulas for the approximate estimation of efficiency levels of the multibeam antennas (multibeam antenna gain value relative to the single-channel antenna gain value) are derived.</t>
  </si>
  <si>
    <t>749-754</t>
  </si>
  <si>
    <t>Benenson, L. S.</t>
  </si>
  <si>
    <t>Benenson L.</t>
  </si>
  <si>
    <t>Multibeam antennas</t>
  </si>
  <si>
    <t>2-s2.0-2842572740</t>
  </si>
  <si>
    <t>['experimental study', 'electrodynamic characteristics']</t>
  </si>
  <si>
    <t>Results of geometric parameter calculations and the experimental study of the electrodynamic characteristics of microwave spiral feeders containing stripline spiral antenna and dielectric mounts placed over a common circular screen are presented.</t>
  </si>
  <si>
    <t>746-748</t>
  </si>
  <si>
    <t>Polukhin, G. A.</t>
  </si>
  <si>
    <t>Polukhin G.</t>
  </si>
  <si>
    <t>Spiral microwave feeders</t>
  </si>
  <si>
    <t>2-s2.0-2842604938</t>
  </si>
  <si>
    <t>['œ £)', 'well suited', 'wave antennas', 'radiation characteristics', '7 œª0']</t>
  </si>
  <si>
    <t>Antennas | Leaky wave antennas</t>
  </si>
  <si>
    <t>A set of differential feed short (‚àº0.7 Œª0) leaky-wave antennas with sum (Œ£) and difference (Œî) patterns is presented. Rigorous fieldtheory analyses show that the radiation characteristics of these antennas agree well with the measurements. The performance of these antennas is well suited for direction finding applications.</t>
  </si>
  <si>
    <t>1247-1249</t>
  </si>
  <si>
    <t>57226013419;55412221300;7006490057;7402029785</t>
  </si>
  <si>
    <t>Lin, J. M.;Tzuang, C. K.C.;Chou, G. J.;Su, S.</t>
  </si>
  <si>
    <t>Lin J.M.</t>
  </si>
  <si>
    <t>Short leaky-wave antennas of sum and difference patterns</t>
  </si>
  <si>
    <t>10.1049/el:19960866</t>
  </si>
  <si>
    <t>2-s2.0-0030568642</t>
  </si>
  <si>
    <t>['lateral patches']</t>
  </si>
  <si>
    <t>Adaptive antenna arrays | Microstrip antennas</t>
  </si>
  <si>
    <t>A planar adaptive array of three microstrip patch antennas consisting of a central active microstrip antenna and two symetrical lateral passive antennas is used to steer the beam. An electronic beam scanning of ¬±20¬∞ can be achieved with the control of reactive loads located into the lateral patches.</t>
  </si>
  <si>
    <t>1246-1247</t>
  </si>
  <si>
    <t>60104665;60104665;60104665</t>
  </si>
  <si>
    <t>6508008551;6603646407;7103185654</t>
  </si>
  <si>
    <t>Cailleu, D.;Haese, N.;Rolland, P. A.</t>
  </si>
  <si>
    <t>Lille</t>
  </si>
  <si>
    <t>Universit√© de Lille</t>
  </si>
  <si>
    <t>Cailleu D.</t>
  </si>
  <si>
    <t>Microstrip adaptive array antenna</t>
  </si>
  <si>
    <t>10.1049/el:19960867</t>
  </si>
  <si>
    <t>2-s2.0-0030568646</t>
  </si>
  <si>
    <t>['significant amount', 'residual chirp']</t>
  </si>
  <si>
    <t>Community antenna television | Optical communication</t>
  </si>
  <si>
    <t>Fibre induced distortions are demonstrated to limit the performance of externally modulated analogue CATV links at distances ‚â•90km. Degradations in both the composite second order and composite triple beat are observed. At optical modulation indices ‚â•5.4% the residual chirp of the modulator could also introduce a significant amount of distortion.</t>
  </si>
  <si>
    <t>1309-1310</t>
  </si>
  <si>
    <t>100320174;100320174;100320174</t>
  </si>
  <si>
    <t>35586242100;6603558939;6508298585</t>
  </si>
  <si>
    <t>Gopalakrishnan, G. K.;Brophy, T. J.;Breverman, C.</t>
  </si>
  <si>
    <t>General Instrument Corp</t>
  </si>
  <si>
    <t>Gopalakrishnan G.</t>
  </si>
  <si>
    <t>Experimental study of fibre induced distortions in externally modulated 1550nm analogue CATV links</t>
  </si>
  <si>
    <t>10.1049/el:19960870</t>
  </si>
  <si>
    <t>2-s2.0-0030568650</t>
  </si>
  <si>
    <t>['parasitic patch', 'measured near', 'field distribution', 'electric near']</t>
  </si>
  <si>
    <t>Microwave circuits | Microwave measurement</t>
  </si>
  <si>
    <t>Mapping of the electric near-field distribution of a free-running planar 7GHz resonator with a novel femtosecond laser based electro-optic measurement sytem is demonstrated. The measured near-field radiation pattern gives direct evidence for the presence of parasitic patch and microstrip modes predicted by electric field integral equation simulations.</t>
  </si>
  <si>
    <t>1305-1307</t>
  </si>
  <si>
    <t>60001097;60001097;60001097;60001097;60019722;60019722</t>
  </si>
  <si>
    <t>7102250137;7003519023;7004848584;7202054618;57214056253;7004736208</t>
  </si>
  <si>
    <t>Pfeifer, T.;L√∂ffler, T.;Roskos, H. G.;Kurz, H.;Singer, M.;Biebl, E. M.</t>
  </si>
  <si>
    <t>Munich;Aachen</t>
  </si>
  <si>
    <t>Technical University of Munich;Uniklinik RWTH Aachen</t>
  </si>
  <si>
    <t>60019722;60001097</t>
  </si>
  <si>
    <t>Pfeifer T.</t>
  </si>
  <si>
    <t>Electro-optic measurement of the electric near-field distribution of 7GHz planar resonator</t>
  </si>
  <si>
    <t>10.1049/el:19960881</t>
  </si>
  <si>
    <t>2-s2.0-0030568656</t>
  </si>
  <si>
    <t>['varying specificity', 'staining techniques', 'stained neurons', 'single plant', 'single compounds', 'several experiments', 'projection neurons', 'presented odours', 'plant odours', 'physiological features', 'old adults', 'neurons responded', 'mushroom body', 'morphological characteristics', 'lateral protocerebrum', 'inhibitory responses', 'generalist responses', 'first time', 'equal distances', 'different stimuli', 'combined excitatory', 'cell bodies', 'blend specialist', 'behaviourally active', 'antennal lobe', '25 glomeruli']</t>
  </si>
  <si>
    <t>deutocerebrum | electrophysiology | insect | morphology | olfaction</t>
  </si>
  <si>
    <t>Physiological and morphological characteristics of antennal lobe interneurons in male and female Schistocerca gregaria were studied by using intracellular recording and staining techniques. For the first time, the responses of projection neurons to behaviourally active and potential aggregation pheromone compounds and plant odour compounds were recorded in young adult locusts. Excitatory, inhibitory, or combined excitatory/inhibitory responses to the presented odours were detected. The stained neurons had their cell bodies in the frontal cell group, arborized in 10 to 25 glomeruli at equal distances from the central fibre core, and sent their axons to the calyces of the mushroom body and to the lateral protocerebrum. The projection neurons responded to the set of different stimuli with varying specificity. In females, more neurons responded specifically to single plant or aggregation pheromone compounds than in males, where more generalist responses were found. 'Blend specialist' neurons, responding only to mixtures of behaviourally active aggregation pheromone compounds, but not to the single compounds, were present in both males and females. Most neurons responded to the behaviourally active aggregation pheromone mixtures and to single compounds present in these mixtures, as well as to plant odours. Fewer neurons responded to the potential aggregation pheromone compounds tested. In several experiments, two spike sizes in the recording were correlated with two stained neurons in the antennal lobe, suggesting electrical coupling of the neurons. No response to any of the stimuli was found in antennal lobe interneurons in old adults. The morphological and physiological features of the projection neurons in S. gregaria are compared with projection neuron characteristics in other insects.</t>
  </si>
  <si>
    <t>85-96</t>
  </si>
  <si>
    <t>60029170;60029170</t>
  </si>
  <si>
    <t>7005809476;7103226689</t>
  </si>
  <si>
    <t>Anton, Sylvia;Hansson, Bill S.</t>
  </si>
  <si>
    <t>Anton S.</t>
  </si>
  <si>
    <t>Antennal lobe interneurons in the desert locust Schistocerca gregaria (Forskal): Processing of aggregation pheromones in adult males and females</t>
  </si>
  <si>
    <t>10.1002/(SICI)1096-9861(19960617)370:1&lt;85::AID-CNE8&gt;3.0.CO;2-H</t>
  </si>
  <si>
    <t>2-s2.0-0029899782</t>
  </si>
  <si>
    <t>R01GM047985</t>
  </si>
  <si>
    <t>['wingless specify', 'subsequently segregate', 'specific regions', 'regional segregation', 'patterned differently', 'head specification', 'head primordium', 'head capsule', 'give rise', 'early eye', 'also show']</t>
  </si>
  <si>
    <t>Drosophila | Head development | hedgehog | Imaginal discs | orthodenticle | wingless</t>
  </si>
  <si>
    <t>The adult head capsule of Drosophila forms primarily from the eye-antennal imaginal discs. Here, we demonstrate that the head primordium is patterned differently from the discs which give rise to the appendages. We show that the segment polarity genes hedgehog and wingless specify the identities of specific regions of the head capsule. During eye-antennal disc development, hedgehog and wingless expression initially overlap, but subsequently segregate. This regional segregation is critical to head specification and is regulated by the orthodenticle homeobox gene. We also show that orthodenticle is a candidate hedgehog target gene during early eye-antennal disc development.</t>
  </si>
  <si>
    <t>1849-1858</t>
  </si>
  <si>
    <t>Development</t>
  </si>
  <si>
    <t>60003711;60003711</t>
  </si>
  <si>
    <t>57203624981;7102596360</t>
  </si>
  <si>
    <t>Royet, Julien;Finkelstein, Robert</t>
  </si>
  <si>
    <t>University of Pennsylvania Perelman School of Medicine</t>
  </si>
  <si>
    <t>Royet J.</t>
  </si>
  <si>
    <t>hedgehog, wingless and orthodenticle specify adult head development in Drosophila</t>
  </si>
  <si>
    <t>2-s2.0-0030008973</t>
  </si>
  <si>
    <t>['terahertz radiation', 'superconducting hot', 'nbn microbridge', 'mixer performance', 'intermediate frequency', 'heterodyne detection', 'conversion losses', 'also discuss', '5 ghz', '25 db', '119 œºm']</t>
  </si>
  <si>
    <t>We report on the use of a superconducting hot-electron bolometer mixer for heterodyne detection of terahertz radiation. Radiation with a wavelength of 119 Œºm was coupled to the mixer, a NbN microbridge, by a hybrid quasioptical antenna consisting of an extended hyperhemispherical lens and a planar logarithmic spiral antenna. We found, at an intermediate frequency of 1.5 GHz, a system double side band noise temperature of ‚âà40 000 K and conversion losses of 25 dB. We also discuss the possibilities of further improvement of the mixer performance. ¬© 1996 American Institute of Physics.</t>
  </si>
  <si>
    <t>260-262</t>
  </si>
  <si>
    <t>Applied Physics Letters</t>
  </si>
  <si>
    <t>60030807;60030807-60068676;60030807;60030807;60068676;60068676;60068676;60068676;60068676</t>
  </si>
  <si>
    <t>7402498907;6604039653;6602518276;7005754838;6701611551;57200973381;7006771637;6506496320;35591261100</t>
  </si>
  <si>
    <t>Semenov, A. D.;Gousev, Yu P.;Nebosis, R. S.;Renk, K. F.;Yagoubov, P.;Voronov, B. M.;Gol'tsman, G. N.;Syomash, V. D.;Gershenzon, E. M.</t>
  </si>
  <si>
    <t>Semenov A.</t>
  </si>
  <si>
    <t>Heterodyne detection of THz radiation with a superconducting hot-electron bolometer mixer</t>
  </si>
  <si>
    <t>10.1063/1.117943</t>
  </si>
  <si>
    <t>2-s2.0-0030575231</t>
  </si>
  <si>
    <t>['wing tissue', 'ventral organizer', 'selectively required', 'regulate growth', 'patterning along', 'one axis', 'notch pathway', 'induce outgrowths', 'general feature', 'discrete sources', 'control growth', 'cell proliferation', 'appendage formation']</t>
  </si>
  <si>
    <t>Appendage formation is organized by signals from discrete sources that presumably act upon downstream genes to control growth and patterning. The Drosophila vestigial gene is selectively required for wing-cell proliferation, and is sufficient to induce outgrowths of wing tissue from eyes, legs and antennae. Different signals activate separate enhancers to control vestigial expression: first, in the dorsal/ventral organizer through the Notch pathway, and subsequently, in the developing wing blade by decapentaplegic and a signal from the dorsal/ventral organizer. Signal integration must be a general feature of genes like vestigial, that regulate growth or patterning along more than one axis.</t>
  </si>
  <si>
    <t>133-138</t>
  </si>
  <si>
    <t>Nature</t>
  </si>
  <si>
    <t>60032179;60032179;60032179;60032179;60032179;60032179;60032179</t>
  </si>
  <si>
    <t>7601388243;6507710691;7004728608;7202455603;6508208217;7202714160;7201476366</t>
  </si>
  <si>
    <t>Kim, Jaeseob;Sebring, Angela;Esch, Jeffrey J.;Kraus, Mary Ellen;Vorwerk, Kathy;Magee, Jeffrey;Carroll, Sean B.</t>
  </si>
  <si>
    <t>Integration of positional signals and regulation of wing formation and identity by Drosophila vestigial gene</t>
  </si>
  <si>
    <t>10.1038/382133a0</t>
  </si>
  <si>
    <t>2-s2.0-0029901697</t>
  </si>
  <si>
    <t>['matrix algebra', 'high gain', 'compact two', 'briefly presented']</t>
  </si>
  <si>
    <t>Microstrip antenna arrays | Microstrip antennas</t>
  </si>
  <si>
    <t>A compact two-port array antenna which operates in the X-band is described. This antenna, which combines a high gain with a relatively wide bandwidth, was conceived using mutual coupling and parasitic coupling techniques. The analysis and the simulations performed using the transmission line method and matrix algebra are briefly presented.</t>
  </si>
  <si>
    <t>1337-1338</t>
  </si>
  <si>
    <t>60026113;60026113</t>
  </si>
  <si>
    <t>6602861146;6602517840</t>
  </si>
  <si>
    <t>Carrez, F.;Vindevoghel, J.</t>
  </si>
  <si>
    <t>Carrez F.</t>
  </si>
  <si>
    <t>Compact two-port microstrip antenna</t>
  </si>
  <si>
    <t>10.1049/el:19960905</t>
  </si>
  <si>
    <t>2-s2.0-0030188760</t>
  </si>
  <si>
    <t>['impedance elements', 'function approach', 'desegmentation matrix', 'accurate determination']</t>
  </si>
  <si>
    <t>Green's function methods | Microstrip antennas</t>
  </si>
  <si>
    <t>New fast form analytic expressions to determine the impedance elements of the desegmentation matrix have been obtained. These results, using the Green's function approach, enable an accurate determination of the dimensions of the slot at the centre of a corner fed square patch antenna to produce circular polarisation.</t>
  </si>
  <si>
    <t>1336-1337</t>
  </si>
  <si>
    <t>Accurate design of a corner fed square slot patch antenna for circular polarisation</t>
  </si>
  <si>
    <t>10.1049/el:19960883</t>
  </si>
  <si>
    <t>2-s2.0-0030189353</t>
  </si>
  <si>
    <t>['volume 32', 'power synthesis', 'known results', 'issue 2', 'conclusions mentioned', 'arrays synthesis']</t>
  </si>
  <si>
    <t>In 'Comparison between real and power optimisation methods for arrays synthesis of antennas', published in volume 32, issue 2 of Electronics Letters Eclercy et al. have shown interesting results concerning the difference between the real and power synthesis of linear array patterns. The authors will show that using some known results, it is possible to explain the conclusions mentioned in that Letter.</t>
  </si>
  <si>
    <t>1338-1339</t>
  </si>
  <si>
    <t>60028419;60020975;60028419</t>
  </si>
  <si>
    <t>7006865572;56219429900;7202825573</t>
  </si>
  <si>
    <t>Ares, F.;Rengarajan, S. R.;Moreno, E.</t>
  </si>
  <si>
    <t>Remarks on comparison between real and power optimisation methods for arrays synthesis of antennas</t>
  </si>
  <si>
    <t>10.1049/el:19960903</t>
  </si>
  <si>
    <t>2-s2.0-0030192186</t>
  </si>
  <si>
    <t>['trap limited', 'region 670', 'reaction center', 'ray structure', 'oxidize p700', 'nonreducing conditions', 'method critically', 'measured directly', 'maximum bleaching', 'higher plants', 'excited directly', 'energy migration', 'electron transfer', 'detailed model', 'decay time', 'appear promptly', 'antenna chlorophylls', 'antenna alone', 'also excited', 'absorption transients', '708 nm', '7 ps', '690 nm', '675 nm', '20 ps']</t>
  </si>
  <si>
    <t>Using low intensity femtosecond duration laser pulses at 708 nm, we have observed absorption transients associated with electron transfer through the primary electron acceptor A0 in the photosystem I (PSI) reaction center from spinach under nonreducing conditions. At this wavelength the electron donor P700 is excited directly, although some antenna chlorophylls are also excited. Using a nanosecond duration preflash of 690 nm to oxidize P700, and then measuring the absorption transients from the antenna alone, it is possible by subtraction to isolate the absorption transients arising from electron transfer. We discuss this method critically. The spectrum of A0- - A0 does not appear promptly but takes ‚àº3 ps to reach maximum intensity and resembles those spectra previously obtained from higher plants, with a maximum bleaching at 685 ¬± 2 nm and a shoulder in the region 670-675 nm. The decay time of the primary radical pair P700+A0- is calculated as 20 ps. Analysis of absorption transients indicates that the intrinsic rate constant forming the primary radical pair P700+ A0- cannot be measured directly because energy migration in the antenna is fast and quenching is approaching "trap limited" behavior. With use of a detailed model of the antenna energy migration based on the X-ray structure, the intrinsic rate constant for electron transfer is estimated as k1 ‚àº 0.7 ps-1. The implications of these findings on energy and electron transfer are discussed. ¬© 1996 American Chemical Society.</t>
  </si>
  <si>
    <t>12086-12099</t>
  </si>
  <si>
    <t>60003771;60003771-60012070;60003771;60003771;60003771;60105356</t>
  </si>
  <si>
    <t>14423750200;7004641416;7102946109;6507997705;7004975697;7006179200</t>
  </si>
  <si>
    <t>White, Nigel T.H.;Beddard, Godfrey S.;Thorne, Jonathan R.G.;Feehan, Tim M.;Keyes, Tia E.;Heathcote, Peter</t>
  </si>
  <si>
    <t>London;Leeds;Manchester</t>
  </si>
  <si>
    <t>School of Biological and Chemical Sciences Queen Mary University of London;University of Leeds;The University of Manchester</t>
  </si>
  <si>
    <t>60105356;60012070;60003771</t>
  </si>
  <si>
    <t>White N.T.H.</t>
  </si>
  <si>
    <t>Primary charge separation and energy transfer in the photosystem I reaction center of higher plants</t>
  </si>
  <si>
    <t>10.1021/jp9604709</t>
  </si>
  <si>
    <t>2-s2.0-0030197675</t>
  </si>
  <si>
    <t>['vibrational relaxation', 'transfer time', 'transfer rate', 'time domain', 'spectral overlap', 'several explanations', 'rhodopseudomonas acidophila', 'rhodobacter sphaeroides', 'probe femtosecond', 'maximum yielded', 'kinetics ranging', 'isolated b800', 'induced changes', 'faster channel', 'energy gap', 'data indicate', 'color pump', 'color profiles', 'burning data', 'b850 molecules', 'b800 zero', 'b800 hole', 'antenna complex', 'ambient pressure', 'also reported', '950 cm', '850 complex', '8 ps', '375 mpa', '2 k', '130 k', '1050 cm', '1 ps']</t>
  </si>
  <si>
    <t>One- and two-color pump/probe femtosecond and hole-burning data are reported for the isolated B800-850 (LH2) antenna complex of Rhodopseudomonas acidophila (strain 10050). The two-color profiles are interpretable in terms of essentially monophasic B800‚ÜíB850 energy transfer with kinetics ranging from 1.6 to 1.1 ps between 19 and 130 K for excitation at or to the red of the B800 absorption maximum. The B800 zero-phonon hole profiles obtained at 4.2 K with burn frequencies located near or to the red of this maximum yielded a transfer time of 1.8 ps. B800 hole-burning data (4.2 K) are also reported for chromatophores at ambient pressure and pressures of 270 and 375 MPa. At ambient pressure the B800-B850 energy gap is 950 cm-1, while at 270 and 375 MPa it is close to 1000 and 1050 cm-1, respectively. However, no dependence of the B800‚ÜíB850 transfer time on pressure was observed, consistent with data for the B800-850 complex of Rhodobacter sphaeroides. The resilience of the transfer rate to pressure-induced changes in the energy gap and the weak temperature dependence of the rate are consistent with the model that has the spectral overlap (of F√∂rster theory) provided by the B800 fluorescence origin band and weak vibronic absorption bands of B850. However, both the time domain and hole-burning data establish that there is an additional relaxation channel for B800, which is observed when excitation is located to the blue of the B800 absorption maximum. Several explanations for this faster channel are considered, including that it is due to intra-B800 energy transfer or a manifestation of coupling of B800 with quasi-degenerate upper exciton levels of the B850 molecules. The data indicate that it is not due to vibrational relaxation. ¬© 1996 American Chemical Society.</t>
  </si>
  <si>
    <t>12022-12033</t>
  </si>
  <si>
    <t>60008023;60008023;60008023;60008023;60001490;60008023;60008023</t>
  </si>
  <si>
    <t>55703737000;6701607000;7202174629;7005215675;57222644799;57193129444;7202142626</t>
  </si>
  <si>
    <t>Wu, H. M.;Savikhin, S.;Reddy, N. R.S.;Jankowiak, R.;Cogdell, R. J.;Struve, W. S.;Small, G. J.</t>
  </si>
  <si>
    <t>Ames;Glasgow</t>
  </si>
  <si>
    <t>Ames Laboratory;University of Glasgow</t>
  </si>
  <si>
    <t>60008023;60001490</t>
  </si>
  <si>
    <t>Wu H.M.</t>
  </si>
  <si>
    <t>Femtosecond and hole-burning studies of B800's excitation energy relaxation dynamics in the LH2 antenna complex of Rhodopseudomonas acidophila (strain 10050)</t>
  </si>
  <si>
    <t>10.1021/jp9608178</t>
  </si>
  <si>
    <t>2-s2.0-0030198231</t>
  </si>
  <si>
    <t>['specific example', 'resonant frequency', 'pulsar coincides', 'principle could', 'millisecond pulsars', 'general scheme', 'data analysis', 'bar within', '1300 hz']</t>
  </si>
  <si>
    <t>Gravitation | Instrumentation: miscellaneous | Pulsars</t>
  </si>
  <si>
    <t>We present in this paper a general scheme of data analysis for detecting gravitational waves from millisecond pulsars with resonant bar antennas. As a specific example, we have analysed the case for the nearest known millisecond pulsar PSR 0437-4715 and the resonant bar antenna at the University of Western Australia since the gravitational wave frequency of the pulsar coincides with the resonant frequency of the bar within a fraction of a Hertz. Lastly we give a Table of pulsars which in principle could be detected by the resonant bar antennas operating between frequencies 500 Hz to 1300 Hz.</t>
  </si>
  <si>
    <t>1043-1048</t>
  </si>
  <si>
    <t>Astronomy and Astrophysics</t>
  </si>
  <si>
    <t>60007361;60031806;60031806</t>
  </si>
  <si>
    <t>10639191600;22974326500;26633659400</t>
  </si>
  <si>
    <t>Dhurandhar, S. V.;Blair, D. G.;Costa, M. E.</t>
  </si>
  <si>
    <t>Australia;India</t>
  </si>
  <si>
    <t>Perth;Pune</t>
  </si>
  <si>
    <t>The University of Western Australia;Inter-University Centre for Astronomy and Astrophysics India</t>
  </si>
  <si>
    <t>60031806;60007361</t>
  </si>
  <si>
    <t>Dhurandhar S.</t>
  </si>
  <si>
    <t>Possibility of detecting gravitational waves from millisecond pulsars by resonant bar antennas</t>
  </si>
  <si>
    <t>2-s2.0-0007859699</t>
  </si>
  <si>
    <t>['superconductor surfaces', 'produce detectors', 'infrared absorbers', 'hybrid structures', 'exhibit wavelength', 'coupled high']</t>
  </si>
  <si>
    <t>Antenna-coupled high-Tc bolometers fabricated from YBa2Cu3O7-Œ¥ thin films have been prepared using molecular organic dyes. Light-harvesting layers derived from these visible and near-infrared absorbers have been utilized to produce detectors which exhibit wavelength-selective response characteristics in the visible and near-infrared spectral regions. Using such hybrid structures, initial studies documenting efficient energy transfer between molecular dye layers and superconductor surfaces have been completed. ¬© 1996 American Institute of Physics.</t>
  </si>
  <si>
    <t>688-690</t>
  </si>
  <si>
    <t>60013372;60013372;60013372</t>
  </si>
  <si>
    <t>6602972495;7410311673;7007043458</t>
  </si>
  <si>
    <t>Jurbergs, David C.;Zhao, Jianai;McDevitt, John T.</t>
  </si>
  <si>
    <t>Jurbergs D.</t>
  </si>
  <si>
    <t>Antenna-coupled high-T&lt;inf&gt;c&lt;/inf&gt; bolometers for visible and near-infrared detection using organic dyes as light-harvesting layers</t>
  </si>
  <si>
    <t>10.1063/1.117807</t>
  </si>
  <si>
    <t>2-s2.0-0030188814</t>
  </si>
  <si>
    <t>['‚ âà0', 'thz radiation', 'significant improvement', 'radiation pattern', 'planar self', 'planar line', 'intermediate frequency', 'homodyne regime', 'heterodyne regime', 'heterodyne detection', 'efficient coupling', 'coupling efficiency', 'beam width', '5 ghz', '1 ¬∞']</t>
  </si>
  <si>
    <t>We report on efficient coupling of THz radiation to a high-Tc superconducting hot electron bolometer that is suitable for heterodyne detection. Our quasi-optical system consisted of a planar self-complementary spiral antenna on a dielectric substrate clamped to an extended hyperhemispherical lens. The antenna was integrated into a co-planar line for broadband intermediate frequency matching. Measurements in the homodyne regime at a frequency of 2.5 THz showed a radiation pattern with a beam width of 1¬∞ and a coupling efficiency of ‚âà0.1. We measured, at an intermediate frequency of 1.5 GHz, an output noise temperature of ‚âà160 K and estimated for the device, operated in the heterodyne regime, a system noise temperature of ‚âà3 √ó 105 K. We also discuss possibilities of significant improvement of the sensitivity. ¬© 1996 American Institute of Physics.</t>
  </si>
  <si>
    <t>691-693</t>
  </si>
  <si>
    <t>60030807;60030807;60030807-60009114;60030807-60009114;60030807;60030807</t>
  </si>
  <si>
    <t>6604039653;7402498907;6701848841;6603019678;6602518276;7005754838</t>
  </si>
  <si>
    <t>Gousev, Yu P.;Semenov, A. D.;Pechen, E. V.;Varlashkin, A. V.;Nebosis, R. S.;Renk, K. F.</t>
  </si>
  <si>
    <t>Germany;Russian Federation</t>
  </si>
  <si>
    <t>Regensburg;Moscow</t>
  </si>
  <si>
    <t>Universit√§t Regensburg;P.N. Lebedev Physical Institute of the Russian Academy of Sciences</t>
  </si>
  <si>
    <t>60030807;60009114</t>
  </si>
  <si>
    <t>Coupling of terahertz radiation to a high-T&lt;inf&gt;c&lt;/inf&gt; superconducting hot electron bolometer mixer</t>
  </si>
  <si>
    <t>10.1063/1.117808</t>
  </si>
  <si>
    <t>2-s2.0-0030192417</t>
  </si>
  <si>
    <t>['well suited', 'versatile technique', 'subpicosecond regime', 'signal processing', 'phasedarray antennas', 'optical waveform', 'optical true', 'high bandwidth', 'delay resolution', 'arbitrary shape']</t>
  </si>
  <si>
    <t>We propose a novel all-optical true-time-delay regeneration technique that is well suited for control of phasedarray antennas with time-delay beam steering. Using coherent transients, this versatile technique has the ability to regenerate a variable delay onto an optical waveform of arbitrary shape and high bandwidth. We performed simulations indicating that future research could extend the delay resolution to the subpicosecond regime. We also present proof-of-concept experimental results for a true-time-delay regenerator combined with signal processing. ¬© 1996 Optical Society of America.</t>
  </si>
  <si>
    <t>1102-1104</t>
  </si>
  <si>
    <t>60015481;60015481</t>
  </si>
  <si>
    <t>7005607616;7005246263</t>
  </si>
  <si>
    <t>Merkel, K. D.;Babbitt, W. R.</t>
  </si>
  <si>
    <t>Merkel K.</t>
  </si>
  <si>
    <t>Optical coherent-transient true-time-delay regenerator</t>
  </si>
  <si>
    <t>10.1364/OL.21.001102</t>
  </si>
  <si>
    <t>2-s2.0-0001671621</t>
  </si>
  <si>
    <t>['thus calculated', 'thermodynamic analysis', 'taken fully', 'strongly coupled', 'stepanov analysis', 'room temperature', 'red forms', 'p700 dimer', 'oscillator strength', 'minor deviation', 'maize thylakoids', 'least 3', 'excited states', 'excitation transfer', 'emission maxima', 'careful analysis', 'around 0', 'almost isoenergetic', '742 nm', '738 nm', '700 nm', '26 kt', '200 k', '2 ps', '013 assuming']</t>
  </si>
  <si>
    <t>Photosystem I with its full antenna complement (PSI-LHCI) has been prepared by mild detergent solubilization with octyl Œ≤-D-glucopyranoside from maize thylakoids. A preliminary polypeptide analysis is presented. At room temperature, the steady-state fluorescence derives from an almost perfectly thermalized state, as demonstrated by a Stepanov analysis, in which about 90% of the excited states are associated with the red chlorophyll spectral forms absorbing above 700 nm. Equilibration is temperature-sensitive and is lost at T &lt; 200 K. A careful analysis of fluorescence between 75 and 280 K clearly demonstrates the presence of at least three red chlorophyll spectral forms with emission maxima at 720, 730, and 742 nm, the absorption origin bands of which have been calculated at 714, 725, and 738 nm. On the basis of a minor deviation from thermal equilibration around 695 nm, it is suggested that at least 3-4 antenna chlorophylls, with an average absorption near 695 nm, are strongly coupled to P700. Thermodynamic analysis of absorption and fluorescence spectra indicates that the equilibrium, absorption-weighted excited state population of the P700 dimer is around 0.013 assuming that the low-energy exciton state possesses all the oscillator strength. The average free energy for excitation transfer from antenna to P700 is thus calculated to be -0.26 kT at room temperature. This indicates that P700 is almost isoenergetic with its antenna at room temperature when the red forms are taken fully into account. From the calculated excited state population of P700, we estimate that the primary charge separation rate in PSI is 1-2 ps-1.</t>
  </si>
  <si>
    <t>8572-8579</t>
  </si>
  <si>
    <t>60030318;60030318;60030318;60032256;60030318</t>
  </si>
  <si>
    <t>7005812451;7006530694;6701308180;35553979700;7201971898</t>
  </si>
  <si>
    <t>Croce, Roberta;Zucchelli, Giuseppe;Garlaschi, Flavio M.;Bassi, Roberto;Jennings, Robert C.</t>
  </si>
  <si>
    <t>Verona;Milan</t>
  </si>
  <si>
    <t>Universit√† degli Studi di Verona;Universit√† degli Studi di Milano</t>
  </si>
  <si>
    <t>60032256;60030318</t>
  </si>
  <si>
    <t>Croce R.</t>
  </si>
  <si>
    <t>Excited state equilibration in the photosystem I-light-harvesting I complex: P700 is almost isoenergetic with its antenna</t>
  </si>
  <si>
    <t>10.1021/bi960214m</t>
  </si>
  <si>
    <t>2-s2.0-0029895603</t>
  </si>
  <si>
    <t>['surgical ablation', 'small subset', 'sensory physiology', 'sensory information', 'sensory deprivation', 'sensory cues', 'recently reported', 'rapid onset', 'previous data', 'olfactory information', 'maxillary palps', 'male courtship', 'large populations', 'isolated pairs', 'induced male', 'important role', 'high levels', 'gustatory function', 'found visual', 'female courtship', 'ectopic expression', 'cues produced', 'control values', 'behavioral tests', 'auditory cues', 'also documented', '4 weeks', '1500 flies']</t>
  </si>
  <si>
    <t>age | Drosophila | homosexual behavior | olfaction | vision</t>
  </si>
  <si>
    <t>Male-male courtship behavior was recently reported to be induced in large populations of Drosophila (e.g., 600-1500 flies) by ectopic expression of the white (w) gene. Little is known about the basis of this behavior; in male-female courtship, sensory cues are believed to play an important role. Previous data are consistent with the possibility that misexpression of w causes abnormal reception or processing of sensory information. We show here that w-induced male-male courtship occurs in isolated pairs of flies. Thus the behavior does not depend on sensory cues found only among large populations of flies, or on cues produced only by a small subset of such populations. This finding enabled quantitative analysis of mechanisms that underlie the behavior. Specifically, male-male courtship does not depend on the reception of olfactory information, nor on the reception or generation of auditory cues, as determined by surgical ablation of antennae, maxillary palps, or wings. Although the rapid onset of the behavior following w induction suggested that its basis could lie in a modulation of sensory physiology, we found visual, olfactory, and gustatory function to be normal in physiological or behavioral tests. The only sensory deprivation to produce an effect on male-male courtship was testing under dim red light; the percentage of flies courting another male was reduced to one-fourth of control values. A striking age dependence of the behavior is also documented: courtship between paired male mini-w+ flies was not observed in tests of very young (1-day-old) flies, but occurs at high levels between the ages of 1 and 4 weeks.</t>
  </si>
  <si>
    <t>454-464</t>
  </si>
  <si>
    <t>Journal of Neurobiology</t>
  </si>
  <si>
    <t>60005455;60005455</t>
  </si>
  <si>
    <t>16942471800;7402114946</t>
  </si>
  <si>
    <t>Hing, Audrey Liang Yin;Carlson, John R.</t>
  </si>
  <si>
    <t>New Haven</t>
  </si>
  <si>
    <t>Yale University</t>
  </si>
  <si>
    <t>Hing A.</t>
  </si>
  <si>
    <t>Male-male courtship behavior induced by ectopic expression of the Drosophila white gene: Role of sensory function and age</t>
  </si>
  <si>
    <t>10.1002/(SICI)1097-4695(199608)30:4&lt;454::AID-NEU2&gt;3.0.CO;2-2</t>
  </si>
  <si>
    <t>2-s2.0-0030017043</t>
  </si>
  <si>
    <t>['usually referred', 'type used', 'theory presented', 'paper describes', 'noise figure', 'mechanism involved', 'main functions', 'interstage filter', 'image frequency', 'first stage', 'first mixer', 'filter prior', 'experimental results']</t>
  </si>
  <si>
    <t>Analogue radio transceivers of the type used in TACS or AMPS mobile terminals normally employ a filter prior to the first mixer. This is usually referred to as an interstage filter. One of the main functions of this filter is to reduce the level of thermal noise reaching the mixer at the image frequency. This paper describes the principle of the mechanism involved and demonstrates that the benefit to be had is a function of the first stage's noise figure of the first stage. The theory presented is supported by experimental results.</t>
  </si>
  <si>
    <t>60026638;60026638</t>
  </si>
  <si>
    <t>22935678100;6504292873</t>
  </si>
  <si>
    <t>Nazoa, Nils;Heleine, Paul</t>
  </si>
  <si>
    <t>Nokia Corporation</t>
  </si>
  <si>
    <t>Nazoa N.</t>
  </si>
  <si>
    <t>Effect of an interstage filter on the sensitivity of analogue radio receivers</t>
  </si>
  <si>
    <t>2-s2.0-0030204678</t>
  </si>
  <si>
    <t>['television program', 'residential neighborhoods', 'fcc clears', 'easy access']</t>
  </si>
  <si>
    <t>A new ruling issued by FCC clears the way for homeowners to install small satellite dishes, effectively sidestepping local authorities' use of restrictive, anti-dish zoning laws. FCC's ruling prohibits local jurisdictions from red-zoning the small dish antennas out of the residential neighborhoods and strengthens the commission's mandate that Americans should have easy access to all direct-broadcast satellite services for their video and television program.</t>
  </si>
  <si>
    <t>Boyer, William H.</t>
  </si>
  <si>
    <t>Boyer W.</t>
  </si>
  <si>
    <t>FCC plays zone defense</t>
  </si>
  <si>
    <t>2-s2.0-0030205609</t>
  </si>
  <si>
    <t>['top patterns', 'synthesizing flat', 'synthesis problem', 'stationary point', 'square approximation', 'sequentially solving', 'phase assigned', 'numerical examples', 'monotonic convergence', 'minimized functional', 'iterative method', 'first problem', 'complex pattern', 'array elements', 'arbitrary geometry', 'antenna arrays']</t>
  </si>
  <si>
    <t>An iterative method for the phase-only synthesis of antenna arrays of arbitrary geometry for the given amplitude radiation pattern is considered. The synthesis problem is solved in the root-mean-square approximation and is reduced to minimizing a positive semidefinite functional with respect to the phases of the excitations of the array elements and to the phase assigned to the given amplitude pattern. The method of synthesis is based on sequentially solving the problems of the phase-only synthesis of a complex pattern and of the synthesis of the phase pattern minimizing the functional for these excitations of the array elements. Two fast iterative algorithms are proposed for solving the first problem. The property of monotonic convergence of this algorithm to the stationary point of the minimized functional is indicated. Numerical examples of synthesizing flat-top patterns are presented.</t>
  </si>
  <si>
    <t>859-866</t>
  </si>
  <si>
    <t>60005913;100862605</t>
  </si>
  <si>
    <t>57204744238;7003513371</t>
  </si>
  <si>
    <t>Kondrat'ev, A. S.;Khzmalyan, A. D.</t>
  </si>
  <si>
    <t>National Research University ‚ÄúMoscow Power Engineering Institute‚Äù;Scientific Research Institute Altair</t>
  </si>
  <si>
    <t>Kondrat'ev A.</t>
  </si>
  <si>
    <t>Phase-only synthesis of antenna arrays for a given amplitude radiation pattern</t>
  </si>
  <si>
    <t>2-s2.0-0030205773</t>
  </si>
  <si>
    <t>['specific proposal', 'remarkable transparency', 'main results', 'interesting alternatives', 'general structure', 'elastic sphere', 'brief sketch', 'analysis reveals', 'also made']</t>
  </si>
  <si>
    <t>This paper is intended to be a brief sketch of the main results which derive from a full theoretical implementation of the problem of how a set of mechanical resonators couples to an elastic sphere, excited by an incoming Gravitational Wave. The analysis reveals with remarkable transparency the general structure of the resonant mode splitting and coupling, and enables the discussion of interesting alternatives to the truncated icosahedron layout. A specific proposal for a rather complete monopole-quadrupole GW radiation detector is also made.</t>
  </si>
  <si>
    <t>253-258</t>
  </si>
  <si>
    <t>Europhysics Letters</t>
  </si>
  <si>
    <t>60001576;60001576</t>
  </si>
  <si>
    <t>Lobo, J. A.;Serrano, M. A.</t>
  </si>
  <si>
    <t>Universitat de Barcelona</t>
  </si>
  <si>
    <t>The multiple-resonator problem in a spherical GW antenna: Its general solution and new interesting layouts</t>
  </si>
  <si>
    <t>10.1209/epl/i1996-00562-1</t>
  </si>
  <si>
    <t>2-s2.0-0030210075</t>
  </si>
  <si>
    <t>['scan modulation', 'pulse modulation', 'phase modulation', 'many years', 'generators offer', 'fundamental capability', 'defined waves', 'complex modulation', 'building blocks', '65 ghz']</t>
  </si>
  <si>
    <t>For many years, microwave-synthesized signal generators have had the fundamental capability to generate complex modulation. Synthesizers on the market today offer AM, FM, phase modulation, scan modulation and pulse modulation, which are the building blocks for complex modulation. What has been missing is the ability to generate complex waveforms to drive the modulators. Previously, this waveform generation required multiple arbitrary waveform generators. This problem has been solved by the El Toro series synthesized signal generators. These generators offer the option of two synchronous internal arbitrary waveform generators that can be loaded with user-defined waves, enabling complex modulation at frequencies up to 65 GHz.</t>
  </si>
  <si>
    <t>Wiltron, Anritsu</t>
  </si>
  <si>
    <t>Wiltron A.</t>
  </si>
  <si>
    <t>Microwave synthesizers that offer complex modulation</t>
  </si>
  <si>
    <t>2-s2.0-0030211574</t>
  </si>
  <si>
    <t>['structurally modified', 'significant effects', 'secondary elements', 'reflector elements', 'improved performance', 'experimental investigation', 'attaching two', '3 db']</t>
  </si>
  <si>
    <t>An experimental investigation of a novel corner reflector antenna with improved performance is reported. The corner reflector antenna has been structurally modified by attaching two more reflector elements. The parameters such as the primary corner angle, position, width and angle of the secondary elements have significant effects on the H-plane radiation characteristics of the antenna. Certain symmetric configurations of this triple corner reflector (TCR) antenna provide sharp beams with a gain of the order of 3 dB over that of the conventional corner reflector (CR) antenna.</t>
  </si>
  <si>
    <t>60031544;60031544;60031544;60031544</t>
  </si>
  <si>
    <t>7006666505;23090981800;7102021457;6602886884</t>
  </si>
  <si>
    <t>Mathew, K. T.;Jacob, J.;Mathew, S.;Raveendranath, U.</t>
  </si>
  <si>
    <t>Mathew K.</t>
  </si>
  <si>
    <t>Triple corner reflector antenna and its performance in H-plane</t>
  </si>
  <si>
    <t>2-s2.0-0030211577</t>
  </si>
  <si>
    <t>['structural engineering', 'numerical analysis', 'new capabilities', 'major enhancement', 'improved capability', 'distant galaxies', 'computer control', 'complex systems', 'arecibo telescope', 'arecibo observatory', '300 mhz', '30 years']</t>
  </si>
  <si>
    <t>For more than 30 years, the 305-meter diameter radio telescope at the Arecibo Observatory has been a unique tool scientists have used in the study of asteroids, distant galaxies and the Earth's atmosphere. A combination of factors now permits a major enhancement of the Observatory's capabilities. The new ingredients include: much-improved capability for the numerical analysis and optimization of reflector antenna systems; advances in structural engineering, and computer control of complex systems. With these new capabilities, an all-reflective corrector system has been developed for the Arecibo telescope. This will significantly enhance sensitivity from 300 MHz to at least 10 GHz. The details and results of this upgrade are discussed.</t>
  </si>
  <si>
    <t>38-43</t>
  </si>
  <si>
    <t>IEEE Potentials</t>
  </si>
  <si>
    <t>Goldsmith, Paul F.</t>
  </si>
  <si>
    <t>Goldsmith P.</t>
  </si>
  <si>
    <t>Second Arecibo upgrade</t>
  </si>
  <si>
    <t>10.1109/45.535230</t>
  </si>
  <si>
    <t>2-s2.0-0030211747</t>
  </si>
  <si>
    <t>['slot length', 'moment method', 'matching method', 'investigated theoretically', 'input impedance', 'hemispherical cavity', 'cavity radius']</t>
  </si>
  <si>
    <t>The input impedance of the hemispherical cavity-backed slot antenna is investigated theoretically and experimentally. The mode-matching method and moment method are used to find the Green's function of the cavity and the equivalent magnetic current of the slot, respectively. The effects of slot length and cavity radius on the input impedance are studied.</t>
  </si>
  <si>
    <t>1430-1431</t>
  </si>
  <si>
    <t>56415172000;7202180867</t>
  </si>
  <si>
    <t>Leung, K. W.;Chow, K. Y.</t>
  </si>
  <si>
    <t>Leung K.</t>
  </si>
  <si>
    <t>Analysis of hemispherical cavity-backed slot antenna</t>
  </si>
  <si>
    <t>10.1049/el:19961001</t>
  </si>
  <si>
    <t>2-s2.0-0030212045</t>
  </si>
  <si>
    <t>1531-1532</t>
  </si>
  <si>
    <t>2-s2.0-0030212238</t>
  </si>
  <si>
    <t>['tohoku shinkansen', 'signalling policy', 'new limit', 'maximum speeds', 'heavily influenced', 'akita mini', '280 km']</t>
  </si>
  <si>
    <t>Maximum speeds on the Tohoku Shinkansen are to be increased in the spring of 1997, from the present 240 km/h to 275 or 280 km/h. The aim is to bring the new limit into use with the opening of the Akita mini-shinkansen. The signalling policy was heavily influenced by the design of the new Shinkansen trainsets which are being developed by JR-East which will have a greater braking capability than the standard Series 200s.</t>
  </si>
  <si>
    <t>Railway Gazette International</t>
  </si>
  <si>
    <t>Yoshikawa, Toru</t>
  </si>
  <si>
    <t>Yoshikawa T.</t>
  </si>
  <si>
    <t>Signalling updated to suit faster trains</t>
  </si>
  <si>
    <t>2-s2.0-0030212365</t>
  </si>
  <si>
    <t>NAG-1-1082</t>
  </si>
  <si>
    <t>['yet overcome', 'shorting posts', 'retain many', 'paper describes', 'inherent disadvantages', 'desirable characteristics', 'design antennas', 'backed patch', 'antenna geometry']</t>
  </si>
  <si>
    <t>This paper describes a cavity-backed patch-antenna geometry, which features multiple dielectric layers and shorting posts. These features are exploited to design antennas which retain many of the desirable characteristics of conventional microstrip antennas, yet overcome some of their inherent disadvantages.</t>
  </si>
  <si>
    <t>Zavosh, Frank;Aberle, James T.</t>
  </si>
  <si>
    <t>Improving the performance of microstrip-patch antennas</t>
  </si>
  <si>
    <t>10.1109/74.537361</t>
  </si>
  <si>
    <t>2-s2.0-0030212958</t>
  </si>
  <si>
    <t>['specific quality', 'service requirements', 'related problems', 'new ideas', 'illustrated according', 'handle network', 'different applications', 'broadband isdn', 'based handovers', 'atm multiplexer', 'air interface']</t>
  </si>
  <si>
    <t>Wireless ATM systems for the connection of mobile multimedia terminals to the broadband ISDN for different applications will be introduced, explained, and illustrated according to their specific quality-of-service requirements. The authors' approach to realizing an ATM multiplexer at the air interface is explained in detail, and new ideas on how to cope with the fact that an ATM transport network is not prepared to handle network-based handovers are presented. The article also describes some of the tools the authors have developed to study and analyze wireless ATM-related problems.</t>
  </si>
  <si>
    <t>50-56</t>
  </si>
  <si>
    <t>60015815-60075697-60020621-60016653;60016653;60016653</t>
  </si>
  <si>
    <t>7004411788;35608121900;6507489036</t>
  </si>
  <si>
    <t>Walke, Bernhard;Petras, Dietmar;Plassmann, Dieter</t>
  </si>
  <si>
    <t>Nurnberg;Hagen;Aachen;Stuttgart</t>
  </si>
  <si>
    <t>AEG;FernUniversit√§t in Hagen;Rheinisch-Westf√§lische Technische Hochschule Aachen;Universit√§t Stuttgart</t>
  </si>
  <si>
    <t>60075697;60020621;60016653;60015815</t>
  </si>
  <si>
    <t>Walke B.</t>
  </si>
  <si>
    <t>Wireless ATM: Air interface and network protocols of the mobile broadband system</t>
  </si>
  <si>
    <t>10.1109/98.536479</t>
  </si>
  <si>
    <t>2-s2.0-0030213160</t>
  </si>
  <si>
    <t>F49620-92-C-0055</t>
  </si>
  <si>
    <t>['tunnel diodes', 'triggering due', 'spatial power', 'series connection', 'rf triggering', 'port circuits', 'output power', 'oscillation signals', 'feasible method', 'favorable configuration', 'experimental demonstration', 'effective method', 'dc instability', 'combining arrays', 'active antenna']</t>
  </si>
  <si>
    <t>Connecting several tunneling diodes - resonant tunneling diodes (RTD's) or tunnel diodes - in series has been shown to be a feasible method for increasing the output power and stability of oscillator circuits using these devices. However, such oscillators require special means of triggering due to biasing difficulties associated with their dc instability. RF triggering was proven to be an effective method of initiating such an oscillation in one-port circuits. An experimental demonstration of free-space RF triggering of an active antenna with a series connection is described here. Active antenna circuits offer excellent isolation between the triggering and oscillation signals and a favorable configuration for spatial power-combining arrays.</t>
  </si>
  <si>
    <t>280-282</t>
  </si>
  <si>
    <t>60000251-60027550-60009037;60000251-60027550;60000251-60027550</t>
  </si>
  <si>
    <t>6701426555;7202084858;36041035600</t>
  </si>
  <si>
    <t>Boric-Lubecke, Olga;Pan, Dee Son;Itoh, Tatsuo</t>
  </si>
  <si>
    <t>Los Angeles;Pasadena;New York</t>
  </si>
  <si>
    <t>University of California, Los Angeles;Jet Propulsion Laboratory;IEEE</t>
  </si>
  <si>
    <t>60027550;60009037;60000251</t>
  </si>
  <si>
    <t>Boric-Lubecke O.</t>
  </si>
  <si>
    <t>Free-space RF triggering of an active antenna with series-connected tunneling diodes</t>
  </si>
  <si>
    <t>10.1109/75.508553</t>
  </si>
  <si>
    <t>2-s2.0-0030213999</t>
  </si>
  <si>
    <t>['suppressed mpi', 'sbs threshold', 'multipath interference', 'mpi ).', 'low power', 'excess noise', 'electroabsorption modulator', 'chirp modulation']</t>
  </si>
  <si>
    <t>The performance of analogue CATV systems using narrow linewidth sources and low-chirp modulation is limited by low power-thresholds for stimulated Brillouin scattering (SBS) and excess noise from multipath interference (MPI). Using a low-chirp linearised integrated DFB laser/electroabsorption modulator as a transmitter, the authors have increased the SBS threshold by 5dB to +13.6dBm fibre launch power and suppressed MPI by dithering the laser bias current at 1.7GHz.</t>
  </si>
  <si>
    <t>1502-1504</t>
  </si>
  <si>
    <t>100460248;100460248;100460248;100460248;100460248;100460248;100460248</t>
  </si>
  <si>
    <t>7404530140;7402253474;7005051750;7007044978;55494663100;35416239700;7103133230</t>
  </si>
  <si>
    <t>Wilson, G. C.;Wood, T. H.;Zyskind, J. L.;Sulhoff, J. W.;Johnson, J. E.;Tanbun-Ek, T.;Morton, P. A.</t>
  </si>
  <si>
    <t>Holmdel</t>
  </si>
  <si>
    <t>Crawford Hill Lab</t>
  </si>
  <si>
    <t>Wilson G.</t>
  </si>
  <si>
    <t>SBS and MPI suppression in analogue systems with integrated electroabsorption modulator/DFB laser transmitters</t>
  </si>
  <si>
    <t>10.1049/el:19960966</t>
  </si>
  <si>
    <t>2-s2.0-0030214834</t>
  </si>
  <si>
    <t>['speed deposition', 'sih4 enables', 'room temperature', 'realize high', 'pressure high', 'power discharges', 'low pressure', 'loop antenna', 'high photoconductivity', 'h films', 'considerably lower', '1011 cm', '1 pa']</t>
  </si>
  <si>
    <t>Hydrogenated amorphous silicon | Inductively coupled plasma | Internal rf antenna | Low-temperature deposition | Magnetic multipole confinement | Photoconductivity</t>
  </si>
  <si>
    <t>A high-density (1011 cm-3) inductively coupled plasma at low pressure (0.1 Pa) of SiH4 enables the growth of hydrogenated amorphous silicon films of high photoconductivity (10-5 S/cm) at substrate temperatures (&lt;100¬∞C) considerably lower than that with a conventional capacitive rf plasma. Such low-pressure high-power discharges were achieved by inserting a loop antenna into a plasma with magnetic multipole confinement. Thus, this type of rf reactor appears to be promising to realize high-speed deposition of large-area a-Si:H films at room temperature.</t>
  </si>
  <si>
    <t>8 PART A</t>
  </si>
  <si>
    <t>60000264;60000264;60107350;100477720;60000264</t>
  </si>
  <si>
    <t>55628550336;7202067826;35426120500;35444534400;7101665824</t>
  </si>
  <si>
    <t>Goto, Masashi;Toyoda, Hirotaka;Kitagawa, Masatoshi;Hirao, Takashi;Sugai, Hideo</t>
  </si>
  <si>
    <t>Kadoma;Nagoya;Osaka</t>
  </si>
  <si>
    <t>Panasonic Corporation;Nagoya University;Matsushita Technoresearch Inc.</t>
  </si>
  <si>
    <t>60107350;60000264;100477720</t>
  </si>
  <si>
    <t>Goto M.</t>
  </si>
  <si>
    <t>Lower-temperature growth of hydrogenated amorphous silicon films from inductively coupled silane plasma</t>
  </si>
  <si>
    <t>10.1143/jjap.35.l1009</t>
  </si>
  <si>
    <t>2-s2.0-0030215087</t>
  </si>
  <si>
    <t>['two antennas', 'transmitting antenna', 'sufficiently far', 'small departures', 'receiving antenna', 'plane wave', 'pattern measurements', 'paper presents', 'paired horns', 'infinite distance', 'generally undertaken', 'gain measurements', 'exact derivation', 'depend upon', 'beam pattern', 'aperture errors']</t>
  </si>
  <si>
    <t>Antenna-pattern measurements are generally undertaken by placing the antenna under test (usually the receiving antenna) sufficiently far from the transmitting antenna that the receiving antenna is illuminated with a plane wave. Gain measurements, whether by substitution, paired horns, or integration of the area under the beam pattern, depend upon the same criterion. A true plane wave is only achieved by separating the two antennas by an infinite distance, but is has been shown that small departures from a plane wave do not usually seriously degrade the measurement. This paper presents an exact derivation of aperture errors in the measurements of antenna.</t>
  </si>
  <si>
    <t>56-60</t>
  </si>
  <si>
    <t>100467377;100467377</t>
  </si>
  <si>
    <t>7202029313;56212355200</t>
  </si>
  <si>
    <t>Hawkins, D. C.;Milligan, T.</t>
  </si>
  <si>
    <t>Leominster</t>
  </si>
  <si>
    <t>Q-par Angus Ltd.</t>
  </si>
  <si>
    <t>Hawkins D.</t>
  </si>
  <si>
    <t>Exact derivation of aperture errors in antenna measurements</t>
  </si>
  <si>
    <t>10.1109/74.537365</t>
  </si>
  <si>
    <t>2-s2.0-0030215232</t>
  </si>
  <si>
    <t>['two modifications', 'spurious components', 'second modification', 'resistance bandwidth', 'patch antenna', 'overall q', 'narrower negative', 'line transformer', 'integrated directly', 'impedance inverter', 'gunn diode', 'first modification', 'clear spectrum', 'central part', 'bias voltage', 'antenna applications', 'active devices', 'active device']</t>
  </si>
  <si>
    <t>Two modifications to a rectangular-patch antenna, suitable for the integration of active devices, are presented. In the first modification, the impedance inverter was placed in the rectangular opening formed by removing the central part of the patch. This modification allows optimal matching of the active device by changing the position, width, and length of the impedance-line transformer. Because of the higher overall Q, this modification is recommended for active-antenna applications with active devices that have a narrower negative-resistance bandwidth. In the second modification, an active device (Gunn diode) was integrated directly into a rectangular opening inside the patch, without the use of a line transformer. This reduced the overall Q of the antenna, thus allowing wide-band frequency tuning by changing the bias voltage. A clear spectrum, with no spurious components of the free-running oscillating antenna, was observed.</t>
  </si>
  <si>
    <t>13-21</t>
  </si>
  <si>
    <t>60008408;60008408;60008408</t>
  </si>
  <si>
    <t>35618374900;6602371741;7003852951</t>
  </si>
  <si>
    <t>Bartolic, Juraj;Bonefacic, Davor;Sipus, Zvonimir</t>
  </si>
  <si>
    <t>Croatia</t>
  </si>
  <si>
    <t>Zagreb</t>
  </si>
  <si>
    <t>University of Zagreb</t>
  </si>
  <si>
    <t>Bartolic J.</t>
  </si>
  <si>
    <t>Modified rectangular patches for self-oscillating active-antenna applications</t>
  </si>
  <si>
    <t>10.1109/74.537362</t>
  </si>
  <si>
    <t>2-s2.0-0030215248</t>
  </si>
  <si>
    <t>['work everywhere', 'video seamlessly', 'term improvements', 'standard university', 'sophisticated capabilities', 'provide much', 'multimedia phones', 'major near', 'immediate future', 'handle voice', 'could contribute', 'big changes', 'battlefield communications', 'antenna projects', '3 billion']</t>
  </si>
  <si>
    <t>Major near-term improvements and some big changes down the road could result from antenna projects at Standard University. In more immediate future, the 'smart' antenna will provide much more sophisticated capabilities than are now possible with radio and cellular phone systems. Further, the technology will lead to multimedia phones that work everywhere and handle voice, data, and video seamlessly. Once implemented, the smart-antenna technology could save $3 billion for the cellular phone industry over a decade. For the military, it could contribute to a revolution in battlefield communications that cuts equipment costs while permitting greater operating flexibility.</t>
  </si>
  <si>
    <t>31-33</t>
  </si>
  <si>
    <t>Research and Development (Barrington, Illinois)</t>
  </si>
  <si>
    <t>Stambler, Irwin</t>
  </si>
  <si>
    <t>Stambler I.</t>
  </si>
  <si>
    <t>Smart antennas may revamp wireless communications</t>
  </si>
  <si>
    <t>2-s2.0-0030215654</t>
  </si>
  <si>
    <t>['two projects', 'solar flares', 'similar exercise', 'receive signals', 'radio telescope', 'project set', 'first involved']</t>
  </si>
  <si>
    <t>Two projects were proposed for a radio science class at the University of Liverpool in 1994. The first involved the design, construction and, hopefully, the operation of a radio telescope to receive signals from the sun. The other was a similar exercise where the objective was to detect solar flares by an indirect radio method. The first project focused on the very high frequency signals from the sun, while the other project set out to detect the solar flares that cause magnetic disturbances on earth. The progress of both projects are discussed.</t>
  </si>
  <si>
    <t>33-37</t>
  </si>
  <si>
    <t>Austin, Brian</t>
  </si>
  <si>
    <t>Liverpool</t>
  </si>
  <si>
    <t>University of Liverpool</t>
  </si>
  <si>
    <t>Austin B.</t>
  </si>
  <si>
    <t>Signals from the sun</t>
  </si>
  <si>
    <t>10.1109/45.535229</t>
  </si>
  <si>
    <t>2-s2.0-0030215797</t>
  </si>
  <si>
    <t>['totally independent', 'sources used', 'reception modes', 'radiating elements', 'phase settings', 'one side', 'notorious array', 'much smaller', 'internal impedances', 'incoming beam', 'given set', 'fundamental results', 'forming networks', 'efficiency beam', 'directivity electronically', 'completely suppressing', 'blindness effect', 'beam directions', 'array elements', 'advanced designs']</t>
  </si>
  <si>
    <t>Recent, very general and fundamental results in the theory of electrically large microwave networks lead to new, advanced designs of high-efficiency beam-forming networks, for high-directivity electronically-steered phased arrays. On the basis of the rigorous new results, the beam-forming networks of electronically-steered phased arrays can be simultaneously impedance matched to any given set of radiating elements on one side, and to any given set of mutually-coherent, phase- and amplitude-controlled microwave sources on the other. Further, the impedance match attained in transmission also holds in reception, as long as the set of mutually-coherent receivers used has the same internal impedances as the set of sources used. The impedance match attained accounts simultaneously for both the electromagnetic proximity coupling between all the radiating array elements, and for any given internal cross-coupling of the set of sources, in transmission, or of the set of receivers, in reception. The resulting impedance match is totally independent from the amplitude and phase settings of the sources, in transmission, and from the direction of the incoming beam, in reception, completely suppressing the notorious array-blindness effect for all beam directions. Further, beam-forming networks can also be designed with prescribed transmission responses-besides a prescribed impedance match-in both the transmission and reception modes, and with a number of beam-steering control components that is much smaller than the number of array elements.</t>
  </si>
  <si>
    <t>Speciale, Ross A.</t>
  </si>
  <si>
    <t>Speciale R.</t>
  </si>
  <si>
    <t>Advanced design of phased-array beam-forming networks</t>
  </si>
  <si>
    <t>10.1109/74.537363</t>
  </si>
  <si>
    <t>2-s2.0-0030216314</t>
  </si>
  <si>
    <t>['wireless systems', 'wan ),', 'stringent cost', 'special concerns', 'radio frequency', 'performance improvements', 'paper discusses', 'laptop computers', 'important subcomponent', 'cellular phones', 'area network', 'antenna design']</t>
  </si>
  <si>
    <t>Antennas | Method of moments | RF wireless</t>
  </si>
  <si>
    <t>Antennas are an important subcomponent for radio frequency (RF) wireless systems - oftentimes, performance improvements in the several dB range can be achieved by optimizing antenna design and position, which are very difficult to achieve with modifications to a radio. Antennas for RF wireless systems include portable RF remote antennas, for example for cellular phones, personal digital assistants (PDA's), handheld computers, and local-area network (LAN), wide-area network (WAN), and personal-area network (PAN) adapters for laptop computers, and base station antennas for these applications. Antennas for systems such as these have stringent cost, performance, and form factor specifications. This paper discusses the modeling and design of antennas for these applications, specifically a method of moments modeling tool which has been developed, special concerns in antenna design for portable RF remotes, and design of base station antennas. ¬© 1996 IEEE.</t>
  </si>
  <si>
    <t>487-501</t>
  </si>
  <si>
    <t>IEEE Transactions on Components Packaging and Manufacturing Technology Part B</t>
  </si>
  <si>
    <t>60000251-60017366</t>
  </si>
  <si>
    <t>Ponnapalli, Saila</t>
  </si>
  <si>
    <t>Yorktown Heights;New York</t>
  </si>
  <si>
    <t>IBM Thomas J. Watson Research Center;IEEE</t>
  </si>
  <si>
    <t>60017366;60000251</t>
  </si>
  <si>
    <t>Ponnapalli S.</t>
  </si>
  <si>
    <t>Modeling and design of antennas for RF wireless systems</t>
  </si>
  <si>
    <t>S1070989496050086</t>
  </si>
  <si>
    <t>10.1109/96.533887</t>
  </si>
  <si>
    <t>2-s2.0-0030216468</t>
  </si>
  <si>
    <t>['typically 0', 'separation grid', 'scratch resistance', 'quartzlike layer', 'process chamber', 'primary discharge', 'polycarbonate substrates', 'oxygen leads', 'monomer hexamethyldisiloxan', 'grid separates', 'distributed 5', 'deposition rate', 'additional amount', '50 mm', '5 œºm', '25 cm']</t>
  </si>
  <si>
    <t>Plasma processing and deposition | Silicon oxide</t>
  </si>
  <si>
    <t>The slot antenna microwave plasma source is used for remote plasma deposition of scratch resistant films on polycarbonate substrates. A grid separates the primary discharge from the process chamber. The monomer hexamethyldisiloxan is distributed 5-50 mm over the substrate positioned 5-25 cm from the separation grid. With argon in the primary discharge a good sticking interface polymer layer grows. An additional amount of oxygen leads to a quartzlike layer on top. Deposition rate is typically 0.5 Œºm/min. Rubber and tumble abrasion tests are used to characterise the scratch resistance.</t>
  </si>
  <si>
    <t>143-145</t>
  </si>
  <si>
    <t>281-282</t>
  </si>
  <si>
    <t>60022995;60022995;60022995;60022995</t>
  </si>
  <si>
    <t>56592463300;6603558953;24726530800;7005887088</t>
  </si>
  <si>
    <t>Korzec, D.;Traub, K.;Werner, F.;Engemann, J.</t>
  </si>
  <si>
    <t>Korzec D.</t>
  </si>
  <si>
    <t>Remote deposition of scratch resistant films by use of slot antenna microwave plasma source</t>
  </si>
  <si>
    <t>10.1016/0040-6090(96)08595-1</t>
  </si>
  <si>
    <t>2-s2.0-0030217750</t>
  </si>
  <si>
    <t>['uniform plasma', 'uhf power', 'plasma diameter', 'o2 plasma', 'low temperature', 'high density', 'electron temperature', 'around 2', 'achieved using', '5 ev', '300 mm']</t>
  </si>
  <si>
    <t>Fluorine | Optical spectroscopy | Plasma processing and deposition</t>
  </si>
  <si>
    <t>A high density, low temperature, and uniform plasma was achieved using an UHF plasma source. The UHF power was coupled with a spokewise antenna assembly. The density of the CF4/O2 plasma was larger than 4√ó1010 cm-3 over a plasma diameter of 300 mm and the electron temperature was around 2.5 eV. The properties of the UHF plasma source are applicable to the future ULSI processing.</t>
  </si>
  <si>
    <t>100324345;60031293;101527803;100324345;101527803</t>
  </si>
  <si>
    <t>7403388429;35453082200;7102921642;7202461955;7201414810</t>
  </si>
  <si>
    <t>Nakagawa, Y.;Samukawa, S.;Ueyama, H.;Tsukada, T.;Shinohara, K.</t>
  </si>
  <si>
    <t>Tokyo;Yokohama;Fuchu</t>
  </si>
  <si>
    <t>NEC Corporation;Nihon Koshuha Co., Ltd.;ANELVA Corporation</t>
  </si>
  <si>
    <t>60031293;101527803;100324345</t>
  </si>
  <si>
    <t>Nakagawa Y.</t>
  </si>
  <si>
    <t>New plasma source with an UHF (500 MHz) antenna</t>
  </si>
  <si>
    <t>10.1016/0040-6090(96)08603-8</t>
  </si>
  <si>
    <t>2-s2.0-0030217762</t>
  </si>
  <si>
    <t>['thermal expansion', 'temperature loads', 'sandwich core', 'reflector surface', 'particularly valuable', 'parameter studies', 'form analysis', 'fit paraboloid', 'derived results', 'contour accuracy', 'bending deformation']</t>
  </si>
  <si>
    <t>Due to the thermal expansion of the sandwich core in the thickness direction curved sandwich reflectors exhibit a bending deformation under temperature loads. This leads to some deviation of the reflector surface from its initially ideal contour and subsequently to a degraded figuring behaviour. For the description of this effect a closed-form analysis is presented for an initially parabolic reflector approximating its deformations by those of an associated spherical shell. Finally, as a measure of contour accuracy, the resultant root mean square (RMS-) value with respect to a best-fit paraboloid is calculated. The derived results are particularly valuable for early design estimates and for parameter studies.</t>
  </si>
  <si>
    <t>194-198</t>
  </si>
  <si>
    <t>0342068X</t>
  </si>
  <si>
    <t>Zeitschrift fur Flugwissenschaften und Weltraumforschung</t>
  </si>
  <si>
    <t>60002286;60002286;60002286</t>
  </si>
  <si>
    <t>7402413847;57206446818;6505786854</t>
  </si>
  <si>
    <t>Becker, W.;Gross, D.;Schoenfeld, V.</t>
  </si>
  <si>
    <t>Airbus Group SE</t>
  </si>
  <si>
    <t>Becker W.</t>
  </si>
  <si>
    <t>Closed-form analysis of the temperature-induced bending deformations of sandwich antenna reflectors</t>
  </si>
  <si>
    <t>2-s2.0-0030218396</t>
  </si>
  <si>
    <t>['slot antennas', 'rectangular waveguide', 'radiated efficiently', 'plasma source', 'plasma parameters', 'plasma densities', 'discharge chamber', 'cutoff density', 'current entering', 'area processing', 'also measured', '45 ghz', '437 w', '30 cm', '2 pa', '094 pa', '059 pa']</t>
  </si>
  <si>
    <t>Cyclotron resonance studies | Deposition process | Plasma processing and deposition | Sputtering</t>
  </si>
  <si>
    <t>A 30 cm-class long electron cyclotron resonance (ECR) plasma source using slot antennas on a rectangular waveguide was developed for large-area processing. Microwaves of 2.45 GHz were radiated efficiently from the slot antennas into a discharge chamber. The plasma source was operated for Ar, O2 and N2 at pressures of 0.01-0.2 Pa. The plasma parameters were measured, and the current entering a target located downstream of the plasma source was also measured for sputtering deposition process. The ECR plasma source achieved the production of uniform Ar plasmas above 0.059 Pa. The Ar plasma uniformity was 10% in a 200 mm length at 437 W and 0.094 Pa. The Ar plasma density was beyond the cutoff density, although the plasma densities for O2 and N2 were below it. The target current reached about 150 mA for Ar.</t>
  </si>
  <si>
    <t>152-154</t>
  </si>
  <si>
    <t>60024322;60024322;60024322;60024322;60024322</t>
  </si>
  <si>
    <t>7006826882;7404577806;7202943241;7103195195;7402718440</t>
  </si>
  <si>
    <t>Nakase, Kiyotaka;Shibata, Tetsuji;Yasui, Toshiaki;Tahara, Hirokazu;Yoshikawa, Takao</t>
  </si>
  <si>
    <t>Nakase K.</t>
  </si>
  <si>
    <t>Sheet-shaped ECR plasma generation using permanent magnets for material processing</t>
  </si>
  <si>
    <t>10.1016/0040-6090(96)08598-7</t>
  </si>
  <si>
    <t>2-s2.0-0030219518</t>
  </si>
  <si>
    <t>['technical review', 'rather natural', 'pions detected', 'pion wave', 'photographic plate', 'electromagnetic waves', 'cultural outlook', 'bright spots']</t>
  </si>
  <si>
    <t>We do not want to provide a technical review but a cultural outlook about topics of general physical interest. While it is rather natural to consider NNÃÑ annihilation as a microscopic pion factory, less obvious perhaps is the fact that classical pion waves may be generated as from an antenna. What is a pion wave? What is the relation with pions detected by counters? Remember the duality between electromagnetic waves and the bright spots on a photographic plate!</t>
  </si>
  <si>
    <t>1355-1362</t>
  </si>
  <si>
    <t>Physics of Atomic Nuclei</t>
  </si>
  <si>
    <t>Cannata, F.</t>
  </si>
  <si>
    <t>Bologna</t>
  </si>
  <si>
    <t>Alma Mater Studiorum Universit√† di Bologna</t>
  </si>
  <si>
    <t>Cannata F.</t>
  </si>
  <si>
    <t>Coherent States, Pion Correlations, and Skyrmions in the Semiclassical Models of Nucleon-Antinucleon Annihilation</t>
  </si>
  <si>
    <t>2-s2.0-0030517602</t>
  </si>
  <si>
    <t>['solve problems', 'related packages', 'larger domain', 'gap ),', 'file transfers', 'bia ),', 'array program', 'analyze new', 'alone package', 'acp ).']</t>
  </si>
  <si>
    <t>The Antenna Lab software suite consists of four different antenna-related packages for the design and analysis of antennas, including the Beam Intermodulation Analyzer (BIA), the General Antenna Program (GAP), the Phased-array Program (ARRAY) and the Antenna Coverage Program (ACP). The software suite provides the capability to analyze new and existing antenna designs, perform coverage analysis trade-offs, and extend existing antenna and coverage analysis tools. As a stand-alone package, each software program provides significant benefits. The programs work together through file transfers so that the output of one package forms the input for another, allowing the programs to be used in concert to solve problems that span a larger domain.</t>
  </si>
  <si>
    <t>Antenna design and analysis software</t>
  </si>
  <si>
    <t>2-s2.0-17144452966</t>
  </si>
  <si>
    <t>['structurally modified', 'significant effects', 'secondary elements', 'reflector elements', 'improved performance', 'experimental investigation', 'attaching two']</t>
  </si>
  <si>
    <t>Antennas | Reflector antennas</t>
  </si>
  <si>
    <t>An experimental investigation of a novel corner reflector antenna with improved performance is reported. The corner reflector antenna has been structurally modified by attaching two more reflector elements. The parameters such as the primary corner angle, position, width and angle of the secondary elements have significant effects on the H-plane radiation characteristics of the antenna. Certain symmetric configurations of this triple corner reflector (TCR) antenna provide sharp beams with a gain of the order of 3dB over that of the conventional corner reflector (CR) antenna.</t>
  </si>
  <si>
    <t>60031544;60029694;60029694;60029694</t>
  </si>
  <si>
    <t>Kochi;Kottayam</t>
  </si>
  <si>
    <t>Cochin University of Science and Technology;Mahatma Gandhi University</t>
  </si>
  <si>
    <t>60031544;60029694</t>
  </si>
  <si>
    <t>10.1049/el:19961014</t>
  </si>
  <si>
    <t>2-s2.0-3242871232</t>
  </si>
  <si>
    <t>['user interference', 'user bandwidth', 'tdma systems', 'system architects', 'study trade', 'straight lines', 'small size', 'propagation environment', 'optimal choices', 'necessarily based', 'multiple access', 'low cost', 'large capacity', 'interference ratio', 'increasing demand', 'increasing b', 'including cellular', 'high reliability', 'feasible solutions', 'different combinations', 'design trade', 'dcs 1800', 'certain slope', 'certain quality', 'cdma systems', 'capacity decreases', 'broadband access', 'best design', 'best choice', 'author plots', 'antenna techniques']</t>
  </si>
  <si>
    <t>With the increasing demand for all kinds of wireless access services, including cellular/PCS, wireless local loop, and broadband access, the system architects will have opportunities to design new communication systems, not necessarily based on existing wireless standards, such as IS-54/136, GSM, IS-95, CT-2, and DCS 1800. In the design of wireless communication systems, there are usually multiple objectives such as low cost, small size, high reliability, and large capacity. The system architect would need to study trade-offs among different combinations of modulation, coding, multiple access, and antenna techniques to determine the best design. In this tutorial we focus on the trade-offs between user bandwidth and multi-user interference in order to maximize system capacity. The design trade-offs are depicted on a B - Œ≥0 plane, where B is the user bandwidth and Œ≥0 is the carrier-to-interference ratio (C/I). For F/TDMA and CDMA systems, the author first shows that the contours of equal system capacity are straight lines with different slopes depending on the propagation environment, and the capacity decreases for increasing B and Œ≥0. Then as feasible solutions, the author plots the different combinations of modulation and coding with diversity to satisfy a certain quality of service in a multipath fading environment. The best design is obtained by moving a line with a certain slope from the lower left corner in the B - Œ≥0 plane until it touches the first feasible solution. From these plots we can see that, for example, while 1/2-rate channel coding is the best choice for F/TDMA systems, 1/3-rate is better for CDMA systems. As the application scenario changes, different combinations of communication techniques would emerge as optimal choices.</t>
  </si>
  <si>
    <t>146-152</t>
  </si>
  <si>
    <t>IEEE Communications Magazine</t>
  </si>
  <si>
    <t>60021378-60001777-60030612-101841271-100619567</t>
  </si>
  <si>
    <t>Yue, On Ching</t>
  </si>
  <si>
    <t>United States;United States;United States;;</t>
  </si>
  <si>
    <t>San Diego;Murray;Rochester;;</t>
  </si>
  <si>
    <t>University of California, San Diego;Nokia Bell Labs;Rochester Institute of Technology;Radio Commun. Research Department;Performance Analysis Department</t>
  </si>
  <si>
    <t>60030612;60021378;60001777;101841271;100619567</t>
  </si>
  <si>
    <t>Yue O.</t>
  </si>
  <si>
    <t>Design trade-offs in cellular/PCS systems</t>
  </si>
  <si>
    <t>2-s2.0-3343025658</t>
  </si>
  <si>
    <t>['ultraviolet radiations', 'ultraviolet radiation', 'response provides', 'preexisting components', 'photosystem ii', 'photosynthetic apparatus', 'nucleic acids', 'light stress', 'indication whether', 'highly responsive', 'discussed wherein', 'cause damage', 'adaptation process']</t>
  </si>
  <si>
    <t>Cyanobacterial photosynthetic apparatus contains two photosystems, photosystem I (PS I) and photosystem II (PS II). In addition, the primary light harvesting antenna in these organisms is composed of pigmented and non-pigmented protein complex called phycobilisome. It is argued that both the photosystems and the phycobilisome are highly responsive to the changing light environment. The response of the cyanobacterial photosynthetic apparatus under different light conditions is discussed. It is presented that this response provides an indication whether it is an adaptation process or a signal for damage. Both visible and ultraviolet radiations have been shown to bring about this response. It is reported that in addition to its effect on the photosynthetic apparatus, ultraviolet radiation has also been shown to cause damage to nucleic acids. Finally, the possible protective mechanisms in cyanobacteria against light stress are discussed wherein it is argued that cyanobacteria have the capability to protect themselves against extreme light situations through various mechanisms involving modulations in the preexisting components of the photosynthetic apparatus or acquiring new protection mechanisms against light stress.</t>
  </si>
  <si>
    <t>728-741</t>
  </si>
  <si>
    <t>Journal of Scientific and Industrial Research</t>
  </si>
  <si>
    <t>60014171;60030622</t>
  </si>
  <si>
    <t>7005524782;7101652469</t>
  </si>
  <si>
    <t>Babu, T. Sudhakar;Mohanty, Prasanna</t>
  </si>
  <si>
    <t>India;Canada</t>
  </si>
  <si>
    <t>New Delhi;Waterloo</t>
  </si>
  <si>
    <t>Jawaharlal Nehru University;University of Waterloo</t>
  </si>
  <si>
    <t>60030622;60014171</t>
  </si>
  <si>
    <t>Babu T.</t>
  </si>
  <si>
    <t>Light regulation of photosynthetic apparatus in cyanobacteria</t>
  </si>
  <si>
    <t>2-s2.0-5544224717</t>
  </si>
  <si>
    <t>['elements sp', 'analytically expressed']</t>
  </si>
  <si>
    <t>A rigorous statistically closed expression has been obtained to calculate the elements of the polarization scattering matrix Sp which describes the quadratically minimum scattering field of an arbitrary passive matched antenna. The elements Sp are analytically expressed only through the complex vector pattern of the antenna.</t>
  </si>
  <si>
    <t>683-689</t>
  </si>
  <si>
    <t>100922194;100922194</t>
  </si>
  <si>
    <t>6603018976;6503916928</t>
  </si>
  <si>
    <t>Voropaev, Yu P.;Tebekin, V. V.</t>
  </si>
  <si>
    <t>Military Academy of the Republic of Belarus</t>
  </si>
  <si>
    <t>Voropaev Y.</t>
  </si>
  <si>
    <t>Calculation of the minimum scattering field of an arbitrary antenna by its directivity pattern</t>
  </si>
  <si>
    <t>10.1007/BF02120989</t>
  </si>
  <si>
    <t>2-s2.0-85050461722</t>
  </si>
  <si>
    <t>['undergoing light', 'structural changes', 'small aggregates', 'salt medium', 'reversible changes', 'purified chlorophyll', 'photophysical pathways', 'photochemical apparatus', 'mechanism independent', 'largely irreversible', 'lamellar aggregates', 'increased dissipation', 'granal thylakoids', 'fluorescence yield', 'fluorescence changes', 'excitation energy', 'circular dichroism', 'chiral macroorganization', 'chiral macroaggregates', 'b light', 'antenna system', 'also accompanied']</t>
  </si>
  <si>
    <t>In this paper, we show that stacked lamellar aggregates of the purified chlorophyll a/b light-harvesting antenna complexes (LHCII) and granal thylakoid membranes are capable of undergoing light-induced reversible changes in the chiral macroorganization of the chromophores as well as in the photophysical pathways. In granal thylakoids, the light-induced reversible structural changes, detected by circular dichroism (CD) measurements, are accompanied by reversible changes in the fluorescence yield that indicate an increased dissipation of the excitation energy. These changes become gradually more significant in excess light compared to nonsaturating light intensities, and can be eliminated by suspending the membranes in hypotonic, low-salt medium in which the chiral macroaggregates are absent. In lamellar aggregates of LHCII, the light-induced reversible changes of the main, nonexcitonic CD bands are also accompanied by reversible changes in the fluorescence yield. In small aggregates and trimers, no light-induced ACD occurs, and the fluorescence changes are largely irreversible. It is proposed that the structural changes are induced by thermal effects due to the excess light energy absorbed by the pigments. Our data strongly suggest that the structure and function of the antenna system of chloroplasts can be regulated by the absorption of excess light energy with a mechanism independent of the operation of the photochemical apparatus.</t>
  </si>
  <si>
    <t>8981-8985</t>
  </si>
  <si>
    <t>60027811;60027811;60027811;60027811</t>
  </si>
  <si>
    <t>6602717941;6508259773;7801464603;35468058100</t>
  </si>
  <si>
    <t>Barzda, Virginijus;Istokovics, Anita;Simidjiev, Ilian;Garab, Gy√∂zÃà</t>
  </si>
  <si>
    <t>Hungary</t>
  </si>
  <si>
    <t>Budapest</t>
  </si>
  <si>
    <t>Magyar Tudomanyos Akademia</t>
  </si>
  <si>
    <t>Structural flexibility of chiral macroaggregates of light-harvesting chlorophyll a/b pigment-protein complexes. Light-induced reversible structural changes associated with energy dissipation</t>
  </si>
  <si>
    <t>10.1021/bi960114g</t>
  </si>
  <si>
    <t>2-s2.0-0030037371</t>
  </si>
  <si>
    <t>Univerzita Karlova v Praze</t>
  </si>
  <si>
    <t>105/95</t>
  </si>
  <si>
    <t>UK</t>
  </si>
  <si>
    <t>['vibrational degrees', 'various sets', 'static disorder', 'solved exactly', 'recent papers', 'neighbouring molecules', 'model parameters', 'line shapes', 'coloured noise', 'closed set', 'account fluctuations']</t>
  </si>
  <si>
    <t>For Frenkel excitons moving on cyclic and linear molecular chains (modeling in part photosynthetic antenna systems) we investigate the influence of dynamic and static disorder on their optical line shapes. The dynamic disorder describes the influence of vibrational degrees of freedom. In our recent papers we have taken into account fluctuations of the local excitation energy. Fluctuations of the transfer matrix element between neighbouring molecules will be treated in this paper. The fluctuations are represented by dichotomic Markov processes with coloured noise. We obtain a closed set of equations of motion for the correlation functions determining the optical line shape which is solved exactly. The line shapes are discussed for various sets of the model parameters.</t>
  </si>
  <si>
    <t>154-162</t>
  </si>
  <si>
    <t>Computer Physics Communications</t>
  </si>
  <si>
    <t>60016605;60010586;60010586;60010586</t>
  </si>
  <si>
    <t>16634588600;7004462044;6701497128;6701805096</t>
  </si>
  <si>
    <t>Barv√≠k, I.;Reineker, P.;Warns, Ch;Neidlinger, Th</t>
  </si>
  <si>
    <t>Czech Republic;Germany</t>
  </si>
  <si>
    <t>Prague Praha;Ulm</t>
  </si>
  <si>
    <t>Charles University;Universit√§t Ulm</t>
  </si>
  <si>
    <t>60016605;60010586</t>
  </si>
  <si>
    <t>Barv√≠k I.</t>
  </si>
  <si>
    <t>Computer simulation of excitonic optical line shapes: Transfer integral fluctuations with dichotomic coloured noise</t>
  </si>
  <si>
    <t>10.1016/0010-4655(96)00028-8</t>
  </si>
  <si>
    <t>2-s2.0-0030564785</t>
  </si>
  <si>
    <t>DE-FG02-88ER53263</t>
  </si>
  <si>
    <t>['realistic three', 'present work', 'plasma interaction', 'one use', 'nearby limiters', 'icrf experiments', 'given design', 'first calculate', 'drive sheaths', 'dimensional structure', 'design tool', 'dependent characteristics', 'contact points', 'computer code', 'complicated three', 'antenna geometries', 'antenna design', 'analyze r']</t>
  </si>
  <si>
    <t>The present work is motivated by the importance of r.f. sheaths in determining the antenna-plasma interaction and the sensitivity of the sheaths to the complicated three-dimensional structure of modern ion cyclotron range of frequency (ICRF) antennas. To analyze r.f. sheaths on the plasma facing regions of the launcher, we first calculate the contact points of the tokamak magnetic field lines on the surface of the antenna Faraday screen and nearby limiters for realistic three-dimensional magnetic flux surface and antenna geometries. Next, the r.f. voltage that can drive sheaths at the contact points is determined and used to assess the resulting sheath power dissipation, r.f.-driven sputtering, and r.f.-induced convective cells (which produce edge profile modification). The calculations are embodied in a computer code, ANSAT (Antenna Sheath Analysis Tool), and sample ANSAT runs are shown to highlight the physics- and geometry-dependent characteristics of the r.f. sheaths and their relationship to the antenna design. One use of ANSAT is therefore as a design tool, to assess the strengths and weaknesses of a given design with respect to critical voltage handling and edge plasma interaction issues. Additionally, examples are presented where ANSAT has been useful in the analysis and interpretation of ICRF experiments.</t>
  </si>
  <si>
    <t>291-312</t>
  </si>
  <si>
    <t>Fusion Engineering and Design</t>
  </si>
  <si>
    <t>60026358;60026358;60015916-100412627</t>
  </si>
  <si>
    <t>7004139188;7004011751;22967137700</t>
  </si>
  <si>
    <t>Myra, J. R.;D'Ippolito, D. A.;Ho, Y. L.</t>
  </si>
  <si>
    <t>Boulder;San Diego;Lanham</t>
  </si>
  <si>
    <t>Lodestar Research Corporation;SAIC;Integral Systems, Inc.</t>
  </si>
  <si>
    <t>60026358;60015916;100412627</t>
  </si>
  <si>
    <t>Three-dimensional analysis of antenna sheaths</t>
  </si>
  <si>
    <t>10.1016/0920-3796(96)00435-8</t>
  </si>
  <si>
    <t>2-s2.0-0030564840</t>
  </si>
  <si>
    <t>Ministry of Education and Science of the Russian Federation</t>
  </si>
  <si>
    <t>Minobrnauka</t>
  </si>
  <si>
    <t>['spatial shift', 'optical quanta']</t>
  </si>
  <si>
    <t>The principle of a new readout meter for a large-scale gravitational wave antenna is proposed. This principle is based on the registration of the spatial shift of a standing optical wave caused by the gravitation wave inside the Fabry-Perot resonator without absorption of optical quanta.</t>
  </si>
  <si>
    <t>167-174</t>
  </si>
  <si>
    <t>7003908077;7801415990</t>
  </si>
  <si>
    <t>Braginsky, V. B.;Khalily, F. Ya</t>
  </si>
  <si>
    <t>Braginsky V.B.</t>
  </si>
  <si>
    <t>Nonlinear meter for the gravitational wave antenna</t>
  </si>
  <si>
    <t>10.1016/0375-9601(96)00440-9</t>
  </si>
  <si>
    <t>2-s2.0-0041623975</t>
  </si>
  <si>
    <t>['relaxation time']</t>
  </si>
  <si>
    <t>The results of measurements of the relaxation time of an all-fused silica massive pendulum are presented. The relaxation time obtained was ‚âà 3 years, which corresponds to a quality factor Q ‚âà 1√ó108.</t>
  </si>
  <si>
    <t>60007457;60007457;60007457</t>
  </si>
  <si>
    <t>7003908077;7101606756;10639263800</t>
  </si>
  <si>
    <t>Braginsky, V. B.;Mitrofanov, V. P.;Tokmakov, K. V.</t>
  </si>
  <si>
    <t>Energy dissipation in the pendulum mode of the test mass suspension of a gravitational wave antenna</t>
  </si>
  <si>
    <t>10.1016/0375-9601(96)00441-0</t>
  </si>
  <si>
    <t>2-s2.0-0041822565</t>
  </si>
  <si>
    <t>['wide antennas', 'two years', 'three world', 'thermal origin', 'strain sensitivity', 'strain relief', 'stationary noise', 'seismic noise', 'remaining events', 'present sensitivity', 'order 10', 'noise temperatures', 'gravitational waves', 'galactic centre', 'event rate', 'electromagnetic interference', 'correlation experiment', 'continuous operation', 'coincidence analysis', 'candidate events', '3 mk']</t>
  </si>
  <si>
    <t>Two years of continuous operation of a resonant bar gravitational wave antenna with noise temperatures of about 3 mK and strain sensitivity of h ‚àº 10-18 are reported. An average of about 40 candidate events are observed each day, most of which are of non-thermal origin. Coincidence analysis with local environmental monitors shows that only a few percent of the candidate events can be attributed to seismic noise or electromagnetic interference. The remaining events are of unknown but probably mundane origin such as non-stationary noise in the cryogenic microwave readout system or strain relief in the antenna or vibration isolation system. Assuming the same event rate of 40 events per day for all three world-wide antennas, one accidental coincidence in a correlation experiment is expected every 320 years. At its present sensitivity, the antenna is capable of detecting the conversion of a mass of order 10-2M‚äô to gravitational waves at the galactic centre.</t>
  </si>
  <si>
    <t>190-196</t>
  </si>
  <si>
    <t>60031806;60031806;60031806;60031806</t>
  </si>
  <si>
    <t>6603868347;22974326500;7201647955;35377760800</t>
  </si>
  <si>
    <t>Heng, I. S.;Blair, D. G.;Ivanov, E. N.;Tobar, M. E.</t>
  </si>
  <si>
    <t>Heng I.S.</t>
  </si>
  <si>
    <t>Long term operation of a niobium resonant bar gravitational wave antenna</t>
  </si>
  <si>
    <t>10.1016/0375-9601(96)00409-4</t>
  </si>
  <si>
    <t>2-s2.0-0042261086</t>
  </si>
  <si>
    <t>['vertical component', 'using microwave', 'two months', 'swedish perma', 'structures associated', 'significant part', 'significant degree', 'scattering structure', 'results presented', 'presumably increases', 'present offsets', 'north component', 'likely due', 'less affected', 'horizontal components', 'existing networks', 'data analyzed', 'baseline length', 'antenna mounts', 'analyzing data', 'absorbing material', '6 mm', '5 mm', '20 ¬∞.', '16 sites', '10 ¬∞']</t>
  </si>
  <si>
    <t>This paper presents results from a study of elevation-angle-dependent systematic effects on estimates of relative site positions within the Swedish perma-nent Global Positioning System (GPS) network. Two months of data from 16 sites have been analyzed with three different elevation cutoff angles, namely, 10¬∞, 15¬∞, and 20¬∞. We present offsets between these solutions and demonstrate that estimates of the vertical component of several baselines strongly depend on the minimum elevation angle (elevation cutoff angle) of the data analyzed. Offsets of 22.3 ¬± 1.6 mm in the vertical component are evident when the elevation cutoff angle is changed from 10¬∞ to 20¬∞. We investigate these offsets and conclude that a significant part is due to differential phase errors caused by scattering from structures associated with the mounting of the antenna to the pillar and with the pillar itself. The horizontal components of baseline are less affected. We found, however, that the offsets in the horizontal components increase with baseline length. For the longest baselines (‚àº1500 km) offsets of more than 5 mm are evident in the north component when the elevation cutoff angle is changed from 10¬∞ to 20¬∞. These offsets are most likely due to differential phase errors caused by nonuniform antenna phase patterns; an effect that presumably increases with baseline length and which also might increase because of scattering from the pillars and the antenna mounts. We identify the scattering structure and reduce associated errors in the vertical component of baseline to a significant degree on one of the sites by using microwave-absorbing material. The results presented are of importance for those analyzing data from existing networks and for those who intend to establish permanent GPS geodetic networks.</t>
  </si>
  <si>
    <t>17841-17860</t>
  </si>
  <si>
    <t>60007328-60079072;60007328;60007328;60020680-60011633;60020680;60020680;60015009</t>
  </si>
  <si>
    <t>56619246600;7202425409;6603177988;57204114033;55740847000;7202507088;6602195919</t>
  </si>
  <si>
    <t>Jaldehag, R. T.K.;Johansson, J. M.;R√∂nn√§ng, B. O.;El√≥segui, P.;Davis, J. L.;Shapiro, I. I.;Niell, A. E.</t>
  </si>
  <si>
    <t>Sweden;United States;United States;Spain;Sweden</t>
  </si>
  <si>
    <t>Boras;Cambridge;Westford;Madrid;Onsala</t>
  </si>
  <si>
    <t>RISE, SP Technical Research Institute of Sweden;Harvard-Smithsonian Center for Astrophysics;MIT Haystack Observatory;VILSPA - XMM Newton Science Operations Centre;Onsala Space Observatory</t>
  </si>
  <si>
    <t>60079072;60020680;60015009;60011633;60007328</t>
  </si>
  <si>
    <t>Geodesy using the Swedish permanent GPS network: Effects of signal scattering on estimates of relative site positions</t>
  </si>
  <si>
    <t>10.1029/96jb01183</t>
  </si>
  <si>
    <t>2-s2.0-0030425615</t>
  </si>
  <si>
    <t>['thus provides', 'threshold voltage', 'studying plasma', 'novel method', 'induced damage', 'good indicator', 'gate voltage', 'effective characterization', 'also easy', '1 v']</t>
  </si>
  <si>
    <t>Antenna effect | Damage | Gate current | Metal etching | Plasma | Threshold voltage</t>
  </si>
  <si>
    <t>A novel method is proposed for the effective characterization of plasma-charge-induced damage on thin gate oxides. We have found that the gate current measured at Vg(gate voltage) = Vth (threshold voltage) under a low drain bias (e.g., 0.1 V) is a good indicator of the damage. Since the proposed method requires only low bias voltages, it does not cause additional damage to the devices. The proposed gate current measurement is also easy to incorporate to device measurement routines without an extra stressing step, and thus provides a simple and efficient damage indicator for studying plasma-charge-induced damage.</t>
  </si>
  <si>
    <t>8 SUPPL. B</t>
  </si>
  <si>
    <t>60015761;60012370;60015761-60012370</t>
  </si>
  <si>
    <t>7405572215;13310372400;7404961499</t>
  </si>
  <si>
    <t>Lin, Horng Chih;Chien, Chao Hsin;Huang, Tiao Yuan</t>
  </si>
  <si>
    <t>Lin H.C.</t>
  </si>
  <si>
    <t>Characterization of antenna effect by nondestructive gate current measurement</t>
  </si>
  <si>
    <t>10.1143/jjap.35.l1044</t>
  </si>
  <si>
    <t>2-s2.0-0342779025</t>
  </si>
  <si>
    <t>['two dimers', 'survival time', 'special site', 'sensitive probe', 'hopping dynamics', 'exciton dynamics', 'energy transfer', 'coherent molecules', 'arbitrary ratio', 'approximation gives', 'allows us', '16 dimers']</t>
  </si>
  <si>
    <t>In this paper we present a study of a model in which there is energy transfer as well as a special site where an irreversible reaction takes place. This model has an arbitrary ratio of homogeneous broadening versus site interaction energy. This allows us to study the crossover from hopping dynamics to exciton dynamics. We show that for the survival time the hopping (F√∂rster) approximation gives a surprisingly accurate final result even when the energy transfer is excitonic. Fluorescence depolarization however is a sensitive probe for the nature of the energy transfer. We study the number of coherent molecules by considering a generalization of the inverse participation ratio. For LH1, assuming that it is a ring of 16 dimers, we estimate that the excitation is, on the average, delocalized over two dimers. The excitation is localized by phonons. ¬© 1996 American Chemical Society.</t>
  </si>
  <si>
    <t>14403-14409</t>
  </si>
  <si>
    <t>Leegwater, Jan A.</t>
  </si>
  <si>
    <t>Leegwater J.</t>
  </si>
  <si>
    <t>Coherent versus incoherent energy transfer and trapping in photosynthetic antenna complexes</t>
  </si>
  <si>
    <t>10.1021/jp961448i</t>
  </si>
  <si>
    <t>2-s2.0-33748863633</t>
  </si>
  <si>
    <t>['thz pulses', 'systematic investigation', 'pronounced dependence', 'photoconductive switch', 'operation conditions', 'given geometry', 'excitation density', 'carrier dynamics', 'bias voltage']</t>
  </si>
  <si>
    <t>We present a systematic investigation of the operation conditions of photoconductive switches fabricated on LT-GaAs as sources of THz pulses. We find a pronounced dependence of the THz pulse intensities and spectra on bias voltage and excitation density, which can be explained in terms of carrier dynamics and screening of the electric bias field. This study provides guidelines for the selection of the optimal operation parameters to obtain short THz pulses with a given geometry of the photoconductive switch. ¬© 1996 American Institute of Physics.</t>
  </si>
  <si>
    <t>1194-1196</t>
  </si>
  <si>
    <t>60016924;60016924</t>
  </si>
  <si>
    <t>7102652174;7103050223</t>
  </si>
  <si>
    <t>Ludwig, Christoph;Kuhl, J√ºrgen</t>
  </si>
  <si>
    <t>Max Planck Institute for Solid State Research</t>
  </si>
  <si>
    <t>Ludwig C.</t>
  </si>
  <si>
    <t>Studies of the temporal and spectral shape of terahertz pulses generated from photoconducting switches</t>
  </si>
  <si>
    <t>10.1063/1.117408</t>
  </si>
  <si>
    <t>2-s2.0-0030213846</t>
  </si>
  <si>
    <t>['paper focuses', 'mobile communication', 'mmc ).', 'metaphase figures', 'lymphocyte cultivation', 'global system', 'combined effects', 'base station']</t>
  </si>
  <si>
    <t>This paper focuses on the combined effects of microwaves from mobile communication frequencies and a chemical DNA damaging agent mitomycin C (MMC). The investigation was performed in vitro by exposing whole blood samples to a 954 MHz emitting antenna from a GSM (Global System for Mobile Communication) base station, followed by lymphocyte cultivation in the presence of MMC. A highly reproducible synergistic effect was observed as based on the frequencies of sister chromatid exchanges in metaphase figures.</t>
  </si>
  <si>
    <t>26-30</t>
  </si>
  <si>
    <t>Environmental and Molecular Mutagenesis</t>
  </si>
  <si>
    <t>60019342;60019342;101803716;60019342</t>
  </si>
  <si>
    <t>8768353000;7101626036;6508090473;7006255980</t>
  </si>
  <si>
    <t>Maes, Annemarie;Collier, Monique;Slaets, Dani√´l;Verschaeve, Luc</t>
  </si>
  <si>
    <t>Belgium;Belgium</t>
  </si>
  <si>
    <t>Mol;Brussels</t>
  </si>
  <si>
    <t>Vlaamse Instelling voor Technologisch Onderzoek;Gezondheid en Arbeid</t>
  </si>
  <si>
    <t>60019342;101803716</t>
  </si>
  <si>
    <t>Maes A.</t>
  </si>
  <si>
    <t>954 MHz microwaves enhance the mutagenic properties of mitomycin C</t>
  </si>
  <si>
    <t>10.1002/(SICI)1098-2280(1996)28:1&lt;26::AID-EM6&gt;3.0.CO;2-C</t>
  </si>
  <si>
    <t>2-s2.0-0029764313</t>
  </si>
  <si>
    <t>['¬© 1996', 'time constant', 'paper describes', 'optical society', 'nitrogen cooling', 'modulation frequency', 'mica substrate', 'film high', 'electrical nep', '7 sec', '10 hz']</t>
  </si>
  <si>
    <t>This paper describes the design and characteristics of a two-channel detector apparatus based on thin-film high-temperature superconducting bolometers that operate with liquid-nitrogen cooling. The IR composite bolometer, on a mica substrate, has a detectivity of D* = 1.2√ó109 cm¬∑Hz1/2W-1 at a modulation frequency of 10 Hz. The electrical NEP of the submillimeter antenna microbolometer is NEP = 1.2 √ó 10-11 W¬∑Hz-1/2 with a time constant of 3 √ó 10-7 sec. ¬© 1996 The Optical Society of America.</t>
  </si>
  <si>
    <t>674-676</t>
  </si>
  <si>
    <t>Journal of Optical Technology (A Translation of Opticheskii Zhurnal)</t>
  </si>
  <si>
    <t>60068678;60068678;60068678;60115148;60069634</t>
  </si>
  <si>
    <t>7003836787;57225414030;7102706120;7202593403;6603034159</t>
  </si>
  <si>
    <t>Khrebtov, I. A.;Leonov, V. N.;Tkachenko, A. D.;Klimov, A. Yu;Predtechenski«ê, M. R.</t>
  </si>
  <si>
    <t>Russian Federation;Russian Federation;Russian Federation</t>
  </si>
  <si>
    <t>Kstovo;Novosibirsk;Saint Petersburg (ex Leningrad)</t>
  </si>
  <si>
    <t>The Institute for Physics of Microstructures of the Russian Academy of Sciences;Institute of Thermophysics, Siberian Branch, Russian Academy of Sciences;S.I. Vavilov State Optical Institute</t>
  </si>
  <si>
    <t>60115148;60069634;60068678</t>
  </si>
  <si>
    <t>Khrebtov I.A.</t>
  </si>
  <si>
    <t>Detector apparatus with high-temperature superconducting bolometers for the IR and submillimeter regions</t>
  </si>
  <si>
    <t>2-s2.0-0005246185</t>
  </si>
  <si>
    <t>['three halogen', 'suitable range', 'silicon halides', 'selectivity based', 'rf power', 'respectable value', 'resonance reactor', 'polysilicon etching', 'oxygen addition', 'oxide surface', 'overetching period', 'obvious degradation', 'microwave power', 'longer overetch', 'high interface', 'hbr system', 'hbr ones', 'gate oxide', 'etching poly', 'etching characteristics', 'electrical properties', 'device damage', 'cl2 system', 'br radicals', 'bearing plasmas', 'approximately infinite', 'also investigated', 'added oxygen', '35 w', '300 w']</t>
  </si>
  <si>
    <t>The investigations of polysilicon etching with three halogen-bearing plasmas (SF6, Cl2, and HBr) in an electron-cyclotron-resonance reactor have been made. We examine the etching characteristics which include etching rate, anisotropy, and selectivity based on the discussions of the chemical and electrical properties of the F, Cl, and Br radicals. It was found that the degree of anisotropy strongly depends on the deposition of a silicon halide film on sidewall and on the spontaneous etching properties of three halogen plasma mixtures. The selectivity to oxide is related to the amount of silicon halides that are produced during etching poly-Si and the electrically polarized level of these products when they adsorb on the oxide surface. We find that the selectivity on oxide is approximately infinite for the HBr system and over 90 for the Cl2 system. In addition, the effects of oxygen addition, microwave power, and rf power are also investigated. It was found that the maximum etching rate and selectivity of SF6, Cl2, and HBr plasmas occurred at concentrations of added oxygen at about 7.5%, 5%, and 3% total flow rates, respectively. The suitable range for the microwave power applied is from 250 to 300 W and the most respectable value of applied rf power is about 35 W. Concurrently, the local surface charging causing damage to the gate oxide during the overetching period is studied. It is observed that low device yield, large flatband voltage Vfb shift, and high interface-state density Dit are correlated with longer overetch and high antenna ratio structure of the device. A more obvious degradation is observed in the SF6 gaseous system than in Cl2 and HBr ones. Finally, the influence of magnetic coil current on device damage is also addressed ¬© 1996 American Institute of Physics.</t>
  </si>
  <si>
    <t>3048-3055</t>
  </si>
  <si>
    <t>60012370;60012370;60012370;60012370</t>
  </si>
  <si>
    <t>7404878200;7201657937;6602188269;7405572215</t>
  </si>
  <si>
    <t>Chang, Kow Ming;Yeh, Ta Hsun;Deng, I. Chung;Lin, Horng Chih</t>
  </si>
  <si>
    <t>Hsinchu</t>
  </si>
  <si>
    <t>National Chiao Tung University</t>
  </si>
  <si>
    <t>Chang K.M.</t>
  </si>
  <si>
    <t>Highly selective etching for polysilicon and etch-induced damage to gate oxide with halogen-bearing electron-cyclotron-resonance plasma</t>
  </si>
  <si>
    <t>10.1063/1.363164</t>
  </si>
  <si>
    <t>2-s2.0-0005911315</t>
  </si>
  <si>
    <t>['researchers around', 'patch antennas', 'paper describes', 'major drawbacks', 'developed since']</t>
  </si>
  <si>
    <t>Microstrip patch antennas (MPA) have received a lot of attention in the last few years, However, the antennas' inherent narrow bandwidth is one of their major drawbacks. This is one of the problems that researchers around the world have been trying to overcome. This paper describes the main techniques produced to increase the bandwidth of patch antennas. Likewise, a survey of the novel designs intended to enhance the bandwidth of patch antennas that have been developed since the last publication concerning MPAs is presented.</t>
  </si>
  <si>
    <t>60011476;60011476</t>
  </si>
  <si>
    <t>7003359258;35551096000</t>
  </si>
  <si>
    <t>Sanchez-Hernandez, David;Robertson, Ian D.</t>
  </si>
  <si>
    <t>Sanchez-Hernandez D.</t>
  </si>
  <si>
    <t>Survey of broadband microstrip patch antennas</t>
  </si>
  <si>
    <t>2-s2.0-0030223880</t>
  </si>
  <si>
    <t>['telecommunication modules', 'sophisticated transmit', 'multifunction phased', 'monolithic vga']</t>
  </si>
  <si>
    <t>A monolithic variable gain amplifier (VGA) has been developed for sophisticated transmit/receive (Tx/Rx) telecommunication modules for multifunction phased-array radar systems. The five-stage amplifier consists of a heavily biased transistor configuration and is capable of providing 26 dB gain in the X-band with up to a 20% bandwidth. The monolithic VGA was fabricated using MESFET technology.</t>
  </si>
  <si>
    <t>60002286;60002286</t>
  </si>
  <si>
    <t>7202717957;6602971586</t>
  </si>
  <si>
    <t>Ludwig, M.;Feldle, H. P.</t>
  </si>
  <si>
    <t>Ludwig M.</t>
  </si>
  <si>
    <t>MMIC variable-gain amplifier for Tx/Rx applications</t>
  </si>
  <si>
    <t>2-s2.0-0030223881</t>
  </si>
  <si>
    <t>['line interface', 'high power']</t>
  </si>
  <si>
    <t>The need for high power and high channel capacity microwave antennas for electronic countermeasure systems has led to the development of advanced SMA connectors capable of supporting continuous wave (CW) operations. These connectors is provided with a dielectric material called Fluoroloy H with very low dielectric loss and high contact relability. Their power handling capablity is improved via thermal conduction, radiation and convection through an air-line interface.</t>
  </si>
  <si>
    <t>Fuks, Rudy</t>
  </si>
  <si>
    <t>Warren</t>
  </si>
  <si>
    <t>Astrolab Inc</t>
  </si>
  <si>
    <t>Fuks R.</t>
  </si>
  <si>
    <t>High power SMA-compatible connectors</t>
  </si>
  <si>
    <t>2-s2.0-0030223981</t>
  </si>
  <si>
    <t>['system level', 'strong analogy', 'squares procedure', 'single satellite', 'signal transmitted', 'rights reserved', 'relative localisation', 'previous paper', 'physically mounted', 'peculiar problems', 'paper summarises', 'paper focuses', 'one satellite', 'navigation performances', 'localisation accuracy', 'keeping strategies', 'investigations performed', 'gps measurements', 'geometric dilution', 'differential techniques', 'derived time', 'cluster measures', 'cluster lies', 'clock synchronisation', 'beacon position']</t>
  </si>
  <si>
    <t>An innovative satellite system that provides high precision localisation of beacon positions consists of a cluster of satellites, i.e. a group of satellites that maintain assigned positions at relatively short distances from each other. Compared to a single satellite, the interest of such a cluster lies in its ability to synthesise antenna bases much longer than those who can be physically mounted on one satellite. Each satellite of the cluster measures the time-of-arrival of the signal transmitted by the beacon. The derived time-differences-of-arrival (TDOA) are processed to estimate the beacon position. At first, this paper summarises the investigations performed on the localisation accuracy that have yielded the optimal cluster geometry. In a previous paper [E. Frayssinhes and E. Lansard, AAS paper 95-334 (1995)], Alcatel Espace has proposed a mathematical formulation relying on a strong analogy with GPS geometrical characterisation of navigation performances. The effects of geometry are expressed by geometric dilution of precision (GDOP) parameters. Such parameters are obtained by solving the TDOA measurement equations for the beacon position using an iterated-least-squares procedure. Then, the paper focuses at the system level on the peculiar problems that arise when such a satellite cluster system is dealt with, and more particularly the launch and early operations phases, the station-keeping strategies of manoeuvres, and the relative localisation and clock synchronisation of the satellites. In particular, it is shown that even with the "civil" C/A GPS measurements, differential techniques can yield respective accuracies better than 5 m r.m.s. and 15 ns r.m.s. ¬© 1997 Published by Elsevier Science Ltd. All rights reserved.</t>
  </si>
  <si>
    <t>347-353</t>
  </si>
  <si>
    <t>60019894;60019894</t>
  </si>
  <si>
    <t>6507212243;6602924729</t>
  </si>
  <si>
    <t>Frayssinhes, Eric;Lansard, Erick</t>
  </si>
  <si>
    <t>Toulouse</t>
  </si>
  <si>
    <t>Thales Alenia Space</t>
  </si>
  <si>
    <t>Frayssinhes E.</t>
  </si>
  <si>
    <t>Mission analysis of clusters of satellites</t>
  </si>
  <si>
    <t>S0094576596001117</t>
  </si>
  <si>
    <t>10.1016/S0094-5765(96)00111-7</t>
  </si>
  <si>
    <t>2-s2.0-0030230122</t>
  </si>
  <si>
    <t>['tracing technique', 'thz radiation', 'thz current', 'significant improvement', 'resistive state', 'radiation pattern', 'protection layer', 'planar self', 'planar antenna', 'phonon escape', 'one degree', 'measurements performed', 'intermediate frequency', 'heterodyne regime', 'frequency matching', 'electron bolometer', 'discuss possibilities', 'dielectric substrate', 'device performance', 'bolometer driven', 'beam width', 'band intermediate', 'band coupling', '5 thz', '5 ghz']</t>
  </si>
  <si>
    <t>We report on broad-band coupling of THz radiation to an YBa2Cu3O7-Œ¥ superconducting hot-electron bolometer. The bolometer - a micro-bridge of an YBa2CU3O7-Œ¥ film with a PrBa2CU3O7-Œ¥ protection layer - was built in a hybrid quasioptical antenna system consisting of a planar self-complementary spiral antenna on a dielectric substrate and an extended hyperhemispherical lens. The planar antenna was integrated into a coplanar transmission line for broad-band intermediate-frequency matching. Measurements performed in the direct detection regime between 2.5 THz and 4.2 THz delivered a system coupling efficiency for the radiation in the fundamental Gaussian mode of about 0.1 and a beam width of the radiation pattern of less than one degree. The pattern was consistent with the far-field radiation pattern that we calculated with a ray-tracing technique. At an intermediate frequency of 1.5 GHz we measured an output noise temperature of ‚âà160 K for the bolometer driven in the resistive state by both dc and THz current and estimated, for the heterodyne regime, a system noise temperature of ‚âà3 √ó 105 K. We studied the effect of a protection layer on the rate of phonon escape from the micro-bridge and, thus, on the output frequency bandwidth of the device. We discuss possibilities of a significant improvement of the device performance.</t>
  </si>
  <si>
    <t>779-787</t>
  </si>
  <si>
    <t>60030807;60030807;60030807;60030807-60009114;60030807-60009114;60030807</t>
  </si>
  <si>
    <t>6604039653;7402498907;6602518276;6701848841;6603019678;7005754838</t>
  </si>
  <si>
    <t>Gousev, Yu P.;Semenov, A. D.;Nebosis, R. S.;Pechen, E. V.;Varlashkin, A. V.;Renk, K. F.</t>
  </si>
  <si>
    <t>Broad-band coupling of THz radiation to an YBa&lt;inf&gt;2&lt;/inf&gt;Cu&lt;inf&gt;3&lt;/inf&gt;O&lt;inf&gt;7-Œ¥&lt;/inf&gt; hot-electron bolometer mixer</t>
  </si>
  <si>
    <t>10.1088/0953-2048/9/9/012</t>
  </si>
  <si>
    <t>2-s2.0-0030230562</t>
  </si>
  <si>
    <t>9404677-PHY</t>
  </si>
  <si>
    <t>['terahertz radiations', 'terahertz radiation', 'terahertz frequencies', 'terahertz field', 'peak power', 'including aanipulation', 'band frequencies', 'avoid saturation', 'accurately predicts']</t>
  </si>
  <si>
    <t>We describe the principles of free-space terahertz waveform synthesis by using a programmable optical pulse shaper to drive a photoconducting dipole antenna. We illustrate this technique using several experimental examples, including aanipulation of the amplitude and the phase of ultrafast terahertz waveforms as well as generation of ultrafast bit sequences at terahertz frequencies. We present a theory which accurately predicts the shapes of the terahertz waveforms produced in our experiments. In addition to the controllability of terahertz radiation, we have shown that optical pulse shaping can be used to avoid saturation of the terahertz field at high-peak power and increase generation efficiencies for terahertz radiations at selected, narrow-band frequencies.</t>
  </si>
  <si>
    <t>709-718</t>
  </si>
  <si>
    <t>60009254-60019118-60019499-60025778;60009254-60013682;60009254-60022195-60023456-112494459-60097094-60000251</t>
  </si>
  <si>
    <t>55870960900;7501836105;35416950700</t>
  </si>
  <si>
    <t>Liu, Yongqian;Park, Sang Gyu;Weiner, A. M.</t>
  </si>
  <si>
    <t>United States;United States;United States;United States;China;China;South Korea;United States;United States;</t>
  </si>
  <si>
    <t>Washington, D.C.;Ann Arbor;Piscataway;Cambridge;Beijing;Hefei;Seoul;West Lafayette;New York;</t>
  </si>
  <si>
    <t>Optical Society of America;University of Michigan, Ann Arbor;Telcordia Technologies, Inc.;Massachusetts Institute of Technology;Chinese Academy of Sciences;University of Science and Technology of China;Seoul National University;Purdue University;IEEE;Sch. of Elec. and Comp. Engineering</t>
  </si>
  <si>
    <t>60097094;60025778;60023456;60022195;60019499;60019118;60013682;60009254;60000251;112494459</t>
  </si>
  <si>
    <t>Liu Y.</t>
  </si>
  <si>
    <t>Terahertz waveform synthesis via optical pulse shaping</t>
  </si>
  <si>
    <t>S1077260X9609587</t>
  </si>
  <si>
    <t>10.1109/2944.571771</t>
  </si>
  <si>
    <t>2-s2.0-0030230928</t>
  </si>
  <si>
    <t>197-200</t>
  </si>
  <si>
    <t>0038223X</t>
  </si>
  <si>
    <t>Journal of The South African Institute of Mining and Metallurgy</t>
  </si>
  <si>
    <t>60102784;60102784;100814834</t>
  </si>
  <si>
    <t>8041441300;55430830400;7801315743</t>
  </si>
  <si>
    <t>White, H.;Meyer, P.;Doorgapershad, A.</t>
  </si>
  <si>
    <t>Stellenbosch;</t>
  </si>
  <si>
    <t>ISS International Ltd;Vaal Reefs</t>
  </si>
  <si>
    <t>60102784;100814834</t>
  </si>
  <si>
    <t>White H.</t>
  </si>
  <si>
    <t>Quantitative ground penetrating radar for rock mass characterization</t>
  </si>
  <si>
    <t>2-s2.0-0030231360</t>
  </si>
  <si>
    <t>['time domain', 'fhe sommerfeld', 'complete solution', 'brillouin problem', 'antenna located']</t>
  </si>
  <si>
    <t>We consider an electromagnetic pulse launched at t = 0 by an antenna located at z - 0 (fhe Sommerfeld-Brillouin problem) and propagating in a linear biisotropic medium. The Laplace transform allows to get the complete solution of this initial-boundary value problem and we discuss how to perform the inverse Laplace transform to get the solution in the time domain.</t>
  </si>
  <si>
    <t>Optik (Jena)</t>
  </si>
  <si>
    <t>Hillion, P.</t>
  </si>
  <si>
    <t>Institut Henri Poincar√©</t>
  </si>
  <si>
    <t>Hillion P.</t>
  </si>
  <si>
    <t>The Sommerfeld-Brillouin problem in linear biisotropic media</t>
  </si>
  <si>
    <t>2-s2.0-0030231366</t>
  </si>
  <si>
    <t>['successful market', 'skycell service', 'operating successfully', 'mobile customers', 'maritime users', 'allows amsc', '1 spacecraft']</t>
  </si>
  <si>
    <t>Since early last year, AMSC's (American Mobile Satellite Corp.) Skycell service has been operating successfully with only one transmission tower. The AMSC-1 spacecraft is the cog that allows AMSC to provide its Skycell service, a variety of wireless telephone dispatch and data communications using just satellite, or a combination of cellular and satellite, to fixed and mobile customers. To date, AMSC's most successful market has been maritime users as well as the truckers using AMSC's data fleet communications and mobile messaging services.</t>
  </si>
  <si>
    <t>Saunders, Renee</t>
  </si>
  <si>
    <t>Saunders R.</t>
  </si>
  <si>
    <t>Electronic brains and brawn behind AMSC's service</t>
  </si>
  <si>
    <t>2-s2.0-0030231893</t>
  </si>
  <si>
    <t>['stochastic treatment', 'directivity patterns']</t>
  </si>
  <si>
    <t>Estimates of the directivity patterns for the most widespread digital beamforming algorithms implemented on the basis of the zero-order and first-order interpolation procedures are derived. The estimates are based on deterministic and stochastic treatment of the digital beamforming errors.</t>
  </si>
  <si>
    <t>976-982</t>
  </si>
  <si>
    <t>Gusev, V. G.</t>
  </si>
  <si>
    <t>Gusev V.</t>
  </si>
  <si>
    <t>Methods for estimating the directivity patterns of broadband antenna arrays in systems with the digital formation of spatial channels</t>
  </si>
  <si>
    <t>2-s2.0-0030232415</t>
  </si>
  <si>
    <t>['surface parameters', 'sounding conditions', 'scale roughness', 'rough surface', 'frequency function', 'finite width', 'field scattered', 'dimensional case']</t>
  </si>
  <si>
    <t>The problem of finding the frequency function of the coherence of a field scattered by a rough surface with large-scale roughness is considered. A solution is obtained for a three-dimensional case with an account of the finite width of the transceiver antenna directional pattern and intercorrelation of the roughness slope tangents. The frequency coherence function dependence on the surface parameters and sounding conditions at various radar parameters are studied.</t>
  </si>
  <si>
    <t>983-988</t>
  </si>
  <si>
    <t>56375460400;56352743300</t>
  </si>
  <si>
    <t>Potapov, A. A.;Sokolov, A. V.</t>
  </si>
  <si>
    <t>Frequency function of the coherence of a wave field scattered by a rough surface with a large Rayleigh constant</t>
  </si>
  <si>
    <t>2-s2.0-0030232666</t>
  </si>
  <si>
    <t>['two subarrays', 'numerical simulation', 'method obtained', 'hermitian conjugate', 'generalized eigenvalues', 'angular superresolution']</t>
  </si>
  <si>
    <t>A method for the angular superresolution of signal sources based on an evaluation of the generalized eigenvalues of a pencil of matrices that contains only the mutual correlation matrix of two subarrays and its Hermitian conjugate is proposed. Properties of the method obtained by numerical simulation are compared with the properties of the known ESPRIT method.</t>
  </si>
  <si>
    <t>1054-1057</t>
  </si>
  <si>
    <t>60029225;60029225</t>
  </si>
  <si>
    <t>7006136167;6508187718</t>
  </si>
  <si>
    <t>Kuzin, S. S.;Ratynskii, M. V.</t>
  </si>
  <si>
    <t>Kuzin S.</t>
  </si>
  <si>
    <t>Superresolution direction finding by the method of reflection of subspaces</t>
  </si>
  <si>
    <t>2-s2.0-0030233928</t>
  </si>
  <si>
    <t>['various parameters', 'vacuum layer', 'surface impedances', 'structure composed', 'plasma may', 'magnetoactive plasma', 'experimental results', 'electromagnetic fields', 'dispersion characteristics', 'close agreement']</t>
  </si>
  <si>
    <t>Dispersion characteristics and topography of electromagnetic fields of axially symmetric surface waves (SW) and of azimuth surface waves (ASW) propagating in a structure composed of a cylindrical metal antenna and magnetoactive plasma are investigated. The antenna and plasma may be separated by a vacuum layer. The dispersion characteristics of SW and ASW are presented as functions of the antenna and the magnetoactive plasma parameters. Close agreement between theory and experimental results are shown. Surface impedances of the SW and ASW are calculated for various parameters of the problem.</t>
  </si>
  <si>
    <t>969-975</t>
  </si>
  <si>
    <t>7005703838;6602888962;26636586300</t>
  </si>
  <si>
    <t>Azarenkov, N. A.;Denisenko, I. B.;Ostrikov, K. N.</t>
  </si>
  <si>
    <t>Azarenkov N.</t>
  </si>
  <si>
    <t>Dispersion characteristics of a cylindrical antenna in magnetoactive plasma</t>
  </si>
  <si>
    <t>2-s2.0-0030234535</t>
  </si>
  <si>
    <t>['wave vertical', 'satellite television', 'radiophonic systems', 'numerical evaluation', 'experimental investigation', 'electromagnetic characteristics']</t>
  </si>
  <si>
    <t>Results of the numerical evaluation and experimental investigation of the electromagnetic characteristics of the millimeter-wave vertical-polarization biconical antenna with a correcting dielectric lens are presented. The antenna is designed for application in satellite television, radiocommunication, and radiophonic systems.</t>
  </si>
  <si>
    <t>100488162;100488162</t>
  </si>
  <si>
    <t>7004283338;6701371017</t>
  </si>
  <si>
    <t>Kolobov, V. A.;Polukhin, G. A.</t>
  </si>
  <si>
    <t>Jsc Radiofizika</t>
  </si>
  <si>
    <t>Kolobov V.</t>
  </si>
  <si>
    <t>Electromagnetic characteristics of a biconical antenna with a correcting lens</t>
  </si>
  <si>
    <t>2-s2.0-0030234536</t>
  </si>
  <si>
    <t>['intelsat systems', 'digital system', 'bbc news', 'band uplinks', '8 mbit']</t>
  </si>
  <si>
    <t>BBC News has introduced a new digital SNG vehicle called the "Eurovan" which, ultimately, will be stationed in continental Europe rather than in London. Based on an 8 Mbit/s digital system with Ku-band uplinks, it is compliant with both the Eutelsat and the Intelsat systems.</t>
  </si>
  <si>
    <t>43-47</t>
  </si>
  <si>
    <t>60091909-60007173-101009808</t>
  </si>
  <si>
    <t>Higgins, J. M.M.</t>
  </si>
  <si>
    <t>United Kingdom;United Kingdom;</t>
  </si>
  <si>
    <t>London;Wolverhampton;</t>
  </si>
  <si>
    <t>British Broadcasting Corporation;University of Wolverhampton;Location Facilities Unit</t>
  </si>
  <si>
    <t>60091909;60007173;101009808</t>
  </si>
  <si>
    <t>Higgins J.</t>
  </si>
  <si>
    <t>The BBC European DSNG vehicle - The Eurovan</t>
  </si>
  <si>
    <t>2-s2.0-0030234841</t>
  </si>
  <si>
    <t>['smaller test', 'radiated immunity', 'paper explores', 'many manufacturers', 'low cost', 'high cost', 'emc immunity', 'difficult process']</t>
  </si>
  <si>
    <t>The testing of products for EMC immunity has been a difficult process for many manufacturers because of the high cost of an anechoically lined screened room in which to do the testing. This paper explores the test methods used for radiated immunity, focusing on the smaller test (TEM) cells that are now available. It must be appreciated that a TEM cell method is very attractive; it is low cost, very convenient and generally reproduces good results. But there are some problems, which if not considered, will give large errors in testing.</t>
  </si>
  <si>
    <t>Electronic Engineering (London)</t>
  </si>
  <si>
    <t>Gleaves, Mike</t>
  </si>
  <si>
    <t>Gleaves M.</t>
  </si>
  <si>
    <t>TEM cell testing and new developments - the MAC cell</t>
  </si>
  <si>
    <t>2-s2.0-0030235183</t>
  </si>
  <si>
    <t>['synthetic centimeter', 'band antenna']</t>
  </si>
  <si>
    <t>The form of the tracking signal ambiguity function (AF) of an active airborne radar with a synthetic centimeter-band antenna in the case of forward earth surveillance is analyzed.</t>
  </si>
  <si>
    <t>1033-1035</t>
  </si>
  <si>
    <t>7004507260;7004923051</t>
  </si>
  <si>
    <t>Kustov, V. I.;Orlov, M. S.</t>
  </si>
  <si>
    <t>Kustov V.</t>
  </si>
  <si>
    <t>The tracking signal ambiguity function of a synthetic antenna radar in the case of forward surveillance</t>
  </si>
  <si>
    <t>2-s2.0-0030235226</t>
  </si>
  <si>
    <t>['testing standards', 'telephone companies', 'telecommunication systems', 'telecommunication network', 'switching equipment', 'severely impaired', 'recovery efforts', 'psn ).', 'major carriers', 'including radio', 'essential element', 'equipment used', 'equipment protection', 'emergency response', 'disaster response', 'design details']</t>
  </si>
  <si>
    <t>Telecommunication systems, including radio, are an essential element in disaster response and recovery efforts after an earthquake. Manufacturers of switching equipment have developed seismic qualification criteria and testing standards for equipment used by major carriers in the Public Switching Network (PSN). The focus has been on equipment protection, especially switching equipment which is the heart of the telecommunication network. Telephone companies have developed equipment bracing system and design details so that equipment could withstand earthquake forces. Telecommunication systems will reduce the effectiveness and speed of the emergency response and recovery after an earthquake if severely impaired.</t>
  </si>
  <si>
    <t>1-125</t>
  </si>
  <si>
    <t>Technical Council on Lifeline Earthquake Engineering Monograph</t>
  </si>
  <si>
    <t>7201845846;7006882497</t>
  </si>
  <si>
    <t>Tang, Alex;Schiff, Anshel J.</t>
  </si>
  <si>
    <t>Tang A.</t>
  </si>
  <si>
    <t>Methods of achieving improved seismic performance of communications systems</t>
  </si>
  <si>
    <t>2-s2.0-0030235507</t>
  </si>
  <si>
    <t>['paper describes', 'effective means', 'different categories']</t>
  </si>
  <si>
    <t>Many different factors determine the overall test time of radiated EMI compliance measurements. Some of them are related to the EUT itself, others to the test strategy chosen. This paper describes the impact of different categories of factors on the overall test time of radiated EMI measurement. The methods that offer the most efficient and effective means of testing are discussed.</t>
  </si>
  <si>
    <t>Schaefer, Werner</t>
  </si>
  <si>
    <t>Hewlett-Packard Inc.</t>
  </si>
  <si>
    <t>Schaefer W.</t>
  </si>
  <si>
    <t>Test speed considerations for automated RFI measurements</t>
  </si>
  <si>
    <t>2-s2.0-0030235764</t>
  </si>
  <si>
    <t>['yohimbine suggesting', 'stimulation experiments', 'situ hybridization', 'serotonin receptors', 'receptor type', 'receptor family', 'receptor clones', 'permanently expressed', 'octopamine leading', 'higher affinity', 'heliothis virescens', 'dependent manner', 'bombyx mori']</t>
  </si>
  <si>
    <t>Expression | G-protein coupled receptors | Lepidoptera | Octopamine | Pharmacology | Serotonin</t>
  </si>
  <si>
    <t>Based on the similarity of genes which code for guanine-nucleotide binding protein- (G-protein-) coupled receptors, cDNA clones encoding new members of the receptor family have been isolated from Bombyx mori and Heliothis virescens. The deduced protein structures exhibit highest similarity to tyramine/octopamine and serotonin receptors of Drosophila. One of the receptor clones (K50Hel) was permanently expressed in the mammalian cell line LLC-PK1. In stimulation experiments it responded to octopamine leading to an inhibition of adenylate cyclase activity in a dose-dependent manner. Pharmacological studies revealed a higher affinity for mianserin than for yohimbine suggesting, that the K50Hel clone encodes a neuronal type 3 octopamine receptor. As revealed by in situ hybridization, this receptor type is expressed in the central nervous system and antennae of moth.</t>
  </si>
  <si>
    <t>817-827</t>
  </si>
  <si>
    <t>60018373;60018373;60018373;60018373;60018373;60018373;60018373</t>
  </si>
  <si>
    <t>6507100530;7201508329;6506463441;6602784590;7006358982;7004874595;7103041183</t>
  </si>
  <si>
    <t>Von Nickisch-Rosenegk, E.;Krieger, J.;Kubick, S.;Laage, R.;Strobel, J.;Strotmann, J.;Breer, H.</t>
  </si>
  <si>
    <t>Universit√§t Hohenheim</t>
  </si>
  <si>
    <t>Von Nickisch-Rosenegk E.</t>
  </si>
  <si>
    <t>Cloning of biogenic amine receptors from moths (Bombyx mori and Heliothis virescens)</t>
  </si>
  <si>
    <t>S0965174896000318</t>
  </si>
  <si>
    <t>10.1016/S0965-1748(96)00031-8</t>
  </si>
  <si>
    <t>2-s2.0-0030240394</t>
  </si>
  <si>
    <t>['two proteins', 'two classes', 'terminal region', 'specifically expressed', 'soluble proteins', 'sipyloidea sipylus', 'sensory organs', 'sensilla coeloconica', 'maxillary palpi', 'five species', 'favorable cases', 'extatosoma tiaratum', 'eurycantha calcarata', 'drosophila melanogaster', 'close similarity', 'chemosensory transduction', 'chemosensory organs', 'carausius morosus', 'around 45', 'acrophylla wuelfingi', '18 kda', '15 kda']</t>
  </si>
  <si>
    <t>Acrophylla wuelfingi | Carausius morosus | Chemoreception | Eurycantha calcarata | Extatosoma tiaratum | Odorant-binding proteins | Phasmids | Sipyloidea sipylus</t>
  </si>
  <si>
    <t>Soluble proteins of low molecular weight have been purified from chemosensory organs of five species of Phasmids. On the basis of their N- terminal aminoacid sequences, two classes can be identified. Polypeptides of 14 and 15 kDa, expressed in the antennae and legs of Eurycantha calcarata and Extatosoma tiaratum, as well as in the antennae of Carausius morosus, bear a close similarity (around 45% identity) with a soluble protein associated with the sensilla coeloconica of Drosophila melanogaster. Two proteins of 19 and 18 kDa, isolated from the antennae and the maxillary palpi, respectively, of Acrophylla wuelfingi, are 59 and 75% identical, in their N-terminal region, to a 19 kDa antennal protein of Carausius morosus. Similarity between members of the two classes is not significant, being limited to two to three identical aminoacids in the most favorable cases. Finally, a 17 kDa protein, specifically expressed in the antennae of Sipyloidea sipylus, did not show any homology with other proteins. The expression in sensory organs and the characteristics of these proteins may suggest a function in chemosensory transduction.</t>
  </si>
  <si>
    <t>875-882</t>
  </si>
  <si>
    <t>60028868;60028868;60028868;60028868;60028868</t>
  </si>
  <si>
    <t>6701742552;8427679500;8427679300;6602456626;36880050400</t>
  </si>
  <si>
    <t>Mameli, Marina;Tuccini, Andrea;Mazza, Mario;Petacchi, Ruggero;Pelosi, Paolo</t>
  </si>
  <si>
    <t>Mameli M.</t>
  </si>
  <si>
    <t>Soluble proteins in chemosensory organs of phasmids</t>
  </si>
  <si>
    <t>S0965174896000550</t>
  </si>
  <si>
    <t>10.1016/S0965-1748(96)00055-0</t>
  </si>
  <si>
    <t>2-s2.0-0030240440</t>
  </si>
  <si>
    <t>In the area of broad-band antenna array signal processing, the global minimum of a quadratic equality constrained quadratic cost minimization problem is often required. The problem posed is usually characterized by a large optimization space (around 50-90 tuples), a large number of linear equality constraints, and a few quadratic equality constraints each having very low rank quadratic constraint matrices. Two main difficulties arise in this class of problem. Firstly, the feasibility region is nonconvex and multiple local minima abound. This makes conventional numerical search techniques unattractive as they are unable to locate the global optimum consistently (unless a finite search area is specified). Secondly, the large optimization space makes the use of decision-method algorithms for the theory of the reals unattractive. This is because these algorithms involve the solution of the roots of univariate polynomials of order to the square of the optimization space. In this paper we present a new algorithm which exploits the structure of the constraints to reduce the optimization space to a more manageable size. The new algorithm relies on linear-algebra concepts, basic optimization theory, and a multivariate polynomial root-solving tool often used by decision-method algorithms.</t>
  </si>
  <si>
    <t>10.1007/s002459900025</t>
  </si>
  <si>
    <t>2-s2.0-0030241002</t>
  </si>
  <si>
    <t>Novel conductor-backed uniplanar structures, including the nonleaky CPW and slotline, are analyzed and applied to the active antenna design. Both the spectral domain analysis and finite-difference time-domain techniques are used to simulate these circuits and to justify the numerical results. The measured gain of the novel active antenna is 1.7 dB higher than the conventional CPW antenna due to the unidirectional radiation of conductor-backed circuits. ¬© 1996 John Wiley &amp; Sons, Inc.</t>
  </si>
  <si>
    <t>60027550;60030821;60027550;60027550</t>
  </si>
  <si>
    <t>Chicago;Los Angeles</t>
  </si>
  <si>
    <t>Boeing Corporation;University of California, Los Angeles</t>
  </si>
  <si>
    <t>60030821;60027550</t>
  </si>
  <si>
    <t>2-s2.0-0030242330</t>
  </si>
  <si>
    <t>['undamaged devices', 'plasma stress', 'plasma etching', 'plasma charging', 'induced damage', 'hole traps', 'electrical stress', 'damaged devices', 'current flow', '100 %.']</t>
  </si>
  <si>
    <t>The paper presents results of hole trapping studies in thin gate oxide of plasma damaged MOS transistors. Process-induced damage was investigated with antenna test structures to enhance the effect of plasma charging. In addition to neutral electron traps and passivated interface damage, which are commonly observed plasma charging latent damage, we observed and identified hole traps, generated by plasma stress. The amount of hole traps increases with increasing antenna ratio, indicating that the mechanism of hole trap generation is based on electrical stress and current flow, forced through the oxide during plasma etching. The density of hole traps in the most damaged devices was found to be larger than that in reference, undamaged devices by about 100%.</t>
  </si>
  <si>
    <t>440-442</t>
  </si>
  <si>
    <t>Hole trap generation in the gate oxide due to plasma-induced charging</t>
  </si>
  <si>
    <t>S0741310696068759</t>
  </si>
  <si>
    <t>10.1109/55.536286</t>
  </si>
  <si>
    <t>2-s2.0-0030243349</t>
  </si>
  <si>
    <t>['wave scattering', 'two peaks', 'scattering components', 'scattering amplitudes', 'peak responses', 'observed broad', 'multiple scatteringdominates', 'ka2 ).', 'good agreement', 'experimental study', 'backward direction', 'analytically identified']</t>
  </si>
  <si>
    <t>An experimental study was conducted to investigate the angular memory effect of millimeter-wave scattering from two-dimensional conducting random rough surfaces. The surfaces under investigation were machine-fabricated with known Gaussian roughness statistics, and the copolarized and cross-polarized angular correlation functions (ACFs) of scattering amplitudes were measured. It was found that for the case of reference antenna positions located bistatically in a backward direction, the measured ACF exhibits broad response when single scattering dominates but two peaks when multiple scatteringdominates. These observations are in good agreement with the second-order Kirchhoff approximation (KA2). Specifically, the observed broad and peak responses are analytically identified to be due to the first-order and second-order (ladder and cyclical) scattering components, respectively, in KA2.</t>
  </si>
  <si>
    <t>1067-1076</t>
  </si>
  <si>
    <t>1944799X</t>
  </si>
  <si>
    <t>7402687344;7005071830;7005122046</t>
  </si>
  <si>
    <t>Chan, T. K.;Kuga, Y.;Ishimaru, A.</t>
  </si>
  <si>
    <t>Chan T.</t>
  </si>
  <si>
    <t>Angular memory effect of millimeter-wave scattering from two-dimensional conducting random rough surfaces</t>
  </si>
  <si>
    <t>10.1029/96RS01312</t>
  </si>
  <si>
    <t>2-s2.0-0030243369</t>
  </si>
  <si>
    <t>['test functions', 'method solution', 'loop antennas', 'input impedances', 'compare favorably']</t>
  </si>
  <si>
    <t>A computationally efficient method for analyzing printed wire-loop antennas on grounded dielectric substrates which uses curved piecewise sinusoidal subdomain current basis and test functions spanning two segments in a moment-method solution to Pocklington's equation is presented. Results for loop-input impedances are convergent, and these, together with efficiencies, compare favorably with computations using entire domain and linear subdomain basis and test functions.</t>
  </si>
  <si>
    <t>1303-1305</t>
  </si>
  <si>
    <t>6701323282;55328764600;57191284901</t>
  </si>
  <si>
    <t>Khamas, S. K.;Cook, G. G.;Waldron, R. J.</t>
  </si>
  <si>
    <t>Khamas S.</t>
  </si>
  <si>
    <t>Moment-method analysis of printed circular wire-loop antenna using curved piecewise sinusoidal subdomain basis and test functions</t>
  </si>
  <si>
    <t>10.1109/8.535393</t>
  </si>
  <si>
    <t>2-s2.0-0030243547</t>
  </si>
  <si>
    <t>['wide range', 'twt transmitters', 'system employs', 'radars operate', 'radar satellites', 'observe moving', 'night observation', 'high frequency', 'ground facilities', 'fixed targets', 'earth orbit', 'civilian missions']</t>
  </si>
  <si>
    <t>A space-based radar system concept is described that can provide continuous world-wide, all-weather, day-night observation and tracking of ships, aircraft, vehicles and ground facilities of interest. The system employs a constellation of radar satellites in low-earth orbit to provide continuous world-wide target access. The radars employ reflector antennas, TWT transmitters and high frequency (e.g., X band) to achieve long range with relatively low weight, complexity and cost. The radars operate in moving-target-detection (MTD) and synthetic-aperture-radar (SAR) spotlight imaging modes to observe moving and fixed targets, respectively. The system could support a wide range of military, intelligence, law-enforcement and civilian missions.</t>
  </si>
  <si>
    <t>Curry, G. Richard</t>
  </si>
  <si>
    <t>SAIC</t>
  </si>
  <si>
    <t>Curry G.</t>
  </si>
  <si>
    <t>Low-cost space-based radar system concept</t>
  </si>
  <si>
    <t>10.1109/62.536800</t>
  </si>
  <si>
    <t>2-s2.0-0030244544</t>
  </si>
  <si>
    <t>10.1002/(SICI)1099-1204(199609)9:5&lt;335::AID-JNM241&gt;3.0.CO;2-#</t>
  </si>
  <si>
    <t>2-s2.0-0030244583</t>
  </si>
  <si>
    <t>60021378-60001777-60030612-112495780</t>
  </si>
  <si>
    <t>United States;United States;United States;</t>
  </si>
  <si>
    <t>San Diego;Murray;Rochester;</t>
  </si>
  <si>
    <t>University of California, San Diego;Nokia Bell Labs;Rochester Institute of Technology;Performance Analysis Department</t>
  </si>
  <si>
    <t>60030612;60021378;60001777;112495780</t>
  </si>
  <si>
    <t>10.1109/35.536563</t>
  </si>
  <si>
    <t>2-s2.0-0030245286</t>
  </si>
  <si>
    <t>Hitachi America</t>
  </si>
  <si>
    <t>['selection diversity', 'results obtained', 'radio channels', 'mitigating frequency', 'hardware show', 'conventional two', 'computer simulation', 'circuit architectures', 'also effective', '06 respectively']</t>
  </si>
  <si>
    <t>Low-complexity diversity combining algorithms and circuit architectures for co-channel interference cancellation and frequency-selective fading mitigation, which do not require training sequences, are introduced in this paper. Results obtained from computer simulation of hardware show that two-antenna diversity combining gives wireless communication systems a signal to interference ratio improvement of at least 3 dB over conventional two-antenna selection diversity. The technique is also effective in mitigating frequency-selective fading without using conventional equalization - an average irreducible word error rate (WER) of 2.4% is obtained in computer simulation of hardware for radio channels with normalized delay spread of 0.3. In contrast, for the same WER, selection diversity and single antenna without diversity can sustain normalized delay spread up to about 0.16 and 0.06 respectively.</t>
  </si>
  <si>
    <t>1107-1116</t>
  </si>
  <si>
    <t>7403979995;7403241218</t>
  </si>
  <si>
    <t>Wong, P. Bill;Cox, Donald C.</t>
  </si>
  <si>
    <t>Wong P.</t>
  </si>
  <si>
    <t>Low-complexity diversity combining algorithms and circuit architectures for co-channel interference cancellation and frequency-selective fading mitigation</t>
  </si>
  <si>
    <t>10.1109/26.536917</t>
  </si>
  <si>
    <t>2-s2.0-0030247661</t>
  </si>
  <si>
    <t>['two soft', 'receiver performance', 'multipath diversity', 'maximum likelihood', 'limited prior', 'increasing levels', 'fading channel', 'either case', 'combining followed', 'coded direct']</t>
  </si>
  <si>
    <t>Two soft-limiter RAKE receivers are evaluated for coded direct-sequence/differential phase shift keying (DS/DPSK) signaling over a pulse jammed multipath-fading channel that use a combination of antenna and multipath diversity. One uses predetection selective (antenna) combining followed by postdetection equal gain (multipath) combining, and the other uses postdetection equal gain combining only. In either case, the postdetection diversity combiner output is soft-limited prior to decoding. It is shown that for increasing levels of diversity the soft-limiter becomes quite effective, resulting in a receiver performance that approaches a maximum likelihood (ML) soft decision receiver with perfect jammer state information.</t>
  </si>
  <si>
    <t>1163-1172</t>
  </si>
  <si>
    <t>100699054;100699054</t>
  </si>
  <si>
    <t>7201741949;6602407587</t>
  </si>
  <si>
    <t>Chang, Ihn Kiel;Stueber, Gordon L.</t>
  </si>
  <si>
    <t>Seoul</t>
  </si>
  <si>
    <t>Information System Office</t>
  </si>
  <si>
    <t>Chang I.</t>
  </si>
  <si>
    <t>Soft-limiter RAKE receivers for coded DS/DPSK systems over pulse jammed multipath-fading channels</t>
  </si>
  <si>
    <t>10.1109/26.536922</t>
  </si>
  <si>
    <t>2-s2.0-0030247764</t>
  </si>
  <si>
    <t>['vertical direction', 'various solutions', 'system operated', 'reconstruct images', 'quasi real', 'physiological state', 'object reconstruction', 'new technologies', 'internal diameter', 'important applications', 'image reconstruction', 'electronically scanned', 'diffraction model', 'contrast resolution', 'case situation', 'canine hearts', 'approximation methods', 'anatomical structure', '500 ms', '5 %.', '45 ghz', '360 mm', '32 receivers', '32 emitters', '2 cm']</t>
  </si>
  <si>
    <t>Microwave tomographic imaging is one of the new technologies which has the potential for important applications in medicine. Microwave tomographically reconstructed images may potentially provide information about the physiological state of tissue as well as the anatomical structure of an organ. A two-dimensional (2-D) prototype of a quasi real-time microwave tomographic system was constructed. It was utilized to reconstruct images of physiologically active biological tissues such as an explanted canine perfused heart. The tomographic system consisted of 64 special antennae, divided into 32 emitters and 32 receivers which were electronically scanned. The cylindrical microwave chamber had an internal diameter of 360 mm and was filled with various solutions, including deionized water. The system operated on a frequency of 2.45 GHz. The polarization of the incident electromagnetic held was linear in the vertical direction. Total acquisition time was less than 500 ms. Both accurate and approximation methods of image reconstruction were used. Images of 2-D phantoms, canine hearts, and beating canine hearts have been achieved. In the worst-case situation when the 2-D diffraction model was used for an attempt to 'slice' three-dimensional (3-D) object reconstruction, we still achieved spatial resolution of 1 to 2 cm and contrast resolution of 5%.</t>
  </si>
  <si>
    <t>869-877</t>
  </si>
  <si>
    <t>60026874;60026874;60103861;60055181;60020943;60020943;60020943;60026874;60026874;60020943</t>
  </si>
  <si>
    <t>7103074188;7006328323;6504005622;7004513697;7202734288;6701778766;36004380800;6602944600;7003956496;7403108981</t>
  </si>
  <si>
    <t>Semenov, Serguei Y.;Svenson, Robert H.;Boulyshev, Alexander E.;Souvorov, Alexander E.;Borisov, Vladimir Y.;Sizov, Yuri;Starostin, Andrey N.;Dezern, Kathy R.;Tatsis, George P.;Baranov, Vladimir Y.</t>
  </si>
  <si>
    <t>Russian Federation;Belarus;United States;Russian Federation</t>
  </si>
  <si>
    <t>Novosibirsk;Minsk;Charlotte;Moscow</t>
  </si>
  <si>
    <t>Khristianovich Institute of Theoretical and Applied Mechanics SB RAS;A.V. Luikov Heat and Mass Transfer Institute of NAS of Belarus;Carolinas Heart Institute;National Research Centre "Kurchatov Institute"</t>
  </si>
  <si>
    <t>60103861;60055181;60026874;60020943</t>
  </si>
  <si>
    <t>Semenov S.</t>
  </si>
  <si>
    <t>Microwave tomography: Two-dimensional system for biological imaging</t>
  </si>
  <si>
    <t>10.1109/10.532121</t>
  </si>
  <si>
    <t>2-s2.0-0030248935</t>
  </si>
  <si>
    <t>Connecticut State Emergency Response Commission</t>
  </si>
  <si>
    <t>['ventral surface', 'testing behaviours', 'swimming legs', 'second antennae', 'reattaching around', 'precopulatory positions', 'precise movements', 'positions attained', 'mate searching', 'mate recognition', 'males held', 'male returned', 'lepeophtheirus salmonis', 'genital complexes', 'genital complex', 'following copulation', 'first batch', 'final moult', 'final ecdysis', 'females approaching', 'ecdysis proceeded', 'dorsal surface', 'copulation occurred', 'allometric growth', 'adult males', 'adult male', 'adult females']</t>
  </si>
  <si>
    <t>Behaviour | Caligidae | Lepeophtheirus salmonis | Mate guarding | Mating | Pheromones | Reproduction</t>
  </si>
  <si>
    <t>Mating in Lepeophtheirus salmonis was similar to that reported for L. pectoralis in both the procedure and positions attained by both sexes but the timescales were different. Adult males took up precopulatory positions with, predominantly, pre-adult 11 females. Males held their respective partners around the 4th pedigerous segment using the second antennae. Females approaching the final moult produced temporary frontal filaments that served to anchor the pair as ecdysis proceeded. Males remained attached to the cephalothorax of the female during her final ecdysis before reattaching around the genital complex. After transferring to the ventral surface of the female, copulation occurred between the adult male and recently moulted adult female. The maxillipeds were used to manipulate and raise the genital complex of the female and a pair of spermatophores was transferred by the swimming legs. Following copulation the male returned to the dorsal surface of the female and held the spermatophores on the female for some time, before leaving her. Several specific behavioral patterns were observed during precopula, at the final moult of the female and during copulation. These involved considerable movement of the genital complexes and precise movements of the appendages by the male. Mate searching and testing behaviours were performed by adult males in the presence of pre-adult and adult females. These behaviours provided evidence that mate recognition by short range chemical, or contact stimuli may have occurred in L. salmonis. In addition, males clustered around moulting females which showed the attractiveness of the female at this stage. Postcopula, allometric growth of the female genital complex was observed and quantified from the time of insemination to the production of the first batch of eggs.</t>
  </si>
  <si>
    <t>285-298</t>
  </si>
  <si>
    <t>100386527;60015875;60015875;118800598</t>
  </si>
  <si>
    <t>36823363000;6504505736;7006285057;36876383800</t>
  </si>
  <si>
    <t>Ritchie, G.;Mordue (Luntz), A. J.;Pike, A. W.;Rae, G. H.</t>
  </si>
  <si>
    <t>United Kingdom;United Kingdom;Norway</t>
  </si>
  <si>
    <t>Aberdeen;Perth;Forus</t>
  </si>
  <si>
    <t>University of Aberdeen;Scottish Salmon Growers Assoc. Ltd.;Nutreco Aquaculture Research Centre</t>
  </si>
  <si>
    <t>60015875;118800598;100386527</t>
  </si>
  <si>
    <t>Ritchie G.</t>
  </si>
  <si>
    <t>Observations on mating and reproductive behaviour of Lepeophtheirus salmonis, Kroyer (Copepoda: Caligidae)</t>
  </si>
  <si>
    <t>10.1016/0022-0981(96)00008-1</t>
  </si>
  <si>
    <t>2-s2.0-0030249491</t>
  </si>
  <si>
    <t>['tactile stimuli', 'protocerebrum neurons', 'periplaneta americana', 'optical lobes', 'neurons responding', 'mushroom bodies', 'morphological data', 'mechanical stimulation', 'lateral cup', 'extracellular recordings', 'direct connections', 'complex eye']</t>
  </si>
  <si>
    <t>Extracellular recordings were used to study physiological characteristics of the responses of protocerebrum neurons in the cockroach Periplaneta americana suprapharyngeal ganglion in response to a rhythmical light stimulation of the complex eye and to a mechanical stimulation of the antenna. Neurons responding to optical and tactile stimuli were revealed in the Œ±-lobule and the lateral cup of the mushroom bodies. Morphological data were obtained which prove the presence of direct connections between the optical lobes and the mushroom bodies in the protocerebrum of Periplaneta americana.</t>
  </si>
  <si>
    <t>483-487</t>
  </si>
  <si>
    <t>Journal of Evolutionary Biochemistry and Physiology</t>
  </si>
  <si>
    <t>60031888;60031888;60031888</t>
  </si>
  <si>
    <t>8917368100;7201852048;6701722467</t>
  </si>
  <si>
    <t>Nikitin, S. O.;Kovalev, V. V.;Lapitskii, V. P.</t>
  </si>
  <si>
    <t>Saint Petersburg (ex Leningrad)</t>
  </si>
  <si>
    <t>Saint Petersburg State University</t>
  </si>
  <si>
    <t>Nikitin S.O.</t>
  </si>
  <si>
    <t>Participation of the mushroom bodies in the intersensory integration processes of the cockroach Periplaneta americana</t>
  </si>
  <si>
    <t>2-s2.0-0030299657</t>
  </si>
  <si>
    <t>['type locality', 'springbok district', 'sexual dimorphism', 'possible association', 'nama highlands', 'generic feature', 'ecological features', 'early stage', 'antennal form']</t>
  </si>
  <si>
    <t>antennal dimorphism | Diptera | generic features | new species | Vermileonidae | Vermilynx</t>
  </si>
  <si>
    <t>The distinctive species Vermilynx jasoni sp. n. is described from the Springbok District of Namaqualand. Sexual dimorphism in antennal form is confirmed as a generic feature of Vermilynx; the female antenna shows an early stage in the evolution of a stylus. A suite of autapomorphies is described for the genus. A possible association of Vermilynx with the Nama Highlands is mooted, and ecological features of the type locality are described.</t>
  </si>
  <si>
    <t>197-202</t>
  </si>
  <si>
    <t>African Entomology</t>
  </si>
  <si>
    <t>Stuckenberg, B. R.</t>
  </si>
  <si>
    <t>South Africa</t>
  </si>
  <si>
    <t>Pietermaritzburg</t>
  </si>
  <si>
    <t>Natal Museum</t>
  </si>
  <si>
    <t>Stuckenberg B.</t>
  </si>
  <si>
    <t>A new species of the wormlion genus Vermilynx stuckenberg (Diptera: Vermileonidae) from Namaqualand, South Africa</t>
  </si>
  <si>
    <t>2-s2.0-0030449138</t>
  </si>
  <si>
    <t>['wyeomyia arthrostigma', 'vertical sticks', 'tribe sabethini', 'terminal segments', 'right angles', 'proboscis rotates', 'pair shifts', 'mating process', 'mating behavior', 'males may', 'male aligns', 'made possible', 'land next', 'full copulation', 'flying w', 'flipping sideways', 'courtship display', 'copulatory position']</t>
  </si>
  <si>
    <t>copulation | courtship | mating | mosquito</t>
  </si>
  <si>
    <t>The mating behavior of Wyeomyia arthrostigma is more complex than that reported for W. smithii. Like some other genera in the tribe Sabethini, flying W. arthrostigma males approach females perching on vertical sticks. A male aligns himself next to a female by seizing her wing and flipping sideways to land next to her, rather than beneath her. He then performs a series of abdominal bobbing movements, the pair achieves superficial genital coupling while the male's proboscis rotates and snaps down, and the antennae spread farther apart. Finally, the pair shifts to full copulation, and in this phase insemination occurs. In the copulatory position the abdomens of male and female are almost at right angles to each other, made possible by a twisting of the male's terminal segments. The nature of the mating process and its similarity to some elements of Sabethes and Topomyia mating indicate that males may be performing a courtship display.</t>
  </si>
  <si>
    <t>739-753</t>
  </si>
  <si>
    <t>60003500;60003500-60032138;60003500</t>
  </si>
  <si>
    <t>55663558000;7201916189;7202606953</t>
  </si>
  <si>
    <t>Keith Philips, T.;Hancock, Robert G.;Foster, Woodbridge A.</t>
  </si>
  <si>
    <t>Williamsburg;Columbus</t>
  </si>
  <si>
    <t>University of the Cumberlands;The Ohio State University</t>
  </si>
  <si>
    <t>60032138;60003500</t>
  </si>
  <si>
    <t>Keith Philips T.</t>
  </si>
  <si>
    <t>Epigamic display and unique mating position in Wyeomyia arthrostigma (Diptera: Culicidae)</t>
  </si>
  <si>
    <t>10.1007/BF02213554</t>
  </si>
  <si>
    <t>2-s2.0-0030464581</t>
  </si>
  <si>
    <t>['yet males', 'sperm precedence', 'smaller males', 'single males', 'significantly larger', 'significant difference', 'reproductive tract', 'prior possession', 'populus deltoides', 'oviposition areas', 'one advantage', 'natural history', 'mating system', 'mating advantage', 'males appear', 'larger males', 'larger females', 'involve grasping', 'intensely aggressive', 'elytron length', 'competition tactics', 'body mass', 'antenna first', 'aggression may', 'adults feed']</t>
  </si>
  <si>
    <t>aggression | Body size | Cerambycidae | mating success | mating system | Plectrodera scalator</t>
  </si>
  <si>
    <t>The natural history and mating system of Plectrodera scalator exhibit several unusual characteristics. Larvae and adults feed on the wood and foliage, respectively, of the same plant, Populus deltoides. The population sex ratio, based on censuses of oviposition areas, is female-biased. Females are significantly larger than males, yet males are intensely aggressive. Larger males tend to win esca lated battles, which involve grasping of antennae with mandibles, but smaller males can defeat larger males if they grasp their opponent's antenna first. Most escalated fights involve possession of a female, but prior possession does not play a role in determining the outcome of these fights. The size-dependent fighting advantage does not translate into a mating advantage for larger males. There is no significant difference in elytron length or body mass between mating and single males. Larger females are not preferred as mates. The mating system appears to be a mixture of female-defense and scramble-competition tactics. One advantage to males of aggression may be in its effect on sperm precedence. Males appear to be able to remove previously deposited sperm from a female's reproductive tract.</t>
  </si>
  <si>
    <t>719-727</t>
  </si>
  <si>
    <t>60015573-60025428;60015573;60015573;60015573-60006514</t>
  </si>
  <si>
    <t>21933530100;57069992700;7402058004;7006196226</t>
  </si>
  <si>
    <t>Goldsmith, Steven K.;Stewart, Zoe;Adams, Stacie;Trimble, Angela</t>
  </si>
  <si>
    <t>Sherman;Tulsa;Stillwater</t>
  </si>
  <si>
    <t>Austin College;The University of Tulsa;Oklahoma State University</t>
  </si>
  <si>
    <t>60025428;60015573;60006514</t>
  </si>
  <si>
    <t>Goldsmith S.K.</t>
  </si>
  <si>
    <t>Body size, male aggression, and male mating success in the cottonwood borer, Plectrodera scalator (Coleoptera: Cerambycidae)</t>
  </si>
  <si>
    <t>10.1007/BF02213552</t>
  </si>
  <si>
    <t>2-s2.0-0030465887</t>
  </si>
  <si>
    <t>['spatial processing', 'random field', 'main source', 'internal waves', 'driven waves', 'developed wind', 'computed degree', 'combined consideration', 'antenna gain', 'acoustic signals']</t>
  </si>
  <si>
    <t>A combined consideration of the propagation and spatial processing of acoustic signals under conditions of long-range waveguided propagation is presented. The computed degree of coherence of the signal field received by a horizontal antenna array is used as an input in an analysis of the efficiency of linear and quadratic processing algorithms. In the real hydrological conditions typical of the western North Pacific, losses of antenna gain are estimated under the assumption that the main source of acoustic signal fluctuations is either a random field of internal waves or developed wind-driven waves.</t>
  </si>
  <si>
    <t>60011774;60011774;60011774;60011774</t>
  </si>
  <si>
    <t>6603700638;6602377947;6701348445;6508046802</t>
  </si>
  <si>
    <t>Gorodetskaya, E. Yu;Malekhanov, A. I.;Sazontov, A. G.;Farfel', V. A.</t>
  </si>
  <si>
    <t>Gorodetskaya E.Y.</t>
  </si>
  <si>
    <t>Effects of long-range propagation of sound in a random inhomogeneous ocean on the gain loss of a horizontal antenna array</t>
  </si>
  <si>
    <t>2-s2.0-0030520925</t>
  </si>
  <si>
    <t>['œµ rings', 'œµ cyclases', 'œµ cyclase', 'œ ≤', 'two types', 'two rings', 'symmetrical lycopene', 'sequenced cdnas', 'photosynthetic membranes', 'one ring', 'inappropriate œµ', 'harvest light', 'essential components', 'enzymes use', 'enzymes catalyzing', 'copy genes', 'carotenoids may', 'carotenoid biosynthesis', 'carotene ),', 'antenna pigments']</t>
  </si>
  <si>
    <t>Carotenoids with cyclic end groups are essential components of the photosynthetic membranes in all plants, algae, and cyanobacteria. These lipid-soluble compounds protect against photooxidation, harvest light for photosynthesis, and dissipate excess light energy absorbed by the antenna pigments. The cyclization of lycopene (œà,œà-carotene) is a key branch point in the pathway of carotenoid biosynthesis. Two types of cyclic end groups are found in higher plant carotenoids: the Œ≤ and Œµ rings. Carotenoids with two Œ≤ rings are ubiquitous, and those with one Œ≤ and one Œµ ring are common; howevyer, carotenoids with two Œµ rings are rare. We have identified and sequenced cDNAs that encode the enzymes catalyzing the formation of these two rings in Arabidopsis. These Œ≤ and Œµ cyclases are encoded by related, single-copy genes, and both enzymes use the linear, symmetrical lycopene as a substrate. However, the Œµ cyclase adds only one ring, forming the monocyclic Œ¥-carotene (Œµ,œà-carotene), whereas the Œ≤ cyclase introduces a ring at both ends of lycopene to form the bicyclic Œ≤-carotene (Œ≤,Œ≤-carotene). When combined, the Œ≤ and Œµ cyclases convert lycopene to Œ±-carotene (Œ≤,Œµ-carotene), a carotenoid with one Œ≤ and one Œµ ring. The inability of the Œµ cyclase to catalyze the introduction of a second Œµ ring reveals the mechanism by which production and proportions of Œ≤,Œ≤- and Œ≤,Œµ-carotenoids may be controlled and adjusted in plants and algae, while avoiding the formation of the inappropriate Œµ,Œµ-carotenoids.</t>
  </si>
  <si>
    <t>1613-1626</t>
  </si>
  <si>
    <t>Plant Cell</t>
  </si>
  <si>
    <t>60020304;60001769-60010065;60020304;60010065;60001769;60020304-100437281</t>
  </si>
  <si>
    <t>7102226979;6701345805;7404239980;7202491564;7003974967;7005758772</t>
  </si>
  <si>
    <t>Cunningham, Francis X.;Pogson, Barry;Sun, Zairen;McDonald, Kelly A.;DellaPenna, Dean;Gantt, Elisabeth</t>
  </si>
  <si>
    <t>College Park;Tucson;Reno;College Park</t>
  </si>
  <si>
    <t>University of Maryland, College Park;The University of Arizona;University of Nevada, Reno;Maryland Agric. Exp. Stn.</t>
  </si>
  <si>
    <t>60020304;60010065;60001769;100437281</t>
  </si>
  <si>
    <t>Cunningham F.</t>
  </si>
  <si>
    <t>Functional analysis of the Œ≤ and Œµ lycopene cyclase enzymes of Arabidopsis reveals a mechanism for control of cyclic carotenoid formation</t>
  </si>
  <si>
    <t>10.1105/tpc.8.9.1613</t>
  </si>
  <si>
    <t>2-s2.0-10344250388</t>
  </si>
  <si>
    <t>['weight vector', 'rao limits', 'minimum polynomial', 'input process', 'highly efficient']</t>
  </si>
  <si>
    <t>Correlation matrix | Nonlinear optic | Quantum electronics | Signal parameter | Weight vector</t>
  </si>
  <si>
    <t>We propose a method for estimating signal parameters and the weight vector in adaptive antenna arrays (AA) based on estimation of the parameters of a minimum polynomial of a sample correlation matriz (CM) of the input process. Being highly efficient, this method allows us to estimate signal parameters with accuracies that are close to the Cramer-Rao limits.</t>
  </si>
  <si>
    <t>765-776</t>
  </si>
  <si>
    <t>100677157;100677157;100677157</t>
  </si>
  <si>
    <t>7102384283;6602783965;57203099629</t>
  </si>
  <si>
    <t>Ermolaev, V. T.;Flaksman, A. G.;Anurin, A. A.</t>
  </si>
  <si>
    <t>Nizhni Novgorod</t>
  </si>
  <si>
    <t>Research Institute of Radioengineering</t>
  </si>
  <si>
    <t>Ermolaev V.</t>
  </si>
  <si>
    <t>Estimation of parameters of signals received by an antenna array</t>
  </si>
  <si>
    <t>10.1007/BF02120859</t>
  </si>
  <si>
    <t>2-s2.0-85050231391</t>
  </si>
  <si>
    <t>['œ ±-', 'tract containing', 'synaptically inhibited', 'synaptic profiles', 'spiny profiles', 'single section', 'projection neurons', 'possibly belong', 'olfactory processing', 'neural activity', 'neighbouring axons', 'negative terminals', 'mushroom bodies', 'mb contained', 'made onto', 'large gaba', 'kenyon cells', 'kcs ).', 'kc terminals', 'kc dendrites', 'kc axons', 'intracellular hrp', 'inhibitory feedback', 'immunoreactive profiles', 'immunonegative profiles', 'help elucidate', 'gabaergic synapses', 'gabaergic processes', 'gabaergic contacts', 'frequently presynaptic', 'evoked synchronisation', 'diameter profiles', 'dendritic shafts', 'core vesicles', 'contacted directly', 'connections similar', 'complex circuits', 'combining immunocytochemistry', 'antennal lobes', 'also found', '830 axons', '470 ).']</t>
  </si>
  <si>
    <t>immunogold | inhibition | insect | olfaction | oscillations</t>
  </si>
  <si>
    <t>To help elucidate the role of inhibitory feedback in the genesis of odour-evoked synchronisation of neural activity, we investigated the distribution of Œ≥-aminobutyric acid (GABA)ergic synaptic terminals in the antennal lobes (AL) and mushroom bodies (MB) of the locust olfactory system. Electron-microscopy, intracellular horseradish peroxidase labelling, and immunocytochemistry were combined to assess the distribution of GABAergic synapses, using established methods (Leitch and Laurent [1993] J. Comp. Neurol. 337:461-470). In the AL, GABA-immunoreactive presynaptic terminals contacted both immunoreactive and immunonegative profiles. Conversely, GABA- immunoreactive profiles received direct input from both reactive and negative terminals. The tract containing the axons of the projection neurons that run from the AL to the MB contained about 830 axons of fairly uniform size, none of which was immunoreactive for GABA. In the calyx of the MB, large immunoreactive terminals contacted very-small-diameter profiles thought to belong to the Kenyon cells (KCs). This was confirmed by combining immunocytochemistry with intracellular HRP-labelling of KCs. KCs were not immunoreactive for GABA. Although some GABAergic contacts were made onto the spiny profiles of KCs, others were made onto their dendritic shafts. Large GABA-immunoreactive profiles were also found to contact large negative profiles that were presynaptic to KC terminals. This suggests that KC dendrites can be both pre- and post-synaptically inhibited in the calyx. The MB pedunculus contained ca. 50,000 tightly packed KC axons, showing conspicuous en passant and often reciprocal synaptic contacts between neighbouring axons. KC axons were immunonegative, but received direct input from, and contacted directly, large immunoreactive profiles running across or along the KC axons. In the Œ±- and Œ≤-lobes of the MB, connections similar to those in the pedunculus were seen with two main differences: (1) The density of synaptic profiles was higher, giving on occasion numerous serially connected profiles in a single section; (2) large immunonegative profiles with dense-core vesicles were abundant and were frequently presynaptic to GABAergic processes and to very-small-diameter profiles which possibly belong to KCs. These results are discussed in the context of the known physiological data on olfactory processing in these complex circuits.</t>
  </si>
  <si>
    <t>487-514</t>
  </si>
  <si>
    <t>60031581-60022175;60031581</t>
  </si>
  <si>
    <t>16072430700;7201921535</t>
  </si>
  <si>
    <t>Leitch, Beulah;Laurent, Gilles</t>
  </si>
  <si>
    <t>Pasadena;Durham</t>
  </si>
  <si>
    <t>California Institute of Technology;Durham University</t>
  </si>
  <si>
    <t>60031581;60022175</t>
  </si>
  <si>
    <t>Leitch B.</t>
  </si>
  <si>
    <t>GABAergic synapses in the antennal lobe and mushroom body of the locust olfactory system</t>
  </si>
  <si>
    <t>10.1002/(SICI)1096-9861(19960902)372:4&lt;487::AID-CNE1&gt;3.0.CO;2-0</t>
  </si>
  <si>
    <t>2-s2.0-0029832486</t>
  </si>
  <si>
    <t>['natural bacteriochlorophylls', 'model compounds', 'methyl pyropheophorbide', 'grignard reagents', 'grignard reaction', 'formyl group']</t>
  </si>
  <si>
    <t>Grignard reaction of methyl pyropheophorbide-d (1) possessing a 3-formyl group with methyl magnesium iodide selectively gave methyl bacteriopheophorbide-d (2) possessing a 3-(1-hydroxyethyl) group. When 13CH3MgI and CD3MgI were used as the Grignard reagents, specifically labeled 2 were afforded, of which zinc complexes 3 serve as model compounds for natural bacteriochlorophylls-d.</t>
  </si>
  <si>
    <t>2085-2086</t>
  </si>
  <si>
    <t>0960894X</t>
  </si>
  <si>
    <t>Bioorganic and Medicinal Chemistry Letters</t>
  </si>
  <si>
    <t>60105159;60105159;60105159;60105159;60105159</t>
  </si>
  <si>
    <t>7006346090;7003864530;57213922923;57212770759;15620933600</t>
  </si>
  <si>
    <t>Tamiaki, Hitoshi;Shimono, Yoshiyuki;Graham, A.;Rattray, M.;Tanikaga, Rikuhei</t>
  </si>
  <si>
    <t>Kusatsu</t>
  </si>
  <si>
    <t>Ritsumeikan University Biwako-Kusatsu Campus</t>
  </si>
  <si>
    <t>Synthesis of isotopically labeled zinc methyl bacteriopheophorbide-d as a model for light-harvesting antenna pigments</t>
  </si>
  <si>
    <t>0960894X96003800</t>
  </si>
  <si>
    <t>10.1016/0960-894X(96)00380-0</t>
  </si>
  <si>
    <t>2-s2.0-0030567866</t>
  </si>
  <si>
    <t>Comisi√≥n Interministerial de Ciencia y Tecnolog√≠a</t>
  </si>
  <si>
    <t>AGF 95-0185</t>
  </si>
  <si>
    <t>CICYT</t>
  </si>
  <si>
    <t>['trifluoromethyl ketones', 'tight slow', 'tetrahedral geometry', 'sulfur ketones', 'reversible manner', 'required among', 'range 5', 'propenyl group', 'potent ones', 'polar end', 'particularly 3', 'log p', 'inhibitor binds', 'higher lipophilicity', 'first time', 'correlation studies', 'compounds 4', 'chemicals behaved', 'binding inhibitors', 'antennal esterases', 'active site', '9 ),', '08 œºm']</t>
  </si>
  <si>
    <t>A variety of trifluoromethyl ketones (TFMKs) have been studied as inhibitors of the antennal esterases of the Egyptian armyworm Spodoptera littoralis. The chemicals behaved as tight slow-binding inhibitors, the Œ≤-thio derivatives being the most potent ones, particularly 3-octylthio-1,1,1-trifluoropropan-2-one (OTFP) with an IC50 of 0.08 ŒºM. Other TFMKs, containing a propenyl group at the non-polar end of the molecule as in the natural pheromone structure (compounds 4, 8 and 9), were also notably active. Correlation studies of inhibition with lipophilicity (log P) indicated that the optimum log P values for activity of the Œ≤-thio compounds are in the range of 3.03-5.11, while a higher lipophilicity (range 5.37-5.89) was required among the devoid of sulfur ketones. 19F NMR studies, carried out with OTFP, showed that the inhibitor binds the enzyme in a reversible manner, forming an adduct (probably a hemiacetal) of tetrahedral geometry with the active site of the enzyme. To our knowledge, this is the first time that such a study on a natural esterase extract has been undertaken.</t>
  </si>
  <si>
    <t>287-292</t>
  </si>
  <si>
    <t>0006291X</t>
  </si>
  <si>
    <t>Biochemical and Biophysical Research Communications</t>
  </si>
  <si>
    <t>60001576;60021421;60021421</t>
  </si>
  <si>
    <t>55957252500;7004080578;7201428748</t>
  </si>
  <si>
    <t>Rosell, Gloria;Herrero, Silvia;Guerrero, Angel</t>
  </si>
  <si>
    <t>Barcelona;Barcelona</t>
  </si>
  <si>
    <t>CSIC - Centro de Investigaci&amp;oacute;n y Desarrollo Pascual Vila (CID);Universitat de Barcelona</t>
  </si>
  <si>
    <t>60021421;60001576</t>
  </si>
  <si>
    <t>Rosell G.</t>
  </si>
  <si>
    <t>New trifluoromethyl ketones as potent inhibitors of esterases: &lt;sup&gt;19&lt;/sup&gt;F NMR spectroscopy of transition state analog complexes and structure-activity relationships</t>
  </si>
  <si>
    <t>S0006291X96913479</t>
  </si>
  <si>
    <t>10.1006/bbrc.1996.1347</t>
  </si>
  <si>
    <t>2-s2.0-0030568850</t>
  </si>
  <si>
    <t>P01NS028495</t>
  </si>
  <si>
    <t>['together formed', 'subsequent tufting', 'sharply reduced', 'severe reduction', 'results suggest', 'receptor axons', 'protoglomeruli depends', 'protoglomerular template', 'produce glia', 'odor information', 'neuronal processes', 'moth brain', 'mitotic agent', 'mature lobes', 'mature glomeruli', 'lobe neurons', 'glomerulus formation', 'glomerulus development', 'glomerular antennal', 'glial cells', 'forms around', 'form protoglomeruli', 'early stages', 'development either', 'dendritic growth', 'current investigation', 'cellular events', 'cell number', 'branching patterns', 'become surrounded']</t>
  </si>
  <si>
    <t>antennal lobe | confocal microscopy | DiI | olfactory axons | serotonin</t>
  </si>
  <si>
    <t>Odor information is processed in spherical structures called glomeruli, which in all animals with differentiated olfactory systems are sites of densely spaced synaptic contacts between olfactory sensory axons and target central nervous system (CNS) neurons. Glomerulus development in the antennal (olfactory) lobe of the moth brain, which is initiated by the arrival of antennal receptor axons, requires interaction among three elements: glial cells, receptor axons, and their targets, the antennal-lobe neurons. Receptor axons form an array of protoglomeruli that become surrounded by glia and serve as a template for mature glomeruli. Previous experiments showed that when the number of glial cells is sharply reduced during development either by irradiation or by an anti-mitotic agent, receptor axons form protoglomeruli, but in the mature lobes, glomeruli are absent and central neurons lack the characteristic glomerular tufting of their arbors. The current investigation was conducted to determine which cellular events in the process of glomerulus formation are disrupted by severe reduction in glial- cell number. The branching patterns of receptor axons and antennal-lobe neurons were examined in animals that had been irradiated to produce glia- deficient antennal lobes at stages during which glomeruli normally would develop. We found that the receptor axons did form protoglomeruli, but that the protoglomeruli quickly disintegrated in glia-deficient antennal lobes; the receptor axons branched diffusely, except where several neighboring glia survived irradiation and together formed a wall of processes that appeared to block the passage of neuronal processes. Multi-glomerular antennal-lobe neurons never developed tufted arbors even at early stages. These results suggest that maintenance of protoglomeruli depends on the border of glia that forms around each protoglomerulus and that the subsequent tufting of antennal-lobe neurons depends on maintenance of the protoglomerular template during the period of dendritic growth.</t>
  </si>
  <si>
    <t>118-128</t>
  </si>
  <si>
    <t>60010065;60010065;60010065</t>
  </si>
  <si>
    <t>7202038577;7004335896;7102144017</t>
  </si>
  <si>
    <t>Baumann, Patricia M.;Oland, Lynne A.;Tolbert, Leslie P.</t>
  </si>
  <si>
    <t>Baumann P.</t>
  </si>
  <si>
    <t>Glial cells stabilize axonal protoglomeruli in the developing olfactory lobe of the moth Manduca sexta</t>
  </si>
  <si>
    <t>10.1002/(SICI)1096-9861(19960909)373:1&lt;118::AID-CNE10&gt;3.0.CO;2-G</t>
  </si>
  <si>
    <t>2-s2.0-0029763999</t>
  </si>
  <si>
    <t>Seventh Framework Programme</t>
  </si>
  <si>
    <t>FP7</t>
  </si>
  <si>
    <t>['space propagation', 'polarization switching', 'experimental demonstration', 'delay values', 'array antenna', 'analog control', '5 ghz', '4 ).', '2œä phase']</t>
  </si>
  <si>
    <t>The experimental demonstration and the far-field pattern characterization of an optically controlled phased-array antenna are described. It operates between 2.5 and 3.5 GHz and is made of 16 radiating elements. The optical control uses a two-dimensional architecture based on free-space propagation and on polarization switching by N spatial light modulators of p √ó p pixels. It provides 2N‚àí1 time-delay values and an analog control of the 0 to 2œÄ phase for each of the p √ó p signals feeding the antenna (N = 5, p = 4). ¬© 1996 Optical Society of America.</t>
  </si>
  <si>
    <t>5293-5300</t>
  </si>
  <si>
    <t>60019269;60019269;60019269;60019269;60019269;60019269</t>
  </si>
  <si>
    <t>7007017942;6603948757;7201606350;7101659682;6508290007;7006656117</t>
  </si>
  <si>
    <t>Dolfi, D.;Joffre, P.;Antoine, J. P.;Huignard, J. P.;Philippet, D.;Granger, P.</t>
  </si>
  <si>
    <t>Puteaux</t>
  </si>
  <si>
    <t>Thales Group</t>
  </si>
  <si>
    <t>Dolfi D.</t>
  </si>
  <si>
    <t>Experimental demonstration of a phased-array antenna optically controlled with phase and time delays</t>
  </si>
  <si>
    <t>10.1364/AO.35.005293</t>
  </si>
  <si>
    <t>2-s2.0-5944228660</t>
  </si>
  <si>
    <t>['results show', 'power control', 'operational parameters', 'also highlight', 'adaptive antennas', 'account parameters']</t>
  </si>
  <si>
    <t>Adaptive antenna arrays | Mobile radio systems | Time division multiple access</t>
  </si>
  <si>
    <t>The authors present results for the likely capacity improvement when an adaptive multibeam antenna is used in conjunction with air interface parameters, as with the DCS 1800 system. An analysis is made of the possible capacity enhancement while taking into account parameters such as power control, radio channel characteristics and different frequency reuse patterns. The results show that a substantial capacity improvement can be achieved with adaptive antennas, and also highlight the sensitivity of the capacity to operational parameters.</t>
  </si>
  <si>
    <t>1745-1747</t>
  </si>
  <si>
    <t>7004302468;7102568206;7004287978</t>
  </si>
  <si>
    <t>Tsoulos, G. V.;Beach, M. A.;Swales, S. C.</t>
  </si>
  <si>
    <t>Tsoulos G.</t>
  </si>
  <si>
    <t>Sensitivity analysis of capacity enhancement with adaptive multibeam antennas for DCS1800</t>
  </si>
  <si>
    <t>10.1049/el:19961213</t>
  </si>
  <si>
    <t>2-s2.0-0030245207</t>
  </si>
  <si>
    <t>['significantly reduced', 'shorting pin', 'return loss', 'relatively easy', 'radiation pattern', 'microstrip feedline', 'ground plane', 'experimental data']</t>
  </si>
  <si>
    <t>Antenna feeds | Microstrip antennas</t>
  </si>
  <si>
    <t>An aperture-coupled small microstrip antenna is described. The antenna is formed by short-circuiting a microstrip radiating element with a shorting pin to the ground plane and exciting the element with a microstrip feedline through an electrically small aperture. Two principal advantages of this design are that the size of the antenna is significantly reduced and that it is relatively easy to fabricate the antenna. Experimental data for the return loss and the radiation pattern of the antenna are presented to validate the design.</t>
  </si>
  <si>
    <t>1741-1742</t>
  </si>
  <si>
    <t>60002445;60000745</t>
  </si>
  <si>
    <t>57200144332;55197051100</t>
  </si>
  <si>
    <t>Park, I.;Mittra, R.</t>
  </si>
  <si>
    <t>South Korea;United States</t>
  </si>
  <si>
    <t>Kyonggi-do;Urbana</t>
  </si>
  <si>
    <t>Ajou University;University of Illinois Urbana-Champaign</t>
  </si>
  <si>
    <t>Park I.</t>
  </si>
  <si>
    <t>Aperture-coupled small microstrip antenna</t>
  </si>
  <si>
    <t>10.1049/el:19961188</t>
  </si>
  <si>
    <t>2-s2.0-0030246149</t>
  </si>
  <si>
    <t>['‚ àºtwo', 'two configurations', 'transmitting end', 'system using', 'single antenna', 'significant increase', 'results indicate', 'receiving end', 'potential advantage', 'polarisation diversity', 'four orders', 'error rate', 'authors describe']</t>
  </si>
  <si>
    <t>Digital radio systems | Diversity reception | Electromagnetic wave polarisation</t>
  </si>
  <si>
    <t>The authors describe the results of a series of experiments to quantify the potential advantage of polarisation diversity as applied to a 2.4kbit/s HF data system. Two configurations of polarisation diversity were tested: one using two orthogonal antennas at the transmitting end. and a second using two orthogonal elements at the receiving end. The performance of these systems was compared with a system using a single antenna at each end. The results indicate that a significant increase in performance can be obtained through the use of polarisation diversity and was found to reduce the error rate by ‚àºtwo to four orders of magnitude in most cases.</t>
  </si>
  <si>
    <t>1824-1826</t>
  </si>
  <si>
    <t>60018714;60018714;60018714;60018714;60018714</t>
  </si>
  <si>
    <t>6601919875;7004742737;57204337106;7201828303;6701545091</t>
  </si>
  <si>
    <t>Serinken, N.;Jorgenson, M.;Moreland, K. W.;Chow, S.;Willink, T.</t>
  </si>
  <si>
    <t>Serinken N.</t>
  </si>
  <si>
    <t>Polarisation diversity in high frequency radio data systems</t>
  </si>
  <si>
    <t>10.1049/el:19961171</t>
  </si>
  <si>
    <t>2-s2.0-3242823059</t>
  </si>
  <si>
    <t>['subharmonically injection', 'running oscillator', 'push injection', 'operating temperature', 'mmic applications', 'microwave device', 'frequency drift', 'following advantages', 'dielectric resonator', 'circuit topology', 'array antennas']</t>
  </si>
  <si>
    <t>Injection locked oscillators</t>
  </si>
  <si>
    <t>A push-push injection-locked dielectric resonator oscillator has been designed for subharmonically injection-locked local oscillators in phased-array antennas at the K-band and above. This circuit topology has the following advantages: (i) a large subharmonic injection locking range using a dielectric resonator with a high quality factor; (ii) a larger frequency multiplication factor, while a microwave device, such as a MESFET, is operating in a low oscillation frequency and having an effective noise temperature (Teff) resulting in a reduction in frequency drift over the operating temperature and the intrinsic FM noise of the free-running oscillator; (iii) a higher yield rate in MMIC applications.</t>
  </si>
  <si>
    <t>1792-1793</t>
  </si>
  <si>
    <t>60024495;60024495</t>
  </si>
  <si>
    <t>7601458476;6701604282</t>
  </si>
  <si>
    <t>Lee, Joo Yeol;Hong, Ui Seok</t>
  </si>
  <si>
    <t>Gangneung</t>
  </si>
  <si>
    <t>Catholic Kwandong University</t>
  </si>
  <si>
    <t>Lee J.Y.</t>
  </si>
  <si>
    <t>Push-push subharmonically injection-locked oscillator</t>
  </si>
  <si>
    <t>10.1049/el:19961199</t>
  </si>
  <si>
    <t>2-s2.0-3242848965</t>
  </si>
  <si>
    <t>['significantly increased', 'individual xdra', 'compact array', 'array consists']</t>
  </si>
  <si>
    <t>A compact array of circular polarised cross-shaped dielectric resonator antennas (XDRAs) is presented. The array consists of 2 √ó 2 XDRAs excited by microstrip-fed slot apertures in the X-band. By using sequential rotation to feed the XDRAs, the circular polarisation bandwidth is significantly increased from 5% for the individual XDRA to 16% in the array. The array also achieves a wide impedance bandwidth: a 10dB return loss was maintained over a 25% bandwidth.</t>
  </si>
  <si>
    <t>1742-1743</t>
  </si>
  <si>
    <t>60018714;60018714;60018714</t>
  </si>
  <si>
    <t>7003819332;57027512900;7004481899</t>
  </si>
  <si>
    <t>Petosa, A.;Ittipiboon, A.;Cuhaci, M.</t>
  </si>
  <si>
    <t>Array of circular-polarised cross dielectric resonator antennas</t>
  </si>
  <si>
    <t>10.1049/el:19961175</t>
  </si>
  <si>
    <t>2-s2.0-3242848971</t>
  </si>
  <si>
    <t>['sidelobe level', 'low beamwidth', 'designed using', 'arrays constructed']</t>
  </si>
  <si>
    <t>Antenna phased arrays | Genetic algorithms</t>
  </si>
  <si>
    <t>Thinned antenna arrays and arrays constructed with digital phase shifters are designed using a Pareto genetic algorithm for low beamwidth and sidelobe level. To facilitate this process, the standard simple genetic algorithm is augmented by special genetic representations and operators. The technique is applied to the design of both one and two dimensional arrays.</t>
  </si>
  <si>
    <t>1744-1745</t>
  </si>
  <si>
    <t>7003429344;7005196479</t>
  </si>
  <si>
    <t>Weile, D. S.;Michielssen, E.</t>
  </si>
  <si>
    <t>Weile D.</t>
  </si>
  <si>
    <t>Integer coded Pareto genetic algorithm design of constrained antenna arrays</t>
  </si>
  <si>
    <t>10.1049/el:19961174</t>
  </si>
  <si>
    <t>2-s2.0-3242864487</t>
  </si>
  <si>
    <t>['two axons', 'thoracic levels', 'tactile stimulation', 'supraesophageal ganglion', 'subesophageal ganglion', 'reliable stimulus', 'properties suggesting', 'periplaneta americana', 'motor centers', 'may account', 'limited number', 'latency responses', 'latency behavior', 'largest diameter', 'known wind', 'intracellular recording', 'head ganglia', 'giant interneurons', 'evoked escape', 'escape responses', 'escape also', 'dmis ).', 'directional sensitivity', 'cervical connectives', 'cercal mechanoreceptors', 'axonal arbors']</t>
  </si>
  <si>
    <t>antennae | cockroach | escape behavior | interneurons | sensory coding | touch</t>
  </si>
  <si>
    <t>Escape responses of cockroaches, Periplaneta americana, can be triggered by wind and mediated by a group of 'giant interneurons' that ascend from cercal mechanoreceptors to motor centers. Recently it has been observed that escape also can be triggered by tactile stimulation of the antennae, and it is then independent of the giant interneurons. Here we identify a descending antennal mechanosensory pathway that may account for escape. Cobalt backfills demonstrated that a limited number of cells in the head ganglia have axons that project through all three thoracic ganglia. Comparison with known wind- sensory pathways indicated that wind is not a reliable stimulus for activating descending antennal pathways. However, direct touch stimulation of an antenna reliably evoked short-latency responses in cells with axons in the cervical connectives. Intracellular recording and dye injection revealed members of this pathway, referred to as descending mechanosensory interneurons (DMIs). The two axons of largest diameter in the cervical connectives were found to belong to DMIs, and these large caliber interneurons were studied in detail. One had a soma in the supraesophageal ganglion, and the other in the subesophageal ganglion. Both had extensive neuritic arborizations at the same level as the soma and axonal arbors in all three thoracic ganglia. Each of these DMIs exhibited short-latency responses to small antennal movements, demonstrated a degree of directional sensitivity, and rapidly conducted impulses to thoracic levels. These cells have properties suggesting that they play a role in a short-latency behavior such as touch-evoked escape.</t>
  </si>
  <si>
    <t>5830-5843</t>
  </si>
  <si>
    <t>Journal of Neuroscience</t>
  </si>
  <si>
    <t>60027561-60021568;60027561</t>
  </si>
  <si>
    <t>6505801360;7003696576</t>
  </si>
  <si>
    <t>Burdohan, John A.;Comer, Christopher M.</t>
  </si>
  <si>
    <t>Chicago;Houston</t>
  </si>
  <si>
    <t>University of Illinois at Chicago;University of Texas Medical School at Houston</t>
  </si>
  <si>
    <t>60027561;60021568</t>
  </si>
  <si>
    <t>Burdohan J.A.</t>
  </si>
  <si>
    <t>Cellular organization of an antennal mechanosensory pathway in the cockroach, Periplaneta americana</t>
  </si>
  <si>
    <t>10.1523/jneurosci.16-18-05830.1996</t>
  </si>
  <si>
    <t>2-s2.0-0029812947</t>
  </si>
  <si>
    <t>['trial basis', 'touched antenna', 'touch stimulation', 'sensory input', 'results support', 'parallel intra', 'one parameter', 'one antenna', 'neural activity', 'made toward', 'ipsilateral homologs', 'greater numbers', 'evoked escape', 'escape turning', 'dmi specification', 'dmi impulses', 'dmi activity', 'chronic recordings', 'bilateral pattern', 'bilateral difference', 'appropriate directionality', 'antennal touch', 'angular amplitude']</t>
  </si>
  <si>
    <t>antennae | chronic recording | cockroach | escape behavior | sensory coding | touch</t>
  </si>
  <si>
    <t>Two bilaterally paired mechanosensory neurons that respond to antennal touch stimulation recently have been described in the cockroach Periplaneta americana. Here chronic recordings were used to describe the activity of these interneurons in relation to behavior. Parallel intra/extracellular recording experiments showed that both pairs of previously identified descending mechanosensory interneurons (DMIs) were activated after touch stimulation of the antennae and before initiation of escape. On a trial-by- trial basis, the bilateral pattern of their activity was correlated with sensory input and behavior: when one antenna was touched, the contralateral DMI axons displayed impulses earlier and in greater numbers than their ipsilateral homologs; turns were made toward the side with greater DML activity, i.e., away from the touched antenna. One parameter of DMI activity (the bilateral difference in number of DMI impulses) was correlated with the angular amplitude of turning. In the absence of touch stimulation, unilateral electrical stimulation of a cervical connective via the chronic electrodes produced turning movements similar to natural escape turning and of appropriate directionality. These results support the hypothesis that neural activity in DMIs is involved in the control of antennal touch-evoked escape, and they provide a basis for a model of DMI specification of the direction of escape turning.</t>
  </si>
  <si>
    <t>5844-5853</t>
  </si>
  <si>
    <t>60027561-60002339;60027561</t>
  </si>
  <si>
    <t>7202088404;7003696576</t>
  </si>
  <si>
    <t>Ye, Shuping;Comer, Christopher M.</t>
  </si>
  <si>
    <t>Chicago;Atlanta</t>
  </si>
  <si>
    <t>University of Illinois at Chicago;Emory University School of Medicine</t>
  </si>
  <si>
    <t>60027561;60002339</t>
  </si>
  <si>
    <t>Ye S.</t>
  </si>
  <si>
    <t>Correspondence of escape-turning behavior with activity of descending mechanosensory interneurons in the cockroach, Periplaneta americana</t>
  </si>
  <si>
    <t>10.1523/jneurosci.16-18-05844.1996</t>
  </si>
  <si>
    <t>2-s2.0-0029835020</t>
  </si>
  <si>
    <t>['two modes', 'threshold prf', 'np jumps', 'low prf', 'high prf', 'helicon wave', 'helical antenna', 'density jump', '3 ),', '1013 cm', '1012 cm', '0 mode']</t>
  </si>
  <si>
    <t>The characteristics of the high density plasma production by the m = 0 azimuthal mode helicon wave is investigated. By varying the power of the applied radio frequency Prf two discharge modes exist; one is the low density mode (plasma density np &lt; 1012 cm-3), at which the discharge is sustained not by a helicon wave but by the antenna induction field at low Prf; the other is the high density mode (np&gt;1013 cm-3), in which helicon wave is excited at high Prf; in between the two modes, np jumps more than an order of magnitude. The threshold Prf for the density jump is higher for the m = 0 mode than that of the m = +1 and -1 modes excited by the helical antenna. ¬© 1996 American Institute of Physics.</t>
  </si>
  <si>
    <t>1695-1697</t>
  </si>
  <si>
    <t>55192589400;55225053700;57197863875</t>
  </si>
  <si>
    <t>Sakawa, Y.;Koshikawa, N.;Shoji, T.</t>
  </si>
  <si>
    <t>Sakawa Y.</t>
  </si>
  <si>
    <t>Characteristics of the high density plasma production by m=0 helicon wave</t>
  </si>
  <si>
    <t>10.1063/1.118001</t>
  </si>
  <si>
    <t>2-s2.0-0001208027</t>
  </si>
  <si>
    <t>['zinc complexes', 'vivo oligomers', 'vitro oligomers', 'visible spectra', 'systematically prepared', 'supramolecular structure', 'subtly affect', 'similar spectra', 'nm peak', 'nm light', 'local structure', 'good models', 'esterified group', 'esterified alcohols', 'compounds aggregated']</t>
  </si>
  <si>
    <t>Zinc complexes of 3-hydroxymethyl-13-oxochlorin possessing several branched alkyl chains as an esterified group at the 17-position were systematically prepared. In non-polar organic solvents, these compounds aggregated to form oligomers absorbing up to 800-nm light with around a 740-nm peak, which are good models for bacteriochlorophylls-c and d, extramembranous antenna pigments of photosynthetic green bacteria. All the visible spectra of the in-vitro oligomers are the same and the esterified alcohols induced no effect on the local structure of the oligomers. The circular dichroism spectra changed with elongation of esterified alkyl chains, which resulted in the similar spectra to the in-vivo oligomers. Esterified alcohols should subtly affect the supramolecular structure and/or stability of the self-aggregates.</t>
  </si>
  <si>
    <t>12421-12432</t>
  </si>
  <si>
    <t>Tetrahedron</t>
  </si>
  <si>
    <t>60105159;60105159;60105159;60105159</t>
  </si>
  <si>
    <t>7006346090;7201793723;6701924621;15620933600</t>
  </si>
  <si>
    <t>Tamiaki, Hitoshi;Miyata, Shinya;Kureishi, Yasuhiko;Tanikaga, Rikuhei</t>
  </si>
  <si>
    <t>Aggregation of synthetic zinc chlorins with several esterified alkyl chains as models of bacteriochlorophyll-c homologs</t>
  </si>
  <si>
    <t>10.1016/0040-4020(96)00740-5</t>
  </si>
  <si>
    <t>2-s2.0-0030590424</t>
  </si>
  <si>
    <t>['results show', 'poor agreement', 'maximum point', 'excellent agreement', 'cross section']</t>
  </si>
  <si>
    <t>Helicon wave | High density plasma | Solenoid antenna</t>
  </si>
  <si>
    <t>In most helicon wave experiments, there has been a poor agreement between the theoretical wave power deposition and the plasma density radial profiles. The characteristics of the solenoid antenna employed for the excitation of m = 1 mode helicon waves are investigated. A cylindrical high density plasma column with high intensity ArII emission is observed to be of a cylindrical shell shape. In cross section, the location of the high intensity column nearly coincides with the maximum point of wave power deposition. The wave magnetic field radial profiles agree well with computations. These results show an excellent agreement between the theory and density profile produced by the m = 1 helicon wave.</t>
  </si>
  <si>
    <t>94-98</t>
  </si>
  <si>
    <t>35446545700;7202777419;7407522064</t>
  </si>
  <si>
    <t>Kim, Jung Hyung;Yun, Seok Min;Chang, Hong Young</t>
  </si>
  <si>
    <t>Kim J.H.</t>
  </si>
  <si>
    <t>M = +1 mode helicon wave excitation using solenoid antenna</t>
  </si>
  <si>
    <t>10.1016/0375-9601(96)00462-8</t>
  </si>
  <si>
    <t>2-s2.0-0042094341</t>
  </si>
  <si>
    <t>['whole area', 'time course', 'temporal patterns', 'sensitive dye', 'response pattern', 'presynaptic response', 'postsynaptic response', 'pharmacological results', 'ordinary glomerulus', 'og ).', 'inhibitory responses', 'electrical stimuli', 'depolarizing responses', 'depolarization followed', 'antennal nerve', 'al neurons', 'al consist', 'action potentials']</t>
  </si>
  <si>
    <t>Electrical stimulus | Glomerulus | Optical recording | Periplaneta americana | Pharmacology | Spatio-temporal pattern | Voltage-sensitive dye</t>
  </si>
  <si>
    <t>The spatio-temporal patterns of neural activity evoked by electrical stimuli to the antennal nerve (AN) in male cockroach antennal lobes (ALs) in vivo were analyzed by optical imaging using a voltage-sensitive dye. The response pattern was initially a depolarization on the AN and subsequently a depolarization followed by a hyperpolarization on the whole area of macroglomerulus (MG) and a part of ordinary glomerulus (OG). It was suggested by the pharmacological results that the depolarizing responses on the AL consist of both a presynaptic response, representing synchronous compound action potentials from the AN, and a postsynaptic response, representing synchronous compound excitatory postsynaptic potentials and action potentials from neurites of AL neurons, and that the inhibitory responses of GABAergic local interneurons in the AN are different in time course from that in the AL.</t>
  </si>
  <si>
    <t>Neuroscience Letters</t>
  </si>
  <si>
    <t>100310442;100310442</t>
  </si>
  <si>
    <t>7005353366;6505938061</t>
  </si>
  <si>
    <t>Ai, Hiroyuki;Inouchi, Jun</t>
  </si>
  <si>
    <t>Natl. Inst. Sericultural E.</t>
  </si>
  <si>
    <t>Ai H.</t>
  </si>
  <si>
    <t>Spatial and temporal analysis of evoked neural activity in optical recordings from American cockroach antennal lobes</t>
  </si>
  <si>
    <t>10.1016/0304-3940(96)12969-4</t>
  </si>
  <si>
    <t>2-s2.0-0030604038</t>
  </si>
  <si>
    <t>R01GM028139</t>
  </si>
  <si>
    <t>['strongly quenched', 'simply explained', 'rf bound', 'recently elaborated', 'reaction conditions', 'protein interaction', 'lumazine protein', 'luciferase peroxyflavin', 'luciferase intermediates', 'kinetic scheme', 'fluorophore evidently', 'fluorescent proteins', 'equilibria among', 'either enhanced', 'dodecanol used', 'consequent shift', 'chain aldehyde', 'bioluminescence intensity', 'aliphatic components', 'aliphatic component']</t>
  </si>
  <si>
    <t>The kinetics of the bacterial bioluminescence reaction is altered in the presence of the fluorescent (antenna) proteins, lumazine protein (LumP) from Photobacterium or the yellow fluorescence proteins (YFP) having FMN or Rf bound, from Vibrio fischeri strain Y1. Depending on reaction conditions, the bioluminescence intensity and its decay rate may be either enhanced or strongly quenched in the presence of the fluorescent proteins. These effects can be simply explained on the basis of the same protein-protein complex model that accounts for the bioluminescence spectral shifts induced by these fluorescent proteins. In such a complex, where the fluorophore evidently is in proximity to the luciferase active site, it is expected that the on off rate of certain aliphatic components of the reaction should be altered with a consequent shift in the equilibria among the luciferase intermediates, as recently elaborated in a kinetic scheme. These aliphatic components are the bioluminescence reaction substrate, tetradecanal or other long-chain aldehyde, its carboxylic acid product, or dodecanol used as a stabilizer of the luciferase peroxyflavin. No evidence can be found for the protein- protein interaction in the absence of the aliphatic component.</t>
  </si>
  <si>
    <t>12086-12093</t>
  </si>
  <si>
    <t>60029747;60103882;60103882;60103882</t>
  </si>
  <si>
    <t>7006371696;57225216172;7202976223;57221623714</t>
  </si>
  <si>
    <t>Petushkov, Valentin N.;Ketelaars, Martijn;Gibson, Bruce G.;Lee, John</t>
  </si>
  <si>
    <t>Krasnoyarsk;Athens</t>
  </si>
  <si>
    <t>Biophysics Institute of the Siberian Branch of the RAS;University of Georgia</t>
  </si>
  <si>
    <t>60103882;60029747</t>
  </si>
  <si>
    <t>Petushkov V.N.</t>
  </si>
  <si>
    <t>Interaction of Photobacterium leiognathi and Vibrio fischeri Y1 luciferases with fluorescent (antenna) proteins: Bioluminescence effects of the aliphatic additive</t>
  </si>
  <si>
    <t>10.1021/bi9608931</t>
  </si>
  <si>
    <t>2-s2.0-0029787145</t>
  </si>
  <si>
    <t>['œ ≤', 'two antennae', 'structures occurs', 'spherisorb column', 'repeat structures', 'released oligosaccharides', 'relative proportions', 'reducing termini', 'old animals', 'linkage regions', 'keratanase ii', 'keratan sulfate', 'included non', 'dimensional methods', 'containing proteoglycans', 'capping residues', 'bovine cornea', 'antennary n', 'alkaline borohydride', '6 )-', '5 %),', '3gal -(', '3 )-', ')- ol']</t>
  </si>
  <si>
    <t>Keratan sulfate-containing proteoglycans were isolated from bovine cornea (15-month-old to 3-year-old animals) and digested with the enzyme, keratanase II. The released oligosaccharides, which included non-reducing termini and repeat region oligosaccharides but not linkage regions, were reduced with alkaline borohydride and fractionated on a Spherisorb column. These oligosaccharides were examined by 600-MHz 1H NMR spectroscopy using one- and two-dimensional methods and, in addition to some oligosaccharide alditols previously recovered from skeletal keratan sulfate, the following new capping structures were identified: NeuAcŒ±2- 6GalŒ≤1-4GlcNAc(S) -ol, NeuAcŒ±2-3Gal(S)Œ≤1-4-GlcNAc(S)Œ≤1-3GalŒ≤1-4GlcNAc(S)-ol, NeuGcŒ±2-6GalŒ≤l- 4GlcNAc(S)Œ≤1-3GalŒ≤1-4GlcNAc(S)-ol, NeuGcŒ±2-3GaŒ≤1-4GlcNAc(S)Œ≤1-3GalŒ≤l- 4GlcNAc(S)-ol, NeuGcŒ±2-3Gal-(S)Œ≤l-4GlcNAc(S)Œ≤1-3GalŒ≤l-4GlcNAc(S)-ol, NeuGcŒ±2-3Gal(S)Œ≤1-4GlcNAc(S)Œ≤1-3Gal(S)Œ≤l-4GlcNAc(S)-ol, GalŒ±1-3GalŒ≤1- 4GlcNAc(S)Œ≤I-3GalŒ≤1-4GlcNAc(S)-ol, GalŒ±1-3GalŒ≤1-4GlcNAc(S)Œ≤1-4Gal(S)Œ≤l- 4GlcNAc(S)-ol, GlcNAc(S)Œ≤1-3Gal(S)Œ≤1-4GlcNAc(S)-ol, and GalNAc(S)-Œ≤1- 3Gal(S)Œ≤l-4GlcNAc(S)-ol. These structures represent seven families of capping residues, whose relative molar proportions are given in parentheses: NeuAcŒ±(2-3)- (12%), NeuAcŒ±(2-6)- (41%), NeuGcŒ±(2-3)- and NeuGcŒ±(2-6)- families (12%), GalŒ±(13)- (26%), GalNAc(S)Œ≤(1-3)- (5%), and GlcNAc(S)Œ≤(1- 3)-(4%). It is not clear, at present, where each of these structures occurs on the bi-antennary N-linked corneal keratan sulfate chains, which themselves occur within three keratan sulfate proteoglycan species. However, examination of the relative proportions of the capping to the repeat structures and knowledge of the average molecular size suggests that the sum of these non- reducing termini represents the caps of two antennae.</t>
  </si>
  <si>
    <t>23535-23546</t>
  </si>
  <si>
    <t>60023643;60023643;60023643</t>
  </si>
  <si>
    <t>7006083377;7006489842;7005496250</t>
  </si>
  <si>
    <t>Tai, Gui Hua;Huckerby, Thomas N.;Nieduszynski, Ian A.</t>
  </si>
  <si>
    <t>Lancaster</t>
  </si>
  <si>
    <t>Lancaster University</t>
  </si>
  <si>
    <t>Tai G.H.</t>
  </si>
  <si>
    <t>Multiple non-reducing chain termini isolated from bovine corneal keratan sulfates</t>
  </si>
  <si>
    <t>10.1074/jbc.271.38.23535</t>
  </si>
  <si>
    <t>2-s2.0-0029830715</t>
  </si>
  <si>
    <t>['tangent bifurcation']</t>
  </si>
  <si>
    <t>Antenna | Cusp | Mandelbrot set | Midget | Misiurewicz points | One-dimensional quadratic maps | Tip</t>
  </si>
  <si>
    <t>We study the limit of the harmonics and antiharmonics of a pattern that originated from a tangent bifurcation. As a result, two simple formulae to calculate the pattern of the cusp and the tip of a midget in the Mandelbrot set antenna are deduced, and the nature of the tip (a noncharacteristic Misiurewicz point) is shown.</t>
  </si>
  <si>
    <t>158-162</t>
  </si>
  <si>
    <t>7005305122;35583724300;7005663245</t>
  </si>
  <si>
    <t>Romera, M.;Pastor, G.;Montoya, F.</t>
  </si>
  <si>
    <t>Romera M.</t>
  </si>
  <si>
    <t>On the cusp and the tip of a midget in the Mandelbrot set antenna</t>
  </si>
  <si>
    <t>10.1016/0375-9601(96)00573-7</t>
  </si>
  <si>
    <t>2-s2.0-0042187823</t>
  </si>
  <si>
    <t>['underlying oxide', 'typical examples', 'semiconducting properties', 'semiconducting oxide', 'resulting change', 'pt wo3', 'gas sensitively', 'antenna material']</t>
  </si>
  <si>
    <t>Antenna material | Hetero-junctions | Semiconductor gas sensors</t>
  </si>
  <si>
    <t>A new design concept of semiconductor gas sensors, which introduces a foreign antenna material to a gas in problem, is described for the detection of dilute odorous gases such as HN3 and H2S. The antenna material, dispersed on the surface of a semiconducting oxide, interacts with the gas sensitively and selectively, and the resulting change in its chemical state induces a change in semiconducting properties of the underlying oxide through hetero-junctions. Typical examples of such sensors include NH3 sensors using Au-and Pt WO3 and an H2S sensor using CuO-SnO2.</t>
  </si>
  <si>
    <t>178-181</t>
  </si>
  <si>
    <t>Materials Science and Engineering B</t>
  </si>
  <si>
    <t>56224981700;7006100540;7401868774</t>
  </si>
  <si>
    <t>Yamazoe, Noboru;Tamaki, Jun;Miura, Norio</t>
  </si>
  <si>
    <t>Yamazoe N.</t>
  </si>
  <si>
    <t>Role of hetero-junctions in oxide semiconductor gas sensors</t>
  </si>
  <si>
    <t>S0921510796016480</t>
  </si>
  <si>
    <t>10.1016/S0921-5107(96)01648-0</t>
  </si>
  <si>
    <t>2-s2.0-0001571582</t>
  </si>
  <si>
    <t>['œ ±', 'nitrogen storage', 'major chromophore', 'like pigment', 'light harvesting', 'deep populations', 'contains chlorophylls', 'common ancestor']</t>
  </si>
  <si>
    <t>cyanobacteria | endosymbiosis | photosynthesis | phycobilins | Prochlorophyta</t>
  </si>
  <si>
    <t>Prochlorococcus marinus CCMP 1375, a ubiquitous and ecologically important marine prochlorophyte, was found to possess functional genes coding for the Œ± and Œ≤ subunits of a phycobiliprotein. The latter is similar to phycoerythrins (PE) from marine Synechococcus cyanobacteria and bind a phycourobilin-like pigment as the major chromophore. However, differences in the sequences of the at and Œ≤ chains compared with known PE subunits and the presence of a single bilin attachment site on the Œ± subunit designate it as a novel PE type, which we propose naming PE-III. P. marinus is the sole prokaryotic organism known so far that contains chlorophylls a and b as well as phycobilins. These data strongly suggest that the common ancestor of prochlorophytes and the Synechococcus cyanobacteria contained phycobilins. Flow cytometric data from the tropical Pacific Ocean provide evidence that deep populations of Prochlorococcus possess low amounts of a PE-like pigment, which could serve either in light harvesting or nitrogen storage or both.</t>
  </si>
  <si>
    <t>11126-11130</t>
  </si>
  <si>
    <t>60000762;60026803;60026803;60026803;60000762;60026803</t>
  </si>
  <si>
    <t>7202693732;7003482684;6603448285;35487236200;7006609348;7004459130</t>
  </si>
  <si>
    <t>Hess, Wolfgang R.;Partensky, Fr√©d√©ric;Van Der Staay, Georg W.M.;Garcia-Fernandez, Jos√© M.;B√∂rner, Thomas;Vaulot, Daniel</t>
  </si>
  <si>
    <t>France;Germany</t>
  </si>
  <si>
    <t>Roscoff;Berlin</t>
  </si>
  <si>
    <t>Station Biologique de Roscoff;Humboldt-Universit√§t zu Berlin</t>
  </si>
  <si>
    <t>60026803;60000762</t>
  </si>
  <si>
    <t>Hess W.R.</t>
  </si>
  <si>
    <t>Coexistence of phycoerythrin and a chlorophyll a/b antenna in a marine prokaryote</t>
  </si>
  <si>
    <t>10.1073/pnas.93.20.11126</t>
  </si>
  <si>
    <t>2-s2.0-0029784411</t>
  </si>
  <si>
    <t>NAGW 2942</t>
  </si>
  <si>
    <t>['vegetation cover', 'unique capability', 'sufficient number', 'spatial resolutions', 'space operation', 'space afford', 'soil moisture', 'scanning configurations', 'reviews briefly', 'remote observations', 'remote measurements', 'received signal', 'range 10', 'particularly promising', 'particular advantage', 'paper outlines', 'obtaining frequent', 'moderate amounts', 'microwave observations', 'microwave measurements', 'limitations imposed', 'largely unaffected', 'large fraction', 'land surface', 'information channels', 'hydrologic models', 'global sampling', 'electromagnetic interference', 'dominant effect', 'direct observation', 'cloud cover', 'basic principles', '5 ghz', '20 km']</t>
  </si>
  <si>
    <t>Microwave remote sensing provides a unique capability for direct observation of soil moisture. Remote measurements from space afford the possibility of obtaining frequent, global sampling of soil moisture over a large fraction of the Earth's land surface. Microwave measurements have the benefit of being largely unaffected by cloud cover and variable surface solar illumination, but accurate soil moisture estimates are limited to regions that have either bare soil or low to moderate amounts of vegetation cover. A particular advantage of passive microwave sensors is that in the absence of significant vegetation cover soil moisture is the dominant effect on the received signal. The spatial resolutions of passive microwave soil moisture sensors currently considered for space operation are in the range 10-20 km. The most useful frequency range for soil moisture sensing is 1-5 GHz. System design considerations include optimum choice of frequencies, polarizations, and scanning configurations, based on trade-offs between requirements for high vegetation penetration capability, freedom from electromagnetic interference, manageable antenna size and complexity, and the requirement that a sufficient number of information channels be available to correct for perturbing geophysical effects. This paper outlines the basic principles of the passive microwave technique for soil moisture sensing, and reviews briefly the status of current retrieval methods. Particularly promising are methods for optimally assimilating passive microwave data into hydrologic models. Further studies are needed to investigate the effects on microwave observations of within-footprint spatial heterogeneity of vegetation cover and subsurface soil characteristics, and to assess the limitations imposed by heterogeneity on the retrievability of large-scale soil moisture information from remote observations.</t>
  </si>
  <si>
    <t>101-129</t>
  </si>
  <si>
    <t>Journal of Hydrology</t>
  </si>
  <si>
    <t>60009037;60022195</t>
  </si>
  <si>
    <t>7006231742;35517567400</t>
  </si>
  <si>
    <t>Njoku, Eni G.;Entekhabi, Dara</t>
  </si>
  <si>
    <t>Cambridge;Pasadena</t>
  </si>
  <si>
    <t>Massachusetts Institute of Technology;Jet Propulsion Laboratory</t>
  </si>
  <si>
    <t>60022195;60009037</t>
  </si>
  <si>
    <t>Njoku E.</t>
  </si>
  <si>
    <t>Passive microwave remote sensing of soil moisture</t>
  </si>
  <si>
    <t>10.1016/0022-1694(95)02970-2</t>
  </si>
  <si>
    <t>2-s2.0-0030251351</t>
  </si>
  <si>
    <t>29-33</t>
  </si>
  <si>
    <t>112496041-60089033;112496041-60089033;112496041-60089033</t>
  </si>
  <si>
    <t>7003619295;7003957539;6602315162</t>
  </si>
  <si>
    <t>Manasson, Vladimir;Sadovnik, Lev;Mino, Robert</t>
  </si>
  <si>
    <t>Torrance;</t>
  </si>
  <si>
    <t>Waveband, Inc.;WaveBand Corporation</t>
  </si>
  <si>
    <t>60089033;112496041</t>
  </si>
  <si>
    <t>Manasson V.</t>
  </si>
  <si>
    <t>MMW scanning antenna</t>
  </si>
  <si>
    <t>10.1109/62.538799</t>
  </si>
  <si>
    <t>2-s2.0-0030258153</t>
  </si>
  <si>
    <t>['theory explains', 'symmetric two', 'experiments done', 'certain extent', 'addressed theoretically', '180 ¬∞-']</t>
  </si>
  <si>
    <t>The modes and their stability of a symmetric two-element coupled negative conductance oscillator driven spatial power combining array were addressed theoretically. It was shown that the symmetric two-element spatial power combining array can produce two stable operation modes, one in-phase, the other 180¬∞-out-of-phase. The theory explains all previously published experimental phenomena. Experiments done at C-band with a symmetric two-element coupled Gunn oscillator driven spatial power combining array demonstrated the validity of the theory to a certain extent. The theory can be generalized to study the modes and their stability of any coupled oscillator driven spatial power combining arrays.</t>
  </si>
  <si>
    <t>1628-1636</t>
  </si>
  <si>
    <t>10 pt 1</t>
  </si>
  <si>
    <t>7401550595;7404879378</t>
  </si>
  <si>
    <t>Ding, Zhengping;Chang, Kai</t>
  </si>
  <si>
    <t>Ding Z.</t>
  </si>
  <si>
    <t>Modes and their stability of a symmetric two-element coupled negative conductance oscillator driven spatial power combining array</t>
  </si>
  <si>
    <t>10.1109/22.538953</t>
  </si>
  <si>
    <t>2-s2.0-0030258333</t>
  </si>
  <si>
    <t>['target identification', 'switching times', 'remote sensing', 'reflect x', 'recent experiments', 'radar beam', 'potential areas', 'plasma sheet', 'plasma mirror', 'phased array', 'much simpler', 'metal mirror', 'magnetic field', 'electronically control', 'electronic steering', 'electronic countermeasures', 'azimuth may', 'antenna temperatura']</t>
  </si>
  <si>
    <t>An alternative to using a phased array to steer a radar beam is to electronically control the orientation of an inertialess broadband microwave reflector. Recent experiments have demonstrated that a planar plasma mirror immersed in a magnetic field can be formed with electron densities high enough to reflect X-band microwave beams. A plasma mirror performs like a metal mirror, but it is inertialess. Compared to high performance phased array systems, a plasma mirror based radar system is much simpler and is therefore more affordable. Electronic steering of microwave beams using a plasma mirror permits the use of wide instantaneous bandwidth waveforms. Potential areas of application for a plasma mirror based antenna system include ship self-defense, high-resolution radar imaging, target identification, electronic countermeasures, high data rate communications, spread spectrum links and remote sensing. As a reflector, the plasma mirror exhibits extremely low loss and the reflectivity is very nearly 100%. Since a perfectly reflecting object cannot radiate, the noise temperature contribution of the plasma mirror to the antenna temperatura is likely to be small. The plasma sheet can be steered in elevation by tilting the magnetic field, and steering in azimuth may be accomplished by designating cathode initiation sites. Switching times between successive mirror orientations may be less than 20Œºs.</t>
  </si>
  <si>
    <t>38-44</t>
  </si>
  <si>
    <t>60027271-60025534-60024266-60005892</t>
  </si>
  <si>
    <t>Mathew, J.</t>
  </si>
  <si>
    <t>Washington, D.C.;Troy;Oak Ridge;Ridge</t>
  </si>
  <si>
    <t>Naval Research Laboratory;Rensselaer Polytechnic Institute;Oak Ridge National Laboratory;American Physical Society</t>
  </si>
  <si>
    <t>60027271;60025534;60024266;60005892</t>
  </si>
  <si>
    <t>Mathew J.</t>
  </si>
  <si>
    <t>Electronically steerable plasma mirror based radar - Concept and characteristics</t>
  </si>
  <si>
    <t>10.1109/62.538801</t>
  </si>
  <si>
    <t>2-s2.0-0030258472</t>
  </si>
  <si>
    <t>['√ ó', 'system capacity', 'switching matrix', 'key element', 'conventional three', 'cellular telecommunications', 'beam switched', 'antenna system']</t>
  </si>
  <si>
    <t>This article presents simple formulas which are helpful in predicting interference reduction and capacity increase provided by switched-beam intelligent antenna systems for cellular telecommunications. The key element of this type of intelligent antenna system is an m √ó M switching matrix where m is the number of beams and M is the number of radio channel units. The system capacity is related to the complexity of the switching matrix. A 12-beam switched-beam antenna system can provide 100 percent capacity increase over a conventional three-sector (three-beam) antenna system.</t>
  </si>
  <si>
    <t>60018829-60017789-60108318-112496087</t>
  </si>
  <si>
    <t>Lopez, Alfred R.</t>
  </si>
  <si>
    <t>United States;United Kingdom;United States;</t>
  </si>
  <si>
    <t>New York;Farnborough;New York;</t>
  </si>
  <si>
    <t>NYU Tandon School of Engineering;BAE Systems plc;Manhattan College;Hazeltine's Wheeler Laboratory</t>
  </si>
  <si>
    <t>60108318;60018829;60017789;112496087</t>
  </si>
  <si>
    <t>Lopez A.</t>
  </si>
  <si>
    <t>Performance predictions for cellular switched-beam intelligent antenna systems</t>
  </si>
  <si>
    <t>10.1109/35.544336</t>
  </si>
  <si>
    <t>2-s2.0-0030258815</t>
  </si>
  <si>
    <t>N00014-92-J- 1253</t>
  </si>
  <si>
    <t>['transmission rate', 'suppress crosstalk', 'square error', 'possible despite', 'multiuser communication', 'multiple users', 'multiinput multioutput', 'mse ).', 'inherently narrow', 'impedes high', 'date rate', 'data carried', 'communicate simultaneously', 'channel reuse', 'channel bandwidth', 'available bandwidth']</t>
  </si>
  <si>
    <t>The available bandwidth of ocean acoustic channels is inherently narrow that impedes high-transmission rate and makes it difficult for multiple users to communicate simultaneously. To alleviate this problem, spatial diversity antennas are used to increase the date rate. In this paper, we employ the spatial diversity equalizers (SDE) to increase the effective channel bandwidth by minimizing the mean-square error (mse). Although joint equalizers have been used in digital telephone subscriber lines to suppress crosstalk, we apply the concept to ocean acoustic channels and show that multiuser communication is possible despite the narrow-channel bandwidth. In addition, we will show that the advantage of SDE is not because we use more taps, but because we collect the data carried through various ocean paths. By applying the saddle point integration method to multiinput multioutput (MIMO) channels, we compute the probability of error (PE) to show that a factor of 3-4 of channel reuse is possible.</t>
  </si>
  <si>
    <t>505-512</t>
  </si>
  <si>
    <t>60000251-60015481-60013682;60000251-60015481-60008724-60030551-60030612-60121438-60015623</t>
  </si>
  <si>
    <t>7402560529;7006447110</t>
  </si>
  <si>
    <t>Song, Bong Gee;Ritcey, James A.</t>
  </si>
  <si>
    <t>United States;United States;United States;United States;United States;South Korea;United States;United States</t>
  </si>
  <si>
    <t>Berkeley;San Diego;Syracuse;Boston;Seattle;Seoul;Durham;New York</t>
  </si>
  <si>
    <t>University of California, Berkeley;University of California, San Diego;Syracuse University;General Electric Company;University of Washington;Seoul National University;Duke University;IEEE</t>
  </si>
  <si>
    <t>60121438;60030612;60030551;60015623;60015481;60013682;60008724;60000251</t>
  </si>
  <si>
    <t>Song B.G.</t>
  </si>
  <si>
    <t>Spatial diversity equalization for MIMO ocean acoustic communication channels</t>
  </si>
  <si>
    <t>S0364905996075802</t>
  </si>
  <si>
    <t>10.1109/48.544060</t>
  </si>
  <si>
    <t>2-s2.0-0030259219</t>
  </si>
  <si>
    <t>['linear polarization', 'increasing use']</t>
  </si>
  <si>
    <t>As the use of planar antennas increases for commercial telecommunications applications, there is also an increasing use of circularly polarized antenna designs which offer several technical advantages over linear polarization. However, designing circular polarization is correspondingly more complicated. Using a method of moments based computer aided design and simulation software package in the design of a circularly polarized microstrip antenna allows designers to explore many different topologies while reducing hardware prototyping.</t>
  </si>
  <si>
    <t>O'Rourke, Robert</t>
  </si>
  <si>
    <t>Boulder City</t>
  </si>
  <si>
    <t>Boulder Microwave Technologies, Inc</t>
  </si>
  <si>
    <t>O'Rourke R.</t>
  </si>
  <si>
    <t>Designing circularly polarized planar antennas using EM simulation</t>
  </si>
  <si>
    <t>2-s2.0-0030259252</t>
  </si>
  <si>
    <t>['numerical investigations', 'mathematical model', 'kirchhoff approximation', 'horn radiators', 'experimental results']</t>
  </si>
  <si>
    <t>Results of the investigation and optimization of the characteristics of waveguide-horn radiators of cruciform and four-ridge cross sections are presented. Numerical investigations are carried out with the help of the mathematical model of a horn of arbitrary cross section and developed in the Huygens-Kirchhoff approximation. The results of calculations are compared with those for the horns of square and circular cross sections, and with the experimental results.</t>
  </si>
  <si>
    <t>1102-1105</t>
  </si>
  <si>
    <t>7003358467;57096791300;6603584865</t>
  </si>
  <si>
    <t>Vasilenko, Yu N.;Il'inskii, A. S.;Kharlanov, Yu Ya</t>
  </si>
  <si>
    <t>Vasilenko Y.</t>
  </si>
  <si>
    <t>Properties of the dual-polarization waveguide-horn radiators of complex cross section</t>
  </si>
  <si>
    <t>2-s2.0-0030260020</t>
  </si>
  <si>
    <t>['uniform sampling', 'two types', 'planar near', 'pattern calculations', 'pattern calculation', 'obtained easier', 'aperture fields']</t>
  </si>
  <si>
    <t>Aperture sampling requirements in planar near-field and pattern calculations are presented. There are two types of sampling, the uniform and equiangular triangle sampling. In uniform sampling, equally spaced points for the integration of the aperture fields during the analysis of the antennas are used, while in equiangular triangle sampling larger spaced points are employed. Aperture sampling expression between planar near field and pattern calculation is the same. This calculation can be obtained easier by using the reduced nomograph expressions.</t>
  </si>
  <si>
    <t>60-63</t>
  </si>
  <si>
    <t>Milligan, Tom</t>
  </si>
  <si>
    <t>Milligan T.</t>
  </si>
  <si>
    <t>Aperture sampling requirements in planar near-field and pattern calculations</t>
  </si>
  <si>
    <t>10.1109/74.544401</t>
  </si>
  <si>
    <t>2-s2.0-0030260216</t>
  </si>
  <si>
    <t>['wire terminals', 'wave theory', 'voltage measured', 'underwater antenna', 'three configurations', 'shore measurements', 'sea water', 'mom ).', 'great interest', 'fresnel formulas', 'form expression', 'e field', 'computer simulations', 'computed results', 'circuit model', 'application purposes']</t>
  </si>
  <si>
    <t>The problem of receiving VLF electromagnetic fields with an underwater electric antenna is of great interest, especially for military-application purposes. In this study, a simple and closed-form expression for the E field in sea water is derived from two physical models, which agree but are different: the surface-wave theory and the Fresnel formulas. Three configurations of immersed receiving antennas are investigated by means of computer simulations. The scattered electric field and expected measured voltage are computed, using an EFIE [electric-field integral equation], and the Method of Moments (MoM). Then, an equivalent-circuit model of the underwater antenna is investigated, with a focus on two dominant antenna parameters: the impedance and the voltage measured between the wire terminals. Calculations and computed results are compared with off-shore measurements.</t>
  </si>
  <si>
    <t>19-28</t>
  </si>
  <si>
    <t>60084005-60108488-60110693;60084005-60015502;60084005-112495511;60110755-60106017-60007136-60026175;60110755</t>
  </si>
  <si>
    <t>6507882906;56412583300;7004055087;57206342086;7003385210</t>
  </si>
  <si>
    <t>Benhabiles, B.;Lacour, P.;Pellet, M.;Pichot, C.;Papiernik, A.</t>
  </si>
  <si>
    <t>France;France;France;France;France;United States;France;France;</t>
  </si>
  <si>
    <t>Sophia Antipolis;Nice;Montpellier;Saint-Aubin;Paris;Livermore;Grenoble;Gif-sur-Yvette;</t>
  </si>
  <si>
    <t>Laboratoire D'√©lectronique, Antennes et T√©l√©communications;Universit√© C√¥te d'Azur;Universit√© de Montpellier;Universite Paris-Saclay;Naval Group;Lawrence Livermore National Laboratory;ENSERG - INP Grenoble;Laboratoire des Signaux et Syst√®mes;ISEP Engineering School</t>
  </si>
  <si>
    <t>60110755;60110693;60108488;60106017;60084005;60026175;60015502;60007136;112495511</t>
  </si>
  <si>
    <t>Benhabiles B.</t>
  </si>
  <si>
    <t>A study of VLF antennas immersed in sea water: Theoretical, numerical, and experimental results</t>
  </si>
  <si>
    <t>10.1109/74.544398</t>
  </si>
  <si>
    <t>2-s2.0-0030260732</t>
  </si>
  <si>
    <t>['spatial analysis', 'simulation show', 'signal subspace', 'signal processing', 'popular approach', 'order methods', 'new scheme', 'estimated directions', 'eigenvector spanning', 'covariance matrices']</t>
  </si>
  <si>
    <t>Coherent sources | Direction of arrivals | High resolution | Signal processing | Space diversity | Spatial analysis</t>
  </si>
  <si>
    <t>The performance of second-order methods in signal processing for spatial analysis is limited by the correlation between sources. The popular approach of spatial smoothing groups an equally spaced array into subarrays and then averages the covariance matrices of the subarrays to decorrelate coherent arrivals. In the new method proposed here, the decomposition is applied on the eigenvector spanning the signal subspace to reform the source subspace basis. Results of simulation show that the new scheme is more robust to noise. Comparison is made with the conventional spatial smoothing method in terms of variances on the estimated directions.</t>
  </si>
  <si>
    <t>;60017597</t>
  </si>
  <si>
    <t>7006051182;35583649600</t>
  </si>
  <si>
    <t>Grenier, Dominic;Boss√©, √âloi</t>
  </si>
  <si>
    <t>Grenier D.</t>
  </si>
  <si>
    <t>A new spatial smoothing scheme for direction-of-arrivals of correlated sources</t>
  </si>
  <si>
    <t>S0165168496001041</t>
  </si>
  <si>
    <t>10.1016/S0165-1684(96)00104-1</t>
  </si>
  <si>
    <t>2-s2.0-0030261449</t>
  </si>
  <si>
    <t>['possible improvement', 'free space']</t>
  </si>
  <si>
    <t>The possible improvement of the efficiency of high-power relativistic microwave generators by matching the output extended horn antenna aperture with the free space and by suppressing the antenna pattern sidelobes is investigated.</t>
  </si>
  <si>
    <t>1094-1098</t>
  </si>
  <si>
    <t>7004362536;35582547500;7103357955</t>
  </si>
  <si>
    <t>Zav'yalov, A. S.;Klimov, A. I.;Koshelev, V. I.</t>
  </si>
  <si>
    <t>Zav'yalov A.</t>
  </si>
  <si>
    <t>Improving the efficiency of high-power relativistic microwave generators by optimizing the output horn</t>
  </si>
  <si>
    <t>2-s2.0-0030262993</t>
  </si>
  <si>
    <t>['wheeler died', 'propagation society', 'life fellow', 'inc .,', 'hazeltine corporation', 'bell laboratories', 'april 25']</t>
  </si>
  <si>
    <t>Harold A. Wheeler died on April 25, 1996, at the age of 93 in Ventura, California. He was a Life Fellow of the IEEE and a member of the Antennas and Propagation Society. He earned a bachelor's degree in physics from the George Washington University. In 1928, he went to work for Hazeltine Corporation where he invented a circuit for automatic volume control. By the time the United States entered World War II, he had received more than 100 US patents. In 1947, he founded Wheeler Laboratories, INC., which subcontracted with Bell Laboratories to design microwave circuits for the Nike antiaircraft missile system.</t>
  </si>
  <si>
    <t>51-53</t>
  </si>
  <si>
    <t>Kahn, Walter K.</t>
  </si>
  <si>
    <t>The George Washington University</t>
  </si>
  <si>
    <t>Kahn W.</t>
  </si>
  <si>
    <t>In memoriam: Harold Alden Wheeler. May 10, 1903-April 25, 1996</t>
  </si>
  <si>
    <t>2-s2.0-0030263073</t>
  </si>
  <si>
    <t>['tested thoroughly', 'short description', 'recent effort', 'radar requirements', 'public roads', 'main trend', 'future trends', 'eventually making', 'discussed briefly', 'controlled conditions', 'complex systems', 'car radars', 'avoidance system']</t>
  </si>
  <si>
    <t>A recent effort to design, build and test a 77 GHz radar to be used for adaptive cruise control (ACC) of automobiles is described. The radar requirements are discussed, along with a short description of a radar prototype meeting the requirements. The radar has been tested thoroughly and evaluated both under controlled conditions and on public roads. Some results from the tests are included. Future trends for car radars are discussed briefly. The main trend is more complex systems with the capability to detect stationary objects, eventually making the intelligent cruise controller a collision-warning/avoidance system.</t>
  </si>
  <si>
    <t>100351170;100351170</t>
  </si>
  <si>
    <t>7403253489;6508051812</t>
  </si>
  <si>
    <t>Eriksson, Lars H.;Broden, Sigvard</t>
  </si>
  <si>
    <t>Jarfalla</t>
  </si>
  <si>
    <t>CelsiusTech Electronics AB</t>
  </si>
  <si>
    <t>Eriksson L.</t>
  </si>
  <si>
    <t>High performance automotive radar</t>
  </si>
  <si>
    <t>2-s2.0-0030263248</t>
  </si>
  <si>
    <t>['vertical dipole', 'two media', 'rigorous calculations', 'reflected waves', 'radio installation', 'polarization characteristics', 'near zone', 'effective area', 'difference finding', 'data obtained', 'complex permittivity']</t>
  </si>
  <si>
    <t>A method for measuring the complex permittivity of the earth's surface is proposed. The results of measurements are used for the correction of the effective area and polarization characteristics of decameter-wave antennas disposed over the interface of two media. The method is based on rigorous calculations in the near zone for the field of a surface wave radiated by a vertical dipole. The data obtained are compared with the results of the Fresnel coefficient evaluation by means of the phase-difference finding of the incident and the reflected waves when the signals from a radio installation of the accurate hour service are received.</t>
  </si>
  <si>
    <t>1109-1114</t>
  </si>
  <si>
    <t>7003684032;6602449699;7003321988</t>
  </si>
  <si>
    <t>Sodin, L. G.;Fal'kovich, I. S.;Kalinichenko, N. N.</t>
  </si>
  <si>
    <t>Sodin L.</t>
  </si>
  <si>
    <t>The use of surface and spatial waves for measuring the soil permittivity and the correction of the ground-based antenna characteristics</t>
  </si>
  <si>
    <t>2-s2.0-0030263376</t>
  </si>
  <si>
    <t>['physics discussion', 'montreal meeting', 'brief comment']</t>
  </si>
  <si>
    <t>The highlights of the AP-S meeting in Baltimore are reviewed, including a brief comment on making travel arrangements via the Internet a follow-on to the radiation-physics discussion that appeared in June, 1996, column, and an announcement of a special session planned on that topic for the Montreal meeting in 1997.</t>
  </si>
  <si>
    <t>70-74</t>
  </si>
  <si>
    <t>Miller, Edmund K.</t>
  </si>
  <si>
    <t>Miller E.</t>
  </si>
  <si>
    <t>PCs for AP and other EM reflections</t>
  </si>
  <si>
    <t>10.1109/MAP.1996.544404</t>
  </si>
  <si>
    <t>2-s2.0-0030263411</t>
  </si>
  <si>
    <t>['known solution', 'field pattern', 'closed form', 'angular coordinate']</t>
  </si>
  <si>
    <t>On the basis of the equivalent surface current theorem and the well-known solution to the problem of plane electromagnetic wave scattering by a perfectly conducting infinite wedge, a rigorous solution continuous with respect to the angular coordinate in a closed form that describes the far-field pattern (FP) of a surface antenna disposed on a perfectly conducting wedge with a given field distribution in the aperture is obtained.</t>
  </si>
  <si>
    <t>1099-1101</t>
  </si>
  <si>
    <t>7004903129;7005805370</t>
  </si>
  <si>
    <t>Gabriel'yan, D. D.;Tarasenko, S. O.</t>
  </si>
  <si>
    <t>Gabriel'yan D.</t>
  </si>
  <si>
    <t>The far-field pattern of a surface antenna disposed on a perfectly conducting wedge</t>
  </si>
  <si>
    <t>2-s2.0-0030263524</t>
  </si>
  <si>
    <t>['term test', 'noise ratio', 'mode fiber', 'measured data', 'experimental results', '40km fiber', '3m antenna']</t>
  </si>
  <si>
    <t>A 40km fiber-optic microwave subcarrier multiplexing system that transmits the multichannel satellite video signals was introduced, and the experimental results on it were reported. Its carrier-to-noise ratio (CNR) was measured and analyzed, and the analyzed results agree well with the measured data. By using a 3m antenna, the CNR of the Asiasat I satellite signal passing through a single-mode fiber (40km in length and 1.3Œºm in diameter) is more than 17dB. After experiencing a long-term test, the operation of the system is stable.</t>
  </si>
  <si>
    <t>470-474</t>
  </si>
  <si>
    <t>B5</t>
  </si>
  <si>
    <t>Chinese Journal of Lasers B (English Edition)</t>
  </si>
  <si>
    <t>60005244;60005244;60005244;60005244</t>
  </si>
  <si>
    <t>57192635666;7404229271;37078688700;57196735574</t>
  </si>
  <si>
    <t>Zhang, Zhengxian;Lin, Zhiyuan;Li, Zhitang;Xu, Jie</t>
  </si>
  <si>
    <t>Zhang Z.</t>
  </si>
  <si>
    <t>40km fiber-optic microwave subcarrier multiplexing transmission system for multi-channel FM-TV</t>
  </si>
  <si>
    <t>2-s2.0-0030263911</t>
  </si>
  <si>
    <t>['two orders', 'patch current', 'particularly useful', 'fourier modes', 'finite arrays', 'custom modes']</t>
  </si>
  <si>
    <t>Custom modes for the patch current in an infinite microstrip phased array are derived. Compared to the set of subdomain basis functions normally used for arbitrarily shaped patches these `Fourier modes' reduce the number of unknowns by one to two orders of magnitude. This should make them particularly useful for the analysis of finite arrays.</t>
  </si>
  <si>
    <t>2036-2038</t>
  </si>
  <si>
    <t>60001247;60001247</t>
  </si>
  <si>
    <t>7004004036;7006764320</t>
  </si>
  <si>
    <t>Steyskal, H.;Herd, J. S.</t>
  </si>
  <si>
    <t>Custom modes for microstrip phased array analysis</t>
  </si>
  <si>
    <t>10.1049/el:19961387</t>
  </si>
  <si>
    <t>2-s2.0-0030264356</t>
  </si>
  <si>
    <t>['two groups', 'software development', 'resonator antennas', 'recent research', 'printed multi', 'microwave circuits', 'layer arrays', 'integrated electronics', 'hardware research', 'hardware development', 'ferrite antennas', 'dimensional transmission', 'development within', 'crc ).', 'circuit integration', 'cellular automata', 'article concentrates', 'antenna hardware']</t>
  </si>
  <si>
    <t>An overview is presented of the antenna research carried out by the Directorate of Antennas and Integrated Electronics (DAIE) of the Communications Research Centre (CRC). The antenna research within the DAIE can be categorized into two groups: antenna-hardware development and electromagnetic-software development. Recent research in antenna hardware has been focused on printed multi-layer arrays, dielectric-resonator antennas, ferrite antennas, active-circuit integration, and low-loss feed networks. Research in electromagnetic software includes the development of three-dimensional transmission-line-matrix (TLM) code, and the application of cellular automata (CA) techniques for the analysis and modeling of antennas, microwave circuits, and general electromagnetic phenomena, such as scattering. This article concentrates on the antenna-hardware research and development within the DAIE.</t>
  </si>
  <si>
    <t>60018714-60017592-100318068-101104781;60018714-60009697-60028897;60018714-60009697-60017165;60018714-60028897-112496284</t>
  </si>
  <si>
    <t>7003819332;7005305020;57027512900;7004481899</t>
  </si>
  <si>
    <t>Petosa, A.;Roscoe, D. J.;Ittipiboon, A.;Cuhaci, M.</t>
  </si>
  <si>
    <t>Canada;Canada;Canada;Thailand;Canada;;Canada;Canada</t>
  </si>
  <si>
    <t>Ottawa;Ottawa;Ottawa;Khon Kaen;Winnipeg;;Ottawa;Ottawa</t>
  </si>
  <si>
    <t>University of Ottawa;Communications Research Centre;Carleton University;Khon Kaen University;University of Manitoba;Antennas and Component Intgn. Group;GANDEC Corporation;CAL Corp</t>
  </si>
  <si>
    <t>60028897;60018714;60017592;60017165;60009697;112496284;101104781;100318068</t>
  </si>
  <si>
    <t>Antenna research at the Communications Research Centre</t>
  </si>
  <si>
    <t>10.1109/74.544397</t>
  </si>
  <si>
    <t>2-s2.0-0030264465</t>
  </si>
  <si>
    <t>['lobe level', 'increased side', 'antenna pattern']</t>
  </si>
  <si>
    <t>A method for reconstructing radiometric images utilizing an antenna pattern with an increased side-lobe level is proposed. The results of numerical simulation demonstrating the efficiency of the method are presented.</t>
  </si>
  <si>
    <t>1106-1108</t>
  </si>
  <si>
    <t>6506997997;57199585066</t>
  </si>
  <si>
    <t>Voloshinovskii, S. V.;Gritskiv, Z. D.</t>
  </si>
  <si>
    <t>Voloshinovskii S.</t>
  </si>
  <si>
    <t>On the possibility of utilizing antenna pattern sidelobes in radiometric systems</t>
  </si>
  <si>
    <t>2-s2.0-0030265116</t>
  </si>
  <si>
    <t>['types 3', 'total number', 'six types', 'sensilla increases', 'olfactory system', 'nezara viridula', 'negative allometry', 'main determinant', 'heterometabolous insects', 'flagellum surface', 'first segment', 'evenly distributed', 'embryonic development', 'developmental stage', 'body size', 'antennal flagellum']</t>
  </si>
  <si>
    <t>Allometry | Growth | Olfaction | Ontogeny</t>
  </si>
  <si>
    <t>The sensilla on the antennal flagellum of Nezara viridula (Heteroptera: Pentatomidae) were studied with the scamping and transmission electron microscopes. Seven morphologically distinct types of sensilla were identified in adults. The number and distribution of six types were studied. Male and female antennae bear the same numbers and types of sensilla. As in other Heteroptera, the flagellum comprises two segments. The second flagellar segment bears more sensilla than the first segment. Sensilla are evenly distributed over the flagellum surface. The total number of sensilla increases during the post-embryonic development. Individual numerical growths of each type follow simple exponential laws when expressed as functions of developmental stage. The growth in number shows positive allometry in respect to body size for sensillum types 1, 2 + 5 and 4, but negative allometry for types 3 and 6. The density of sensilla remains constant. These findings are compared with previously published data from other heterometabolous insects. Adaptation to the increase in body size during the post-embryonic development seems to be the main determinant of the growth of the olfactory system in N, viridula.</t>
  </si>
  <si>
    <t>427-441</t>
  </si>
  <si>
    <t>60003274;60003274;60003274</t>
  </si>
  <si>
    <t>6506017868;6507579354;7004185407</t>
  </si>
  <si>
    <t>Br√©zot, Patrick;Tauban, Dominique;Renou, Michel</t>
  </si>
  <si>
    <t>Br√©zot P.</t>
  </si>
  <si>
    <t>Sense organs on the antennal flagellum of the green stink bug, Nezara viridula (L.) (Heteroptera: Pentatomidae) : Sensillum types and numerical growth during the post-embryonic development</t>
  </si>
  <si>
    <t>S0020732296000128</t>
  </si>
  <si>
    <t>10.1016/S0020-7322(96)00012-8</t>
  </si>
  <si>
    <t>2-s2.0-0030265351</t>
  </si>
  <si>
    <t>['tubular body', 'thirteen types', 'st6 occurs', 'st5 occurs', 'st4 occurs', 'six types', 'sensory receptors', 'sensillum ampullaceum', 'sensilla coeloconica', 'sensilla ampullacea', 'sc1 3', 'sb2 occurs', 'sb1 increases', 'putative thermo', 'putative mechanoreceptors', 'putative hygro', 'number distally', 'innervated sensilla', 'flexible socket', 'flagellar segments', 'flagellar nerve', 'first time', 'female forcipomyia', 'f2 f8', 'f13 ).', 'f1 f8', 'clarifies studies', 'approximately 73', 'antenna consists', '3 occur', '1640 neurons', '13 segments']</t>
  </si>
  <si>
    <t>Ceratopogonidae | Midge | Olfactory | Sensilla ampullacea | Sensilla basiconica | Sensilla chaetica | Sensilla coeloconica | Sensilla trichodea | Sensory receptor | Ultrastructure</t>
  </si>
  <si>
    <t>The morphology and distribution of the sensory receptors on the antennae of female Forcipomyia (Lasiohelea) townsvillensis (Taylor) (Diptera: Ceratopogonidae) are described. This is the first comprehensive account of such receptors in the Forcipomyia, and it complements and clarifies studies on the related Culicoides antennae. Also, the structure of the sensillum ampullaceum is described here for the first time in the Ceratopogonidae. Each antenna consists of a scape, a pedicel and a flagellum of 13 segments (F1 F13). There are approximately 416 innervated sensilla per flagellum as well as many uninnervated microtrichia, providing about 1640 neurons to the flagellar nerve. Thirteen types of innervated sensilla are recognisable. Sensilla trichodea comprise 6 types (ST1 6), each of which has a distinct distribution across the flagellum: ST1, 2 and 3 occur on F9-F13; ST4 occurs on F2 F8; ST5 occurs on F1 F8; and ST6 occurs on F2-F7. Sensilla basiconica comprise 2 types (SB1 and SB2): SB1 occurs on F8-F13 and SB2 occurs on F1- F7. Sensilla coeloconica (SC1 3) comprise 3 types, all of which occur at or near the tip of the antenna (F13). Sensilla ampullacea (SA) occur on F1 and F2. Sensilla chaetica occur at the base of the flagellar segments and are putative mechanoreceptors, having a flexible socket and a tubular body. Six types of sensilla (SC1-3, SA, ST5 and ST6) are invariant in number and position. SB1 increases in number distally. Approximately 73% of the innervated sensilla are putative olfactory receptors, 25% are putative mechanoreceptors and 2% are putative hygro- and/or thermoreceptors, SC1 3 and SA are putative thermo- and/or hygroreceptors.</t>
  </si>
  <si>
    <t>405-425</t>
  </si>
  <si>
    <t>Cribb, Bronwen W.</t>
  </si>
  <si>
    <t>Cribb B.</t>
  </si>
  <si>
    <t>Antennal sensilla of the female biting midge: Forcipomyia (Lasiohelea) townsvillensis (Taylor) (Diptera: Ceratopogonidae)</t>
  </si>
  <si>
    <t>S002073229600013X</t>
  </si>
  <si>
    <t>10.1016/S0020-7322(96)00013-X</t>
  </si>
  <si>
    <t>2-s2.0-0030265499</t>
  </si>
  <si>
    <t>['state fet', 'shallow vp', 'pole double', 'parasitic capacitance', 'insertion loss', 'ic exhibited', 'external inductors', 'excellent characteristics', 'control voltage', '6 db', '5 ghz', '400 mhz', '40 db', '4 db', '34 dbm', '3 v', '25 db', '2 ghz']</t>
  </si>
  <si>
    <t>In this paper, we propose two new types of dual-pole double-throw (DPDT) switch GaAs JFET monolithic microwave integrated circuits (MMIC's) for digital cellular handsets. These IC's have the excellent characteristics of low insertion loss and high power handling capability, even with a low control voltage by stacking three JFET's with shallow Vp and using a novel bias circuit using p-n junction diodes. One DPDT switch IC has two shunt FET blocks and can achieve high isolation without external parts. An insertion loss less than 0.6 dB and isolation over 25 dB up to 2 GHz were achieved. P1dB was about 35 dBm even with a control voltage of 0/3 V. Another DPDT switch IC utilizes parallel resonance of external inductors and parasitic capacitance between the drain and the source of the OFF-state FET's. By attaching 15 nH inductors, for example, the IC exhibited an insertion loss as low as 0.4 dB, an isolation of better than 40 dB at 1.5 GHz, a bandwidth of about 400 MHz for 20 dB isolation, and P1dB of about 34 dBm with the 0/3 V control.</t>
  </si>
  <si>
    <t>1406-1411</t>
  </si>
  <si>
    <t>60021178-60011001;60021178-60014652;60000251-60021178-60000264-60012708</t>
  </si>
  <si>
    <t>7006545024;6602842239;7404145278</t>
  </si>
  <si>
    <t>Kohama, Kazumasa;Ohgihara, Takahiro;Murakami, Yoshikazu</t>
  </si>
  <si>
    <t>Japan;Japan;United States;Japan;Japan;United States</t>
  </si>
  <si>
    <t>Tokyo;Sapporo;Palo Alto;Kyoto;Nagoya;New York</t>
  </si>
  <si>
    <t>Sony Corporation;Hokkaido University;Stanford University;Kyoto University;Nagoya University;IEEE</t>
  </si>
  <si>
    <t>60021178;60014652;60012708;60011001;60000264;60000251</t>
  </si>
  <si>
    <t>Kohama K.</t>
  </si>
  <si>
    <t>High power DPDT antenna switch MMIC for digital cellular systems</t>
  </si>
  <si>
    <t>S0018920096069910</t>
  </si>
  <si>
    <t>10.1109/4.540048</t>
  </si>
  <si>
    <t>2-s2.0-0030269449</t>
  </si>
  <si>
    <t>['signal functions', 'series 0', 'passive switch', 'mbe ).', 'made compatible', 'level shifting', 'isolation ranges', 'hbt circuit', 'first demonstration', 'driver circuit', 'dramatic reduction', 'corresponding return', 'adequately turn', '50 mhz', '40 db', '15 db', '12 ghz', '1 ghz']</t>
  </si>
  <si>
    <t>We have achieved the first demonstration of a monolithically integrated high electron mobility transistor (HEMT) passive switch with a heterojunction bipolar transistor (HBT) switch-driver circuit that represents key integrated mixed-signal functions. The HEMT-HBT monolithic microwave integrated circuit (MMIC) is fabricated using selective molecular beam epitaxy (MBE). The single HEMT series switch is driven by an HBT circuit that provides both level shifting and wide voltage drive swing to adequately turn the passive HEMT switch device on and off. The MMIC can be made compatible for operation from either standard TTL or CMOS control signals. The series 0.2 √ó 200 Œºm passive HEMT switch achieves 1.6-2.9 dB insertion loss over a 50 MHz to 12 GHz band when the HEMT is turned on. The corresponding return-losses are &gt; 10 dB across the band. When the switch is turned off, the isolation ranges from &gt;40 dB at 1 GHz and decreases to 15 dB at 12 GHz. This integrated HEMT switch and HBT switch driver MMIC represents a basic building block that can be applied to programmable phase shifters used in phased-array antenna applications and can result in a dramatic reduction in size and improvement in performance of these systems.</t>
  </si>
  <si>
    <t>375-377</t>
  </si>
  <si>
    <t>60025209-60000251;60025209-60000251;60025209-60000251;60025209;60025209;60025209-60000251</t>
  </si>
  <si>
    <t>15923474700;24438286100;7003633790;7003742326;35508429200;7101687568</t>
  </si>
  <si>
    <t>Kobayashi, Kevin W.;Oki, Aaron K.;Sjogren, Lance B.;Umemoto, Donald K.;Block, Tom R.;Streit, Dwight C.</t>
  </si>
  <si>
    <t>Northrop Grumman corporation;IEEE</t>
  </si>
  <si>
    <t>60025209;60000251</t>
  </si>
  <si>
    <t>Kobayashi K.</t>
  </si>
  <si>
    <t>A monolithic HEMT passive switch with integrated HBT standard logic compatible driver for phased-array applications</t>
  </si>
  <si>
    <t>S1051820796074880</t>
  </si>
  <si>
    <t>10.1109/75.536950</t>
  </si>
  <si>
    <t>2-s2.0-0030270564</t>
  </si>
  <si>
    <t>['theoretical predictions', 'terahertz pulses', 'terahertz beam', 'repetition rate', 'pulse energy', 'propagation properties', 'laser fluence', 'laser excitation', 'high fluences', 'bias fields', 'also characterized', '800 œºm', '60 %.', '45 kv', '40 œºj', '100 hz', '1 khz']</t>
  </si>
  <si>
    <t>We report the generation of terahertz pulses with 0.4-ŒºJ pulse energy at 1-kHz repetition rate using a large-aperture GaAs photoconductor with 3-cm gap aluminum electrodes, biased at voltages up to 45 kV. The terahertz output energy saturates at a laser fluence of 40 ŒºJ/cm2 at low-bias fields, while no clear saturation point was observed at high-bias fields. The output was found to be dependent on the repetition rate: at high fluences, pulse energy at 1 kHz is higher than that at 100 Hz by as much as 60%. A study of the behavior of the terahertz pulse energy and pulsewidth as a function of the pulsewidth of the laser excitation was conducted and compared with theoretical predictions. Propagation properties of the terahertz beam were also characterized, leading to a focal spot size as small as 800 Œºm at the focus of a 2.5-in focal length parabolic mirror.</t>
  </si>
  <si>
    <t>1839-1846</t>
  </si>
  <si>
    <t>IEEE Journal of Quantum Electronics</t>
  </si>
  <si>
    <t>60121438-60032179-60025038;60121438;60025038-60013682;60000251-60107918;60000251-60121438</t>
  </si>
  <si>
    <t>6602968882;6508109915;7402425370;57220952459;7102304219</t>
  </si>
  <si>
    <t>Budiarto, E.;Margolies, J.;Jeong, S.;Son, J.;Bokor, J.</t>
  </si>
  <si>
    <t>United States;South Korea;United States;United States;South Korea;United States</t>
  </si>
  <si>
    <t>Berkeley;Icheon;Madison;Berkeley;Seoul;New York</t>
  </si>
  <si>
    <t>University of California, Berkeley;SK Hynix Inc.;University of Wisconsin-Madison;University of California, Berkeley;Seoul National University;IEEE</t>
  </si>
  <si>
    <t>60121438;60107918;60032179;60025038;60013682;60000251</t>
  </si>
  <si>
    <t>Budiarto E.</t>
  </si>
  <si>
    <t>High-intensity terahertz pulses at 1-kHz repetition rate</t>
  </si>
  <si>
    <t>S0018919796072831</t>
  </si>
  <si>
    <t>10.1109/3.538792</t>
  </si>
  <si>
    <t>2-s2.0-0030270866</t>
  </si>
  <si>
    <t>['various parameters', 'radiated power', 'parasitic elements', 'optimum inter', 'microstrip antenna', 'experimental work', 'element spacing', 'depend directly', 'air dielectric', '8 mm']</t>
  </si>
  <si>
    <t>The results of investigation on an electromagnetically coupled stacked microstrip antenna have been reported. Experimental work is carried out to study the effect of coupling on various parameters such as pattern, bandwidth, beamwidth, VSWR and input-impedance. The radiated power is found to be maximum for the microstrip stacked antenna with one and two parasitic elements. However, radiated power decreases significantly when the number of parasitic elements in microstrip stacked antenna is more than two. The beamwidth of the main lobe improves with the parasitic elements. The bandwidth of the microstrip antenna is found to depend directly on the number of the parasitic elements. It has been observed that the radiated power depends on inter element spacing with air dielectric in between the elements. An air gap spacing of 2.8 mm is found to provide maximum radiated power from microstrip stacked antenna with single parasitic element. This hints that there is an optimum inter-element spacing that provides maximum coupling and hence maximum radiation.</t>
  </si>
  <si>
    <t>277-280</t>
  </si>
  <si>
    <t>60008721;60008721;60008721</t>
  </si>
  <si>
    <t>7801599154;56175833100;7003714798</t>
  </si>
  <si>
    <t>Vasistha, Prashant;Singh, S.;Vishvakarma, Babau R.</t>
  </si>
  <si>
    <t>Varanasi</t>
  </si>
  <si>
    <t>Banaras Hindu University</t>
  </si>
  <si>
    <t>Vasistha P.</t>
  </si>
  <si>
    <t>Some investigations on multilayer microstrip stacked antenna</t>
  </si>
  <si>
    <t>2-s2.0-0342715340</t>
  </si>
  <si>
    <t>['z isomer', 'sset ).', 'monoketones 3', 'ketone functionalities', 'intramolecular singlet', 'initiated photochemistry', 'facile intra', 'exhibit dpso', 'e .,', 'dpso group', 'derived photoproducta', 'chemistry indicative', 'carbonyl groups', 'c17 ketones', 'c17 ketone', 'aryl antenna', 'aryl activation', 'alkylidene group', 'additional c3', '34 ))', '18 ),']</t>
  </si>
  <si>
    <t>Steroids have been prepared that bear a dimethylphenylsiloxy (DPSO) group and additional C3 and/or C17 ketone functionalities. The DPSO group has been used to harvest 266 nm photons and then activate the ketone functionalities through intramolecular singlet-singlet energy transfer (intra-SSET). Thus, the monoketones 3,3-(ethylenedioxy)-6Œ≤-(DPSO)-5Œ≤-androstan-17-one (6) and 6Œ≤-(DPSO)-5Œ≤-androstan-3-one (8) both exhibit DPSO-initiated photochemistry at the carbonyl groups. Irradiation of the diketone, 6Œ≤-(DPSO)-5Œ≤-androstane-3,17-dione (5), gives two ring D-derived photoproducta, an epimer (19) and an enal (18), both coming from the C17 ketone excited singlet state. Here Œ¶intra-SSET from the aryl antenna to the carbonyl groups is ca. 88% efficients and occurs with a rate of ca. 6.5 √ó 109 s-1, with the chemistry indicative of facile intra-SSET between the C3 and C17 ketones. The alkylidene group at C3 (i.e., as in 6Œ≤-(DPSO)-3(E)-ethylidene-5Œ≤-androstan-17-one (33) and its Z isomer (34)) has no effect on the rate or efficiency of aryl activation of the C17 ketone.</t>
  </si>
  <si>
    <t>7045-7055</t>
  </si>
  <si>
    <t>Journal of Organic Chemistry</t>
  </si>
  <si>
    <t>60009254;60009254;60009254</t>
  </si>
  <si>
    <t>8143768400;7202240445;7103158461</t>
  </si>
  <si>
    <t>Jiang, S. Anna;Xiao, Changhe;Morrison, Harry</t>
  </si>
  <si>
    <t>West Lafayette</t>
  </si>
  <si>
    <t>Purdue University</t>
  </si>
  <si>
    <t>Jiang S.A.</t>
  </si>
  <si>
    <t>Antenna-initiated photochemistry in polyfunctional steroids. Intramolecular singlet and triplet energy transfer between aryl, ketone, and alkene groups in 6Œ≤-(Dimethylphenylsiloxy)-5Œ≤-androstanes 1</t>
  </si>
  <si>
    <t>10.1021/jo952202x</t>
  </si>
  <si>
    <t>2-s2.0-0029826471</t>
  </si>
  <si>
    <t>['whole antenna', 'uniaxial anisotropic', 'region coaxial', 'numerical results', 'letter presents', 'input impedance', 'initially transformed', 'good agreement', 'finite thickness', 'circular patch', 'ccpt ).', 'also examined']</t>
  </si>
  <si>
    <t>Circular patch | Microstrip antennas | Waveguide modal analysis</t>
  </si>
  <si>
    <t>This Letter presents a waveguide modal analysis for evaluating the input impedance of a circular patch antenna fed by a centered coaxial transmission line. Both the substrate and the superstrate are assumed to be uniaxial anisotropic. The open-region antenna problem is initially transformed into a closed-region coaxial-circular waveguide junction cascading problem by the introduction of a large circular cylindrical magnetic wall to enclose the whole antenna. The resulting waveguide cascading problem is then solved by the conservation of complex power technique (CCPT). Numerical results for the input impedance of a microstrip disk antenna are presented and compared with those obtained by others. Very good agreement is observed. Also examined are the effect of the finite thickness of the circular patch and the effect of the superstrate on the antenna's input impedance. ¬© 1996 John Wiley &amp; Sons, Inc.</t>
  </si>
  <si>
    <t>77-81</t>
  </si>
  <si>
    <t>Input impedance of a center-fed circular patch antenna covered by a uniaxial anisotropic superstrate</t>
  </si>
  <si>
    <t>10.1002/(SICI)1098-2760(19961005)13:2&lt;77::AID-MOP6&gt;3.0.CO;2-I</t>
  </si>
  <si>
    <t>2-s2.0-0030571183</t>
  </si>
  <si>
    <t>['two arrays', 'selective surfaces', 'ring slots', 'mechanical flexibility', 'features important', 'electromagnetic screening', 'either side', 'db bundwidths', '10 %.']</t>
  </si>
  <si>
    <t>Antennas | Electromagnetic screening | Filters | Frequency-selective surfaces</t>
  </si>
  <si>
    <t>Two arrays of single-ring slots with different radii supported on either side of a thin dielectric substrate form frequency-selective surfaces (FSSs) with a very narrow bandpass transmission responses. The -10-dB bundwidths are less than 10%. Their high angular stability, mechanical flexibility, and dual polarized performance are features important in applications such as electromagnetic screening. ¬© 1996 John Wiley &amp; Sons, Inc.</t>
  </si>
  <si>
    <t>105-107</t>
  </si>
  <si>
    <t>7201840709;7102172944</t>
  </si>
  <si>
    <t>Parker, E. A.;Stanley, A.</t>
  </si>
  <si>
    <t>Parker E.A.</t>
  </si>
  <si>
    <t>Dual-polarized narrow-bandpass frequency-selective surfaces</t>
  </si>
  <si>
    <t>10.1002/(SICI)1098-2760(19961005)13:2&lt;105::AID-MOP15&gt;3.0.CO;2-A</t>
  </si>
  <si>
    <t>2-s2.0-0030571193</t>
  </si>
  <si>
    <t>['three dimensions', 'reciprocity theorem', 'radiation pattern', 'patch antennas', 'measured data', 'fed trihedral', 'external geometry', 'element method', 'edge diffraction', 'dimensional bodies', 'cylindrical body', 'calculations show', 'bouncing ray']</t>
  </si>
  <si>
    <t>Finite-element method | Microstrip patch antenna | Radiation | Shooting and bouncing ray method</t>
  </si>
  <si>
    <t>A previously introduced technique to compute the radiation of a microstrip patch antenna on a cylindrical body of arbitrary cross section is extended to include patch antennas mounted on complex, three-dimensional bodies. The technique involves using the finite-element method (FEM) to characterize the patch antennas, and then computing the radiation pattern with the use of the reciprocity theorem and the shooting and bouncing ray (SBR) method with edge diffraction. The validity of the calculation and the need for an extension to three dimensions is shown by comparison with measured data for a waveguide-fed trihedral. Other calculations show the effects of the external geometry on the radiation pattern of a microstrip patch antenna. ¬© 1996 John Wiley &amp; Sons, Inc.</t>
  </si>
  <si>
    <t>60000745;60000745;60000745;60000745</t>
  </si>
  <si>
    <t>7102457649;7101821592;7403588231;7601396617</t>
  </si>
  <si>
    <t>Greenwood, A. D.;Ni, S. S.;Jin, J. M.;Lee, S. W.</t>
  </si>
  <si>
    <t>Greenwood A.</t>
  </si>
  <si>
    <t>Hybrid FEM/SBR method to compute the radiation pattern from a microstrip patch antenna in a complex geometry</t>
  </si>
  <si>
    <t>10.1002/(SICI)1098-2760(19961005)13:2&lt;84::AID-MOP8&gt;3.0.CO;2-H</t>
  </si>
  <si>
    <t>2-s2.0-0030571195</t>
  </si>
  <si>
    <t>['two modes', 'symmetrical mode', 'annular slot']</t>
  </si>
  <si>
    <t>Conformal antennas | Dual-frequency antennas | Microstrip antennas</t>
  </si>
  <si>
    <t>The subject of study is a conical wraparound short-circuited microstrip antenna operating in dual frequency range. Experimental radiation patterns of two modes, corresponding to symmetrically and asymmetrically excited cones, are compared with the calculated ones based on semiinfinite cone theory. The annular slot is moved to obtain a dual-frequency antenna operating in the symmetrical mode only. ¬© 1996 John Wiley &amp; Sons, Inc.</t>
  </si>
  <si>
    <t>81-83</t>
  </si>
  <si>
    <t>60008134;100815960;60008134;100815960</t>
  </si>
  <si>
    <t>6506744602;57189625709;7004537102;7006272544</t>
  </si>
  <si>
    <t>Marulier, O.;Lenormand, J.;Saillard, J.;Terret, C.</t>
  </si>
  <si>
    <t>Paris;Rennes</t>
  </si>
  <si>
    <t>CNRS Centre National de la Recherche Scientifique;Universit√© de Rennes</t>
  </si>
  <si>
    <t>60008134;100815960</t>
  </si>
  <si>
    <t>Marulier O.</t>
  </si>
  <si>
    <t>Conical wraparound short-circuited microstrip antenna operating in dual frequency range</t>
  </si>
  <si>
    <t>10.1002/(SICI)1098-2760(19961005)13:2&lt;81::AID-MOP7&gt;3.0.CO;2-H</t>
  </si>
  <si>
    <t>2-s2.0-0030571197</t>
  </si>
  <si>
    <t>['sometimes fasciculating', 'sensory axons', 'proper direction', 'neurons extend', 'neighboring mechanosensory', 'mechanosensory axons', 'lama mutants', 'invariably fail', 'genetic analysis', 'extracellular matrix', 'drosophila reveals', 'distinct classes', 'disc epithelium', 'disc cells', 'direct contact', 'different requirements', 'different location', 'containing laminin']</t>
  </si>
  <si>
    <t>Axon pathfinding | Drosophila | Extracellular matrix | Growth cone guidance | Laminin A | Ocellar axons | Pioneer neurons</t>
  </si>
  <si>
    <t>Genetic analysis of the Laminin A (LamA) gene in Drosophila reveals that distinct classes of sensory axons have different requirements for extracellular matrix (ECM) containing laminin A versus epithelial cell surfaces. In the eye-antenna imaginal disc, the nerve from the three simple eyes (ocelli) to the brain is pioneered by a population of transient ocellar neurons whose axons extend on an ECM that covers and connects the disc epithelium and brain. Axons from neighboring mechanosensory (bristle) neurons extend under the ECM in direct contact with the surface of the disc cells, and pioneer a different axon pathway that enters the brain in a different location. In LamA mutants, the ocellar pioneer axons display striking pathfinding defects, while neighboring bristle axons appear normal; the ocellar pioneers usually extend in the proper direction, adhering to the epithelium and sometimes fasciculating with mechanosensory axons, but they invariably fail to reach the brain.</t>
  </si>
  <si>
    <t>2611-2621</t>
  </si>
  <si>
    <t>60025038-60026796;60025038;60025038</t>
  </si>
  <si>
    <t>6601946388;7005756077;7202269307</t>
  </si>
  <si>
    <t>Garc√≠a-Alonso, Luis;Fetter, Richard D.;Goodman, Corey S.</t>
  </si>
  <si>
    <t>Madrid;Berkeley</t>
  </si>
  <si>
    <t>Universidad Aut√≥noma de Madrid;University of California, Berkeley</t>
  </si>
  <si>
    <t>60026796;60025038</t>
  </si>
  <si>
    <t>Garc√≠a-Alonso L.</t>
  </si>
  <si>
    <t>Genetic analysis of Laminin A in Drosophila: Extracellular matrix containing laminin A is required for ocellar axon pathfinding</t>
  </si>
  <si>
    <t>2-s2.0-0029818996</t>
  </si>
  <si>
    <t>['unknown coefficients', 'scattered coefficients', 'polar location', 'infinite series', 'guided fields', 'eccentric edge', 'diffraction lobes', 'dielectric cap', 'boundary conditions']</t>
  </si>
  <si>
    <t>Dieletric-loaded antennas | Electromagnetic wave diffraction</t>
  </si>
  <si>
    <t>An exact series solution of a line source incident on a dielectric-loaded half plane with eccentric edge is presented. The scattered and guided fields are represented in terms of an infinite series of radial waveguide mode with unknown coefficients. By applying the boundary conditions, the scattered coefficients are obtained. It is shown that the effect of the dielectric cap and eccentric edge is significant for modifying the amplitude and polar location of the diffraction lobes.</t>
  </si>
  <si>
    <t>1976-1978</t>
  </si>
  <si>
    <t>55608574700;7004968759</t>
  </si>
  <si>
    <t>Yu, Jong Won;Myung, Noh Hoon</t>
  </si>
  <si>
    <t>Yu J.</t>
  </si>
  <si>
    <t>Diffraction by a dielectric-loaded half plane with eccentric edge</t>
  </si>
  <si>
    <t>10.1049/el:19961318</t>
  </si>
  <si>
    <t>2-s2.0-0030259476</t>
  </si>
  <si>
    <t>['training sequence', 'time decomposition', 'time array', 'noise ratios', 'inherently parallel', 'conventional approaches', 'authors describe', 'array coefficients', 'antenna elements', 'adjusted independently', 'adaptive array']</t>
  </si>
  <si>
    <t>Adaptive antenna arrays | Learning systems</t>
  </si>
  <si>
    <t>The authors describe a space-time decomposition (STD) approach for adjusting the array coefficients of a space-time array, which is inherently parallel and gives higher output signal-to-noise ratios than conventional approaches. The length of the training sequence limits only the number of antenna elements in an adaptive array. The length of the tapped delay lines can be adjusted independently of the length of the training sequence.</t>
  </si>
  <si>
    <t>1938-1940</t>
  </si>
  <si>
    <t>6701392503;7007067644</t>
  </si>
  <si>
    <t>Fuhl, J.;Bonek, E.</t>
  </si>
  <si>
    <t>Fuhl J.</t>
  </si>
  <si>
    <t>Space-time decomposition: Exploiting the full information of a training sequence for an adaptive array</t>
  </si>
  <si>
    <t>10.1049/el:19961329</t>
  </si>
  <si>
    <t>2-s2.0-0030260071</t>
  </si>
  <si>
    <t>['important factors', '50 %.']</t>
  </si>
  <si>
    <t>Method of moments | Microstrip antennas</t>
  </si>
  <si>
    <t>An aperture coupled stacked patch microstrip antenna is presented which is capable of operating over a bandwidth in excess of 50%. Measured and predicted impedance behaviour and gain over the band are given. Other important factors such as surface wave efficiency and back radiation levels are presented.</t>
  </si>
  <si>
    <t>1941-1942</t>
  </si>
  <si>
    <t>60011362;60011362;60014313</t>
  </si>
  <si>
    <t>6603820268;35478779700;7006061921</t>
  </si>
  <si>
    <t>Targonski, S. D.;Waterhouse, R. B.;Pozar, D. M.</t>
  </si>
  <si>
    <t>Amherst MA;Melbourne</t>
  </si>
  <si>
    <t>University of Massachusetts Amherst;RMIT University</t>
  </si>
  <si>
    <t>60014313;60011362</t>
  </si>
  <si>
    <t>Targonski S.D.</t>
  </si>
  <si>
    <t>Wideband aperture coupled stacked patch antenna using thick substrates</t>
  </si>
  <si>
    <t>10.1049/el:19961306</t>
  </si>
  <si>
    <t>2-s2.0-0030262355</t>
  </si>
  <si>
    <t>['tlm ).', 'modelled using', 'model provides', 'measurement results', 'input impedance', 'good accuracy', 'efficient technique']</t>
  </si>
  <si>
    <t>Antenna feeds | Microstrip antennas | Transmission line modelling</t>
  </si>
  <si>
    <t>A singly-fed, cross-aperture coupled microstrip antenna producing circular polarisation (CP) has been modelled using the transmission line method (TLM). The model provides an efficient technique to predict the input impedance of the structure with good accuracy when compared to measurement results.</t>
  </si>
  <si>
    <t>1934-1935</t>
  </si>
  <si>
    <t>6603186307;57218868885;9239877500</t>
  </si>
  <si>
    <t>Vlasits, T.;Korolkiewicz, E.;Sambell, A.</t>
  </si>
  <si>
    <t>Analysis of cross-aperture coupled patch antenna using transmission line model</t>
  </si>
  <si>
    <t>10.1049/el:19961356</t>
  </si>
  <si>
    <t>2-s2.0-0030262656</t>
  </si>
  <si>
    <t>['making use', 'investigated efficiently']</t>
  </si>
  <si>
    <t>Cordless telephone systems | Electromagnetic compatibility | Green's function methods</t>
  </si>
  <si>
    <t>An improved head model for numerical EMC investigation using the method of moments is proposed. Making use of an electromagnetic dyadic Green's function for a layered homogeneous lossy dielectric sphere, user's interaction with antennas of hand-held mobile telephones can be investigated efficiently.</t>
  </si>
  <si>
    <t>1935-1937</t>
  </si>
  <si>
    <t>Electromagnetic dyadic Green's function for a layered homogeneous lossy dielectric sphere as head model for numerical EMC investigation</t>
  </si>
  <si>
    <t>10.1049/el:19961343</t>
  </si>
  <si>
    <t>2-s2.0-0030263216</t>
  </si>
  <si>
    <t>['similarity relation', 'ring arrays', 'key role', 'authors examine', 'array patterns']</t>
  </si>
  <si>
    <t>Antenna arrays | Fractals</t>
  </si>
  <si>
    <t>A technique has been developed for the synthesis of fractal radiation patterns from concentric-ring arrays. A family of functions, known as generalised Weierstrass functions, have been shown to play a key role in the theory of fractal radiation pattern synthesis. The authors examine the self-similarity relation of the array patterns.</t>
  </si>
  <si>
    <t>1940-1941</t>
  </si>
  <si>
    <t>56003159400;6507975812;6508039283</t>
  </si>
  <si>
    <t>Liang, Xu;Zhensen, Wu;Wenbing, Wang</t>
  </si>
  <si>
    <t>Liang X.</t>
  </si>
  <si>
    <t>Synthesis of fractal patterns from concentric-ring arrays</t>
  </si>
  <si>
    <t>10.1049/el:19961294</t>
  </si>
  <si>
    <t>2-s2.0-0030263810</t>
  </si>
  <si>
    <t>['‚ àº20', '‚ àº2', 'two cells', 'radiation cell', 'polarisation component', 'numerically analysed', 'maximum gain', 'low cross', 'linearly polarised', 'interior angles', 'honeycomb antenna', 'gain drop', 'frequency bandwidth', 'direction normal', 'antenna plane', '70 ¬∞', '17 cells']</t>
  </si>
  <si>
    <t>Antenna arrays | Wire antennnas</t>
  </si>
  <si>
    <t>A honeycomb wire antenna is numerically analysed. The radiation in the direction normal to the antenna plane is linearly polarised with a low cross-polarisation component of &lt; -30dB. The gain is dependent on the interior angles of the radiation cell. The maximum gain for a honeycomb antenna of two cells by 17 cells with interior angles of 70¬∞ is ‚àº20.5dB. and the gain drop over a 4% frequency bandwidth is ‚àº2.5dB.</t>
  </si>
  <si>
    <t>1937-1938</t>
  </si>
  <si>
    <t>60030526;60030526;60030526</t>
  </si>
  <si>
    <t>55633340100;7202589619;57220533028</t>
  </si>
  <si>
    <t>Nakano, H.;Tajima, S.;Yamauchi, J.</t>
  </si>
  <si>
    <t>Hosei University</t>
  </si>
  <si>
    <t>Nakano H.</t>
  </si>
  <si>
    <t>Honeycomb wire antenna</t>
  </si>
  <si>
    <t>10.1049/el:19961309</t>
  </si>
  <si>
    <t>2-s2.0-5844323888</t>
  </si>
  <si>
    <t>['wave channel', 'small number', 'required level', 'performance improvement', 'new expression', 'low complexity', 'large number', 'judicious selection', 'indoor mm', 'efficient computation', 'cascade arrangement']</t>
  </si>
  <si>
    <t>Diversity reception | Indoor radio</t>
  </si>
  <si>
    <t>A new expression for the bit error rate (BER) of DQPSK in slow Rayleigh fading with a space diversity receiver for the indoor mm-wave channel is derived. The space diversity receiver consists of a cascade arrangement of M-selection and L-maximal ratio combiners, allowing the use of a large number of antennas for performance improvement and combiners with a small number of inputs for low complexity. An efficient computation of the derived closed form error probability expression facilitates a judicious selection of M and L, given a required level of performance.</t>
  </si>
  <si>
    <t>1971-1972</t>
  </si>
  <si>
    <t>60017161;60017161</t>
  </si>
  <si>
    <t>35730851600;7005536438</t>
  </si>
  <si>
    <t>Choo, L. C.;Tjhung, T. T.</t>
  </si>
  <si>
    <t>National University of Singapore</t>
  </si>
  <si>
    <t>Choo L.C.</t>
  </si>
  <si>
    <t>Selection diversity combining diversity reception of DQPSK for indoor millimetrewave communications</t>
  </si>
  <si>
    <t>10.1049/el:19961342</t>
  </si>
  <si>
    <t>2-s2.0-5844397069</t>
  </si>
  <si>
    <t>['ventral edge', 'various tailed', 'three species', 'taxonomic union', 'tailless species', 'tailed species', 'superficial appearance', 'strictly mexican', 'southeastern cyda', 'southeastern arizona', 'prominently tailed', 'northwestern mysie', 'northwestern honduras', 'northern argentina', 'new species', 'many features', 'major problems', 'like cyda', 'largest );', 'geographically intermediate', 'extracting species', 'distal end', 'disparate genera', 'differ markedly', 'costa rica', 'collectively ranging', 'codatractus uvydixa', 'codatractus mysie', 'codatractus cyda', 'cephise nuspesez', 'cephise guatemalaensis', 'cephise express', 'cephise callias', 'cephise auginulus', 'also behavioral', 'added species', '4 species']</t>
  </si>
  <si>
    <t>Allopatric speciation | Combretaceae | Malpighiaceae | New World | Palpus</t>
  </si>
  <si>
    <t>Many features of genitalic morphology show that Evans's monotypic, neotropical genus Cephise contains not only additional tailless species but also several species with long hindwing tails currently misplaced in the unrelated genus Polythrix: Cephise auginulus (Godman &amp; Salvin), new combination, Cephise callias (Mabille), new combination, and Cephise guatemalaensis (Freeman), new combination. (Even with their removal, Polythrix is still polyphyletic.) There are major problems with the names of various tailed and tailless species of Cephise. All species of Cephise express a remarkable charac ter state of the palpus (males more fully than females) in which scales at the distal end of the first segment turn sharply outward across the ventral edge of the eye. In Guanacaste, Costa Rica, larvae of both a tailless species (Cephise nuspesez, new species) and a tailed species (C. auginulus) eat the same plants: 4 species in the Malpighiaceae and 1 in the Combretaceae. Both tailed and tailless species are widespread, collectively ranging from San Luis Potos√≠, Mexico, to Bolivia, Paraguay, northern Argentina, and Brazil. Again, features of genitalic morphology serve in extracting species from disparate genera (Thorybes, Cogia) (and from synonymy) and uniting them with Codatractus cyda (Godman) in a compact species group. Like cyda, the added species - Codatractus mysie (Dyar), new combination, and Codatractus uvydixa (Dyar), new combination - are tailless; but some species of Codatractus are prominently tailed. The three species of the cyda group closely replace one another geographically, from southeastern Arizona to northwestern Honduras; their distribution strongly reflects allopatric speciation and reinforces their taxonomic union. In superficial appearance, the geographically intermediate (strictly Mexican) species, uvydixa, resembles the southeastern cyda in Chiapas, Puebla, and Guerrero, but the northwestern mysie in Colima, Jalisco, and Sinaloa. Although all three species are genitalically extremely close, they differ markedly in size (mysie, smallest; uvydixa, largest); and mysie differs completely from uvydixa and cyda in the number ot segments in the nudum of the antenna - an unusual evolutionary development for closely related species. Removed from Codatractus on morphologic (and also behavioral) grounds, hyster (Dyar) is temporarily a species incertae sedis.</t>
  </si>
  <si>
    <t>173-216</t>
  </si>
  <si>
    <t>Journal of the Lepidopterists' Society</t>
  </si>
  <si>
    <t>Burns, John M.</t>
  </si>
  <si>
    <t>Burns J.M.</t>
  </si>
  <si>
    <t>Genitalia and the proper genus: Codatractus gets mysie and uvydixa - In a compact cyda group - As well as a hysterectomy, while Cephise gets part of Polythrix (Hesperiidae: Pyrginae)</t>
  </si>
  <si>
    <t>2-s2.0-0007658751</t>
  </si>
  <si>
    <t>['wave responses', 'wave region', 'v characteristics', 'period antenna', 'mixer used', 'junction capacitance', 'factor method', 'excellent submillimeter', 'dsb ).', 'dsb ),', 'demonstrate low', 'current density', 'coupled log', '350 ghz', '200 k', '20 ka', '1 œºm']</t>
  </si>
  <si>
    <t>We demonstrate low-noise heterodyne mixing with NbN/AlN/NbN tunnel junctions in the submillimeter-wave region. The prepared junction size was 1 Œºm in diameter and the current density was about 20 kA/cm2, supplying a small œâCjRN product (œâCjRN=3 at 300 GHz). The mixer used a lens-coupled log-period antenna and an integrated tuning circuit which incorporated a radial short stub tuner for resonating out the junction capacitance. The junctions showed good dc I-V characteristics, excellent submillimeter-wave responses and sensitive heterodyne mixing responses. From 254 to 350 GHz the average receiver noise temperature measured using the standard Y-factor method was about 250 K double sideband (DSB). The lowest receiver noise temperature, 200 K (DSB), was obtained around 303 GHz. ¬© 1996 American Institute of Physics.</t>
  </si>
  <si>
    <t>2435-2437</t>
  </si>
  <si>
    <t>60092258;60092258;60092258</t>
  </si>
  <si>
    <t>55555308200;8352937800;7102838221</t>
  </si>
  <si>
    <t>Uzawa, Yoshinori;Wang, Zhen;Kawakami, Akira</t>
  </si>
  <si>
    <t>Ministry of Posts and Telecommunications, Japan</t>
  </si>
  <si>
    <t>Quasi-optical submillimeter-wave mixers with NbN/AIN/NbN tunnel junctions</t>
  </si>
  <si>
    <t>10.1063/1.117662</t>
  </si>
  <si>
    <t>2-s2.0-0030263571</t>
  </si>
  <si>
    <t>['west europe', 'vervoorti fiers', 'type species', 'sexual dimorphism', 'p4 exopod', 'p3 endopod', 'nov .,', 'new species', 'morphological features', 'intermedius sp', 'indian ocean', 'greater affinities', 'genus cletodes', 'francis group', 'four species', 'enhydrosoma buchholzi', 'enhydrosoma boeck', 'clearly distinguished', 'bifilrcarostratum shen', 'barnishi wells', 'antennary endopod']</t>
  </si>
  <si>
    <t>Enhydrosoma | Harpacticoida | Schizacron | Strongylacron | Taxonomy</t>
  </si>
  <si>
    <t>Some morphological features of Enhydrosoma buchholzi (Boeck, 1872), E. barnishi Wells, 1967 and E. vervoorti Fiers, 1987 are redescribed in detail.lt is shown that, in the structure of the antenna, maxillule and the form of sexual dimorphism on the P3 endopod, these species, along with E. bifilrcarostratum Shen &amp; Tai, 1965 and a new species from Thailand have greater affinities with the genus Cletodes Brady, 1872 than with Enhydrosoma Boeck, 1872. However, they cannot be included in the genus Cletodes because they display a more primitive setal formula on P3 and P4 exopod and apomorphic character states on the antennary endopod and P5 of both sexes. Consequently, E. buchholzi from north-west Europe (and Canada) is assigned to the genus Strongylacron gen. nov. and becomes the type species by monotypy. The other four species from the Indian Ocean and South China Sea can be clearly distinguished from Strangylacron by the structure of the rostrum. They are assigned to the genus Schizacron gen. nov. as S. barnishi (Wells, 1967) comb. nov., designated as the type species, S. bifilrcarostratus (Shen &amp; Tai, 1965) comb. nov., S. vervoorti (Fiers, 1987) comb. nov. and S. intermedius sp. nov. A key to species of Schizacron is provided. ¬© 1996 Taylor &amp; Francis Group, LLC.</t>
  </si>
  <si>
    <t>161-191</t>
  </si>
  <si>
    <t>Sarsia</t>
  </si>
  <si>
    <t>60010503;60025352</t>
  </si>
  <si>
    <t>24452767600;7004143544</t>
  </si>
  <si>
    <t>Gee, J. Michael;Huys, Rony</t>
  </si>
  <si>
    <t>London;Plymouth</t>
  </si>
  <si>
    <t>The Natural History Museum, London;Plymouth Marine Laboratory</t>
  </si>
  <si>
    <t>60025352;60010503</t>
  </si>
  <si>
    <t>Gee J.</t>
  </si>
  <si>
    <t>An appraisal of the taxonomic position of Enhydrosoma buchholzi (Boeck, 1872), E. bifurcarostratum Shen &amp; Tai, 1965, E. barnishi Wells, 1967 and E. vervoorti Fiers, 1987 with definition of two new genera (Copepoda, Harpacticoida, Cletodidae)</t>
  </si>
  <si>
    <t>10.1080/00364827.1996.10413620</t>
  </si>
  <si>
    <t>2-s2.0-0039564288</t>
  </si>
  <si>
    <t>['unbound chlorophyll', 'two pheophytin', 'triton x', 'spectroscopic properties', 'preparations obtained', 'pigment composition', 'photosystem ii', 'pheophytin molecules', 'main effect', 'low temperatures', 'increased number', 'considerable debate', 'also present', '684 nm', '100 treatment', '1 %.']</t>
  </si>
  <si>
    <t>The pigment composition of the isolated photosystem II reaction center complex in its most stable and pure form currently is a matter of considerable debate. In this contribution, we present a new method based on a combination of gel filtration chromatography and diode array detection to analyze the composition of photosystem II reaction center preparations. We show that the method is very sensitive for the detection of contaminants such as the core antenna protein CP47, pigment-free and denatured reaction center proteins, and unbound chlorophyll and pheophytin molecules. We also present a method by which the photosystem II reaction center complex is highly purified without using Triton X-100, and we show that in this preparation the contamination with CP47 is less than 0.1%. The results strongly indicate that the photosystem II reaction center complex in its most stable and pure form binds six chlorophyll a, two pheophytin a, and two Œ≤-carotene molecules and that the main effect of Triton X-100 is the extraction of Œ≤-carotene from the complex. Analysis of 4 K absorption and emission spectra indicates that the spectroscopic properties of this preparation are similar to those obtained by a short Triton X-100 treatment. In contrast, preparations obtained by long Triton X-100 treatment show decreased absorption of the shoulder at 684 nm in the 4 K absorption spectrum and an increased number of pigments that trap excitation energy at very low temperatures. We conclude that the 684 nm shoulder in the 4 K absorption spectrum should at least in part be attributed to the primary electron donor of photosystem II.</t>
  </si>
  <si>
    <t>12864-12872</t>
  </si>
  <si>
    <t>60008734;60008734;60008734;60008734;60008734</t>
  </si>
  <si>
    <t>6506344788;6602476032;7004139338;35599806700;7202457418</t>
  </si>
  <si>
    <t>Eijckelhoff, Camiel;Van Roon, Henny;Groot, Marie Louise;Van Grondelle, Rienk;Dekker, Jan P.</t>
  </si>
  <si>
    <t>Eijckelhoff C.</t>
  </si>
  <si>
    <t>Purification and spectroscopic characterization of photosystem II reaction center complexes isolated with or without Triton X-100</t>
  </si>
  <si>
    <t>10.1021/bi960991m</t>
  </si>
  <si>
    <t>2-s2.0-0029794855</t>
  </si>
  <si>
    <t>['wire dipoles', 'results calculated', 'difference time']</t>
  </si>
  <si>
    <t>Antennas | FDTD | Phase arrays | Symmetry</t>
  </si>
  <si>
    <t>Symmetries of finite phased arrays are exploited to reduce the memory and run time required for their analysis with the finite-difference time-domain (FDTD) method. Results are presented for a 2 √ó 2 array of wire dipoles and are compared with results calculated with the method of moments and the conventional FDTD method. ¬© 1996 John Wiley &amp; Sons, Inc.</t>
  </si>
  <si>
    <t>Crouch, David</t>
  </si>
  <si>
    <t>Hughes Missile Systems Company</t>
  </si>
  <si>
    <t>Crouch D.</t>
  </si>
  <si>
    <t>On the use of symmetry to reduce the computational requirements for FDTD analyses of finite phased arrays</t>
  </si>
  <si>
    <t>10.1002/(sici)1098-2760(19961020)13:3&lt;123::aid-mop4&gt;3.0.co;2-p</t>
  </si>
  <si>
    <t>2-s2.0-0030269703</t>
  </si>
  <si>
    <t>['transmission line', 'quality factors', 'produce closed', 'point location', 'formula takes', 'form formulas', 'experimental measurement', 'dielectric losses', 'cavity model', 'calculated results']</t>
  </si>
  <si>
    <t>Input impedance | Input resistance | Microstrip antennas | Patch antennas</t>
  </si>
  <si>
    <t>Several formulas based on the transmission line and the cavity model are combined to produce closed-form formulas for calculating the input resonant resistance of probe-fed rectangular microstrip antenna elements with various relative permittivities and thicknesses of substrates. This formula takes into account the feed-point location, the patch and substrate physical properties, the effect of radiation, the conductor, and the dielectric losses with their quality factors. The capability of the formula is illustrated by comparison between the calculated results and experimental measurement. ¬© 1996 John Wiley &amp; Sons, Inc.</t>
  </si>
  <si>
    <t>137-142</t>
  </si>
  <si>
    <t>The calculation of the input resistance of rectangular microstrip antenna elements with various substrate thicknesses</t>
  </si>
  <si>
    <t>10.1002/(sici)1098-2760(19961020)13:3&lt;137::aid-mop7&gt;3.0.co;2-o</t>
  </si>
  <si>
    <t>2-s2.0-0030269718</t>
  </si>
  <si>
    <t>['practical realization', 'extremely simple', 'design method']</t>
  </si>
  <si>
    <t>GaAs MMIC amplifier | Microstrip active antenna | Strip-slot-foam inverted patch</t>
  </si>
  <si>
    <t>Theoretical design methods and a practical realization of an active SSFIP antenna are described. It is shown that the design method is very accurate. The active antenna realized is extremely simple and very efficient, and might find numerous applications. ¬© 1996 John Wiley &amp; Sons, Inc.</t>
  </si>
  <si>
    <t>114-119</t>
  </si>
  <si>
    <t>60028186;60028186</t>
  </si>
  <si>
    <t>7004724089;6603200704</t>
  </si>
  <si>
    <t>Z√ºrcher, J. F.;Brand, Y.</t>
  </si>
  <si>
    <t>Lausanne</t>
  </si>
  <si>
    <t>Swiss Federal Institute of Technology Lausanne</t>
  </si>
  <si>
    <t>Z√ºrcher J.F.</t>
  </si>
  <si>
    <t>An active strip-slot-foam inverted patch antenna</t>
  </si>
  <si>
    <t>10.1002/(sici)1098-2760(19961020)13:3&lt;114::aid-mop2&gt;3.0.co;2-q</t>
  </si>
  <si>
    <t>2-s2.0-0030269728</t>
  </si>
  <si>
    <t>['resonant frequency', 'radiation pattern', 'q factor', 'investigated experimentally', 'good prediction', 'formulated theoretically', 'form expressions', 'far field', 'curves showing', 'coaxial probe']</t>
  </si>
  <si>
    <t>Antennas | Dielectric resonator antennas | Resonators</t>
  </si>
  <si>
    <t>A cylindrical dielectric resonator antenna (DRA) excited by a coaxial probe is formulated theoretically and investigated experimentally. Closed-form expressions for the electric field components in the far field and the Q factor are derived with the use of the perfect magnetic wall approximation. Curves showing the dependence of directivity and Q factor on the dimensions of a DRA are presented. The perfect magnetic wall approximation employed gives a good prediction of radiation pattern and directivity and a fairly good prediction of resonant frequency and Q factor. ¬© 1996 John Wiley &amp; Sons, Inc.</t>
  </si>
  <si>
    <t>Theoretical and experimental investigation of cylindrical dielectric resonator antennas</t>
  </si>
  <si>
    <t>10.1002/(sici)1098-2760(19961020)13:3&lt;119::aid-mop3&gt;3.0.co;2-q</t>
  </si>
  <si>
    <t>2-s2.0-0030270493</t>
  </si>
  <si>
    <t>['vee dipoles', 'vee dipole', 'simple means', 'resistive loading', 'pulse ground', 'penetrating radar', 'open ends', 'one means', 'multiple reflections', 'land mines', 'greater directivities', 'gpr ).', 'given rise', 'either constant', 'dipole arms', 'best performance']</t>
  </si>
  <si>
    <t>Antennas | Ground-penetrating radar (GPR) | Land mines | Resistive loading | Vee dipole</t>
  </si>
  <si>
    <t>The worldwide crisis due to land mines has given rise to a need for better detection technologies. One means of detecting buried land mines is the short-pulse ground-penetrating radar (GPR). A short-pulse GPR system requires broadband directive antennas. Resistively loaded Vee dipoles, with either constant or linearly tapered conductivity, offer a simple means of achieving such antennas. Vee dipoles have greater directivities than conventional linear dipoles, and the resistive loading can greatly reduce unwanted signals (clutter) due to reflections from the open ends of the dipole arms and multiple reflections between the antenna and the surface of the ground. This clutter can obscure real targets. In most cases, the Vee dipole with a linearly tapered conductivity offers the best performance. ¬© 1996 John Wiley &amp; Sons, Inc.</t>
  </si>
  <si>
    <t>60021032;60021032</t>
  </si>
  <si>
    <t>6602515607;7406739047</t>
  </si>
  <si>
    <t>Montoya, Thomas P.;Smith, Glenn S.</t>
  </si>
  <si>
    <t>Atlanta</t>
  </si>
  <si>
    <t>Georgia Institute of Technology</t>
  </si>
  <si>
    <t>Montoya T.</t>
  </si>
  <si>
    <t>Vee dipoles with resistive loading for short-pulse ground-penetrating radar</t>
  </si>
  <si>
    <t>10.1002/(SICI)1098-2760(19961020)13:3&lt;132::AID-MOP6&gt;3.0.CO;2-O</t>
  </si>
  <si>
    <t>2-s2.0-0030270494</t>
  </si>
  <si>
    <t>['wire model', 'test whether', 'sinuous antennas', 'reasonable approximation', 'numerical results', 'experimental data', 'e planes', 'coupling effects', 'computational method', 'characteristic parameters', 'basic idea', 'article outlines']</t>
  </si>
  <si>
    <t>Coupling | Optimization | Sinuous antenna | Wire modelization</t>
  </si>
  <si>
    <t>This article outlines a computational method to analyze the characteristic parameters of sinuous antennas. The basic idea is that, after examining ihe behavior of this antenna with our wire model in detail, we shall be able to optimize it and to study the coupling effects between such antennas in the H and E planes. To test whether the theory is a reasonable approximation, our numerical results are compared with a set of experimental data and with other numerical data obtained with a planar moment method. The advantages of this technique are that it features a smaller moment matrix and less compulation time than a planar numerical method. ¬© John Wiley &amp; Sons, Inc.</t>
  </si>
  <si>
    <t>156-160</t>
  </si>
  <si>
    <t>Wire modelization and optimization of the sinuous antenna</t>
  </si>
  <si>
    <t>10.1002/(SICI)1098-2760(19961020)13:3&lt;156::AID-MOP12&gt;3.0.CO;2-6</t>
  </si>
  <si>
    <t>2-s2.0-0030270696</t>
  </si>
  <si>
    <t>['reducing side', 'lobe reduction', 'lobe levels', 'element spacings']</t>
  </si>
  <si>
    <t>Linear antenna array | Side-lobe reduction | Spacing perturbation</t>
  </si>
  <si>
    <t>Side-lobe reduction of a symmetric broadside array by tuning-element spacings is presented. Through appropriate point matching and least-square error approximation of the radiation power distribution, further side-lobe reduction may be achiered without broadening the beamwidth. Three simulation results will be given to show the applicability of the proposed spacing perturbation technique in reducing side-lobe levels. ¬© 1996 John Wiley &amp; Sons, Inc.</t>
  </si>
  <si>
    <t>147-149</t>
  </si>
  <si>
    <t>Yu, Cheng Cheh</t>
  </si>
  <si>
    <t>National Taipei University of Technology</t>
  </si>
  <si>
    <t>Yu C.</t>
  </si>
  <si>
    <t>Side-lobe reduction of a symmetric broadside array by spacing perturbation</t>
  </si>
  <si>
    <t>10.1002/(SICI)1098-2760(19961020)13:3&lt;147::AID-MOP9&gt;3.0.CO;2-N</t>
  </si>
  <si>
    <t>2-s2.0-3643117794</t>
  </si>
  <si>
    <t>National Institutes of Health</t>
  </si>
  <si>
    <t>NIH</t>
  </si>
  <si>
    <t>['wide range', 'study mechanisms', 'sensillum contains', 'receptor neurons', 'particular advantage', 'outer dendrites', 'olfactory transduction', 'olfactory organ', 'odor information', 'integrate data', 'intact cells', 'insects consists', 'experimental strategies', 'cultured cells']</t>
  </si>
  <si>
    <t>cAMP | Crustacean | Insect | InsP 3 | Lobster | Moth | Sensilla</t>
  </si>
  <si>
    <t>The olfactory organ of arthropods such as lobsters and insects consists of an array of hair-like sensilla located on the antenna. Each sensillum contains from two to several hundred primary olfactory receptor neurons. The receptor neurons can be patch-clamped in three different types of preparations: intact cells in situ, cultured cells and outer dendrites. These preparations permit using a wide range of experimental strategies to study mechanisms of olfactory transduction. The ability to integrate data from three complementary preparations is a particular advantage of using arthropod models to understand how odor information is encoded by the primary receptor cell in olfaction.</t>
  </si>
  <si>
    <t>43-49</t>
  </si>
  <si>
    <t>Journal of Neuroscience Methods</t>
  </si>
  <si>
    <t>60005322;60013959</t>
  </si>
  <si>
    <t>7006063364;7006343779</t>
  </si>
  <si>
    <t>Hatt, Hanns;Ache, Barry W.</t>
  </si>
  <si>
    <t>Gainesville;Bochum</t>
  </si>
  <si>
    <t>University of Florida;Ruhr-Universitat Bochum</t>
  </si>
  <si>
    <t>60013959;60005322</t>
  </si>
  <si>
    <t>Hatt H.</t>
  </si>
  <si>
    <t>Patch-clamping arthropod olfactory receptor neurons to study mechanisms of olfactory transduction</t>
  </si>
  <si>
    <t>S0165027096000192</t>
  </si>
  <si>
    <t>10.1016/S0165-0270(96)00019-2</t>
  </si>
  <si>
    <t>2-s2.0-0030596999</t>
  </si>
  <si>
    <t>['olfactory glomeruli', 'neurons intrinsic', 'moth underlie', 'morphological development', 'humoral agents', 'glial cells', 'dimensional arrangement', 'antennal lobe', 'also preserves']</t>
  </si>
  <si>
    <t>Antennal lobe | Glia | Olfaction | Patch clamp | Slice preparation</t>
  </si>
  <si>
    <t>Interactions among receptor neurons, glial cells and neurons intrinsic to the antennal lobe of the moth underlie the formation of olfactory glomeruli. To isolate these interactions, as well as to understand the effect of a variety of humoral agents on differentiation of the neurons and glia, we generate primary cultures of neurons or glia. These methods are described. In addition, we describe a protocol for producing slice preparations of the developing moth brain that we are using to study the biophysical and morphological development of glial cells. This technique allows us to examine a class of glial cells associated with the glomeruli that otherwise are nearly inaccessible using standard intracellular recording techniques. It also preserves the 3-dimensional arrangement of glia that may strongly influence the development of glomeruli.</t>
  </si>
  <si>
    <t>103-112</t>
  </si>
  <si>
    <t>60023324;60006680;60024629;60006989</t>
  </si>
  <si>
    <t>7004335896;57220920029;7007107408;7201425890</t>
  </si>
  <si>
    <t>Oland, Lynne A.;M√ºller, Thomas;Kettenmann, Helmut;Hayashi, Jon</t>
  </si>
  <si>
    <t>Germany;United States;United States;Germany</t>
  </si>
  <si>
    <t>Berlin;Tucson;New York;Leverkusen</t>
  </si>
  <si>
    <t>Max Delbruck Center for Molecular Medicine;Arizona Research Laboratories;Pfizer Inc.;Bayer AG</t>
  </si>
  <si>
    <t>60024629;60023324;60006989;60006680</t>
  </si>
  <si>
    <t>Oland L.A.</t>
  </si>
  <si>
    <t>Preparation of primary cultures and acute slices of the nervous system of the moth Manduca sexta</t>
  </si>
  <si>
    <t>S0165027096000258</t>
  </si>
  <si>
    <t>10.1016/S0165-0270(96)00025-8</t>
  </si>
  <si>
    <t>2-s2.0-0030597001</t>
  </si>
  <si>
    <t>Al-23253</t>
  </si>
  <si>
    <t>['visible readily', 'three dimensions', 'synaptic relationships', 'synaptic interconnections', 'synapse type', 'simple method', 'serial electron', 'postsynaptic specializations', 'plastic blocks', 'particle tag', 'olfactory pathway', 'neurons generally', 'neuritic trees', 'nervous system', 'monitored repeatedly', 'microscope sections', 'mapped onto', 'many invertebrates', 'light microscope', 'labeled neuron', 'intracellular injection', 'including insects', 'identify synapses', 'fluorescent tag', 'fluorescent processes', 'fluorescence pattern', 'fluorescence image', 'extensive reconstruction', 'experimentally determining', 'electron microscopy', 'dense neuropils', 'confocal microscopy', 'antennal lobe', 'animal species']</t>
  </si>
  <si>
    <t>Antennal lobe | Electron microscopy | Fluorescence microscopy | Intracellular injection | Laser scanning confocal microscopy | Manduca sexta</t>
  </si>
  <si>
    <t>Experimentally determining the synaptic interconnections between neurons in the nervous system is laborious and difficult in any animal species, but especially so in many invertebrates, including insects, where neurons generally have large, finely branching neuritic trees that form both pre- and postsynaptic specializations in dense neuropils with other neuritic trees. Electron microscopy is needed to identify synapses, but correlation of synapse type and location with the overall branching patterns of neurons, which are visible readily only in the light microscope or through extensive reconstruction of serial electron-microscope sections, is very difficult. In this paper, we present a simple method that we have developed (Sun et al. (1995) J. Histochem. Cytochem., 43: 329-335) that combines laser scanning confocal microscopy and electron microscopy for the study of synaptic relationships of neurons in the antennal lobe, the first central neuropil in the olfactory pathway, of the moth Manduca sexta. Briefly, neurons are labeled by intracellular injection with neurobiotin or biocytin, and then processed with a gold-particle tag for electron microscopic study and a fluorescent tag for confocal microscopy, and embedded in plastic. The fluorescence of the labeled neuron in the plastic blocks is imaged in three dimensions with laser scanning confocal microscopy and then the neuron is thin-sectioned at precisely chosen depths for electron microscopic study. The fluorescence pattern can be monitored repeatedly between episodes of thin-sectioning, and subtraction of a fluorescence image from the previous fluorescence image reveals which fluorescent processes have been sectioned. In this way, electron microscopic detail can be mapped onto a three-dimensional light microscopic image of the neuron.</t>
  </si>
  <si>
    <t>25-32</t>
  </si>
  <si>
    <t>60023324;60015913-60023324;60023324</t>
  </si>
  <si>
    <t>7102144017;57111015900;7102653635</t>
  </si>
  <si>
    <t>Tolbert, Leslie P.;Sun, Xue Jun;Hildebrand, John G.</t>
  </si>
  <si>
    <t>Tucson;Halifax</t>
  </si>
  <si>
    <t>Arizona Research Laboratories;Dalhousie University</t>
  </si>
  <si>
    <t>60023324;60015913</t>
  </si>
  <si>
    <t>Tolbert L.</t>
  </si>
  <si>
    <t>Combining laser scanning confocal microscopy and electron microscopy in studies of the insect nervous system</t>
  </si>
  <si>
    <t>S0165027096000179</t>
  </si>
  <si>
    <t>10.1016/S0165-0270(96)00017-9</t>
  </si>
  <si>
    <t>2-s2.0-0030597008</t>
  </si>
  <si>
    <t>['tm01 modes', 'theoretical model', 'resonance frequency', 'polynomial expression', 'originality comes', 'numerical results', 'good agreement', 'easily included', 'dynamic permittivity', 'conical surfaces', 'characteristic equations', 'cavity model', 'cad package', 'analytical relation', 'accurate expressions']</t>
  </si>
  <si>
    <t>Microstrip antennas</t>
  </si>
  <si>
    <t>The analysis and synthesis of conformal printed antennas on conical surfaces are investigated. The theoretical model is based on the cavity model and the concept of dynamic permittivity to take into account the thickness and the fringing field effects. The originality comes from the use of a computer algebra system to generate the polynomial expression of the zeros of characteristic equations, and the analytical relation between the half-angle of the cone and the order of the associated Legendre functions. Fast and accurate expressions for the resonance frequency are given for a rectangular radiating element operating in TM10 and TM01 modes. This model is easily included in a CAD package. Very good agreement is observed between numerical results and experiments.</t>
  </si>
  <si>
    <t>2033-2035</t>
  </si>
  <si>
    <t>16050119900;7003760958;6603172948</t>
  </si>
  <si>
    <t>Damiano, J. P.;Scotto, M.;Ribero, J. M.</t>
  </si>
  <si>
    <t>Damiano J.P.</t>
  </si>
  <si>
    <t>Application of an algebraic tool to fast analysis and synthesis of conformal printed antennas</t>
  </si>
  <si>
    <t>10.1049/el:19961360</t>
  </si>
  <si>
    <t>2-s2.0-0030261586</t>
  </si>
  <si>
    <t>['single element', 'radiation patterns', 'investigated experimentally', 'high permittivity', 'antenna gain']</t>
  </si>
  <si>
    <t>Dielectric resonators | Dielectric-haded antennas</t>
  </si>
  <si>
    <t>An aperture-coupled offset dual-disk dielectric resonator antenna of very high permittivity is investigated experimentally. It is found that the new configuration offers an impedance bandwidth 4.6 times wider than that of the single element. The voltage standing wave ratio, radiation patterns, and antenna gain of the configuration are studied.</t>
  </si>
  <si>
    <t>2038-2039</t>
  </si>
  <si>
    <t>56415172000;7202180867;55510527400;7101878862</t>
  </si>
  <si>
    <t>Leung, K. W.;Chow, K. Y.;Luk, K. M.;Yung, E. K.N.</t>
  </si>
  <si>
    <t>Offset dual-disk dielectric resonator antenna of very high permittivity</t>
  </si>
  <si>
    <t>10.1049/el:19961391</t>
  </si>
  <si>
    <t>2-s2.0-0030262491</t>
  </si>
  <si>
    <t>['new structure', 'experimental results', 'coplanar waveguide']</t>
  </si>
  <si>
    <t>Coplanar waveguides | Finite-difference time domain method | Microstrip antennas</t>
  </si>
  <si>
    <t>A new structure of the circularly polarised printed antenna fed by coplanar waveguide (CPW) is proposed. FDTD analysis predicts the radiation of the circularly polarised wave from the antenna. The validity of this analysis is established by comparing with experimental results.</t>
  </si>
  <si>
    <t>2035-2036</t>
  </si>
  <si>
    <t>60002787;60002787</t>
  </si>
  <si>
    <t>57198218129;55445582500</t>
  </si>
  <si>
    <t>Matsuzawa, S.;Ito, K.</t>
  </si>
  <si>
    <t>Chiba</t>
  </si>
  <si>
    <t>Chiba University</t>
  </si>
  <si>
    <t>Matsuzawa S.</t>
  </si>
  <si>
    <t>Circularly polarised printed antenna fed by coplanar waveguide</t>
  </si>
  <si>
    <t>10.1049/el:19961392</t>
  </si>
  <si>
    <t>2-s2.0-0030264172</t>
  </si>
  <si>
    <t>['surface wave', 'radiation loss', 'new approach', 'factor computation', 'compare closely', 'circular patch', 'authors present']</t>
  </si>
  <si>
    <t>Microstrip antennas | Q-factor | Surface electromagnetic waves</t>
  </si>
  <si>
    <t>The authors present a new approach for the Q-factor computation of radiation loss in a circular patch with surface wave TM0. The circular patch resonant frequency (f) problem is formulated in terms of an integral equation using the transverse resonance method. First, the computed real part of f is found to compare closely with the published results considering space wave TM11. Next, the Q-factor of the surface wave as a function of physical resonator parameters is presented.</t>
  </si>
  <si>
    <t>2039-2041</t>
  </si>
  <si>
    <t>60028112;60028112;60028112;60028112</t>
  </si>
  <si>
    <t>6508378074;7006406720;7006461011;7007171277</t>
  </si>
  <si>
    <t>El-Kouhen, D.;Aubert, H.;Ghomi, M.;Baudrand, H.</t>
  </si>
  <si>
    <t>ENSEEIHT Ecole Nationale Sup√©rieure d'Electrotechnique, d'Electronique, d'Informatique, d'Hydraulique et des T√©l√©communications</t>
  </si>
  <si>
    <t>El-Kouhen D.</t>
  </si>
  <si>
    <t>Q-factor computation of radiation loss corresponding to surface wave in a patch circular resonator</t>
  </si>
  <si>
    <t>10.1049/el:19961406</t>
  </si>
  <si>
    <t>2-s2.0-5744253251</t>
  </si>
  <si>
    <t>['two non', 'term describes', 'surge ),', 'supersonic aircraft', 'study non', 'steady sources', 'steady flight', 'sonic booms', 'sonic boom', 'slosh may', 'slosh ).', 'slender non', 'simulation code', 'simple relation', 'pressure field', 'pressure contains', 'practical use', 'phenomenon seem', 'mach cone', 'lift distributions', 'key result', 'instantaneous volume', 'flight path', 'farfield approximation', 'extensive segment', 'boom attenuation', 'algebraic term', 'accelerations needed']</t>
  </si>
  <si>
    <t>A theory and simulation code are developed to study non-steady sources as means to control sonic booms of supersonic aircraft. A key result is that the source of sonic boom pressure is not confined to the length of the aircraft but occupies an extensive segment of the flight path. An aircraft in non-steady flight functions as a synthetic aperture antenna, generating complex acoustic waves with no simple relation to instantaneous volume or lift distributions. The theory applies linear acoustics to slender non-steady sources but requires no farfield approximation. The solution for pressure contains a term not seen in Whitham's theory for sonic booms of distant supersonic aircraft. The term describes a pressure field that decays algebraically behind the Mach cone and, in the case of steady flight, integrates to a ground load equal to the weight of the aircraft. The algebraic term is separate from those that describe the sonic boom. Two non-steady source phenomena are evaluated: periodic velocity changes (surge), and periodic longitudinal lift redistribution (slosh). Surge can attenuate a sonic boom and covert it into prolonged weak reverberation, but accelerations needed to produce the phenomenon seem too large for practical use. Slosh may be practical and can alter sonic booms but does not, on average, result in boom attenuation. The conclusion is that active sonic boom abatement is possible in theory but maybe not practical.</t>
  </si>
  <si>
    <t>Journal of Fluid Mechanics</t>
  </si>
  <si>
    <t>60010065;60010065</t>
  </si>
  <si>
    <t>7103032247;6505856204</t>
  </si>
  <si>
    <t>Crow, Steven C.;Bergmeier, Gene G.</t>
  </si>
  <si>
    <t>Crow S.C.</t>
  </si>
  <si>
    <t>Active sonic boom control</t>
  </si>
  <si>
    <t>10.1017/S0022112096008014</t>
  </si>
  <si>
    <t>2-s2.0-0030260035</t>
  </si>
  <si>
    <t>['two cases', 'transferrin molecule', 'single band', 'similar results', 'moiety involved', 'healthy subjects', 'glycanase treatment', 'glycan chain', 'diseases characterized', 'differential diagnosis', 'currently diagnosed', 'cdgs patients', 'blot analysis', 'based method', 'altered glycosylation', 'acid glycoprotein']</t>
  </si>
  <si>
    <t>CDG | Haptoglobin | SDS-PAGE | Transferrin | Œ±1-Antitrypsin</t>
  </si>
  <si>
    <t>Carbohydrate-deficient glycoprotein syndrome (CDGS) is a newly recognized family of diseases characterized by the absence from the transferrin molecule of at least one glycan chain (type I) or an antenna of the glycan chain (type II). CDGS is currently diagnosed by studies of serum transferrin sialylation. We have developed an alternative Western blot-based method to detect serum transferrin species with reduced molecular masses due to altered glycosylation. Two additional bands are observed in type I CDGS, while a single lower band is observed in type II CDGS, relative to healthy subjects. N-glycanase treatment of serum from type I CDGS patients and normal subjects yields a single band of the same mass in the two cases, confirming that the glycan is the only moiety involved in the differential Western blot pattern. Similar results were found with serum Œ±1-acid glycoprotein, haptoglobin and Œ±1-antitrypsin. Western-blot analysis of one or more serum glycoproteins permits the differential diagnosis of CDGS.</t>
  </si>
  <si>
    <t>131-140</t>
  </si>
  <si>
    <t>Clinica Chimica Acta</t>
  </si>
  <si>
    <t>60022785;60022785;60022785;60011675;60022785-60106017</t>
  </si>
  <si>
    <t>7006241573;6603838292;6507858784;7007177382;7202247770</t>
  </si>
  <si>
    <t>Seta, Nathalie;Barnier, Anne;Hochedez, Francine;Besnard, Marie Anne;Durand, Genevi√®ve</t>
  </si>
  <si>
    <t>Universite Paris-Saclay;H√¥pital Bichat-Claude-Bernard AP-HP;H√¥pital Robert-Debr√© AP-HP</t>
  </si>
  <si>
    <t>60106017;60022785;60011675</t>
  </si>
  <si>
    <t>Seta N.</t>
  </si>
  <si>
    <t>Diagnostic value of Western blotting in carbohydrate-deficient glycoprotein syndrome</t>
  </si>
  <si>
    <t>10.1016/0009-8981(96)06379-6</t>
  </si>
  <si>
    <t>2-s2.0-0030606024</t>
  </si>
  <si>
    <t>['tunable narrow', 'terahertz wave', 'spectral amplitude', 'significantly enhance', 'saturation effects', 'pulse sequences', 'pulse excitation', 'form shaping', 'experiments demonstrate', 'band free']</t>
  </si>
  <si>
    <t>We report the use of optical pulse shaping to convert single femtosecond pulses into lower-intensity pulse sequences for excitation of photoconductive dipole antennas, which results in the generation of bursts of tunable narrow-band free-space terahertz radiation. Our experiments demonstrate that the use of such pulse sequences can significantly enhance the spectral amplitude of the narrow-band terahertz radiation by avoiding the saturation effects that occur with single-pulse excitation. Our technique also provides the capability for terahertz wave-form shaping. ¬© 1996 Optical Society of America.</t>
  </si>
  <si>
    <t>1762-1764</t>
  </si>
  <si>
    <t>Enhancement of narrow-band terahertz radiation from photoconducting antennas by optical pulse shaping</t>
  </si>
  <si>
    <t>10.1364/OL.21.001762</t>
  </si>
  <si>
    <t>2-s2.0-0000117801</t>
  </si>
  <si>
    <t>['trimeric photosystem', 'third chl', 'pseudo two', 'nine surface', 'molecules separated', 'membrane plane', 'excitation energy', 'electron transfer', 'dual role', 'common ancestor', 'clustered net']</t>
  </si>
  <si>
    <t>The 4 √Ö X-ray structure model of trimeric photosystem I of the cyanobacterium Synechococcus elongatus reveals 31 transmembrane, nine surface and three stromal Œ±-helices per monomer, assigned to the 11 protein subunits: PsaA and PsaB are related by a pseudo two-fold axis normal to the membrane plane, along which the electron transfer pigments are arranged. 65 antenna chlorophyll a (Chl a) molecules separated by ‚â§16 √Ö form an oval, clustered net, continuous with the electron transfer chain through the second and third Chl a pairs of the electron transfer system. This suggests a dual role for these Chl a both in excitation energy and electron transfer. The architecture of the protein core indicates quinone and iron-sulphur type reaction centres to have a common ancestor.</t>
  </si>
  <si>
    <t>965-973</t>
  </si>
  <si>
    <t>Nature Structural Biology</t>
  </si>
  <si>
    <t>60030718;60030718;60030718;60011604;60011604;60030718</t>
  </si>
  <si>
    <t>35452825700;7202740881;6602218088;7003500276;55667080600;35448456500</t>
  </si>
  <si>
    <t>Krau√ü, Norbert;Schubert, Wolf Dieter;Klukas, Olaf;Fromme, Petra;Witt, Horst Tobias;Saenger, Wolfram</t>
  </si>
  <si>
    <t>Freie Universit√§t Berlin;Technical University of Berlin</t>
  </si>
  <si>
    <t>60030718;60011604</t>
  </si>
  <si>
    <t>Krau√ü N.</t>
  </si>
  <si>
    <t>Photosystem I at 4 √Ö resolution represents the first structural model of a joint otosynthetic reaction centre and core antenna system</t>
  </si>
  <si>
    <t>10.1038/nsb1196-965</t>
  </si>
  <si>
    <t>2-s2.0-0029911269</t>
  </si>
  <si>
    <t>['waveguide photodetector', 'output second', 'order intercept', 'optic link', 'n diode', 'function modulator', 'electroabsorption modulator', 'electrical biases', 'electrical bias', 'compact transmit', 'biased p', '5 dbm']</t>
  </si>
  <si>
    <t>A Franz-Keldysh effect InGaAsP electroabsorption waveguide device is utilized as a high-frequency, high-linear dynamic range modulator and photodetector. The dual-function modulator/photodetector can be useful in compact transmit/receive front end antenna architectures. Adjusting the electrical bias to the reverse-biased p-i-n diode, either efficient optical modulation or detection is demonstrated. As an electroabsorption modulator, a fiber-optic link with a - 17.4-dB RF loss and a 124-dB-Hz4/5 suboctave spurious-free dynamic range is obtained with electrical biases in the 2 to 3 V range. As a waveguide photodetector, a 0.45-A/W fiber coupled responsivity, photocurrents up to 20 mA, and an output second-order intercept of +34.5 dBm are achieved at 7-V electrical bias.</t>
  </si>
  <si>
    <t>1540-1542</t>
  </si>
  <si>
    <t>60121655;60032503;60032503;60121655;60076522;60000251-60121655</t>
  </si>
  <si>
    <t>6701737395;7003818153;57218984936;55704616100;7410214996;7403599573</t>
  </si>
  <si>
    <t>Welstand, R. B.;Pappert, S. A.;Sun, C. K.;Zhu, J. T.;Liu, Y. Z.;Yu, P. K.L.</t>
  </si>
  <si>
    <t>San Diego;Simi Valley;San Diego;New York</t>
  </si>
  <si>
    <t>The Electrical and Computer Engineering Department;Fermionics Corporation;Space and Naval Warfare Systems Center San Diego;IEEE</t>
  </si>
  <si>
    <t>60121655;60076522;60032503;60000251</t>
  </si>
  <si>
    <t>Welstand R.B.</t>
  </si>
  <si>
    <t>Dual-function electroabsorption waveguide modulator/detector for optoelectronic transceiver applications</t>
  </si>
  <si>
    <t>S1041113596081542</t>
  </si>
  <si>
    <t>10.1109/68.541576</t>
  </si>
  <si>
    <t>2-s2.0-0030283660</t>
  </si>
  <si>
    <t>['statistical characterization', 'signal degradation', 'relative power', 'multipath propagation', 'multipath fading', 'multipath components', 'given number', 'dominant mode', 'channel interferers', 'also presented']</t>
  </si>
  <si>
    <t>A statistical characterization of multipath propagation and interference was carried using data collected from CAPITAL, a system employing coherent eight-channel software radio technology to geolocate mobile cellular phones. Analysis of the data yields estimates of the probabilities of encountering a given number of co-channel interferers or multipath components. The distributions of interference and multipath components as a function of relative power and angle are also presented. Preliminary results suggest that multipath fading, and not interference, is the dominant mode of signal degradation.</t>
  </si>
  <si>
    <t>60076933;60076933;60076933;60076933</t>
  </si>
  <si>
    <t>56700528500;57197131200;7401999341;6504284187</t>
  </si>
  <si>
    <t>Kennedy, Joe;Harvey, Phil;Sullivan, Mark;Minthorne, Richard</t>
  </si>
  <si>
    <t>Engineering Research Associates</t>
  </si>
  <si>
    <t>Kennedy J.</t>
  </si>
  <si>
    <t>Characterization of the cellular radio environment</t>
  </si>
  <si>
    <t>2-s2.0-0030286329</t>
  </si>
  <si>
    <t>['underlying surface', 'radar screen', 'radar cross', 'multiple reflections', 'method proposed', 'known results', 'kamaz truck', 'dominant component', 'based object', 'angle reflections', 'analyzed according']</t>
  </si>
  <si>
    <t>The radar cross-section (RCS) of a ground-based object under multiple reflections is analyzed according to the example of dihedral angle structures. The scattering patterns calculated by the method proposed are compared with the known results. The RCS of a model of the Kamaz truck with an engineering-purpose metal body positioned on a simulator of the underlying surface was calculated and compared with the experimental scattering patterns without and with a radar screen, eliminating the dominant component of the angle reflections in the total reflected signal.</t>
  </si>
  <si>
    <t>1212-1217</t>
  </si>
  <si>
    <t>7101939189;7006577307;6603616995</t>
  </si>
  <si>
    <t>Kovalev, S. V.;Nesterov, S. M.;Skorodumov, I. A.</t>
  </si>
  <si>
    <t>Kovalev S.</t>
  </si>
  <si>
    <t>Radar cross-section estimating with an account of ground reflections</t>
  </si>
  <si>
    <t>2-s2.0-0030287179</t>
  </si>
  <si>
    <t>['percent bandwidth', 'divider uses', 'designed using', 'antenna array']</t>
  </si>
  <si>
    <t>A multiway switched radial power divider/combiner for use in an L-band mobile satellite antenna array is described. The device was designed using a low cost substrate and inexpensive packaged switching diodes and features good return loss and small insertion losses over a seven-percent bandwidth. The divider uses a central coaxial port and 14 switched microstrip lines to activate three elements in the antenna array.</t>
  </si>
  <si>
    <t>6507427131;35570164700</t>
  </si>
  <si>
    <t>Varnes, Ross S.;Bialkowski, Marek E.</t>
  </si>
  <si>
    <t>Varnes R.</t>
  </si>
  <si>
    <t>Switched radial power divider/combiner for a mobile satellite antenna application</t>
  </si>
  <si>
    <t>2-s2.0-0030287261</t>
  </si>
  <si>
    <t>['broad range', 'broad bandwidth', 'band mmic']</t>
  </si>
  <si>
    <t>The programmable directional coupler MMIC, suitable for use in phased-array beam forming network, has broad bandwidth, low insertion loss and a broad range of programmable coupling ratios. The transformer and stepped-gain attenuator required for classical directional coupler have been successfully integrated onto a single S-band MMIC that features adjustable coupling over a 30 dB range. The companion programmable attenuator MMIC has low RMS insertion phase variation. Further work is needed to improve coupled directivity and amplifier gain state phase tracking.</t>
  </si>
  <si>
    <t>60032179;60032179;60032179;60032179</t>
  </si>
  <si>
    <t>7004874767;35869380900;7801679450;6603063185</t>
  </si>
  <si>
    <t>Shifrin, Mitchell;Lyons, Christopher;Grammer, Wes;Katzin, Peter</t>
  </si>
  <si>
    <t>Shifrin M.</t>
  </si>
  <si>
    <t>Electronic directional coupler</t>
  </si>
  <si>
    <t>2-s2.0-0030288220</t>
  </si>
  <si>
    <t>['‚ àºœª', 'well related', 'vertical axis', 'system developed', 'state mirrors', 'spherical aberration', 'rotation velocity', 'rms wave', 'reference surface', 'random errors', 'quasiparabolic top', 'quality solid', 'previous authors', 'optical surface', 'optical metrology', 'mirror diameter', 'mirror compared', 'large range', 'large parabolic', 'interferometric test', 'front error', 'focal length', '633 nm']</t>
  </si>
  <si>
    <t>Liquid mirrors | Optical metrology | Surface error measurements</t>
  </si>
  <si>
    <t>A parabolic liquid mirror obtained by the rotation of a mercury bath around a vertical axis has been built and its optical surface characteristics measured to demonstrate that it can be used in optical shop testing as a reference surface. A linear Hartmann test allowed us to check that the focal length is well related to the rotation velocity, following the theory, and that no spherical aberration is present, as assumed by previous authors. The spherical aberration has been found to be smaller than Œª50 at 633 nm. An interferometric test of the mirror compared with a null lens gave information about the quality of the optical surface for which the rms wave-front error, when the random errors are averaged, is ‚àºŒª/25. Because modifying the mirror diameter is cheap and fast and adjusting its focal length within a large range is straightforward, the parabolic liquid mirror can become a highly adaptable tool in optical metrology. In particular, it can be used in optical shop testing as a reference surface to test null correctors, to check any system developed to control the shape of large parabolic or quasiparabolic top-quality solid-state mirrors, or to make holographic references of such surfaces. ¬© 1996 Optical Society of America.</t>
  </si>
  <si>
    <t>6131-6139</t>
  </si>
  <si>
    <t>60000964;60000964</t>
  </si>
  <si>
    <t>6603312580;6603953247</t>
  </si>
  <si>
    <t>Ninane, Nathalie M.;Jamar, Claude A.</t>
  </si>
  <si>
    <t>Liege</t>
  </si>
  <si>
    <t>Universit√© de Li√®ge</t>
  </si>
  <si>
    <t>Ninane N.</t>
  </si>
  <si>
    <t>Parabolic liquid mirrors in optical shop testing</t>
  </si>
  <si>
    <t>10.1364/AO.35.006131</t>
  </si>
  <si>
    <t>2-s2.0-0030288751</t>
  </si>
  <si>
    <t>['noise figure', 'multimode fiber', '69 db', '4 db']</t>
  </si>
  <si>
    <t>We describe the development and antenna range demonstration of an eight-element optically powered directly modulated UHF fiberoptic manifold. Low-power consumption active laser diode drivers are used to set the link noise figure to below 3 dB without major sacrifice in link dynamic range. Power is provided via light, propagating in a multimode fiber, and is converted to dc via photovoltaic converters. The manifold has a 75 MHz 3 dB bandwidth (350-425 MHz), it consumes 216 mW per channel (54 mA @ 4 V), has a two-tone dynamic range of 69 dB-MHz2/3 and a noise figure of 2.4 dB.</t>
  </si>
  <si>
    <t>2499-2505</t>
  </si>
  <si>
    <t>60000251-60025209-60004716-60001359-60027950-60001104;60025209-60015543;60025209-60000745-60020818</t>
  </si>
  <si>
    <t>Goutzoulis, Anastasios P.;Zomp, John M.;Johnson, Andy H.</t>
  </si>
  <si>
    <t>United States;United States;United States;United States;Greece;United Kingdom;Greece;United States;United States</t>
  </si>
  <si>
    <t>Pittsburgh;Los Angeles;Pittsburgh;Pittsburgh;Ioannina;Colchester;Athens;Urbana;New York</t>
  </si>
  <si>
    <t>Carnegie Mellon University;Northrop Grumman corporation;Westinghouse Electric Company;University of Pittsburgh;University of Ioannina;University of Essex;Demokritos National Centre for Scientific Research;University of Illinois Urbana-Champaign;IEEE</t>
  </si>
  <si>
    <t>60027950;60025209;60020818;60015543;60004716;60001359;60001104;60000745;60000251</t>
  </si>
  <si>
    <t>Development and antenna range demonstration of an eight-element optically powered directly modulated receive UHF fiberoptic manifold</t>
  </si>
  <si>
    <t>S073387249607644X</t>
  </si>
  <si>
    <t>10.1109/50.548147</t>
  </si>
  <si>
    <t>2-s2.0-0030288909</t>
  </si>
  <si>
    <t>['reflector antennas', 'cross polarization', 'beam squint', 'axisymmetric configurations', 'although many', 'also considered', '1988 ).']</t>
  </si>
  <si>
    <t>Cross polarization (XPOL) and beam squint phenomena of reflector antennas are examined in detail. Emphasis is on the explanation of the absence of XPOL and the presence of beam squint in offset parabolic reflectors illuminated by a circularly polarized feed. Linearly polarized feeds are also considered for both the offset and axisymmetric configurations. Although many of these results are known, they are presented in a single coherent treatment. In addition, the results for polarization and beam squint characteristics of prime-focus offset parabolic reflector antennas are extended to dual offset configurations based on computed data using the physical optics code, GRASP7 (TICRA, 1988). ¬© 1996 Taylor &amp; Francis.</t>
  </si>
  <si>
    <t>633-650</t>
  </si>
  <si>
    <t>60027090;60027090</t>
  </si>
  <si>
    <t>7202562512;7006247497</t>
  </si>
  <si>
    <t>Terada, Marco A.B.;Stutzman, Warren L.</t>
  </si>
  <si>
    <t>Blacksburg</t>
  </si>
  <si>
    <t>Virginia Polytechnic Institute and State University</t>
  </si>
  <si>
    <t>Terada M.A.B.</t>
  </si>
  <si>
    <t>Cross polarization and beam squint in single and dual offset reflector antennas</t>
  </si>
  <si>
    <t>10.1080/02726349608908505</t>
  </si>
  <si>
    <t>2-s2.0-0030289156</t>
  </si>
  <si>
    <t>['ict algorithm', 'form formula', 'first time', 'fast method', 'english text', 'conventional mom', 'considerable use', 'compact closed']</t>
  </si>
  <si>
    <t>Generalized impedance formulas for non-uniform array configurations based on the Improved Circuit Theory (ICT) are presented for the first time in an English text. To further enhance the ICT as an accurate and fast method for evaluations, a new and more compact closed-form formula is derived to replace a function requiring time intensive numerical integration during the implementation of the ICT algorithm in co-planar dipole array antenna evaluations. The resulting ICT computational scheme reduces the required CPU time by a factor of two and has the same order of accuracy as the conventional MoM. The new ICT implementation would be of considerable use as a Computer Aided Design ( CAD) tool of co-planar dipole array antennas.</t>
  </si>
  <si>
    <t>44-54</t>
  </si>
  <si>
    <t>60024751;60024751;60024751</t>
  </si>
  <si>
    <t>6603285645;56216531000;7003894513</t>
  </si>
  <si>
    <t>Imoro, A. I.;Inagaki, N.;Kikuma, N.</t>
  </si>
  <si>
    <t>Nagoya Institute of Technology</t>
  </si>
  <si>
    <t>Imoro A.</t>
  </si>
  <si>
    <t>An efficient method of analysis of co-planar dipole array antennas</t>
  </si>
  <si>
    <t>2-s2.0-0030289285</t>
  </si>
  <si>
    <t>['dielectric sphere', 'circular barrel']</t>
  </si>
  <si>
    <t>A method for calculating lens antennas in the form of a frustrum of a dielectric sphere (circular barrel) is proposed. Numerical and experimental results reveal that this method yields antenna radiation and gain calculation errors that are admissable.</t>
  </si>
  <si>
    <t>1210-1211</t>
  </si>
  <si>
    <t>6603772117;6603584865</t>
  </si>
  <si>
    <t>Levchenko, S. N.;Kharlanov, Yu Ya</t>
  </si>
  <si>
    <t>Levchenko S.</t>
  </si>
  <si>
    <t>Study of a lens antenna in the form of a frustrum of a dielectric sphere</t>
  </si>
  <si>
    <t>2-s2.0-0030289508</t>
  </si>
  <si>
    <t>California State University</t>
  </si>
  <si>
    <t>CSU</t>
  </si>
  <si>
    <t>['spectral domain', 'special case', 'slot arrays', 'region exterior', 'physical parameters', 'paper presents', 'outer half', 'field problem', 'fed slots', 'exterior region']</t>
  </si>
  <si>
    <t>This paper presents an analysis of the mutual coupling effect in waveguide-fed longitudinal slots radiating between baffles. The region exterior to the waveguide-fed slots is assumed to be cylindrical, a parallel plate waveguide opening into an outer half-space region bounded by an infinite ground plane with an aperture in the middle. The field problem in the exterior region is solved in spectral domain. Mutual admittance characteristics are presented for a range of values of the physical parameters, including the special case of an infinitely long parallel plate waveguide. These results should be useful in the analysis and synthesis of slot arrays for applications such as dual polarization systems and for suppressing the off-axis grating lobes resulting from alternating slot offsets. ¬© 1996 Taylor &amp; Francis.</t>
  </si>
  <si>
    <t>671-683</t>
  </si>
  <si>
    <t>Rengarajan, S. R.</t>
  </si>
  <si>
    <t>Mutual coupling between waveguide-fed longitudinal broad wall slots radiating between baffles</t>
  </si>
  <si>
    <t>10.1080/02726349608908507</t>
  </si>
  <si>
    <t>2-s2.0-0030289670</t>
  </si>
  <si>
    <t>['unreasonable values', 'several designs', 'scale factor', 'previous calculations', 'peak gain', 'older techniques', 'new procedure', 'frequently resulted', 'frequency range', 'element spacing', 'dipole elements', 'boom lengths', 'boom length', 'applied iteratively', 'antenna gain', 'antenna designer', '30 mhz']</t>
  </si>
  <si>
    <t>A new design procedure for log-periodic dipole arrays is presented in this paper. In this method, either the scale factor or the number of dipole elements is selected, after the boom length, and the operating frequency region are specified. The procedure is applied iteratively, in conjunction to the Numerical Electromagnetic Code, to produce a design with low sidelobe levels. With this new procedure, the antenna designer has more control over the boom length; in older techniques, the boom length and the element spacing were dependent on previous calculations, which frequently resulted on unreasonable values. Results for several designs are presented, showing the peak gain to peak-sidelobe level ratio, and the antenna gain as a function of frequency, for different scale factors and boom lengths, for a frequency range of 13 to 30 MHz.</t>
  </si>
  <si>
    <t>6701384134;6602659336</t>
  </si>
  <si>
    <t>Breakall, James K.;Rodr√≠guez Sol√≠s, Rafael A.</t>
  </si>
  <si>
    <t>Breakall J.K.</t>
  </si>
  <si>
    <t>A new design method for low sidelobe level log-periodic dipole antennas</t>
  </si>
  <si>
    <t>2-s2.0-0030290071</t>
  </si>
  <si>
    <t>['varactors tested', 'monolithic nltl', 'hybrid nltl', 'good agreement', 'dc bias', '60 ghz', '5 ghz', '20 ghz']</t>
  </si>
  <si>
    <t>The microwave propagation velocity along a nonlinear transmission line is a function of dc bias, hence, a nonlinear transmission line (NLTL) can be utilized as a broadband delay line. A hybrid NLTL has been fabricated in a proof-of-principle experimental concept test where a 1.1-ns true time delay with &lt;4-dB insertion loss has been measured in good agreement with theory. A 2 √ó 2 NLTL-based antenna array has been utilized to demonstrate beam steering at 5 GHz. Using parameters appropriate to varactors tested by our group at 60 GHz, a monolithic NLTL is predicted to exhibit &lt;3.4-dB insertion loss and 200 ps delay at 20 GHz.</t>
  </si>
  <si>
    <t>395-397</t>
  </si>
  <si>
    <t>60014439;60014439;60014439;60014439;60014439;60014439</t>
  </si>
  <si>
    <t>57192222303;7004752694;55461472100;7402252454;7006554258;56478417600</t>
  </si>
  <si>
    <t>Zhang, W. M.;Hsia, R. P.;Liang, C.;Song, G.;Domier, C. W.;Luhmann, N. C.</t>
  </si>
  <si>
    <t>Davis</t>
  </si>
  <si>
    <t>University of California, Davis</t>
  </si>
  <si>
    <t>Zhang W.M.</t>
  </si>
  <si>
    <t>Novel low-loss delay line for broadband phased antenna array applications</t>
  </si>
  <si>
    <t>S1051820796078798</t>
  </si>
  <si>
    <t>10.1109/75.541451</t>
  </si>
  <si>
    <t>2-s2.0-0030291049</t>
  </si>
  <si>
    <t>94-005</t>
  </si>
  <si>
    <t>['two examples', 'single slot', 'shaped slot', 'return loss', 'numerical results', 'moment methods', 'modeling tool', 'investigate arbitrarily', 'good performance', 'good agreement', 'dual slot', 'concise expression', 'circular slots', 'also carried']</t>
  </si>
  <si>
    <t>The mixed-potential integral equation (MPIE) is solved by the method of moments in order to investigate arbitrarily-shaped slot-coupled microstrip discontinuity problems. A concise expression of the mutual coupling matrix element is utilized to assure numerical efficiency and accuracy. Comparison between this MPIE and other moment methods (such as MFIE and EFIE) is also carried out and discussed. In order to validate this modeling tool, a circularly polarized dual slot-coupled patch antenna and a single slot-coupled directional coupler arc investigated. Good agreement between numerical results and measurement is achieved. Two examples of dual slot-coupled patch antenna and annular ring slot antenna with microstrip line feed arc designed to provide desired circularly polarized radiation. In addition, a weak coupling slot-coupled directional coupler is designed by utilizing a pair of circular slots. Good performance for directivity, isolation, and return loss is obtained. ¬© 1996 Taylor &amp; Francis.</t>
  </si>
  <si>
    <t>611-632</t>
  </si>
  <si>
    <t>7501961597;7004468161</t>
  </si>
  <si>
    <t>Chen, Chinglung;Alexopoulos, Nicolaos G.</t>
  </si>
  <si>
    <t>Chen C.</t>
  </si>
  <si>
    <t>Arbitrarily-shaped slot-coupled microstrips and their applications in microwave integrated circuits and antennas</t>
  </si>
  <si>
    <t>10.1080/02726349608908504</t>
  </si>
  <si>
    <t>2-s2.0-0030291074</t>
  </si>
  <si>
    <t>['us navy', 'technology base', 'ship self', 'increase detection', 'hfswr system', 'digital converters', 'defense system', 'commercial users', 'airborne platform']</t>
  </si>
  <si>
    <t>The US Navy is developing a high frequency surface wave radar (HFSWR) technology base to benefit the military and commercial users. HFSWR can increase detection and tracking ranges well beyond the conventional radar horizon without an airborne platform. This increase in warning time directly increases the ship self-defense system to respond to a cruise missile attack, increasing ship survivability. Recent technology includes antennas, receivers, analog-to-digital converters and digital signal processing hardware for the HFSWR system.</t>
  </si>
  <si>
    <t>Sea Technology</t>
  </si>
  <si>
    <t>7202314891;7006187424;57217552077</t>
  </si>
  <si>
    <t>Powers, Richard L.;Lewandowski, Leon M.;Dinger, Robert J.</t>
  </si>
  <si>
    <t>Powers R.L.</t>
  </si>
  <si>
    <t>High frequency surface wave radar - HFSWR</t>
  </si>
  <si>
    <t>2-s2.0-0030291233</t>
  </si>
  <si>
    <t>['visualized using', 'stratigraphic features', 'saudi arabia', 'sand dunes', 'sand dune', 'provide clues', 'moreton island', 'mhz antenna', 'internal structures', 'gpr technique', 'evolutional history', 'eastern province', 'dunes appears', 'become saturated', 'approximately 9']</t>
  </si>
  <si>
    <t>Dunes | Eolian deposits | Ground-penetrating radar | Groundwater | Stratigraphy</t>
  </si>
  <si>
    <t>In this work, the internal structures of some sand dunes from the Eastern Province of Saudi Arabia, and Moreton Island in Australia have been visualized using the GPR technique. The depth of penetration that was achieved is limited (less than 35 m using a 100-MHz antenna, and approximately 9 m using a 500-MHz antenna), but the excellent spatial resolution has made it possible to clearly identify internal dune bedding features such as cross-laminations. It is shown that a radargram of a sand dune can be interpreted to provide clues about the evolutional history of the dune. The groundwater table inside a dune, when present, is shown to be detectable using GPR provided the appropriate antenna frequency is used. Also, discrete wetting fronts and preferential flow paths have been visualized in dunes that have become saturated after episodes of rain, indicating that internal groundwater movement in dunes appears to be controlled by stratigraphic features.</t>
  </si>
  <si>
    <t>Harari, Zaki</t>
  </si>
  <si>
    <t>Saudi Arabia</t>
  </si>
  <si>
    <t>Dhahran</t>
  </si>
  <si>
    <t>King Fahd University of Petroleum and Minerals</t>
  </si>
  <si>
    <t>Harari Z.</t>
  </si>
  <si>
    <t>Ground-penetrating radar (GPR) for imaging stratigraphic features and groundwater in sand dunes</t>
  </si>
  <si>
    <t>S0926985196000316</t>
  </si>
  <si>
    <t>10.1016/S0926-9851(96)00031-6</t>
  </si>
  <si>
    <t>2-s2.0-0030291930</t>
  </si>
  <si>
    <t>['wind speed', 'radiometric parameters', 'physical aspects', 'overall accuracy', 'model includes', 'instrument antenna', 'francis group', 'errors associated']</t>
  </si>
  <si>
    <t>The relationship between the instrument engineering parameters and the geophysical parameters derived from a multi-frequency microwave radiometer is considered in this paper. A model is described that simulates the performance of this type of instrument and shows how the overall accuracy of the instrument is reflected in the geophysical parameter derived. This, model includes the geometric and physical aspects of the instrument, radiometric parameters and the errors associated with the instrument antenna. Wind speed is considered as an example of a derived geophysical parameter. ¬© 1996 Taylor &amp; Francis Group, LLC.</t>
  </si>
  <si>
    <t>3107-3120</t>
  </si>
  <si>
    <t>International Journal of Remote Sensing</t>
  </si>
  <si>
    <t>60025225;60025225-60020099;60086242</t>
  </si>
  <si>
    <t>6601980113;57198122735;56207797700</t>
  </si>
  <si>
    <t>Tatnall, A. R.L.;Donnelly, R. P.;Charlton, J. E.</t>
  </si>
  <si>
    <t>Germany;United Kingdom;United Kingdom</t>
  </si>
  <si>
    <t>Ottobrunn;Southampton;Buckingham</t>
  </si>
  <si>
    <t>Airbus Defence and Space;University of Southampton;DRA</t>
  </si>
  <si>
    <t>60086242;60025225;60020099</t>
  </si>
  <si>
    <t>Tatnall A.R.L.</t>
  </si>
  <si>
    <t>Microwave radiometer model simulation</t>
  </si>
  <si>
    <t>10.1080/01431169608949133</t>
  </si>
  <si>
    <t>2-s2.0-0030292207</t>
  </si>
  <si>
    <t>['usually observed', 'temporal splitting', 'studied region', 'solar corona', 'several frequencies', 'several days', 'second harmonic', 'radio storm', 'qualitatively explained', 'new observations', 'modest decrease', 'model must', 'longitude evolution', 'july 6', 'frequency dependence', 'dynamical spectra', 'decreasing frequency', 'certain parameters', 'amplitude maxima', 'amplitude channels', '7 mhz', '25 mhz', '2 antenna', '), emission']</t>
  </si>
  <si>
    <t>New observations of a two-week, radio noise storm of type IIId decameter flares on the UTR-2 antenna at Khar'kov in July 1992 show that the shape and certain parameters of the flares depend significantly on the longitude of the studied region in the solar corona. During several days in the middle of the storm, the dynamical spectra of the flares had a clearly visible echo component. In amplitude channels at several frequencies from 30 to 7 MHz, the radio storm was not usually observed below 25 MHz. On July 6, 1992, however, when the echo delay reached its maximum value (‚âà7 s), emission was detected at all working frequencies ‚â•14.7 MHz. The rates of the frequency drift indicate that complex "central" flares do not differ on average from ordinary ("limb") type IIId flares or from other type III emission generated at the second harmonic. The frequency dependence of the delay of the echo flares reveals a modest decrease with decreasing frequency, instead of the expected monotonie growth. The ratio of the amplitude maxima of the two-peaked intensity time profile and the intermediate minimum level of this profile changed significantly with frequency. The temporal splitting and longitude evolution of type IIId radio flares can be qualitatively explained in the framework of a simple coronal model with a source at the second harmonic of the local plasma frequency, which can be observed both directly and after reflection. This model must be updated, taking these new experimental data into account.</t>
  </si>
  <si>
    <t>853-859</t>
  </si>
  <si>
    <t>60068504;60068504;60008673</t>
  </si>
  <si>
    <t>6602712774;6506613157;6507347221</t>
  </si>
  <si>
    <t>Abranin, E. P.;Bazelyan, L. L.;Tsybko, Ya G.</t>
  </si>
  <si>
    <t>Ukraine;Russian Federation</t>
  </si>
  <si>
    <t>Kharkiv;Nizhny Novgorod</t>
  </si>
  <si>
    <t>Institute of Radio Astronomy National Academy of Sciences of Ukraine;Lobachevsky State University of Nizhni Novgorod</t>
  </si>
  <si>
    <t>60068504;60008673</t>
  </si>
  <si>
    <t>Abranin E.</t>
  </si>
  <si>
    <t>Parameters of the dynamic spectra of type IIId solar decameter radio flares with echo components</t>
  </si>
  <si>
    <t>2-s2.0-0030367388</t>
  </si>
  <si>
    <t>['wavelength fluorescence', 'shown previously', 'selectively interact', 'selective interaction', 'selective binding', 'protein phosphorylation', 'photosynthates differed', 'pea chloroplasts', 'isolated chloroplasts', 'interaction varying', 'fluorescence data', 'f735 ),', 'excitation spectra', 'differentially activated', 'differential enhancement', 'co2 assimilation']</t>
  </si>
  <si>
    <t>Carbon metabolism | Chloroplasts | Electron transport | Fluorescence | Phosphoproteins | Regulation of photosynthesis</t>
  </si>
  <si>
    <t>The effect of membrane protein phosphorylation on the excitation spectra of the long-wavelength fluorescence of isolated chloroplasts was investigated in two maize inbreds. These fluorescence data are compared with the effects of protein phosphorylation on the rates of cyclic and noncyclic electron transfer within PS I, the rates of CO2 assimilation, and the composition of the products of dark photosynthetic processes. Phosphoproteins were shown to selectively interact with two antenna complexes of PS I (F720 and F735), the character of the interaction varying between the two maize lines. The cyclic and noncyclic electron transfer in PS I were shown to be differentially activated by the protein phosphorylation. This activation was due to an enhanced excitation energy transfer caused by a selective binding of phosphoproteins to the antenna complexes F720 and F735. CO2 fixation rates and the patterns of 14C-labeling of photosynthates differed between the two maize lines. It is concluded that, as shown previously in pea chloroplasts, selective interaction of phosphoproteins with two different antennae of PS I in maize chloroplasts results in a differential enhancement of cyclic and noncyclic electron flows. Products of dark photosynthetic carbon metabolism differed in the two maize lines, in which cyclic and noncyclic electron transfer were differentially activated upon membrane protein phosphorylation.</t>
  </si>
  <si>
    <t>744-749</t>
  </si>
  <si>
    <t>60011313;60011313;60011313</t>
  </si>
  <si>
    <t>7003340068;6506490640;6602513053</t>
  </si>
  <si>
    <t>Kochubei, S. M.;Stasik, O. O.;Volovik, O. I.</t>
  </si>
  <si>
    <t>Kochubei S.</t>
  </si>
  <si>
    <t>Possible participation of membrane phosphoproteins in the control of the interaction of light processes and carbon metabolism</t>
  </si>
  <si>
    <t>2-s2.0-0030519304</t>
  </si>
  <si>
    <t>['talk mtf', 'significant image', 'quality potential', 'quality factor', 'plane arrays', 'mtf ).', 'key step', 'individual antenna', 'imager performance', 'first step', 'electromagnetic coupling', 'design process', 'coupled detectors', 'based imagers', 'adjacent antennas']</t>
  </si>
  <si>
    <t>Antenna | Bolometer | Focal-plane array | Image quality | Infrared detector | Modulation | Transfer function</t>
  </si>
  <si>
    <t>Individual antenna-coupled IR bolometers have recently been demonstrated at wavelengths near 10 mm. If focal-plane arrays (FPA‚Äôs) of antenna-coupled detectors can be fabricated, enhancement of IR-imager performance is possible. A first step in the design process is to analyze the image-quality potential of antenna-coupled, FPA-based imagers in terms of the modulation transfer function (MTF). The key step in our analysis is development of a cross-talk MTF that accounts for the electromagnetic coupling between adjacent antennas in the FPA. We find that electromagnetic cross talk will not be a significant image-quality factor in antenna-coupled IR FPA‚Äôs. ¬© 1996 Optical Society of America.</t>
  </si>
  <si>
    <t>6110-6114</t>
  </si>
  <si>
    <t>60022144;60022144;60022144;60002959</t>
  </si>
  <si>
    <t>Orlando;Bethesda</t>
  </si>
  <si>
    <t>University of Central Florida;Lockheed Martin Corporation</t>
  </si>
  <si>
    <t>60022144;60002959</t>
  </si>
  <si>
    <t>Modulation transfer function of antenna-coupled infrared detector arrays</t>
  </si>
  <si>
    <t>10.1364/AO.35.006110</t>
  </si>
  <si>
    <t>2-s2.0-0346784159</t>
  </si>
  <si>
    <t>['‚ äô', 'yr ).', 'theoretical considerations', 'sensitive co', 'rich sources', 'possible origins', 'observations performed', 'observational correlation', 'mainly related', 'low s60', 'loss rates', 'large luminosity', 'large group', 'intermediate mass', 'infrared sources', 'galactic plane', 'concentrated towards', 'co emission', 'briefly discussed', 'already established', 'almost 50', 'agb stars', '60 œºm', '30m antenna']</t>
  </si>
  <si>
    <t>Circumstellar matter | Infrared: stars | Radio lines: stars | Stars: AGB and post-AGB | Stars: late type | Stars: mass loss | Supergiants</t>
  </si>
  <si>
    <t>Until recently, the correlation between the IRAS flux density at 60 Œºm, S60, and the intensity of the CO(1-0) line seemed well established for O-rich evolved stars with intermediate mass-loss rates (‚àº 10-6 to 10-5 M‚äô/yr). This observational correlation was in agreement with theory of mass-loss rates. On the basis of more sensitive CO(1-0) observations performed with the IRAM-30m antenna, we show that a large group of infrared sources do not follow this correlation. Almost 50% of the infrared O-rich sources in our sample (IRAS flux ratio S25/S12 from 0.69 to 1.20) have "weak" CO emission relative to S60. These sources are more concentrated towards the Galactic plane. The majority of them have early spectral types and low IRAS variability index, and are thus probably supergiants, as it is already established for many of them and can be understood from theoretical considerations, mainly related to the large luminosity of the supergiants. We conclude that all those with "normal" CO emission (i.e. a low S60/Tmb(1-0) ratio) are AGB stars. Possible origins of the "weak" CO emission observed in a few AGB stars are briefly discussed.</t>
  </si>
  <si>
    <t>60008134;60008134;60008134;60024185;60013961</t>
  </si>
  <si>
    <t>7801399096;56091831500;7007143431;6701611837;7006064444</t>
  </si>
  <si>
    <t>Josselin, E.;Loup, C.;Omont, A.;Barnbaum, C.;Nyman, L. √Ö</t>
  </si>
  <si>
    <t>United States;Chile;France</t>
  </si>
  <si>
    <t>Charlottesville;Santiago;Paris</t>
  </si>
  <si>
    <t>National Radio Astronomy Observatory;European Southern Observatory Santiago;CNRS Centre National de la Recherche Scientifique</t>
  </si>
  <si>
    <t>60024185;60013961;60008134</t>
  </si>
  <si>
    <t>Josselin E.</t>
  </si>
  <si>
    <t>Infrared giants vs. supergiants: I. Far infrared-to-CO(1-0) intensity ratio</t>
  </si>
  <si>
    <t>2-s2.0-3042952492</t>
  </si>
  <si>
    <t>['theoretical study', 'theoretical approach', 'strip grating', 'specular deviations', 'plane waves', 'outlined technique', 'measured data', 'integral expressions', 'incident beam', 'horn antenna', 'experimental study', 'electromagnetic beam', 'beam directions']</t>
  </si>
  <si>
    <t>Diffraction | Grating</t>
  </si>
  <si>
    <t>An experimental and theoretical study of the scattering of an electromagnetic beam which incides obliquely upon a metal-strip grating is presented in this work. The theoretical approach is based on the angular spectrum method of plane waves, and the integral expressions for the transmitted and reflected diffracted fields are derived, considering both TM- and TE-polarizations. The experimental study of the incidence on the grid of a microwave beam radiated by a horn antenna has been carried out. The incident beam is splitted into two beams corresponding with the fundamental and the first higher order Floquet harmonics excited on the grating. The experimental study has been focused on the non-specular deviations of the beam directions, and relevant angular deviations have been found for the scattered transmitted beams. Theoretical and measured data have been compared in order to validate the outlined technique.</t>
  </si>
  <si>
    <t>279-285</t>
  </si>
  <si>
    <t>0150536X</t>
  </si>
  <si>
    <t>Journal of Optics - Nouvelle Revue d'Optique</t>
  </si>
  <si>
    <t>60002644;60002644;60002644;60002644</t>
  </si>
  <si>
    <t>25637144000;7004534603;8722609700;6602649194</t>
  </si>
  <si>
    <t>D√≠ez, A.;Gimeno, B.;Soret, J.;Navasquillo, J.</t>
  </si>
  <si>
    <t>Universitat de Val√®ncia</t>
  </si>
  <si>
    <t>D√≠ez A.</t>
  </si>
  <si>
    <t>Experimental study of TE- and TM-scattering of an electromagnetic beam by a metal-strip grating: Non-geometrical effects</t>
  </si>
  <si>
    <t>10.1088/0150-536X/27/6/006</t>
  </si>
  <si>
    <t>2-s2.0-33749828137</t>
  </si>
  <si>
    <t>['spatial resolution', 'pattern recognition', 'objective technique', 'francis group', 'considerable overlap', 'boundary detection', 'authors utilize']</t>
  </si>
  <si>
    <t>The impact of spatial resolution enhancement on pattern recognition based on SSM/I measurements is evaluated. The instrument ground footprints for the 19, 22 and 37 GHz channels have considerable overlap. An objective technique can be applied to enhance spatial resolution of measurements to the spatial resolution of the 37 GHz channel. The authors utilize a Backus-Gilbert matrix transform approach. Different validation procedures have been performed to demonstrate the effectiveness of the method with the aim to ameliorate the boundary detection on pattern recognition and specially to cloud classification improvement. ¬© 1996 Taylor &amp; Francis Group, LLC.</t>
  </si>
  <si>
    <t>3121-3134</t>
  </si>
  <si>
    <t>60110235;60110235</t>
  </si>
  <si>
    <t>6508155509;6701403438</t>
  </si>
  <si>
    <t>Col, B.;Mouchot, M. C.</t>
  </si>
  <si>
    <t>Nantes</t>
  </si>
  <si>
    <t>IMT Atlantique</t>
  </si>
  <si>
    <t>Col B.</t>
  </si>
  <si>
    <t>The influence of spatial resolution enhancement a implied to SSM/I data on pattern recognition</t>
  </si>
  <si>
    <t>10.1080/01431169608949134</t>
  </si>
  <si>
    <t>2-s2.0-5944219588</t>
  </si>
  <si>
    <t>['zoning programs', 'telecommunications act', 'recent changes', 'often limit', 'local planning', 'local control', 'historical sketch', 'francis group', 'federal laws', 'federal law', 'control communities', 'communications industry', 'communications facilities', 'article reviews', 'article gives']</t>
  </si>
  <si>
    <t>Communities face increasing pressure to site telecommunications facilities. But because communications involve national interests, federal laws, including the Telecommunications Act of 1996, often limit the amount of control communities have over siting these facilities. This article reviews the recent changes in federal law and explains how communities might still address the siting of communications facilities in their local planning and zoning programs. First, the article gives a historical sketch of the communications industry, its impact on communities, and federal and local control before 1996. ¬© 1996 Taylor &amp; Francis Group, LLC.</t>
  </si>
  <si>
    <t>Heverly, Robert A.</t>
  </si>
  <si>
    <t>Jackson</t>
  </si>
  <si>
    <t>Union University</t>
  </si>
  <si>
    <t>Heverly R.</t>
  </si>
  <si>
    <t>Dealing with towers, antennas, and satellite dishes</t>
  </si>
  <si>
    <t>10.1080/00947598.1996.10395908</t>
  </si>
  <si>
    <t>2-s2.0-85023965426</t>
  </si>
  <si>
    <t>['waveguide bends', 'thus enhancing', 'straight waveguide', 'significantly simplified', 'several examples', 'numerical efficiency', 'microwave systems', 'manufactured either', 'fem ),', 'electrical performances', 'complex geometries', 'accurate prediction']</t>
  </si>
  <si>
    <t>Waveguide bends of complex geometrical shape frequently occur in microwave systems. To make an accurate prediction of the bend's electrical performances it is useful to employ a general numerical algorithm, such as the finite element method (FEM), which is able to cope with complex geometries. However, since in common practice bends are manufactured either on the E- or H-plane, the FEM can be significantly simplified for these cases, thus enhancing its numerical efficiency. In this article, it is illustrated how the FEM can be simplified and it is shown, by means of several examples, how it can be applied to the case of a straight waveguide which is bent and clamped to obtain low return losses. ¬© 1996 John Wiley &amp; Sons, Inc.</t>
  </si>
  <si>
    <t>391-398</t>
  </si>
  <si>
    <t>60021859;60003003;60021859;60073283</t>
  </si>
  <si>
    <t>7004441098;7005171615;7102464308;6602786326</t>
  </si>
  <si>
    <t>Coccioli, R.;Mongiardo, M.;Pelosi, G.;Ravanelli, R.</t>
  </si>
  <si>
    <t>Rome;Florence;Perugia</t>
  </si>
  <si>
    <t>Alenia Aeronautica;Universit√† degli Studi di Firenze;Universit√† degli Studi di Perugia</t>
  </si>
  <si>
    <t>60073283;60021859;60003003</t>
  </si>
  <si>
    <t>Coccioli R.</t>
  </si>
  <si>
    <t>Design of matched bends in rectangular waveguides by finite element method</t>
  </si>
  <si>
    <t>2-s2.0-85068815315</t>
  </si>
  <si>
    <t>57213261866;57196616903;55608917900;57214304672;6508130175;57211789267;7004865993;7102557021</t>
  </si>
  <si>
    <t>Ghosh, K. K.;Chaudhuri, A.;Biswas, S.;Singh, S. K.;Sreemany, S.;Desai, A.;Mondal, K. B.;Bhattacharjee, A. K.</t>
  </si>
  <si>
    <t>2-s2.0-9144232550</t>
  </si>
  <si>
    <t>['wafer probes', 'thz applications', 'space antennas', 'grown gaas', 'epitaxial liftoff']</t>
  </si>
  <si>
    <t>Epitaxial liftoff (ELO) of low-temperature-grown GaAs (LT-GaAs) is employed to fabricate (sub)picosecond photoconductive switches on optically transparent substrates for THz applications. Glass is selected as a substrate for on-wafer probes while sapphire is chosen for free-space antennas. ¬© 1996 American Institute of Physics.</t>
  </si>
  <si>
    <t>2903-2905</t>
  </si>
  <si>
    <t>60001097;60001097;60001097;60001097;60031931;60031931</t>
  </si>
  <si>
    <t>6603636169;6507335309;7004848584;7202054618;7103325922;36049973800</t>
  </si>
  <si>
    <t>Heiliger, H. M.;Vosseb√ºrger, M.;Roskos, H. G.;Kurz, H.;Hey, R.;Ploog, K.</t>
  </si>
  <si>
    <t>Berlin;Aachen</t>
  </si>
  <si>
    <t>Paul Drude Institut fur Festkorperelektronik;Uniklinik RWTH Aachen</t>
  </si>
  <si>
    <t>60031931;60001097</t>
  </si>
  <si>
    <t>Heiliger H.</t>
  </si>
  <si>
    <t>Application of liftoff low-temperature-grown GaAs on transparent substrates for THz signal generation</t>
  </si>
  <si>
    <t>10.1063/1.117357</t>
  </si>
  <si>
    <t>2-s2.0-0000224364</t>
  </si>
  <si>
    <t>['uphill two', 'probe wavelengths', 'probe wavelength', 'intact chlorosomes', 'excitation wavelength', 'color experiments', 'chloroflexus aurantiacus', 'c antenna', '300 k', '19 k']</t>
  </si>
  <si>
    <t>Two-color absorption difference profiles for the bacteriochlorophyll (BChl) c antenna of chlorosomes from Chloroflexus aurantiacus at 19 K show photobleaching/stimulated emission rise features with ‚àº300 fs kinetics when the probe wavelength is ‚àº30 nm to the red of the excitation wavelength. Similar rise features do not appear at 300 K, or in uphill two-color experiments at 19 K, or when the pump and probe wavelengths are separated by ‚â™30 nm. This appears to be the first direct observation of downhill electronic energy transfers within light-harvesting BChl c oligomers in intact chlorosomes. ¬© 1996 American Chemical Society.</t>
  </si>
  <si>
    <t>17978-17980</t>
  </si>
  <si>
    <t>Intraband energy transfers in the BChI c antenna of chlorosomes from the green photosynthetic bacterium Chloroflexus aurantiacus</t>
  </si>
  <si>
    <t>10.1021/jp961752b</t>
  </si>
  <si>
    <t>2-s2.0-0000262638</t>
  </si>
  <si>
    <t>['subsequent photobleaching', 'rapid inhibition', 'prolonged irradiation', 'photosynthetic pigments', 'photosynthetic apparatus', 'phormidium uncinatum', 'oscillatoria tenuis', 'nodularia baltica', 'initial disturbance', 'fluorescence emission', 'energy transfer', 'b irradiation', 'artificial uv']</t>
  </si>
  <si>
    <t>Absorption spectra | Cyanobacteria | Energy transfer | Fluorescence spectra | Photobleaching | Pigmentation | Ultraviolet radiation</t>
  </si>
  <si>
    <t>The effects of ultraviolet-B irradiation on the cyanobacteria Anabaena variabilis, Oscillatoria tenuis, Nodularia baltica, N. harveyana and Phormidium uncinatum (Baikal and T√ºbingen strain) indicated that pigmentation and energy transfer to the photosynthetic reaction centers were impaired. Absorption and fluorescence spectra showed photobleaching of photosynthetic pigments, especially in the accessory antenna pigments, with prolonged irradiation. Fluorescence emission and excitation spectra indicated an initial disturbance of energy transfer and subsequent photobleaching of these pigments. Exposure to solar and artificial UV-B irradiation resulted in a very rapid inhibition of photosynthetic oxygen exchange, as compared to photobleaching, including structural changes in the photosynthetic apparatus.</t>
  </si>
  <si>
    <t>143-149</t>
  </si>
  <si>
    <t>Aquatic Microbial Ecology</t>
  </si>
  <si>
    <t>60000765-60071895;60000765</t>
  </si>
  <si>
    <t>6505896762;35477410900</t>
  </si>
  <si>
    <t>Donkor, Victoria Adubea;H√§der, Donat P.</t>
  </si>
  <si>
    <t>Ghana;Germany</t>
  </si>
  <si>
    <t>Cape Coast;Erlangen</t>
  </si>
  <si>
    <t>University of Cape Coast Ghana;Friedrich-Alexander-Universit√§t Erlangen-N√ºrnberg</t>
  </si>
  <si>
    <t>60071895;60000765</t>
  </si>
  <si>
    <t>Donkor V.A.</t>
  </si>
  <si>
    <t>Effects of ultraviolet irradiation on photosynthetic pigments in some filamentous cyanobacteria</t>
  </si>
  <si>
    <t>10.3354/ame011143</t>
  </si>
  <si>
    <t>2-s2.0-0004891996</t>
  </si>
  <si>
    <t>['also demonstrated']</t>
  </si>
  <si>
    <t>Antennas | Electromagnetic field theory</t>
  </si>
  <si>
    <t>The authors introduce several new approximations to the cylindrical wire kernel. These approximations are derived from a recently found exact series solution for the cylindrical wire kernel. It is also demonstrated that the well-known reduced kernel and far-zone approximations may be obtained as special limiting cases of this series.</t>
  </si>
  <si>
    <t>2108-2109</t>
  </si>
  <si>
    <t>56036142700;55925714300</t>
  </si>
  <si>
    <t>Werner, P. L.;Werner, D. H.</t>
  </si>
  <si>
    <t>Werner P.L.</t>
  </si>
  <si>
    <t>Approximations for the cylindrical wire kernel</t>
  </si>
  <si>
    <t>10.1049/el:19961455</t>
  </si>
  <si>
    <t>2-s2.0-0030574159</t>
  </si>
  <si>
    <t>['wave signals', 'narrow linewidths', 'generated mm', 'experimentally demonstrated']</t>
  </si>
  <si>
    <t>Frequency division multiplexing | Optical communication | Optical control of microwaves | Waveguide antenna arrays</t>
  </si>
  <si>
    <t>A novel optical generation and optical frequency division multiplexing (OFDM) transport of 60GHz band millimetre (mm)-wave signals is proposed and experimentally demonstrated over 40km long singlemode optical fibre. The generated mm-wave signals with the narrow linewidths of &lt; 300Hz are obtained.</t>
  </si>
  <si>
    <t>2158-2159</t>
  </si>
  <si>
    <t>60092258;60092258</t>
  </si>
  <si>
    <t>7004228759;35425650000</t>
  </si>
  <si>
    <t>Kuri, T.;Kitayama, K.</t>
  </si>
  <si>
    <t>Kuri T.</t>
  </si>
  <si>
    <t>60GHz band millimetre-wave signal generation and transport over optical frequency division multiplexing networks</t>
  </si>
  <si>
    <t>10.1049/el:19961435</t>
  </si>
  <si>
    <t>2-s2.0-0030574204</t>
  </si>
  <si>
    <t>['simpler geometries', 'natural progression', 'lens configuration']</t>
  </si>
  <si>
    <t>Aperture antennas | Microstrip antennas | Strip lines</t>
  </si>
  <si>
    <t>A planar lens antenna based on aperture coupled microstrip patch elements with stripline delay lines is described. Features of this design are discussed, and results for transmission coefficient magnitude against frequency are presented. The background for the development of this lens configuration is discussed in terms of a natural progression from frequency selective surfaces, and the inadequacies of simpler geometries are explained.</t>
  </si>
  <si>
    <t>2109-2111</t>
  </si>
  <si>
    <t>Pozar, D. M.</t>
  </si>
  <si>
    <t>Pozar D.</t>
  </si>
  <si>
    <t>Flat lens antenna concept using aperture coupled microstrip patches</t>
  </si>
  <si>
    <t>10.1049/el:19961451</t>
  </si>
  <si>
    <t>2-s2.0-0030574207</t>
  </si>
  <si>
    <t>['star formation', 'powerful burst', 'infrared luminosity', 'galaxy system', 'based fabry', 'antennae ").', '39 ("']</t>
  </si>
  <si>
    <t>Galaxies: evolution | Galaxies: individual NGC 4038/39 | Galaxies: interactions | Galaxies: nuclei | Galaxies: starburst | Infrared: galaxies</t>
  </si>
  <si>
    <t>Infrared Space Observatory (ISO) Long Wavelength Spectrometer (LWS) and ground-based Fabry-Perot imaging spectroscopic observations are used to penetrate the extinction to the powerful burst of star formation that has occurred in the extranuclear molecular cloud complex in the galaxy overlap region of the galaxies NGC 4038/39 ("The Antennae"). Parameters of the starburst and typical molecular cloud core characteristics are derived. It is found that the starburst can power the infrared luminosity of this galaxy system.</t>
  </si>
  <si>
    <t>60027271-100311463;60027271;60027271;60001709-100311463;60001709;60007776;60023254;60001709;60021199;60027550;60031581;60001709;60012387-100311463;60022109;60022109;60027704;60027704;60031581;60191856;60027704;60027704;60022148;60022148;60027704-60008134;60027704;60027704;60003674;60027704;60027704;60027704;60023254;60027704;60027704;60001709</t>
  </si>
  <si>
    <t>7404368890;7801523985;6603580404;7004319085;7406225739;7102445562;7102821075;35459627400;56212969100;7006872661;55582680900;7402882170;7003579444;7005987813;7006368713;57220375967;7003462540;7103168546;7404343412;7006071419;7003368014;6602177909;6603067294;7003966642;7401711003;8898983400;6505683909;57203799453;7004750980;56128182700;7007047134;6603790721;7003705970;6603943381</t>
  </si>
  <si>
    <t>Fischer, J.;Shier, L. M.;Luhman, M. L.;Satyapal, S.;Smith, H. A.;Stacey, G. J.;Unger, S. J.;Greenhouse, M. A.;Spinoglio, L.;Malkan, M. A.;Lord, S. D.;Miles, J. W.;Shure, M. A.;Clegg, P. E.;Ade, P. A.R.;Armand, C.;Burgdorf, M.;Church, S. E.;Davis, G. R.;Di Giorgio, A.;Ewart, D.;Furniss, I.;Glencross, W. M.;Gry, C.;Lim, T.;Molinari, S.;Nguyen-Rieu, Q.;Price, M. C.;Sidher, S. D.;Smith, A.;Swinyard, B. M.;Texier, D.;Trams, N. R.;Wolfire, M. G.</t>
  </si>
  <si>
    <t>Canada;United States;Spain;United States;United States;United Kingdom;United Kingdom;United Kingdom;Italy;United States;France;United States;France;United States;</t>
  </si>
  <si>
    <t>Saskatoon;Pasadena;Madrid;Los Angeles;Washington, D.C.;Didcot;London;London;Rome;Atlanta;Paris;Ithaca;Paris;Washington, D.C.;</t>
  </si>
  <si>
    <t>Institute of Space and Atmospheric Studies;California Institute of Technology;ISO Science Operations Centre;University of California, Los Angeles;Naval Research Laboratory;Rutherford Appleton Laboratory;University College London;Queen Mary University of London;Consiglio Nazionale delle Ricerche;Georgia State University;CNRS Centre National de la Recherche Scientifique;Cornell University;L'Observatoire de Paris;Smithsonian National Air and Space Museum;Infrared Telescope Facility</t>
  </si>
  <si>
    <t>60191856;60031581;60027704;60027550;60027271;60023254;60022148;60022109;60021199;60012387;60008134;60007776;60003674;60001709;100311463</t>
  </si>
  <si>
    <t>Fischer J.</t>
  </si>
  <si>
    <t>LWS observations of the colliding galaxies NGC 4038/39</t>
  </si>
  <si>
    <t>2-s2.0-0002137952</t>
  </si>
  <si>
    <t>['uv flux', 'surface brightness', 'spectrophotometric observations', 'parent galaxies', 'overlap region', 'ngc 4038', 'ne iii', 'ne ii', 'lower limit', 'ionizing stars', 'ionized gas', 'infrared emission', 'galaxies collide', 'emission longward', 'effective temperature', 'brightest knot', 'antennae galaxies', '500 k', '5 œºm', '2 nuclei', '18 œºm', '000 k']</t>
  </si>
  <si>
    <t>Galaxies: individual: Antennae Galaxies | Galaxies: individual: NGC4038/39 | Infrared: interstellar: continuum | Stars: formation</t>
  </si>
  <si>
    <t>We have mapped the Antennae Galaxies (NGC 4038/39) in the 6.7 and 15 Œºm continuum emission using ISOCAM1 with ‚âÉ 5 - 8" resolution. Spectrophotometric observations with the CVF in the spectral range 5.5 to 16.5 Œºm have also been obtained. We compare the distribution of the infrared emission in the 2 nuclei and in the overlap region where the disks of the galaxies collide. The emission longward of 12.5 Œºm is dominated by ionized gas and by reprocessing of UV flux by dust. The overlap region is the most active star forming area in the system and contributes to more than half of the total infrared luminosity between 12.5 and 18 Œºm. The brightest knot in the overlap region has a surface brightness at 15Œºm which is 5 times larger than the nuclei of the parent galaxies. From the [Ne III] and [Ne II] lines, we estimate a lower limit to the effective temperature of the ionizing stars of 39,500 K and 37,000 K in the overlap region and the nuclei, respectively.</t>
  </si>
  <si>
    <t>60121493;60121493;60068629;60011439;60121493;60011439;60121493;60068629;60121493;60068629;60121493;60068629;60121493</t>
  </si>
  <si>
    <t>7003434007;6603589029;6701409861;7006890666;7006150774;56631177000;7006421118;7004051800;7003446506;26658530100;7007132777;55668625000;57196693309</t>
  </si>
  <si>
    <t>Vigroux, L.;Mirabel, F.;Alti√©ri, B.;Boulanger, F.;Cesarsky, C.;Cesarsky, D.;Claret, A.;Fransson, C.;Gallais, P.;Levine, D.;Madden, S.;Okumura, K.;Tran, D.</t>
  </si>
  <si>
    <t>France;Spain;France</t>
  </si>
  <si>
    <t>Gif-sur-Yvette;Madrid;Orsay</t>
  </si>
  <si>
    <t>D√©partement d‚ÄòAstrophysique;European Space Astronomy Centre;Institut d'Astrophysique Spatiale</t>
  </si>
  <si>
    <t>60121493;60068629;60011439</t>
  </si>
  <si>
    <t>Vigroux L.</t>
  </si>
  <si>
    <t>ISOCAM observations of the Antennae Galaxies</t>
  </si>
  <si>
    <t>2-s2.0-3142663833</t>
  </si>
  <si>
    <t>['‚ äô', 'well described', 'two galaxies', 'sws ).', 'starburst region', 'starburst models', 'recent starburst', 'recent interaction', 'pure rotational', 'present mid', 'observations focus', 'ne iii', 'molecular hydrogen', 'molecular gas', 'interaction zone', 'infrared spectroscopy', 'hundred kelvin', 'emitting gas', 'average temperature', 'absorbing dust', '44000 k']</t>
  </si>
  <si>
    <t>Galaxies: individual: NGC 4038/39 | Galaxies: interactions | Galaxies: starburst | Infrared: galaxies</t>
  </si>
  <si>
    <t>We present mid-infrared spectroscopy of the prototypical interacting galaxies NGC 4038/39 (the 'Antennae') obtained with the ISO Short Wavelength Spectrometer (SWS). Our observations focus on the interaction zone where the two galaxies overlap, providing new constraints on the properties of the young and vigorous extranuclear starburst triggered by the recent interaction of the two galaxies. We use hydrogen recombination lines to derive an extinction of AV ‚âà 70 to the starburst region, concluding that a model where emitting gas and absorbing dust are mixed best fits the data. We discuss the use of mid-infrared fine structure line ratios for determining the average effective temperature of the stellar ionizing radiation field, and derive an average temperature of 44000 K from the extinction-corrected [Ne III]15.6Œºm/[Ne II]12.8Œºm line ratio. The observations are well described by starburst models for a recent starburst with an initial mass function extending up to 100 M‚äô. Observations of the pure rotational (0-0) S(1) and S(2) lines of molecular hydrogen are used to constrain the fraction of molecular gas that is at temperatures of a few hundred Kelvin.</t>
  </si>
  <si>
    <t>60021561;60021561;60021561;60021561;60021561-60068629;60021561;60021561;60021561;60005681;60023599;60011173</t>
  </si>
  <si>
    <t>57208750284;57204301858;7103283027;7004633067;56260425800;35499152300;7004472090;7006596075;57203048656;7006011114;7005065120</t>
  </si>
  <si>
    <t>Kunze, D.;Rigopoulou, D.;Lutz, D.;Egami, E.;Feuchtgruber, H.;Genzel, R.;Spoon, H. W.W.;Sturm, E.;Sternberg, A.;Moorwood, A. F.M.;De Graauw, Th</t>
  </si>
  <si>
    <t>Spain;Germany;Germany;Netherlands;Israel</t>
  </si>
  <si>
    <t>Madrid;Garching bei Munchen;Garching bei Munchen;Groningen;Tel Aviv-Yafo</t>
  </si>
  <si>
    <t>European Space Astronomy Centre;European Southern Observatory;Max Planck Institute for Extraterrestrial Physics;University of Groningen, Kapteyn Astronomical Institute;Tel Aviv University</t>
  </si>
  <si>
    <t>60068629;60023599;60021561;60011173;60005681</t>
  </si>
  <si>
    <t>Kunze D.</t>
  </si>
  <si>
    <t>SWS spectroscopy of the colliding galaxies NGC 4038/39</t>
  </si>
  <si>
    <t>2-s2.0-3342982388</t>
  </si>
  <si>
    <t>['wind forces', 'wave forces', 'shear stresses', 'random wind', 'parameter studies', 'offshore platforms', 'motion formulated', 'linearities due', 'general enough', 'dynamic response', 'drag wind', 'continuous system', 'concentrated mass', 'commercial code', 'base excitation', 'articulated tower', 'appendaged tower', 'also used', 'also included']</t>
  </si>
  <si>
    <t>Masts, antennas and other appendaged towers connected to offshore platforms are subjected to harsh environmental conditions. In this paper, the dynamic response of such a structure is investigated. The mast is assumed to be fixed at bottom to an articulated tower and carrying a concentrated mass at the other end. The mast is modelled as a continuous system (beam-like), subjected to wind forces. The equation of motion formulated in this paper is general enough to represent a partially submerged articulated tower or an appendaged tower. In the derivation of the equation of motion, non-linearities due to large lateral displacements as well as rotation, drag wind and wave forces, which are assumed to be proportional to the square relative velocity between the wind/wave and the mast, are considered. The motion of the articulated tower, to which the mast is connected, is also included in the dynamics as a base excitation. The non-linear partial differential equation of motion is then non-dimensionalized and simplified to show that the rotation (inertia) term is negligible. The equation of motion is numerically solved using finite difference approximations, which are embedded in the commercial code "ACSL" (Advanced Continuous Simulation Language). The response of the mast to deterministic and random wind and wave is investigated and some parameter studies are conducted. Bending and shear stresses are calculated for different environmental conditions. The model was also used to verify the rigid body assumption frequently used in analyzing the response of a partially submerged articulated tower. ¬© 1996 Academic Press Limited.</t>
  </si>
  <si>
    <t>27-50</t>
  </si>
  <si>
    <t>60119141;60119141</t>
  </si>
  <si>
    <t>6602864670;7006853025</t>
  </si>
  <si>
    <t>Bar-Avi, P.;Benaroya, H.</t>
  </si>
  <si>
    <t>New Brunswick</t>
  </si>
  <si>
    <t>Rutgers University‚ÄìNew Brunswick</t>
  </si>
  <si>
    <t>Bar-Avi P.</t>
  </si>
  <si>
    <t>Planar motion of an articulated tower with an elastic appendage</t>
  </si>
  <si>
    <t>S0022460X96905556</t>
  </si>
  <si>
    <t>10.1006/jsvi.1996.0555</t>
  </si>
  <si>
    <t>2-s2.0-0030287813</t>
  </si>
  <si>
    <t>R29GM045902</t>
  </si>
  <si>
    <t>['spectral changes', 'interlevel relaxation', 'fs relaxation', 'excited state', 'emission spectra', 'band excitation']</t>
  </si>
  <si>
    <t>Spectral changes were measured with femtosecond resolution following low-intensity, broad-band excitation of the peripheral antenna complex of the purple photosynthetic bacterium Rhodobacter sphaeroides. Absorption anisotropy decays also were measured. We identified a 35-fs relaxation of the absorption and emission spectra of the excited state, as well as a 20- fs anisotropy decay. We interpret these results as interlevel relaxation and dephasing, respectively, of extensively delocalized exciton states of the circular bacteriochlorophyll aggregate.</t>
  </si>
  <si>
    <t>13774-13779</t>
  </si>
  <si>
    <t>60015481;60015481;60003892;60015481</t>
  </si>
  <si>
    <t>7005308347;7005426483;56687502600;7006623893</t>
  </si>
  <si>
    <t>Nagarajan, V.;Alden, R. G.;Williams, J. C.;Parson, W. W.</t>
  </si>
  <si>
    <t>Seattle;Tempe</t>
  </si>
  <si>
    <t>University of Washington;Arizona State University</t>
  </si>
  <si>
    <t>60015481;60003892</t>
  </si>
  <si>
    <t>Nagarajan V.</t>
  </si>
  <si>
    <t>Ultrafast exciton relaxation in the B850 antenna complex of Rhodobacter sphaeroides</t>
  </si>
  <si>
    <t>10.1073/pnas.93.24.13774</t>
  </si>
  <si>
    <t>2-s2.0-0030479339</t>
  </si>
  <si>
    <t>['viewed geometrically', 'time variables', 'specific effect', 'source position', 'source location', 'retrieving three', 'retrieval errors', 'propagated analytically', 'measurement errors', 'linear system', 'linear formalism', 'linear equations', 'excitation times', 'antennas used', '1977 ].', '1951 ],']</t>
  </si>
  <si>
    <t>We examine the problem of retrieving three-dimensional lightning locations from radio frequency time-of-arrival (TOA) measurements. Arbitrary antenna locations are considered. By judiciously differencing measurements that are related to the location of the antennas and their excitation times, the problem is converted from the initial spherical nonlinear form to a system of linear equations. In the linear formalism, the source location and time-of-occurrence is viewed geometrically as an intersection of hyperplanes in the four-dimensional Minkowski space (x, y, z, t). The linear equations are solved to obtain explicit analytic expressions for the location and time variables. Retrieval errors are not interpreted with conventional Geometrical Dilution of Precision (GDOP) arguments as discussed by Holmes and Reedy [1951], but with more recent inversion analyses considered by Twomey [1977]. Measurement errors are propagated analytically so that the specific effect of these errors on the solution is clarified. The sensitivity of the solution on the number of antennas used, antenna network geometry, source position, and measurement differencing schemes are discussed in terms of the eigenvalues of the linear system.</t>
  </si>
  <si>
    <t>26631-26639</t>
  </si>
  <si>
    <t>Journal of Geophysical Research Atmospheres</t>
  </si>
  <si>
    <t>60011779;60020417</t>
  </si>
  <si>
    <t>6603369413;6602352355</t>
  </si>
  <si>
    <t>Koshak, William J.;Solakiewicz, Richard J.</t>
  </si>
  <si>
    <t>Chicago;Huntsville</t>
  </si>
  <si>
    <t>Chicago State University;NASA Marshall Space Flight Center</t>
  </si>
  <si>
    <t>60020417;60011779</t>
  </si>
  <si>
    <t>Koshak W.J.</t>
  </si>
  <si>
    <t>On the retrieval of lightning radio sources from time-of-arrival data</t>
  </si>
  <si>
    <t>10.1029/96jd01618</t>
  </si>
  <si>
    <t>2-s2.0-0030405187</t>
  </si>
  <si>
    <t>['viscous flow', 'superconductor mixer', 'single nb', 'nb trilayer', 'matching circuits', 'magnetic vortexes', 'local oscillator', 'frequency range', 'flow oscillator', 'achieved within', '560 k', '490 ghz', '455 ghz']</t>
  </si>
  <si>
    <t>An integrated quasioptical receiver consisting of a planar double dipole antenna, superconductor-insulator-superconductor mixer and a superconducting local oscillator (LO) with matching circuits has been designed, fabricated and tested in the frequency range 360-490 GHz. A flux-flow oscillator (FFO) based on unidirectional and viscous flow of magnetic vortexes in a long Josephson tunnel junction, is employed as a local oscillator. All components of the receiver are integrated on a 4 mm√ó4 mm√ó0.2 mm crystalline quartz substrate using a single Nb-AlOx-Nb trilayer. The lowest DSB noise temperature of 470-560 K has been achieved within a frequency range of 425-455 GHz. ¬© 1996 American Institute of Physics.</t>
  </si>
  <si>
    <t>1273-1275</t>
  </si>
  <si>
    <t>60029225;60029225;60029225;60029225;60001512;60001512;60001512;60001512;60001512</t>
  </si>
  <si>
    <t>7004791063;7004148528;57193618079;7003412133;7801445325;7005065120;55934844400;8931414500;6701849147</t>
  </si>
  <si>
    <t>Koshelets, Valery P.;Shitov, Sergey V.;Filippenko, Lyudmila V.;Baryshev, Andrey M.;Golstein, Hans;De Graauw, Thijs;Luinge, Willem;Schaeffer, Harry;Van De Stadt, Herman</t>
  </si>
  <si>
    <t>Russian Federation;Netherlands</t>
  </si>
  <si>
    <t>Moscow;Utrecht</t>
  </si>
  <si>
    <t>Kotelnikov Institute of Radioengineering and Electronics (IRE) of Russian Academy of Sciences;SRON Netherlands Institute for Space Research</t>
  </si>
  <si>
    <t>60029225;60001512</t>
  </si>
  <si>
    <t>Koshelets V.</t>
  </si>
  <si>
    <t>First implementation of a superconducting integrated receiver at 450 GHz</t>
  </si>
  <si>
    <t>S0003695196012090</t>
  </si>
  <si>
    <t>10.1063/1.115950</t>
  </si>
  <si>
    <t>2-s2.0-0000007114</t>
  </si>
  <si>
    <t>['zeaxanthin content', 'water temperature', 'water column', 'variable fluorescence', 'two methods', 'tidal level', 'temperate zones', 'red algae', 'prevents photodamage', 'photosystem ii', 'photosynthetic efficiency', 'photosynthetic apparatus', 'photoinhibitory level', 'oxygen measurements', 'natural habitat', 'linear correlation', 'field measurements', 'early afternoon', 'dynamic photoinhibition', 'diurnal pattern', 'different species', 'depression caused', 'brown macroalgae', 'almost complete', 'algal zonation', 'algae exposed']</t>
  </si>
  <si>
    <t>Fluorescence | Marine algae | Oxygen production | Photoinhibition | Photosynthesis | Temperature adaptation | Zeaxanthin</t>
  </si>
  <si>
    <t>Photoinhibition should be considered as a mechanism that protects the photosynthetic apparatus. In algae exposed to high fluence rates dynamic photoinhibition converts excess light energy into heat and prevents photodamage. As a result radiationless energy dissipation increases and variable fluorescence of photosystem II (photosynthetic efficiency) and photosynthetic capacity decrease. The decrease of the photosynthetic parameters showed a linear correlation with the increase in zeaxanthin content in photosystem II antenna of marine brown algae. Field measurements of variable fluorescence and oxygen production rate indicate that the depression caused by dynamic photoinhibition follows a diurnal pattern with the lowest photosynthetic activity occuring usually between noon and the early afternoon. In the afternoon photosynthesis commences to recover, and is almost complete by the evening. However, the diurnal pattern depends on the tidal level because the water column above the algal beds protects the algae from high fluence rates. Desiccation of benthic marine algae during low tide showed different effects on the photoinhibitory level in different species. Photosynthetic measurements made in the natural habitat of different latitudes clearly showed that dynamic photoinhibition occurs regardless of water temperature. The Antarctic brown alga Adenocystis utricularis regulated photosynthesis by dynamic photoinhibition even faster than brown macroalgae of the tropic or temperate zones. However, algal zonation is thought to depend in part on the capability for dynamic photoinhibition. Investigations of photoinhibition of photosynthesis usually use both fluorescence and oxygen measurements. However, recent studies indicate that the two methods can give different results if the rate of saturated oxygen production is compared to the variable fluorescence of photosystem II in red algae.</t>
  </si>
  <si>
    <t>243-248</t>
  </si>
  <si>
    <t>SUPPL. 1</t>
  </si>
  <si>
    <t>Scientia Marina</t>
  </si>
  <si>
    <t>Hanelt, Dieter</t>
  </si>
  <si>
    <t>Bremerhaven</t>
  </si>
  <si>
    <t>Alfred-Wegener-Institut Helmholtz-Zentrum f√ºr Polar- und Meeresforschung</t>
  </si>
  <si>
    <t>Hanelt D.</t>
  </si>
  <si>
    <t>Photoinhibition of photosynthesis in marine macroalgae</t>
  </si>
  <si>
    <t>2-s2.0-0000352150</t>
  </si>
  <si>
    <t>['velocity dependence', 'turbulence near', 'speed wind', 'speed solar', 'significant difference', 'rs ).', 'radial dependence', 'previous works', 'obtain properties', 'observations made', 'ips observations', 'inner scale', 'following results', 'flow speed', 'fitting method', 'distance range', 'dissipation length', 'axial ratio', 'also examine', '5 ghz', '30 es', '3 ghz']</t>
  </si>
  <si>
    <t>We study the properties of micro-turbulence in the solar wind using interplanetary scintillation (IPS) observations made with the single dish antenna operating at 2.3 GHz and 8.5 GHz. Our IPS observations were made during September-October in 1992 and 1993 and covered a radial distance range of 5-76 solar radii (Rs). We apply the spectral-fitting method to obtain properties of solar wind turbulence, such as axial ratio of anisotropy, inner scale of dissipation length, power-law spectral index, and solar wind velocity. We also examine the velocity dependence of the turbulence near the sun, and find the following results. (1) Both low-speed and high-speed solar-wind flows show acceleration at the distance range of 10-30 Es, which is consistent with previous works. (2) The radial dependence of anisotropy and spectral index show no significant difference between the low-speed and high-speed solar wind. (3) Only the inner scale length shows a dependence on flow speed: the inner scale in the high-speed wind is 1.4 ¬±0.3 times larger than that in the low-speed wind.</t>
  </si>
  <si>
    <t>60000264;60008435;60032325;60032325;60031855;60000264;60000264;60000264;60031855</t>
  </si>
  <si>
    <t>14046219900;7402179755;7004699006;55372825900;7404917226;55628538234;7006566531;35417926300;55975625200</t>
  </si>
  <si>
    <t>Yamauch, Yohei;Kojima, Masayoshi;Tokumaru, Munetoshi;Misawa, Hiroaki;Mori, Hirotaka;Tanaka, Takashi;Takaba, Hiroshi;Kondo, Tetsuro;Manoharan, P. K.</t>
  </si>
  <si>
    <t>Yamauch Y.</t>
  </si>
  <si>
    <t>Micro-Turbulence in the solar wind at 5-76 Rs observed with interplanetary scintillation</t>
  </si>
  <si>
    <t>2-s2.0-0000708634</t>
  </si>
  <si>
    <t>ECS-9457735</t>
  </si>
  <si>
    <t>['reduced complexity', 'powerful technique', 'numerical results', 'microstrip antennas', 'limited mainly', 'lifted using', 'integral method', 'inhomogeneous media', 'element boundary', 'electromagnetic scattering', 'boundary integrals', 'backed apertures']</t>
  </si>
  <si>
    <t>The finite-element boundary-integral method is a powerful technique for dealing with scattering and radiation problems involving complex geometries and inhomogeneous media. The capability of the technique is limited mainly by the full matrix generated by the discretization of the boundary integrals involving the Green's function. In this paper, this limitation is lifted using the fast multipole method, which evaluates the boundary integrals at a reduced complexity. The resulting new technique is applied to the problem of electromagnetic scattering by cavity-backed apertures and microstrip antennas. Numerical results are presented to demonstrate its validity and capability. ¬© 1996 IEEE.</t>
  </si>
  <si>
    <t>781-786</t>
  </si>
  <si>
    <t>6 PART 1</t>
  </si>
  <si>
    <t>56249464700;7403588231</t>
  </si>
  <si>
    <t>Lu, Ninglong;Jin, Jian Ming</t>
  </si>
  <si>
    <t>Lu N.</t>
  </si>
  <si>
    <t>Application of fast multipole method to finite-element boundary-integral solution of scattering problems</t>
  </si>
  <si>
    <t>S008926X96042706</t>
  </si>
  <si>
    <t>10.1109/8.509880</t>
  </si>
  <si>
    <t>2-s2.0-0000850245</t>
  </si>
  <si>
    <t>['two mixtures', 'three compounds', 'similar manner', 'significantly greater', 'seven eag', 'second made', 'potential attractants', 'pig manure', 'one comprised', 'nine compounds', 'moderate responses', 'methylindole elicited', 'methylbutanoic acid', 'mass spectrometric', 'individual eag', 'highest responses', 'female antennae', 'electrophysiologically active', 'eag dose', 'butanoic acid', 'benzeneethanol elicited', 'behavioral significance', 'active compounds']</t>
  </si>
  <si>
    <t>Attractants | Behavior | Diptera | Gas chromatographic-electroantennographic recordings | House fly | Mass spectrometry | Musca domestica | Muscidae | Pig manure volatiles | Wind tunnel</t>
  </si>
  <si>
    <t>Nine compounds from the headspace of fresh pig manure were identified as electrophysiologically active on virgin female house fly (Musca domestica L.) antennae, and mixtures of these compounds attracted female house flies in wind-tunnel behavioral assays. Identification was accomplished by using coupled gas chromatographic-electroantennographic (GC-EAG) recordings, coupled gas chromatographic-mass spectrometric (GC-MS) analysis, electroantennographic (EAG) assays of standards, and wind tunnel behavioral studies. The pig manure volatiles eliciting responses from female antennae were butanoic acid, 3-methylbutanoic acid, dimethyldisulfide, dimethyltrisulfide, dimethyltetrasulfide, phenol, benzeneethanol, indole, and 3-methylindole. In EAG dose-response tests butanoic acid, 3-methylbutanoic acid, indole, and 3-methylindole elicited the highest responses on female house fly antennae, and dimethyltrisulfide, phenol, and benzeneethanol elicited more moderate responses. In wind-tunnel behavioral studies, female house flies flew upwind in the plume and landed on the source in response to pig manure volatiles. The ability of individual EAG-active compounds to attract female house flies was not significantly greater than that of the control. However, two mixtures, one comprised of seven EAG-active compounds and a second made up of only three compounds, were capable of attracting female flies in a similar manner as found with pig manure. The behavioral significance of these compounds as potential attractants is discussed.</t>
  </si>
  <si>
    <t>301-317</t>
  </si>
  <si>
    <t>Journal of Agricultural and Urban Entomology</t>
  </si>
  <si>
    <t>6603979412;7402604731</t>
  </si>
  <si>
    <t>Coss√©, Allard A.;Baker, Thomas C.</t>
  </si>
  <si>
    <t>Coss√© A.A.</t>
  </si>
  <si>
    <t>House flies and pig manure volatiles: Wind tunnel behavioral studies and electrophysiological evaluations</t>
  </si>
  <si>
    <t>2-s2.0-0001581709</t>
  </si>
  <si>
    <t>['structures exhibit', 'simple models', 'similar function', 'scientific field', 'reaction center', 'pigments surrounding', 'photosynthetic light', 'peripheral light', 'harvesting systems', 'harvesting complex', 'extent delocalized', 'excitation transport', 'essential ingredients', 'energy transfer', 'energetic disorder', 'electronic interaction', 'electronic excitation', 'electronic coupling', 'current status', 'crucial parameters', "core '.", 'bacteriochlorophyll molecules', 'average distance', '1 nm']</t>
  </si>
  <si>
    <t>Energy transfer | Fluorescence | Photosynthesis</t>
  </si>
  <si>
    <t>The peripheral light-harvesting complex of the photosynthetic bacterium Rhodopseudomonas acidophila (LH2) and the major plant light-harvesting complex LHCII have a very similar function: to absorb solar photons and to transfer the electronic excitation to the pigments surrounding the reaction center, the so-called 'core'. Nevertheless, their structures exhibit a dramatically different arrangement of the pigments. In LH2 the bacteriochlorophyll molecules are arranged in a highly symmetric ring, while in LHCII the positioning of the chlorophylls is very irregular. In both complexes the average distance between the pigments is 1 nm or less and, as a consequence, the electronic interaction between the pigments is strong (&gt; 100cm"'). Therefore, the excitation transport in these photosynthetic light-harvesting systems can noi be described by a simple F√∂rster type transfer mechanism, but new or other transfer mechanisms may be operative, for instance a mechanism in which the excitation is to some extent delocalized. Crucial parameters are the strength of the electronic coupling, the amount of energetic disorder and/or heterogeneity and the nature and strength of the interactions of the pigments with the protein. Here we will discuss the current status of the field of photosynthetic energy transfer in particular for LH2. We will evaluate a few simple models that contain some of the essential ingredients to describe the process of energy transfer and finally we will discuss some of the perspectives in this scientific field. ¬© VCH Verlagsgesellschaft mbH, 1996.</t>
  </si>
  <si>
    <t>1950-1957</t>
  </si>
  <si>
    <t>60008734-60105695;60008734;60008734</t>
  </si>
  <si>
    <t>35599806700;6602135863;7003564034</t>
  </si>
  <si>
    <t>Van Grondelle, Rienk;Monshouwer, Ren√©;Valkunas, Leonas</t>
  </si>
  <si>
    <t>1. Photosynthetic Antennae Photosynthetic Light-Harvesting</t>
  </si>
  <si>
    <t>2-s2.0-0002516698</t>
  </si>
  <si>
    <t>['resonant frequency', 'proximity method', 'proposed circular', 'patch antenna', 'one observes', 'feed line', 'experimental results', 'coupled method', 'conventional circular', '98 %,', '05 %,']</t>
  </si>
  <si>
    <t>A new multilayered circular-patch antenna fed by an electromagnetic coupling method is proposed. This antenna realizes good impedance matching to a feed line. From experimental results, one observes that the bandwidth is 3.05%, which is 1.4 times wider than that of a conventional circular-patch antenna of the same parameters. The resonant frequency of the proposed circular-patch antenna fed by the proximity method was 1.13 times higher than that of the conventionally fed patch. The bandwidth of the proposed circular-patch antenna fed by the aperture-coupled method was 1.98%, and this bandwidth was 1.2 times wider than that of a conventional circular-patch antenna. ¬© 1996 IEEE.</t>
  </si>
  <si>
    <t>777-780</t>
  </si>
  <si>
    <t>60018735;60018735</t>
  </si>
  <si>
    <t>7403250763;55624479867</t>
  </si>
  <si>
    <t>Iwasaki, Hisao;Suzuki, Yasuo</t>
  </si>
  <si>
    <t>Toshiba Corporation</t>
  </si>
  <si>
    <t>Iwasaki H.</t>
  </si>
  <si>
    <t>Electromagnetically coupled circular-patch antenna consisting of multilayered configuration</t>
  </si>
  <si>
    <t>S0018926X9604269X</t>
  </si>
  <si>
    <t>10.1109/8.509879</t>
  </si>
  <si>
    <t>2-s2.0-0003368662</t>
  </si>
  <si>
    <t>KU</t>
  </si>
  <si>
    <t>['œ ∏', 'sum form', 'radiation patterns', 'radiation fields', 'radiation conductance', 'radiation characteristic', 'plane œü', 'numerical results', 'lose symmetry', 'input conductance', 'equatorial plane', 'electromagnetic fields', 'derived everywhere', 'closed forms', 'chiral coating', '90 ¬∞)']</t>
  </si>
  <si>
    <t>Radiation characteristic of a slotted metallic cylinder with a chiral coating is studied. With specified tangential electric field on the slotted cylinder surface, the electromagnetic fields are derived everywhere in an integral and a sum form. In particular, the radiation fields in the surrounding air region are derived in closed forms. The radiation conductance and input conductance of slots on the metallic cylinder arc derived and numerical results are presented. It is shown that the chiral coating causes the radiation patterns to lose symmetry about the equatorial plane (Œ∏ = 90¬∞) and the plane œÜ = 0. Conditions under which the radiation from a linearly polarized slot is dominantly right circularly polarized are indicated. ¬© 1996 IEEE.</t>
  </si>
  <si>
    <t>814-821</t>
  </si>
  <si>
    <t>Mahmoud, Samir F.</t>
  </si>
  <si>
    <t>Characteristics of a chiral-coated slotted cylindrical antenna</t>
  </si>
  <si>
    <t>S0018926X96J42780</t>
  </si>
  <si>
    <t>10.1109/8.509885</t>
  </si>
  <si>
    <t>2-s2.0-0004699395</t>
  </si>
  <si>
    <t>['terahertz frequencies', 'radiation frequency', 'planar antenna', 'phonon relaxation', 'nbc microbolometer', 'hot electrons', 'high diffusivity', 'diffusion transport', '8 cm2']</t>
  </si>
  <si>
    <t>The crossover between the electron-phonon relaxation and the diffusion transport of hot electrons in an NbC microbolometer has been studied. At least an 80 ps relaxation time can be achieved in 0.2 Œºm long bridges of the material with a diffusivity of 8 cm2/s. The high diffusivity is accompanied by a large sheet resistance (‚âä10) that simplifies the match of the mixer device made of NbC to planar antenna at terahertz frequencies. The intrinsic noise mechanisms imply a very low mixer noise temperature of the order of a few tens of Kelvin, independent on the radiation frequency. ¬© 1996 American Institute of Physics.</t>
  </si>
  <si>
    <t>2285-2287</t>
  </si>
  <si>
    <t>60068676;60068676;60009114;60009114</t>
  </si>
  <si>
    <t>7003936384;55403960000;6701848841;57208121544</t>
  </si>
  <si>
    <t>Karasik, B. S.;Il'In, K. S.;Pechen, E. V.;Krasnosvobodtsev, S. I.</t>
  </si>
  <si>
    <t>Moscow Pedagogical State University;P.N. Lebedev Physical Institute of the Russian Academy of Sciences</t>
  </si>
  <si>
    <t>60068676;60009114</t>
  </si>
  <si>
    <t>Karasik B.</t>
  </si>
  <si>
    <t>Diffusion cooling mechanism in a hot-electron NbC microbolometer mixer</t>
  </si>
  <si>
    <t>S0003695196035150</t>
  </si>
  <si>
    <t>10.1063/1.115886</t>
  </si>
  <si>
    <t>2-s2.0-0004898566</t>
  </si>
  <si>
    <t>['vs ).', 'ultrashort lifetime', 'sapphire substrates', 'photoconductivity measurements', 'observed terahertz', '600 fs']</t>
  </si>
  <si>
    <t>An ultrashort lifetime of photocarriers as short as 600 fs has been obtained in ion-implanted Ge thin films grown on sapphire substrates. The photocarrier mobility determined by photoconductivity measurements is found to be reasonably high (‚àº100 cm2/Vs). We have observed terahertz (THz) radiation from a photoconductive dipole antenna geometry. ¬© 1996 American Institute of Physics.</t>
  </si>
  <si>
    <t>3419-3421</t>
  </si>
  <si>
    <t>60180342;60180342;60180342;60180342;60103899;60103899;60025272</t>
  </si>
  <si>
    <t>7005400081;7202127064;6602925860;35395544500;7102527088;18838475600;6603743968</t>
  </si>
  <si>
    <t>Sekine, N.;Hirakawa, K.;Sogawa, F.;Arakawa, Y.;Usami, N.;Shiraki, Y.;Katoda, T.</t>
  </si>
  <si>
    <t>Tokyo;Tokyo;Tokyo</t>
  </si>
  <si>
    <t>Institute of Industrial Science;University of Tokyo, Research Center for Advanced Science and Technology;The University of Tokyo</t>
  </si>
  <si>
    <t>60180342;60103899;60025272</t>
  </si>
  <si>
    <t>Sekine N.</t>
  </si>
  <si>
    <t>Ultrashort lifetime photocarriers in Ge thin films</t>
  </si>
  <si>
    <t>S0003695196008248</t>
  </si>
  <si>
    <t>10.1063/1.115779</t>
  </si>
  <si>
    <t>2-s2.0-0005018415</t>
  </si>
  <si>
    <t>['wavelength dimer', 'various agents', 'spectral characteristics', 'rc associate', 'previous state', 'peripheral antenna', 'native conformation', 'hypsochromic shift', 'harvesting b800', 'g .,', 'fully reversible', 'etc .)', 'energy transfer', 'discussed describing', 'corresponding shift', 'conformational transitions', 'conditions stabilizing', 'complex affects', 'change significantly', 'b800850 complex', 'absorption band', '850 complex', '845 nm', '800 nm']</t>
  </si>
  <si>
    <t>Chromatium minutissimum | Conformational transitions | Model | Pigment-protein complex | Purple bacterium</t>
  </si>
  <si>
    <t>Effects of various agents (detergents, solvents, salts, etc.) on the spectral characteristics (conformational transitions) of light-harvesting B800-850 complex from the purple sulfur photosynthetic bacterium Chromatium minutissimum were studied. It was determined that the complex comprises two dimeric bacteriochlorophylls: long- and short-wavelength. Changing the electrostatic and hydrophobic interactions inside the complex affects only the long-wavelength dimer of bacteriochlorophyll, this being revealed as a hypsochromic shift of the long-wavelength absorption band from 855 to 815-845 nm. This is accompanied by a corresponding shift in the fluorescence emission band and decreasing circular dichroism (CD) signal in this region, while the state of both the short-wavelength dimer (absorption band at 800 nm) and carotenoids do not change significantly. The effect is fully reversible, e.g., after the agent is removed, the previous state of the complex is restored. It is supposed that a native conformation of the B800-850 complex is essential for its interactions with other complexes. The B800-850/B880-RC associate was isolated from Chromatium minutissimum membranes under conditions stabilizing the native conformation of the B800850 complex. A model is discussed describing the observed conformational changes of the B800-850 complex, the role of the pigments in the stabilization of its structure, and the regulation of energy transfer from the peripheral antenna to the reaction center via this changes.</t>
  </si>
  <si>
    <t>318-325</t>
  </si>
  <si>
    <t>Biochemistry (Moscow)</t>
  </si>
  <si>
    <t>7006770967;7103209685;7004563044;6504824848</t>
  </si>
  <si>
    <t>Moskalenko, A. A.;Kuznetsova, N. Yu;Erokhin, Yu E.;Toropygioa, O. A.</t>
  </si>
  <si>
    <t>Moskalenko A.</t>
  </si>
  <si>
    <t>Structural peculiarities and conformational transitions of the B800-850 complex from Chromatium minutissimum</t>
  </si>
  <si>
    <t>2-s2.0-0006873666</t>
  </si>
  <si>
    <t>['œ ±', 'standard instruments', 'sn1987a supernova', 'significant correlation', 'significance level', 'period preceding', 'optical burst', 'obninsk station', 'noise background', 'moscow station', 'maryland data', 'hour interval', 'gravitational data', 'gravitational antennas', 'february 23', 'correlation coefficient', 'correlation analysis', 'copyright 1996', 'analyzed processes', '95 %)', '0200 ut']</t>
  </si>
  <si>
    <t>Correlation analysis is presented for seismic data recorded by standard instruments at the Moscow and Obninsk seismic stations, and for the noise background of gravitational antennas in Rome and Maryland at a period preceding an optical burst of the SN1987A supernova. We found the correlation between the Rome-Maryland data and longitudinal seismic oscillations recorded at the Obninsk station during a 2-hour interval with the center about 0200 UT on February 23, 1987. The cross-correlation coefficient at this period reaches 0.17 at a significance level of Œ± = 0.05, implying significant correlations (certainty of 95%) between the analyzed processes. No significant correlation between the gravitational data and vertical seismic displacements recorded at the Moscow station was found. Copyright 1996 by the American Geophysical Union.</t>
  </si>
  <si>
    <t>780-788</t>
  </si>
  <si>
    <t>Izvestiya - Physics of the Solid Earth</t>
  </si>
  <si>
    <t>60007457;60007457;60069620</t>
  </si>
  <si>
    <t>7004166682;7101836147;8917533900</t>
  </si>
  <si>
    <t>Kravchuk, V. K.;Rudenko, V. N.;Starovoyt, O. E.</t>
  </si>
  <si>
    <t>Schmidt Institute of Physics of the Earth of the Russian Academy of Sciences;Lomonosov Moscow State University</t>
  </si>
  <si>
    <t>60069620;60007457</t>
  </si>
  <si>
    <t>Kravchuk V.</t>
  </si>
  <si>
    <t>Correlation of gravitational and seismic disturbances at time of the 1987A supernova burst</t>
  </si>
  <si>
    <t>2-s2.0-0008972222</t>
  </si>
  <si>
    <t>['two 32', 'results obtained', 'italy ).', 'data show', 'comet shoemaker', 'antennas located', 'additional observations', '74 cm', '6 cm']</t>
  </si>
  <si>
    <t>Comets: individual: Shoemaker-Levy 9 | Planets and satellites: individual: Jupiter | Radio continuum: solar system</t>
  </si>
  <si>
    <t>We present the results of radio continuum observations of the Jupiter - Comet Shoemaker-Levy 9 encounter, carried out at 3.6 cm, 6 cm, 74 cm with the two 32 m antennas located in Medicina and Noto (Italy) and with the Northern Cross Interferometer (Bologna, Italy). Additional observations at 11.7 m arc also presented. In agreement with the results obtained by other groups, our data show that Jupiter synchrotron flux increased considerably as a consequence of the impacts, the flux variations increasing with decreasing radio wavelength.</t>
  </si>
  <si>
    <t>243-247</t>
  </si>
  <si>
    <t>60021199;60021199-60028218-60083755;60021199;60021199;60021199;60021199;60021199;60021199;60021199;60021199;60021199;60021199;60021199;60021199;60021199;60021199</t>
  </si>
  <si>
    <t>56243293900;6602848531;6602820693;7004451835;6701639178;7003957592;6508157258;6601988946;7004409727;6603061866;6603079667;6507284706;7004568391;7004479944;6507008083;6701342347</t>
  </si>
  <si>
    <t>Venturi, T.;Grueff, G.;Trigilio, C.;Tomassetti, G.;Bortolotti, C.;Cattani, A.;Cosmovici, C.;Maccaferri, A.;Maccaferri, G.;Montebugnoli, S.;Orfei, A.;Padrielli, L.;Roma, M.;Tuccari, G.;Tugnoli, M.;Umana, G.</t>
  </si>
  <si>
    <t>Capoterra;Bologna;Rome</t>
  </si>
  <si>
    <t>Osservatorio Astronomico di Cagliari;Alma Mater Studiorum Universit√† di Bologna;Consiglio Nazionale delle Ricerche</t>
  </si>
  <si>
    <t>60083755;60028218;60021199</t>
  </si>
  <si>
    <t>Venturi T.</t>
  </si>
  <si>
    <t>Multiwavelength radio observations of the encounter between Jupiter and comet Shoemaker-Levy 9</t>
  </si>
  <si>
    <t>2-s2.0-0009060423</t>
  </si>
  <si>
    <t>['yba2cu3o7 bilayers', 'tuning media', 'superconducting phase', 'sufficient post', 'ray diffraction', 'mosaic structure', 'ferroelectric baxsr1', 'epitaxially coupled', 'epitaxial baxsr1', 'deposition anneal', 'bst layer', 'applied fields', '77 k', '5 v']</t>
  </si>
  <si>
    <t>Atomic force microscopy | Microwave antennae | Pulsed laser deposition | Rutherford backscattering spectroscopy | Superconduction | X-ray diffraction</t>
  </si>
  <si>
    <t>The feasibility of epitaxial BaxSr1 - xTiO3/YBa2Cu3O7 bilayers was studied for tunable microwave antennae applications. Ferroelectric BaxSr1 - xTiO3 (BST) was epitaxially coupled to YBa2Cu3O7 (YBCO) thin films via the pulsed laser deposition technique. Congruent processing parameters were used for the growth of both layers and it was found that the superconducting phase of the YBCO could still be maintained with sufficient post-deposition anneal in oxygen. X-ray diffraction and Rutherford backscattering spectroscopy results indicate that a mosaic structure was formed in the BST layer. Electrical measurements demonstrate the viability of Ba0.5Sr0.5TiO3 thin films as tuning media for YBCO microwave antennae as the relative dielectric constant was measured to be 360 at 77 K, and 50% modulations were achieved with applied fields as small as 4.5 V. Copyright ¬© 1996 Elsevier Science S.A.</t>
  </si>
  <si>
    <t>379-382</t>
  </si>
  <si>
    <t>60013959;60013959;;;</t>
  </si>
  <si>
    <t>55666976100;57207895915;35496872800;7103318101;7801359552</t>
  </si>
  <si>
    <t>Harkness IV, S. D.;Singh, R. K.;Mueller, C.;Miranda, F. A.;Cubbage, C.</t>
  </si>
  <si>
    <t>Gainesville</t>
  </si>
  <si>
    <t>University of Florida</t>
  </si>
  <si>
    <t>Harkness IV S.D.</t>
  </si>
  <si>
    <t>Epitaxial Ba&lt;inf&gt;x&lt;/inf&gt;Sr&lt;inf&gt;1 - x&lt;/inf&gt;TiO&lt;inf&gt;3&lt;/inf&gt;/YBa&lt;inf&gt;2&lt;/inf&gt;Cu&lt;inf&gt;3&lt;/inf&gt;O&lt;inf&gt;7&lt;/inf&gt; bilayers for tunable microwave applications</t>
  </si>
  <si>
    <t>S0921510796018922</t>
  </si>
  <si>
    <t>10.1016/S0921-5107(96)01892-2</t>
  </si>
  <si>
    <t>2-s2.0-0011406712</t>
  </si>
  <si>
    <t>['theoretical results', 'scanning rate', 'scanning characteristics', 'nineteen elements', 'much better', 'good agreement', 'coupled resonators', '117 deg']</t>
  </si>
  <si>
    <t>The radiation and scanning characteristics of a frequency scanning microstrip series-parallel array antenna consisting of nineteen elements with cascade-coupled resonators have been investigated. The scanning rate of 0.117 deg/MHz is achieved, which is much better than the earlier reported data. Further, the experimental and theoretical results are found to be in good agreement.</t>
  </si>
  <si>
    <t>336-339</t>
  </si>
  <si>
    <t>60019106;60019106</t>
  </si>
  <si>
    <t>57221072548;7003714798</t>
  </si>
  <si>
    <t>Sharma, Satish Kumar;Vishvakarma, B. R.</t>
  </si>
  <si>
    <t>Indian Institute of Technology Banaras Hindu University</t>
  </si>
  <si>
    <t>Sharma S.K.</t>
  </si>
  <si>
    <t>Radiation and scanning characteristics of a frequency scanning microstrip array antenna</t>
  </si>
  <si>
    <t>2-s2.0-0011749240</t>
  </si>
  <si>
    <t>['two layers', 'substantially higher', 'radiating fields', 'microstrip antenna', 'feed location', 'feasible without', 'cp bandwidth', 'antenna consists']</t>
  </si>
  <si>
    <t>A novel circularly polarized (CP) microstrip antenna with a single coaxial feed is introduced. The antenna consists of two layers, each radiating fields which at the zenith are perpendicular to each other with 90¬∞ phase difference. The CP bandwidth is substantially higher than that of the previously reported CP microstrip antennas with two nearly degenerate modes. In principle, a perfect CP radiation is feasible without the input impedance mismatch. The CP design procedure is independent of the feed location. ¬© 1996 IEEE.</t>
  </si>
  <si>
    <t>1426-1427</t>
  </si>
  <si>
    <t>60017536;60017536;60017536</t>
  </si>
  <si>
    <t>7410158021;6603470321;7003541666</t>
  </si>
  <si>
    <t>Lee, Choon Sae;Nalbandian, Vahakn;Schwering, Felix</t>
  </si>
  <si>
    <t>Southern Methodist University</t>
  </si>
  <si>
    <t>Lee C.</t>
  </si>
  <si>
    <t>Circularly polarized microstrip antenna with a single feed</t>
  </si>
  <si>
    <t>S0018926X96075540</t>
  </si>
  <si>
    <t>10.1109/8.537339</t>
  </si>
  <si>
    <t>2-s2.0-0011781947</t>
  </si>
  <si>
    <t>['wave distribution', 'square loops', 'seriesand parallel', 'radiation patterns', 'quarter wavelength', 'potential application', 'main objective', 'loop antenna', 'input impedance', 'hemispherical coverage', 'ground plane', 'frequency dependence', 'fed loops', 'fed circular', 'current distribution', 'cost antennas', 'computed using', 'circularly polarized', 'also measured', '6 ghz', '0 ghz']</t>
  </si>
  <si>
    <t>A traveling-wave distribution of current can be produced on a monopole over a ground plane by inserting a resistance of suitable magnitude one-quarter wavelength from its end. It has been shown that the resistor can be replaced with a modified folded dipole which has a radiation resistance approximately equal to that of the resistor. In this paper, the resistor is replaced with a loop antenna. The main objective is to obtain an antenna having hemispherical coverage and is circularly polarized. Input impedance, current distribution, and radiation patterns of this antenna are computed using the numerical electromagnetics code (NEC); radiation patterns are also measured. Monopoles which are loaded with both seriesand parallel-fed circular and square loops are investigated. It was shown that circular polarization could be obtained over most of the hemisphere with both types of series-fed loops. The parallelfed loop insertions produced more directional circularly polarized patterns. Most computations and measurements were made at a frequency of 1.6 GHz. The frequency dependence was examined and it was found that these antennas can operate over the band from 1.4-2.0 GHz. These very simple, low-cost antennas have potential application for systems such as IRIDIUM and Global Positioning System.</t>
  </si>
  <si>
    <t>787-791</t>
  </si>
  <si>
    <t>Altshuler, Edward E.</t>
  </si>
  <si>
    <t>Altshuler E.</t>
  </si>
  <si>
    <t>A monopole loaded with a loop antenna</t>
  </si>
  <si>
    <t>S0018926X04272X</t>
  </si>
  <si>
    <t>10.1109/8.509881</t>
  </si>
  <si>
    <t>2-s2.0-0012578665</t>
  </si>
  <si>
    <t>['wide head', 'toothed mandibles', 'tl less', 'small eyes', 'situated near', 'segmented antennae', 'posterior margin', 'new species', 'kyushu )].', 'korea ].', 'japanese ant', 'hypoponera nubatama', 'frontal view', 'formica hayashi', 'following characteristics', 'flat dorsum', 'first part', 'eyes consisting', 'erect hairs', 'asian congeners', 'acropyga yaeyamensis', 'acropyga kinomurai', '6 facets', '3 facets', '110 ).']</t>
  </si>
  <si>
    <t>Formicidae | Hymenoptera | Insecta | Japan | New species</t>
  </si>
  <si>
    <t>New species of Japanese ant will be described in a series of papers. As a first part the following four new species are described: Hypoponera nubatama, Formica hayashi, Acropyga kinomurai and A. yaeyamensis. Hypoponera nubatama is distinguished from the other East Asian congeners by having the following characteristics: antennal scapes reaching the posterior margin of head; eyes consisting of 3 facets and situated near the posterior margin of clypeus; petiolar node thin, with convex dorsal outline; body color black. [Distribution: Japan (Honshu, Kyushu)]. Formica hayashi seemingly resembles F. japonica, but can be distinguished from the latter by the number of erect hairs on 2nd gastral tergite excluding a row of hairs on posterior margin, relatively long antennal scapes and rounded posterolateral corners of head in frontal view. [Distribution: Japan (Hokkaido, Honshu, Shikoku, Kyushu, Yaku-shima; Korea]. Acropyga kinomurai is separated from the other Asian congeners by the 4-toothed mandibles, 11-segmented antennae, small eyes each consisting of 5-6 facets, wide head (CI&gt;110). and flat dorsum of alitrunk. [Distribution: Japan (Yaeyama Is.)]. Acropyga yaeyamensis is distinctive in having the 4-toothed mandibles, 10-segmented antennae, and small body size (TL less than 2.0 mm). [Distribution: Japan (Yaeyama Is.)].</t>
  </si>
  <si>
    <t>Nature and Human Activities</t>
  </si>
  <si>
    <t>60025272;100322585</t>
  </si>
  <si>
    <t>6602853561;57220882846</t>
  </si>
  <si>
    <t>Terayama, Mamoru;Hashimoto, Yoshiaki</t>
  </si>
  <si>
    <t>Tokyo;Sanda</t>
  </si>
  <si>
    <t>The University of Tokyo;Museum of Nature and Human Activities</t>
  </si>
  <si>
    <t>Terayama M.</t>
  </si>
  <si>
    <t>Taxonomic studies of the Japanese formicidae, Part 1: Introduction to this series and descriptions of four new species of the genera hypoponera, formica and acropyga</t>
  </si>
  <si>
    <t>2-s2.0-0013226528</t>
  </si>
  <si>
    <t>['~) using', 'yields h', 'transmitterreceiver crosstalk', 'spectrum analyzer', 'signal source', 'relative locations', 'receiving antenna', 'personal computer', 'measure h', 'los transmission', 'jui )\\', 'ju &gt;)\\', 'ju &gt;)', 'ju )\\', 'ju ).', 'hubert transform', 'hilbert transform', 'good agreement', 'existing frequency', 'effective means']</t>
  </si>
  <si>
    <t>A simple, cost-effective means is developed to estimate the time-invariant wireless radio channel impulse response h(t~) using only the magnitude of the channel transfer function, H(ju). The Hubert transform is used to calculate the phase of H(ju) from its magnitude. Inverse discrete Fourier transformation (IDt'T) of H(ju) yields h(t). The Hilbert transform relation is applicable provided H(ju&gt;) is a minimum phase transfer function. An experimental in-building wireless channel testbed was established, tor which h(t) was determined over the 1000-2500 MHz range. Both line of sight (LOS) and non-LOS transmission was investigated. Good agreement was observed between values of h(t) calculated from measured values ofH(jui) and from those based only on \H(ju)\ and its Hilbert transform. Even when the minimum phase condition is violated, h(t) as calculated from \H(ju&gt;)\ and its Hilbert transform provides a useful lower bound on the time-spread of /i(t). The measurement of \H(jui)\ is easily implemented using a signal source, receiving antenna, and spectrum analyzer. A personal computer and software are required to calculate the phase of H(ju} and its IDTF. Existing frequency-domain measurement schemes utilize a vector network analyzer to measure H(ju) (magnitude and phase angle). Such equipment is expensive, subject to transmitterreceiver crosstalk, and restrictive as to the relative locations of the transmitting and receiving antenna. ¬©1996 IEEE.</t>
  </si>
  <si>
    <t>101214947-60002306;101214947;60002306</t>
  </si>
  <si>
    <t>7003952670;6701822565;7103131342</t>
  </si>
  <si>
    <t>Donaldson, Brian P.;Fattouche, Michel;Donaldson, Robert W.</t>
  </si>
  <si>
    <t>Calgary;Calgary</t>
  </si>
  <si>
    <t>University of Calgary;Quadras Researcli and Development</t>
  </si>
  <si>
    <t>60002306;101214947</t>
  </si>
  <si>
    <t>Donaldson B.P.</t>
  </si>
  <si>
    <t>Characterization of in-building UH4 wireless radio communication channels using spectral energy measurements</t>
  </si>
  <si>
    <t>S0018926X96006229</t>
  </si>
  <si>
    <t>10.1109/8.477531</t>
  </si>
  <si>
    <t>2-s2.0-0029733576</t>
  </si>
  <si>
    <t>['weight coefficients', 'spatial aperture', 'simulated annealing', 'side lobes', 'results obtained', 'priori fixed', 'high flexibility', 'element array', 'case considered', 'array elements', '50œª improve']</t>
  </si>
  <si>
    <t>Simulated annealing is applied to the synthesis of arrays in order to reduce the peaks of side lobes by acting on the elements' positions and weight coefficients. In the case considered, the number of array elements and the spatial aperture of an unequally spaced array are a priori fixed. Thanks to the high flexibility of simulated annealing, the results obtained for a 25-element array over an aperture of 50Œª improve those reported in the literature. ¬© 1996 IEEE.</t>
  </si>
  <si>
    <t>60025153;60025153;60025153</t>
  </si>
  <si>
    <t>7006595496;7007035725;35513672400</t>
  </si>
  <si>
    <t>Murino, Vittorio;Trucco, Andrea;Regazzoni, Carlo S.</t>
  </si>
  <si>
    <t>Genoa</t>
  </si>
  <si>
    <t>Universit√† degli Studi di Genova</t>
  </si>
  <si>
    <t>Murino V.</t>
  </si>
  <si>
    <t>Synthesis of unequally spaced arrays by simulated annealing</t>
  </si>
  <si>
    <t>S1053587X96006925</t>
  </si>
  <si>
    <t>10.1109/78.482017</t>
  </si>
  <si>
    <t>2-s2.0-0029733612</t>
  </si>
  <si>
    <t>['using galerkin', 'unique feature', 'truncation errors', 'thoroughly eliminated', 'thereby improving', 'testing functions', 'technique consists', 'singular green', 'simulations carried', 'microstrip arrays', 'good agreement', 'fft method', 'efficient technique', 'div operators', 'differentiable expansion']</t>
  </si>
  <si>
    <t>An accurate and efficient technique is presented for the analysis of large microstrip antenna arrays. The technique consists of an amalgamation of a spatially discrete scheme, consisting of the CG-FFT method and the complex discrete image (CDI) technique. The unique feature of this approach is the use of the spatially discrete CG-FFT for analyzing microstrip structures. The aliasing and truncation errors are thoroughly eliminated in this approach. In addition, the grad-div operators are transformed from singular Green's functions to differentiable expansion and testing functions by using Galerkin's procedure, thereby improving the accuracy and the rate of convergence. To show the accuracy and efficiency of this technique, a number of microstrip arrays, including a large microstrip reflectarray, have been studied. It is found that the simulations carried out using this technique are in very good agreement with measurements. ¬©1996 IEEE.</t>
  </si>
  <si>
    <t>102-109</t>
  </si>
  <si>
    <t>60030813;60030813;60030813;60030813</t>
  </si>
  <si>
    <t>55046554200;7404507474;7501662188;7006562937</t>
  </si>
  <si>
    <t>Zhuang, Yuan;Wu, Ke Li;Wu, Chen;Litva, John</t>
  </si>
  <si>
    <t>Zhuang Y.</t>
  </si>
  <si>
    <t>A combined full-wave CG-FFT method for rigorous analysis of large microstrip antenna arrays</t>
  </si>
  <si>
    <t>S0018926X96006254</t>
  </si>
  <si>
    <t>10.1109/8.477534</t>
  </si>
  <si>
    <t>2-s2.0-0029733812</t>
  </si>
  <si>
    <t>DAAH-04-93-G-0027</t>
  </si>
  <si>
    <t>['receiving antennas', 'penetrating radar', 'good agreement', 'fully three', 'dispersive earth', 'difference tunedomain', 'buried object', 'antenna feeds', 'actual radar']</t>
  </si>
  <si>
    <t>A fully three-dimensional, finite-difference tunedomain (FDTD) model of a ground-penetrating radar is described. The FDTD simulation completely models the transmitting and receiving antennas, the antenna feeds, the dispersive earth, and the buried object. Results of scattering from three different buried cylindrical pipes are compared to previously measured results for a one-third size scale model of an actual radar and are shown to be in good agreement. ¬© 1996 IEEE.</t>
  </si>
  <si>
    <t>36-44</t>
  </si>
  <si>
    <t>7102362258;7406739047</t>
  </si>
  <si>
    <t>Bourgeois, Jacqueline M.;Smith, Glenn S.</t>
  </si>
  <si>
    <t>Bourgeois J.</t>
  </si>
  <si>
    <t>A fully three-dimensional simulation of a ground-penetrating radar: fdtd theory compared with Experiment</t>
  </si>
  <si>
    <t>S0196289296002835</t>
  </si>
  <si>
    <t>10.1109/36.481890</t>
  </si>
  <si>
    <t>2-s2.0-0029735358</t>
  </si>
  <si>
    <t>['smooth expansions', 'serrate nature', 'reported originally', 'previously known', 'posterior margin', 'northeastern pacific', 'new species', 'mariana back', 'leg 5', 'leg 4', 'large numbers', 'known also', 'hydrothermal site', 'genital double', 'formula 0', 'five setae', 'first time', 'eleven species', 'disjunct distribution', 'depth 3', 'depth 1', 'caudal ramus', 'bulbous setae', 'atlantic ridge', 'arc basin', 'angular margin']</t>
  </si>
  <si>
    <t>Eleven species of Dirivultidae (Copepoda: Siphonostomatoida) have been found at deep-sea vent areas on the Mid-Atlantic Ridge at the Snake Pit site, 23¬∞23‚Ä≤N, 44¬∞56‚Ä≤'W, depth 3,500 m, and near the Azores at the Lucky Strike site, 37¬∞N, 32¬∞W, depth 1,620 m. Rimipontius mediospinifer new genus, new species, is characterized by the formula 0-0; I for the endopod of leg 4 and by the presence of five setae on each caudal ramus. Aphotopontius atlanteus new species is distinguished by the length of the caudal ramus and by details of the genital double-somite in the female. Stygiopontius cladarus new species is noted for its small subdrate caudal ramus; S. serratus new species for the serrate nature of posterior margin of the antennule; S. teres new species in the female for its smooth expansions of the genital double-somite and the angular margin on leg 5; S. regius new species for its large broad undivided leg 5 in the female and its irregularly shaped spermatophore; S. bulbisetiger new species for the bulbous setae on the antenna; S. mirus new species for the prolongation of the coxa of the maxilliped with a terminal clawlike process; and S. latulus new species for the unusually broad prosome. Two copepods show a disjunct distribution: Aphotopontius forcipatus Humes, 1987, previously known only from the northeastern Pacific, is reported for the first time in the Atlantic; Stygiopontius pectinatus Humes, 1987, reported originally from the Mid-Atlantic Ridge and known also from the Mariana Back-Arc Basin, is recorded in large numbers from the hydrothermal site at 23¬∞23‚Ä≤N, 44¬∞56‚Ä≤W.</t>
  </si>
  <si>
    <t>609-653</t>
  </si>
  <si>
    <t>Bulletin of Marine Science</t>
  </si>
  <si>
    <t>Deep-sea copepoda (siphonostomatoida) from hydrothermal sites on the mid-Atlantic Ridge at 23¬∞ and 37¬∞N</t>
  </si>
  <si>
    <t>2-s2.0-0029749113</t>
  </si>
  <si>
    <t>['waveguide applicators', 'tissue layers', 'numerical results', 'fields inside', 'analyzed theoretically']</t>
  </si>
  <si>
    <t>The coupling between the waveguide applicators of a four-element phased array hyperthermia system irradiating a three-layered cylindrical tissue model of circular cross section is analyzed theoretically. The fields inside the tissue layers are expressed in terms of cylindrical vector wave functions satisfying the corresponding wave equations, while the fields inside each waveguide are expanded in terms of guided and evanescent normal modes. Then, by implementing the appropriate boundary conditions, a system of four coupled integral equations is derived in terms of the unknown electric field distributions on the open waveguide apertures. This system is solved by expanding the unknown electric field on each aperture into waveguide normal modes and by applying a Galerkin's procedure. The self reflection coefficient and the mutual coupling coefficients are then determined and numerical results for a four-element phased array hyperthermia system are computed and presented for different waveguide applicator sizes and settings. ¬© 1996 IEEE.</t>
  </si>
  <si>
    <t>7005448427;7102355233</t>
  </si>
  <si>
    <t>Nikita, Konstantina S.;Uzunoglu, Nikolaos K.</t>
  </si>
  <si>
    <t>Nikita K.</t>
  </si>
  <si>
    <t>Coupling phenomena in concentric multi-applicator phased array hyperthermia systems</t>
  </si>
  <si>
    <t>S0018948096004784</t>
  </si>
  <si>
    <t>10.1109/22.481386</t>
  </si>
  <si>
    <t>2-s2.0-0029752887</t>
  </si>
  <si>
    <t>Langley Research Center</t>
  </si>
  <si>
    <t>NAG 1-1478</t>
  </si>
  <si>
    <t>LaRC</t>
  </si>
  <si>
    <t>['wideband feed', 'vhf frequencies', 'one presented', 'new planar', 'conformai applications']</t>
  </si>
  <si>
    <t>A new planar, wideband feed for a slot spiral antenna is presented and tested at VHF frequencies. Radiation pattern measurements are presented to demonstrate the performance and usefulness of this feed. In contrast to most traditional printed spiral antenna designs, the one presented here incorporates a completely planar balnn and feed, making it more attractive for conformai applications. ¬©1995 IEEE.</t>
  </si>
  <si>
    <t>130-131</t>
  </si>
  <si>
    <t>60025778;60025778</t>
  </si>
  <si>
    <t>6603911095;7102576479</t>
  </si>
  <si>
    <t>N√ºrnberger, M. W.;Volakis, J. L.</t>
  </si>
  <si>
    <t>N√ºrnberger M.</t>
  </si>
  <si>
    <t>A new planar feed for slot spiral antennas</t>
  </si>
  <si>
    <t>S0018926X96006291</t>
  </si>
  <si>
    <t>10.1109/8.477538</t>
  </si>
  <si>
    <t>2-s2.0-0029753567</t>
  </si>
  <si>
    <t>['used directly', 'rod may', 'perturbation method', 'metal drill', 'magnetic permeability', 'low frequencies', 'integration technique', 'complicated geometry']</t>
  </si>
  <si>
    <t>The radiation of a loop antenna embedded in a borehole with complicated geometry is analyzed by perturbation method and an efficient fast multiple-integration technique. The perturbation method is not used directly because there is a drillstem whose conductivity and magnetic permeability are very large in the borehole. The prolate ellipsoid equivalence of the metal drill-rod is made, then the drill-rod may be removed and the perturbation method is valid. Some numerical results indicate that the approach is efficient and stable at low frequencies. ¬© 1996 IEEE.</t>
  </si>
  <si>
    <t>33-35</t>
  </si>
  <si>
    <t>60021182;60021182;60021182</t>
  </si>
  <si>
    <t>55911335300;57199202459;7406582620</t>
  </si>
  <si>
    <t>Long, Yunliang;Jiang, Hongyan;Lin, Yikun</t>
  </si>
  <si>
    <t>Guangzhou</t>
  </si>
  <si>
    <t>Sun Yat-Sen University</t>
  </si>
  <si>
    <t>Long Y.</t>
  </si>
  <si>
    <t>Electromagnetic field due to a loop antenna in a borehole</t>
  </si>
  <si>
    <t>S019628929600277X</t>
  </si>
  <si>
    <t>10.1109/36.481889</t>
  </si>
  <si>
    <t>2-s2.0-0029754174</t>
  </si>
  <si>
    <t>F49620-93-1-0093</t>
  </si>
  <si>
    <t>['truncated array', 'thereby parameterizing', 'tested observable', 'target classification', 'subsequent application', 'scattering data', 'resulting algorithm', 'previous studies', 'planar strip', 'new obp', 'model configuration', 'induced excitation', 'geometrical features', 'finite array', 'filament scatterers', 'composite problem', 'composite configuration', 'complicated phenomenology', 'companion paper', 'based parameterization']</t>
  </si>
  <si>
    <t>In previous studies, we have developed and tested observable-based parameterization (OBP) of time-harmonic wavefield scattering by periodic or aperiodic finite arrays of planar strip and filament scatterers. The resulting algorithm is based on truncated Floquet modes and Floquet-modulated edge diffractions due to the truncations of the array. The corresponding robust wave processes link features (observables) in scattering data with geometrical features in the model configuration in such a manner as to be useful for subsequent application to target classification and identification. The present study extends these investigations to a finite array of filamentary scatterers located on the surface of an infinitely extended dielectric slab, thereby parameterizing (Floquet mode)-(leaky mode) interaction as a classifier of the more complicated phenomenology in this composite configuration. The outcome is an OBP with two separate constituents that can be interpreted, respectively, as slab-modified Floquet scattering by the truncated array and as truncated-Floquet-induced excitation of slab-guided leaky waves. This new OBP for the composite problem is validated by comparison with reference solutions generated numerically. Its relevance to wave-oriented data processing is demonstrated in the companion paper. ¬© 1996 IEEE.</t>
  </si>
  <si>
    <t>60008724-60019674;60008724;60008724</t>
  </si>
  <si>
    <t>7004561693;56883021600;7401791662</t>
  </si>
  <si>
    <t>Carin, Lawrence;Felsen, Leopold B.;Hsu, Teng Tai</t>
  </si>
  <si>
    <t>Boston;Durham</t>
  </si>
  <si>
    <t>Boston University;Duke University</t>
  </si>
  <si>
    <t>60019674;60008724</t>
  </si>
  <si>
    <t>Carin L.</t>
  </si>
  <si>
    <t>High-frequency fields excited by truncated arrays of nonuniformly distributed filamentary scatterers on an infinite dielectric slab: parameterizing (leaky mode)-(floquet mode) interaction</t>
  </si>
  <si>
    <t>S0018926X96006138</t>
  </si>
  <si>
    <t>10.1109/8.477522</t>
  </si>
  <si>
    <t>2-s2.0-0029754962</t>
  </si>
  <si>
    <t>['transmitting energy', 'sparse array', 'sparse 2', 'six times', 'receiving energy', 'radiation patterns', 'minimizing degradation', 'method relies', 'little effect', 'effective aperture', 'different arrangement', 'dense 2', 'companion paper', '2d arrays', '12 times', '1 ],']</t>
  </si>
  <si>
    <t>A method for reducing the number of elements in a 2-D array while minimizing degradation of the beam forming properties is described. The method relies on selecting a different arrangement of elements when the array is transmitting energy and when the array is receiving energy. The transmit and receive aperture functions are chosen to minimize the difference between the effective aperture of the sparse array and the effective aperture of a desired dense array. In a companion paper [1], the design of sparse linear arrays using the effective aperture method was described. Here, we extend this method to the design of 2D arrays. Comparisons of the radiation patterns of a dense 2-D array and sparse 2-D arrays with random and periodic element spacing are given. Using the effective aperture method, we show that the number of elements in a 64 x 64 2-D array can be reduced by more than six times, and the elements in a 128 x 128 array can be reduced by more than 12 times, with little effect on the beam forming properties of the arrays. ¬© 1996 IEEE.</t>
  </si>
  <si>
    <t>15-19</t>
  </si>
  <si>
    <t>IEEE Transactions on Ultrasonics, Ferroelectrics, and Frequency Control</t>
  </si>
  <si>
    <t>60021160;60029150</t>
  </si>
  <si>
    <t>7102722812;7103062221</t>
  </si>
  <si>
    <t>Lockwood, Geoffrey R.;Stuart Foster, F.</t>
  </si>
  <si>
    <t>Toronto;Cleveland</t>
  </si>
  <si>
    <t>Sunnybrook Health Sciences Centre;Cleveland Clinic Foundation</t>
  </si>
  <si>
    <t>60029150;60021160</t>
  </si>
  <si>
    <t>Lockwood G.</t>
  </si>
  <si>
    <t>Optimizing the radiation pattern of sparse periodic two-dimensional arrays</t>
  </si>
  <si>
    <t>S0885301096003565</t>
  </si>
  <si>
    <t>10.1109/58.484458</t>
  </si>
  <si>
    <t>2-s2.0-0029755721</t>
  </si>
  <si>
    <t>['target tracking', 'simultaneous imaging', 'signal processing', 'moving target', 'filtered estimate', 'difficult problems', 'computer simulations', 'azimuth dimensions', 'arc aperture', 'angular positions', 'angle change', 'ahead prediction', 'accurate information']</t>
  </si>
  <si>
    <t>The simultaneous imaging and tracking of a moving target is one of the most difficult problems in inverse synthetic aperture radar (ISAR) signal processing. The problem is addressed here using a two-antenna imaging radar. The target range shift is sensed with an exponentially averaged envelope correlation algorithm, while the angle change is measured with a differential phase shift algorithm. The three state Kalman filters are used in range and azimuth dimensions to provide both a filtered estimate and a one-sample-ahead prediction for the purpose of target tracking. The filtered range shift provides an accurate information for range bin alignment, and the target angle change provides the angular positions of the synthetic array elements. Therefore, the ISAR imaging simply becomes processing of a circular-arc aperture. The algorithms are verified both by computer simulations and also with experimental data processing. ¬© 1996 IEEE.</t>
  </si>
  <si>
    <t>243-254</t>
  </si>
  <si>
    <t>IEEE Transactions on Aerospace and Electronic Systems</t>
  </si>
  <si>
    <t>60013506;60005415</t>
  </si>
  <si>
    <t>56129977600;7006002142</t>
  </si>
  <si>
    <t>Wu, H.;Delisle, G. Y.</t>
  </si>
  <si>
    <t>Edmonton;Varennes</t>
  </si>
  <si>
    <t>L-3 Communications SPAR Aerospace Limited;Centre √ânergie Mat√©riaux T√©l√©communications</t>
  </si>
  <si>
    <t>Precision tracking algorithms for ISAR imaging</t>
  </si>
  <si>
    <t>10.1109/7.481266</t>
  </si>
  <si>
    <t>2-s2.0-0029756292</t>
  </si>
  <si>
    <t>['¬± 4mm', 'vertical directions', 'vertical component', 'statistical analysis', 'sites ranged', 'session individually', 'relative horizontal', 'reclaimed land', 'port island', 'island reclaimed', 'individual sessions', 'horizontal components', 'gps technology', 'easily determine', 'day period', 'dam monitoring', 'coordinate differences', 'combined later', 'antenna shifts']</t>
  </si>
  <si>
    <t>The objectives of this paper are twofold: (i) to determine the sensitivity of Global Positioning System (GPS) observations to a reclaimed land from the sea. and to adopt this GPS technology to monitor cut slopes, dam monitoring, tunnelling and other related construction projects; (ii) to determine the stability of the sites of the Island reclaimed from the sea. Five established marks were monitored using ten repeated GPS observations (sessions) at Port Island, Japan. The observations were made over a four-day period, commencing July 21, 1993. During the individual sessions, the positions of the antenna were shifted by 10mm on some of the stations in the north, east and vertical directions. The separation of the sites ranged from 450m to 1224m. The solutions were determined by processing each session individually to easily determine the results of the sites of the antenna shifts. The estimates of relative horizontal and vertical coordinate differences were obtained. All the observations were combined later to form a simultaneous adjustment imposing constraints on some of the parameters. These results were used to test the statistical analysis of the coordinate differences. The precisions of the relative site motions are within ¬± 3mm for the horizontal components and ¬± 4mm for the vertical component.</t>
  </si>
  <si>
    <t>Geomatica</t>
  </si>
  <si>
    <t>60020321;60011418;60011418</t>
  </si>
  <si>
    <t>6602802709;7202345356;36944678800</t>
  </si>
  <si>
    <t>Ananga, Nyarba;Sakurai, Shunsuke;Kawashima, Ikuo</t>
  </si>
  <si>
    <t>Australia;Japan</t>
  </si>
  <si>
    <t>Toowoomba;Kobe</t>
  </si>
  <si>
    <t>University of Southern Queensland;Kobe University</t>
  </si>
  <si>
    <t>60020321;60011418</t>
  </si>
  <si>
    <t>Ananga N.</t>
  </si>
  <si>
    <t>Detecting centimeter systematic errors in GPS engineering surveys</t>
  </si>
  <si>
    <t>2-s2.0-0029769761</t>
  </si>
  <si>
    <t>Australian Research Council</t>
  </si>
  <si>
    <t>ARC</t>
  </si>
  <si>
    <t>['waves arriving', 'rectangular array', 'polarization estimation', 'original pencil', 'music method', 'former especially', 'finding 2', 'estimation deviation', 'efficient computation', 'easily formulated', 'crossed dipoles', 'coherent case', '8 times']</t>
  </si>
  <si>
    <t>For finding 2-D angles and polarizations of waves arriving at a rectangular array of crossed dipoles, the Pencil-MUSIC method [1] can achieve the near optimum performance with much less computational burden than the MUSIC (multiple signal classification). Following an angle-only ESPRIT (estimation of signal parameters via rotational invariance techniques) method, an angle-only Pencil-MUSIC can be easily formulated which is far more accurate than the former especially in the coherent case. The angle-only Pencil-MUSIC is analyzed and compared with the original Pencil-MUSIC. The new version sacrifices the polarization estimation to achieve about 8 times more efficient computation. The accuracy of the new version seems no more than 4 times worse in terms of estimation deviation. ¬© 1996 IEEE.</t>
  </si>
  <si>
    <t>284-299</t>
  </si>
  <si>
    <t>Cheng, Q. I.</t>
  </si>
  <si>
    <t>Parkville</t>
  </si>
  <si>
    <t>University of Melbourne</t>
  </si>
  <si>
    <t>Cheng Q.</t>
  </si>
  <si>
    <t>Further study of the pencil-MUSIC algorithm</t>
  </si>
  <si>
    <t>10.1109/7.481269</t>
  </si>
  <si>
    <t>2-s2.0-0029771289</t>
  </si>
  <si>
    <t>NSFC</t>
  </si>
  <si>
    <t>['useful guidelines', 'theoretical predictions', 'teoi mode', 'rigorous formulation', 'radiation characteristics', 'omnidirectional antenna', 'new millimeter', 'mode excitation', 'measured results', 'investigated theoretically', 'good agreement', 'carefully investigated']</t>
  </si>
  <si>
    <t>A new millimeter-wave omnidirectional dielectric rod metallic grating antenna is investigated theoretically and experimentally, in this paper. The radiation characteristics of the antenna are carefully investigated by a rigorous formulation for the TEoi-mode and TMoi-mode excitation in the Ka-band frequency range. Based on the analysis, an omnidirectional antenna excited by the TEoi mode is designed and measured. The measured results are compared with theoretical predictions and good agreement is found. Extensive numerical results are given to establish some useful guidelines for the design of the omnidirectional antenna. ¬© 1996 IEEE.</t>
  </si>
  <si>
    <t>60019118;60019118</t>
  </si>
  <si>
    <t>13614168600;7407062043</t>
  </si>
  <si>
    <t>Xu, Shanjia;Wu, Xinzhang</t>
  </si>
  <si>
    <t>Hefei</t>
  </si>
  <si>
    <t>University of Science and Technology of China</t>
  </si>
  <si>
    <t>Xu S.</t>
  </si>
  <si>
    <t>A millimeter-wave omnidirectional dielectric rod metallic grating antenna</t>
  </si>
  <si>
    <t>S0018926X96006217</t>
  </si>
  <si>
    <t>10.1109/8.477530</t>
  </si>
  <si>
    <t>2-s2.0-0029771325</t>
  </si>
  <si>
    <t>['sparse arrays', 'radiation patterns', 'radiation pattern', 'little degradation', 'grating lobes', 'function gives', 'fourier transform', 'exact solution', 'element spacing', 'different strategies', 'desired two', 'dense array', 'conventional imaging', 'compared experimentally', 'approximate solutions', 'appropriate width']</t>
  </si>
  <si>
    <t>We have developed a method for designing sparse periodic arrays. Grating lobes in the two-way radiation pattern are avoided by using different element spadngs on transmission and reception. The transmit and receive aperture functions are selected such that the convolution of the aperture functions produces a desired effective aperture. A desired effective aperture is simply an aperture with an appropriate width, element spacing, and shape such that the Fourier transform of this function gives the desired two-way radiation pattern. If a synthetic aperture approach is used, an exact solution to the problem is possible. However, for conventional imaging, often only an approximation of the desired effective aperture can be found. Different strategies for obtaining these approximate solutions are described. The radiation pattern of a sparse array designed using the effective aperture concept is compared experimentally with the radiation patterns of a dense array, and sparse arrays with periodic and random element spacing. We show that the number of elements in a 128-element linear array can be reduced by at least four times with little degradation of the beam forming properties of the array. ¬©1996 IEEE.</t>
  </si>
  <si>
    <t>60021160;60028673;60025778;60029150</t>
  </si>
  <si>
    <t>7102722812;34875149900;35476639300;7103062221</t>
  </si>
  <si>
    <t>Lockwood, Geoffrey R.;Li, Pai Chi;O'Donnell, Matthew;Stuart Foster, F.</t>
  </si>
  <si>
    <t>Canada;Germany;United States;United States</t>
  </si>
  <si>
    <t>Toronto;Munich;Ann Arbor;Cleveland</t>
  </si>
  <si>
    <t>Sunnybrook Health Sciences Centre;Siemens AG;University of Michigan, Ann Arbor;Cleveland Clinic Foundation</t>
  </si>
  <si>
    <t>60029150;60028673;60025778;60021160</t>
  </si>
  <si>
    <t>Optimizing the radiation pattern of sparse periodic linear arrays</t>
  </si>
  <si>
    <t>S0885301096003553</t>
  </si>
  <si>
    <t>10.1109/58.484457</t>
  </si>
  <si>
    <t>2-s2.0-0029777219</t>
  </si>
  <si>
    <t>['¬± 10', 'permanent magnets', 'microwave launcher', 'microwave frequency', 'four rings', 'electron density', 'annular antenna', '40 mm', '100 mm']</t>
  </si>
  <si>
    <t>A large diameter uniform plasma is produced by electron cyclotron resonance using multi-annular antenna as a microwave launcher with permanent magnets. The uniformity of the ion saturation current is ¬±10% for 280 mm diameter at 100 mm from a single annular antenna, where the electron density of the uniform area exceeds the cut-off density for the microwave frequency. By using a threefold annular antenna consisting of four rings of magnets, an ion saturation current of more than 5 mA cm-2 is obtained over an area almost 300 mm in diameter at 40 mm from the antenna. It is demonstrated by calculation that both the uniformity and density can be improved by the control of microwave power distribution.</t>
  </si>
  <si>
    <t>28-31</t>
  </si>
  <si>
    <t>Plasma Sources Science and Technology</t>
  </si>
  <si>
    <t>60024322-60011001;60011001;60011001;60092510-60011001</t>
  </si>
  <si>
    <t>7006582192;7801691654;56102798000;6701429033</t>
  </si>
  <si>
    <t>Hatta, Akimitsu;Ushigusa, Yoshihiro;Yasaka, Yasuyoshi;Itatani, Ryohei</t>
  </si>
  <si>
    <t>Niihama;Suita;Kyoto</t>
  </si>
  <si>
    <t>National Institute of Technology, Niihama College;Osaka University;Kyoto University</t>
  </si>
  <si>
    <t>60092510;60024322;60011001</t>
  </si>
  <si>
    <t>Hatta A.</t>
  </si>
  <si>
    <t>Production of large diameter plasma by using multi-annular antenna for electron cyclotron resonance</t>
  </si>
  <si>
    <t>10.1088/0963-0252/5/1/003</t>
  </si>
  <si>
    <t>2-s2.0-0030073660</t>
  </si>
  <si>
    <t>['tortus tokamak', 'single antenna', 'sharp profiles', 'safety factor', 'results could', 'presented concerning', 'modes observed', 'helium discharges', 'good number', 'daw modes', 'cyclotron frequency', 'central value', 'also presented']</t>
  </si>
  <si>
    <t>In this paper, results are presented concerning the excitation of discrete Alfv√©n wave (DAW) modes in the TORTUS tokamak. The experiments involved sweeping a single antenna in frequency to generate a number of DAW modes which were identified using magnetic probe arrays. With reliable mode identification, and a good number of modes observed, it was possible to estimate the central value of the safety factor for the discharges. It was found that the results could be explained by discharges with sharp profiles of density and central q values below unity. Results are also presented for deuterium and helium discharges, in which the spectrum up to the cyclotron frequency was investigated. ¬© 1996 IOP Publishing Ltd.</t>
  </si>
  <si>
    <t>207-228</t>
  </si>
  <si>
    <t>Plasma Physics and Controlled Fusion</t>
  </si>
  <si>
    <t>60025709;60025709</t>
  </si>
  <si>
    <t>6602589627;7202235472</t>
  </si>
  <si>
    <t>Miljak, D. G.;Cross, R. C.</t>
  </si>
  <si>
    <t>Miljak D.</t>
  </si>
  <si>
    <t>The discrete Alfv√©n wave spectrum observed in the TORTUS tokamak</t>
  </si>
  <si>
    <t>10.1088/0741-3335/38/2/007</t>
  </si>
  <si>
    <t>2-s2.0-0030073709</t>
  </si>
  <si>
    <t>['various magnitudes', 'symmetric antennas', 'right helical', 'results indicate', 'plasma potentials', 'plasma parameters', 'plasma density', 'optical fibre', 'near field', 'miniature lens', 'light profile', 'k direction', 'former case', 'field direction', 'emission line', 'electron temperature', 'compensated probes', 'axial dependence', 'antiparallel (#)', 'antenna helicity', 'antenna geometries', '1 mode', '1 ),']</t>
  </si>
  <si>
    <t>The axial dependence of the plasma density, electron temperature, plasma potentials, and the 488 nm argon ion emission intensity have been measured in argon helicon discharges excited by both right helical and Nagoya III antennas for various magnitudes and directions of the magnetic field B. The plasma parameters were monitored with RF-compensated probes, while the emission line was detected with an optical emission spectrometer that incorporates an optical fibre and a miniature lens. The right helical antennas were designed to excite the m = +1 azimuthal mode when B is parallel (‚à•) to the propagation vector k, and the m = -1 mode when B is antiparallel (#) to k. The plasma is found to be more dense in the former case (B ‚à• k, m = +1), and the density peaks several antenna lengths downstream in the k direction. Nagoya III antennas are symmetric antennas that should excite the same azimuthal mode content in either magnetic field direction; indeed, the light profile was found to be independent of field direction. In the near field, under the antennas, the density is approximately the same for both antenna geometries and magnetic field directions. These results indicate that the m = +1 mode is preferentially excited regardless of the antenna helicity.</t>
  </si>
  <si>
    <t>43-53</t>
  </si>
  <si>
    <t>6602291763;7404907705</t>
  </si>
  <si>
    <t>Sudit, Isaac D.;Chen, Francis F.</t>
  </si>
  <si>
    <t>Sudit I.</t>
  </si>
  <si>
    <t>Discharge equilibrium of a helicon plasma</t>
  </si>
  <si>
    <t>10.1088/0963-0252/5/1/006</t>
  </si>
  <si>
    <t>2-s2.0-0030073720</t>
  </si>
  <si>
    <t>F49620-91-C-0086</t>
  </si>
  <si>
    <t>['wsf ).', 'wing flexure', 'simple model', 'quite different', 'physically motivated', 'operational flight', 'nicely captures', 'model aircraft', 'gives rise', 'direction finding', 'df errors', 'array responses', 'array calibration', 'anechoic chamber', 'airborne platforms']</t>
  </si>
  <si>
    <t>Errors in array calibration are the dominant error source for direction finding (DF) in airborne platforms. This problem arises since wings in large surveillance aircraft exhibit significant flexure, and their actual instantaneous positions during array calibration and operational flight is likely to be quite different. Scattering from time-varying wing structures onto the belly mounted antennas therefore causes the array responses to deviate from the array calibration and gives rise to DF errors. We present a simple model for array manifold perturbations due to wing flexure that nicely captures their effect. The model is physically motivated and has been validated using experiments on a scale-model aircraft in an anechoic chamber. Our model can be exploited to derive new versions of the classical DF estimation schemes including weighted subspace fitting (WSF). ¬© 1996 IEEE.</t>
  </si>
  <si>
    <t>296-304</t>
  </si>
  <si>
    <t>60000251-60016575;60000251-100334256;60000251-60012708</t>
  </si>
  <si>
    <t>7005333572;7005358951;7004920065</t>
  </si>
  <si>
    <t>Gustafsson, Kjell;McCarthy, Frank;Paulraj, Arogyaswami</t>
  </si>
  <si>
    <t>Sweden;United States;United States;United States</t>
  </si>
  <si>
    <t>Stockholm;Palo Alto;New York;Sunnyvale</t>
  </si>
  <si>
    <t>Ericsson Sweden;Stanford University;IEEE;ARGOSystems, Inc</t>
  </si>
  <si>
    <t>60016575;60012708;60000251;100334256</t>
  </si>
  <si>
    <t>Gustafsson K.</t>
  </si>
  <si>
    <t>Mitigation of wing flexure induced errors for airborne direction-finding applications</t>
  </si>
  <si>
    <t>S1053587X96016556</t>
  </si>
  <si>
    <t>10.1109/78.485925</t>
  </si>
  <si>
    <t>2-s2.0-0030081049</t>
  </si>
  <si>
    <t>['transient response', 'time domain', 'nonsymmetric version', 'magnetic field', 'good agreement', 'experimentally investigated', 'equations considered', 'dielectric interlayer', 'antenna excitation', 'adding signals']</t>
  </si>
  <si>
    <t>The equations of V-antenna excitation by a pulse electromagnetic field are derived from Maxwell's equations considered in a space-time domain. The role of the magnetic field of the wave as a source of excitation has been clarified. The transient response of a V-antenna is calculated as a function of the material of a dielectric interlayer between the electrodes, the antenna opening angle and the electromagnetic wave incidence angle. Based on a nonsymmetric version of the V-antenna, transducers were fabricated and experimentally investigated. The results of calculations and measurements are in good agreement with each other. It is shown that one can obtain a transient response of an approximately step shape by adding signals from two oppositely directed antennas. The antenna proposed allows nanosecond low-amplitude electromagnetic pulses to be detected. ¬© 1996 IEEE.</t>
  </si>
  <si>
    <t>31-42</t>
  </si>
  <si>
    <t>60075427;60075427;60075427</t>
  </si>
  <si>
    <t>6602523526;55424194100;6507146035</t>
  </si>
  <si>
    <t>Podosenov, S. A.;Sokolov, A. A.;Al'betkov, S. V.</t>
  </si>
  <si>
    <t>All-Russian Research Institute for Optical and Physical Measurements</t>
  </si>
  <si>
    <t>Podosenov S.</t>
  </si>
  <si>
    <t>Excitation of a V-antenna by a pulse electromagnetic field</t>
  </si>
  <si>
    <t>S0018937596018510</t>
  </si>
  <si>
    <t>10.1109/15.485693</t>
  </si>
  <si>
    <t>2-s2.0-0030081494</t>
  </si>
  <si>
    <t>['significant increase', 'results demonstrate', 'resolvable paths', 'ratio combining', 'rake front', 'multiuser detection', 'multipath fading', 'major constraint', 'iink capacity', 'gain combining', 'far problem', 'fading effects', 'exploiting knowledge', 'coherent reception', 'cdma systems', 'cancel multiple', 'antenna diversity', 'access interference']</t>
  </si>
  <si>
    <t>Multipath fading is a major constraint on the performance of wireless code division multiple-access (CDMA) systems, with multipath propagation worsening the effects of multiple-access interference, and fading on propagation paths leading to the near-far problem. Multiuser detection, exploiting knowledge of other users to cancel multiple-access interference, has the capability of eliminating the near-far problem and providing a significant capacity increase in CDMA systems. On the other hand, diversity techniques effectively combat the fading effects of the channel. This paper investigates multiuser receivers that combine explicit antenna diversity, RAKE multipath diversity, and multipath decorrelating detection. Both coherent reception with maximal-ratio combining and differentially coherent reception with equal-gain combining are analyzed. The results demonstrate a significant increase in up-Iink capacity over the conventional RAKE receiver, at the expense of complexity. In the case of limited receiver complexity, where the number of correlators is less than the number of resolvable paths at the RAKE front-end, antenna diversity is shown to be effective in reducing residual multiple-access interference. ¬© 1996 IEEE.</t>
  </si>
  <si>
    <t>205-211</t>
  </si>
  <si>
    <t>IEEE Transactions on Vehicular Technology</t>
  </si>
  <si>
    <t>Zvonar, Zoran</t>
  </si>
  <si>
    <t>Norwood</t>
  </si>
  <si>
    <t>Analog Devices, Inc.</t>
  </si>
  <si>
    <t>Combined Multiuser Detection and Diversity Reception for Wireless CDMA Systems</t>
  </si>
  <si>
    <t>S0018954596001867</t>
  </si>
  <si>
    <t>10.1109/25.481839</t>
  </si>
  <si>
    <t>2-s2.0-0030081495</t>
  </si>
  <si>
    <t>['successful use', 'ssb reception', 'ssb generation', 'sight communication', 'receive system', 'noise figure', 'frequency stages', 'cost fr', 'conventional narrow', 'band intermediate', 'antenna system', 'amateur 5', '4 substrate', '11 db']</t>
  </si>
  <si>
    <t>A SSB communications system, for use in the amateur 5.7 GHz band, is described. This system as several unique features, including the successful use of microstrip circuitry printed on low-cost FR-4 substrate, a microwave complex modulator for SSB generation, and a VHF complex demodulator for SSB reception. There are no conventional narrow-band intermediate-frequency stages. The system power output is -6 dBm PEP, and the receive system-noise figure is 11 dB. An antenna system is described that provides approximately 23 dBi gain, which is appropriate for line-of-sight communication over 16 km paths.</t>
  </si>
  <si>
    <t>Campbell, Richard L.</t>
  </si>
  <si>
    <t>Houghton</t>
  </si>
  <si>
    <t>Michigan Technological University</t>
  </si>
  <si>
    <t>Campbell R.</t>
  </si>
  <si>
    <t>An experimental 5.7 GHz SSB communications system</t>
  </si>
  <si>
    <t>10.1109/74.491302</t>
  </si>
  <si>
    <t>2-s2.0-0030081497</t>
  </si>
  <si>
    <t>85-2212-E-009-028</t>
  </si>
  <si>
    <t>['thus attempt', 'performance improvement', 'novel modification', 'new approach', 'computer simulations', 'approach proposed', 'approach combines', 'accurate eigenvalues']</t>
  </si>
  <si>
    <t>A new approach to detecting the number of coherent signals incident upon a uniformly-spaced linear array is presented. The approach combines a modified spatial smoothing scheme and a modified MDL criterion. The modified spatial smoothing scheme, referred to as "weighted subspace smoothing," is actually a generalization of the "post-smoothing" approach proposed by Krim and Proakis in 1994. It is shown that the noise eigenvalues obtained with weighted subspace smoothing are more accurate than those obtained with the original spatial smoothing. We thus attempt to improve detection performance using these more accurate eigenvalues. A novel modification of the minimum description length (MDL) criterion is proposed to accomplish this. Computer simulations are presented to study the performance improvement of this new approach. ¬© 1996 IEEE.</t>
  </si>
  <si>
    <t>179-187</t>
  </si>
  <si>
    <t>60012370;60012370</t>
  </si>
  <si>
    <t>7402924474;13302845800</t>
  </si>
  <si>
    <t>Ma, Ching Wen;Teng, Ching Cheng</t>
  </si>
  <si>
    <t>Ma C.</t>
  </si>
  <si>
    <t>Detection of coherent signals using weighted subspace smoothing</t>
  </si>
  <si>
    <t>S0018926X96011994</t>
  </si>
  <si>
    <t>10.1109/8.481645</t>
  </si>
  <si>
    <t>2-s2.0-0030081827</t>
  </si>
  <si>
    <t>['used rather', 'technique outlined', 'significantly less', 'sidelobe region', 'proposed technique', 'phase values', 'pattern zeroes', 'pattern function', 'linear array', 'implicitly constraining', 'fed designs', 'element variation', 'current elements', 'conventional methods', 'conventional approaches']</t>
  </si>
  <si>
    <t>The amplitude and phase values of the current elements of a linear array which produce a shaped-beam antenna pattern are found by a search over constrained space rather than through placement of pattern zeroes.1 The current elements must be constrained to realize physically producible patterns. Implicitly constraining the current elements enables Powell's direction set algorithm (DSA) to be used rather than a more elaborate explicitly constrained algorithm. In contrast with conventional methods, the zeroes of the pattern function in the sidelobe region are not constrained to lie on the Schelkunoff unit circle. To assess the utility of the proposed technique, a comparison is made with previously published results. Compared to conventional approaches, the resulting current element-to-element variation is significantly less, which minimizes mutual coupling difficulties. Both traveling-wave and center-fed designs are possible with the technique outlined in this paper. ¬© 1996 IEEE.</t>
  </si>
  <si>
    <t>192-197</t>
  </si>
  <si>
    <t>Buckley, Michael J.</t>
  </si>
  <si>
    <t>Buckley M.J.</t>
  </si>
  <si>
    <t>Synthesis of shaped beam antenna patterns using implicitly constrained current elements</t>
  </si>
  <si>
    <t>S0018926X96012021</t>
  </si>
  <si>
    <t>10.1109/8.481647</t>
  </si>
  <si>
    <t>2-s2.0-0030082044</t>
  </si>
  <si>
    <t>CA 93106</t>
  </si>
  <si>
    <t>UCSB</t>
  </si>
  <si>
    <t>['yielding antennas', 'thin substrates', 'theoretical results', 'slot antennas', 'problems encountered', 'paper explores', 'paper describes', 'measured data', 'input impedance', 'folded slots', 'fed folded', 'fabrication simplicity', 'difference time', 'design information', 'additional slots']</t>
  </si>
  <si>
    <t>Folded slot antennas are attractive for active arrays due to relatively large bandwidth, fabrication simplicity, and ease of integration with devices. Currently, there is little design information for these antennas, especially on thin substrates. In this paper, the finite-difference time-domain (FDTD) method is applied to the analysis of CPW-fed folded-slot antennas. The paper describes the problems encountered in the analysis, compares the theoretical results and measured data, and provides some design information for folded slots. In addition, the paper explores the manipulation of input impedance through the use of additional slots, yielding antennas with a broadband 50 '.I input impedance. ¬© 1996 IEEE.</t>
  </si>
  <si>
    <t>217-226</t>
  </si>
  <si>
    <t>60029241;60029241</t>
  </si>
  <si>
    <t>7402649236;7103208478</t>
  </si>
  <si>
    <t>Tsai, Huan Shang;York, Robert A.</t>
  </si>
  <si>
    <t>Tsai H.</t>
  </si>
  <si>
    <t>FDTD analysis of CPW-fed folded-slot and multiple-slot antennas on thin substrates</t>
  </si>
  <si>
    <t>S0018926X96012069</t>
  </si>
  <si>
    <t>10.1109/8.481651</t>
  </si>
  <si>
    <t>2-s2.0-0030082188</t>
  </si>
  <si>
    <t>['waveguide leaky', 'wave scattering', 'thick slits', 'spectral domain', 'slit size', 'series solution', 'scattered field', 'presented solution', 'plate waveguide', 'operating frequency', 'numerical computations', 'numerical computation', 'incident angle', 'fourier transform', 'finite number', 'boundary conditions']</t>
  </si>
  <si>
    <t>The problem of TE-wave scattering and radiation from a finite number of thick slits in a parallel-plate waveguide is solved. The Fourier transform is used to express the scattered field in the spectral domain. The boundary conditions are enforced to obtain a series solution which is amenable to numerical computation. The numerical computations are performed to illustrate the behaviors of scattering, transmission, and reflection in terms of incident angle, slit size and operating frequency. The presented solution is computationally very efficient so that it is useful for slotted-waveguide leaky-wave antenna applications. ¬© 1996 IEEE.</t>
  </si>
  <si>
    <t>212-216</t>
  </si>
  <si>
    <t>8230008100;55112893800;54679902100</t>
  </si>
  <si>
    <t>Lee Jung, H.;Eom, Hyo Joon;Lee Jae, W.</t>
  </si>
  <si>
    <t>Lee Jung H.</t>
  </si>
  <si>
    <t>Scattering and radiation from finite thick slits in parallel-plate waveguide</t>
  </si>
  <si>
    <t>S0018926X96012057</t>
  </si>
  <si>
    <t>10.1109/8.481650</t>
  </si>
  <si>
    <t>2-s2.0-0030082228</t>
  </si>
  <si>
    <t>['uionostatic rcs', 'section matrix', 'numerical solutions', 'microstrip patch', 'loaded patch', 'four elements', 'exact spectral', 'domain green', 'analysis used', 'also shown']</t>
  </si>
  <si>
    <t>The numerical solutions for the RCS of a microstrip patch on an in-plane biased ferrite substrate are presented. The peaks in the RCS can be moved with respect to frequency by changing the magnetic bias field. We consider a uionostatic RCS with various incident angles and examine all four elements of the cross-section matrix. For the case of an unmagnetized ferrite substrate the cross-polarized RCS components are zero. When the ferrite is magnetized, the cross-polarized RCS components become as significant as do the copolarized RCS components. It is also shown that a loaded patch has the effect of significantly reducing RCS at resonances. The analysis used is based on a fullwave moment method with the exact spectral-domain Green's function. ¬© 1996 IEEE.</t>
  </si>
  <si>
    <t>208-211</t>
  </si>
  <si>
    <t>60029472;60029472</t>
  </si>
  <si>
    <t>54679411100;35561475200</t>
  </si>
  <si>
    <t>Lee Byungje, ;Harackiewicz, Frances J.</t>
  </si>
  <si>
    <t>Carbondale</t>
  </si>
  <si>
    <t>Southern Illinois University Carbondale</t>
  </si>
  <si>
    <t>Lee Byungje</t>
  </si>
  <si>
    <t>The RCS of a microstrip antenna on an in-plane biased ferrite substrate</t>
  </si>
  <si>
    <t>S0018926X96012045</t>
  </si>
  <si>
    <t>10.1109/8.481649</t>
  </si>
  <si>
    <t>2-s2.0-0030082479</t>
  </si>
  <si>
    <t>['sometimes modified', 'novel method', 'monopole antenna', 'inverted l', 'input impedance', 'effective length']</t>
  </si>
  <si>
    <t>The conventional, small, monopole antenna is sometimes modified and bent into the shape of an inverted L. The inverted L antenna displays less capacitive reactance and higher radiation resistance than the monopole. Using a novel method, we derive a formula for the input impedance of the inverted L antenna. The technique involves extending the conventional Pocklington integral equation and the use of the antenna's effective length. The method can be adapted to other electrically small antennas. ¬© 1996 IEEE.</t>
  </si>
  <si>
    <t>236-242</t>
  </si>
  <si>
    <t>60033461;60033461</t>
  </si>
  <si>
    <t>57214276863;7404287668</t>
  </si>
  <si>
    <t>David Wunsch, A.;Hu, Sheng Pin</t>
  </si>
  <si>
    <t>Lowell</t>
  </si>
  <si>
    <t>University of Massachusetts Lowell</t>
  </si>
  <si>
    <t>David Wunsch A.</t>
  </si>
  <si>
    <t>A closed-form expression for the driving-point impedance of the small inverted L antenna</t>
  </si>
  <si>
    <t>S0018926X96012082</t>
  </si>
  <si>
    <t>10.1109/8.481653</t>
  </si>
  <si>
    <t>2-s2.0-0030082614</t>
  </si>
  <si>
    <t>['two types', 'two 3', 'theoretical results', 'scattering parameters', 'measured characteristics', 'directional couplers', 'dielectric overlays', 'center substrate', 'bc cpw']</t>
  </si>
  <si>
    <t>Two types of tight-coupling, broadband directional couplers employing open broadside-coupled coplanar waveguides (BC CPW's) are proposed which can easily be integrated with printed strip antennas. The first type uses the BC CPW's with dielectric overlays above and below the center substrate, while the second type uses the nonuniform BC CPW's. The scattering parameters of these directional couplers are derived with the even-odd mode analysis method based on the quasi-TEM wave approximation. Two 3-dB directional couplers, one for each type, are designed and measured characteristics are compared with theoretical results. ¬© 1996 IEEE.</t>
  </si>
  <si>
    <t>60000251-101466293;60000251-60032315;101466293</t>
  </si>
  <si>
    <t>6603148382;7005437929;36771304000</t>
  </si>
  <si>
    <t>Tefiku, Faton;Yamashita, Eikichi;Funada, Jun</t>
  </si>
  <si>
    <t>Japan;United States;Japan</t>
  </si>
  <si>
    <t>Chofu;New York;Tokyo</t>
  </si>
  <si>
    <t>The University of Electro-Communications;IEEE;Denki Kogyo Co. Ltd.</t>
  </si>
  <si>
    <t>60032315;60000251;101466293</t>
  </si>
  <si>
    <t>Tefiku F.</t>
  </si>
  <si>
    <t>Novel directional couplers using broadside-coupled coplanar waveguides for double-sided printed antennas</t>
  </si>
  <si>
    <t>S0018948096014500</t>
  </si>
  <si>
    <t>10.1109/22.481577</t>
  </si>
  <si>
    <t>2-s2.0-0030082946</t>
  </si>
  <si>
    <t>['surface treated', 'microwave frequency', 'measured conductivities', 'fabricate shrouds', 'effective conductivities', 'diameter beam', 'conductivity data', 'candidate materials', 'article presents', 'also presented', '420 ghz']</t>
  </si>
  <si>
    <t>This article presents the results of electrical conductivity measurements made at 8.420 GHz on samples of the structural steel material used to fabricate shrouds on a Deep Space Network (DSN) 34-m-diameter beam-waveguide (BWG) antenna. Test results show that the structural steel samples at this microwave frequency had effective conductivities that were about 50 times worse than published dc values and also 230 times worse than the measured conductivities of aluminum test samples. Conductivity data are also presented for other candidate materials that could be used to fabricate BWG shrouds. Of interest are the improvements or degradations that were observed after some of the metal test samples were surface treated, plated, or painted. ¬© 1996 IEEE.</t>
  </si>
  <si>
    <t>77-83</t>
  </si>
  <si>
    <t>IEEE Transactions on Instrumentation and Measurement</t>
  </si>
  <si>
    <t>60000251-60009037;60000251-60009037</t>
  </si>
  <si>
    <t>7004706857;56348520200</t>
  </si>
  <si>
    <t>Otoshi, Tom Y.;Franco, Manuel M.</t>
  </si>
  <si>
    <t>Pasadena;New York</t>
  </si>
  <si>
    <t>Jet Propulsion Laboratory;IEEE</t>
  </si>
  <si>
    <t>60009037;60000251</t>
  </si>
  <si>
    <t>Otoshi T.Y.</t>
  </si>
  <si>
    <t>The electrical conductivities of steel and other candidate materials for shrouds in a beam-waveguide antenna system</t>
  </si>
  <si>
    <t>S0018945696000800</t>
  </si>
  <si>
    <t>10.1109/19.481315</t>
  </si>
  <si>
    <t>2-s2.0-0030083399</t>
  </si>
  <si>
    <t>EEC 8721545</t>
  </si>
  <si>
    <t>['serious implications', 'rf effects', 'require consideration', 'plasma volume', 'photographic evidence', 'periodic modulations', 'observations made', 'first time', 'discharge uniformity', 'discharge shown', 'complete explanation', 'azimuthal structure', 'argon discharge']</t>
  </si>
  <si>
    <t>Photographic evidence is presented for azimuthal structure in cylindrical radio frequency (RF) planar inductively coupled plasmas. Observations made in a high aspect ratio chamber (antenna radius large compared to height of plasma volume) show azimuthal striations (periodic modulations in emitted light intensity) in an argon discharge. These striations, reported here for the first time, have serious implications for discharge uniformity under some conditions (discharge shown at 300 W RF power, 85 mtorr). A comparison to positive column striations in dc glow discharges shows some similarities, although a complete explanation will require consideration of RF effects. ¬© 1996 IEEE.</t>
  </si>
  <si>
    <t>125-126</t>
  </si>
  <si>
    <t>IEEE Transactions on Plasma Science</t>
  </si>
  <si>
    <t>60032179;60000251-60032179</t>
  </si>
  <si>
    <t>6602335030;7005364031</t>
  </si>
  <si>
    <t>Stittsworth, J. A.;Wendt, A. E.</t>
  </si>
  <si>
    <t>Madison;New York</t>
  </si>
  <si>
    <t>University of Wisconsin-Madison;IEEE</t>
  </si>
  <si>
    <t>60032179;60000251</t>
  </si>
  <si>
    <t>Stittsworth J.</t>
  </si>
  <si>
    <t>Striations in a radio frequency planar inductively coupled plasma</t>
  </si>
  <si>
    <t>S0093381396021868</t>
  </si>
  <si>
    <t>10.1109/27.491744</t>
  </si>
  <si>
    <t>2-s2.0-0030083712</t>
  </si>
  <si>
    <t>['multiple reflections', 'good agreement', 'form expressions', 'feed networks', 'feed devices', 'computed data', 'band scattering', 'array scattering', 'array antenna', 'approximate closed']</t>
  </si>
  <si>
    <t>Approximate closed-form expressions are derived for in-band scattering from an array antenna with parallel (corporate) feed networks. Multiple reflections are neglected and feed devices of the same type are assumed to have identical electrical characteristics. The model is shown to be in good agreement with results generated using a scattering matrix formulation. Based on computed data, the characteristics of array scattering are discussed. ¬© 1996 IEEE.</t>
  </si>
  <si>
    <t>172-178</t>
  </si>
  <si>
    <t>7004276659;6506744565</t>
  </si>
  <si>
    <t>Jenn, D. C.;Flokas, V.</t>
  </si>
  <si>
    <t>Jenn D.</t>
  </si>
  <si>
    <t>In-band scattering from arrays with parallel feed networks</t>
  </si>
  <si>
    <t>S0018926X96011982</t>
  </si>
  <si>
    <t>10.1109/8.481644</t>
  </si>
  <si>
    <t>2-s2.0-0030083743</t>
  </si>
  <si>
    <t>['space domain', 'scalar green', 'exact solution', 'derived first', 'coordinate domain', 'convolution product', 'considered structure', 'chosen cases', 'appropriate expansion']</t>
  </si>
  <si>
    <t>A class of exact and higher-order surface impedance boundary conditions (HOIBC's) is derived. Initially, exact impedance boundary conditions (IBC's) are derived first in the spectral and then in the coordinate domain. It is shown that in the coordinate domain they are expressed by a dyadic operator acting on the convolution product between the scalar Green's function, corresponding to the considered structure, and the tangential magnetic field. Next, it is demonstrated that the higher-order impedance boundary conditions in the spatial domain correspond to an appropriate expansion of the mentioned convolution product in the space domain. Finally, the accuracy of the HOIBC's is estimated by comparing the exact solution with that obtained through the HOIBC's for some typical canonical problems. The corresponding error curves presented refer to the worst error situation for each one of the chosen cases. ¬© 1996 IEEE.</t>
  </si>
  <si>
    <t>249-259</t>
  </si>
  <si>
    <t>Cicchetti, Renato</t>
  </si>
  <si>
    <t>Cicchetti R.</t>
  </si>
  <si>
    <t>A class of exact and higher-order surface boundary conditions for layered structures</t>
  </si>
  <si>
    <t>S0018926X96012100</t>
  </si>
  <si>
    <t>10.1109/8.481655</t>
  </si>
  <si>
    <t>2-s2.0-0030083745</t>
  </si>
  <si>
    <t>Deutscher Akademischer Austauschdienst</t>
  </si>
  <si>
    <t>DAAD</t>
  </si>
  <si>
    <t>['without sectorisation', 'spectrum efficiency', 'spectrum efficiencies', 'proposed representation', 'noise ratio', 'different systems', 'cutoff rate', 'coherent detection', 'cluster size', 'always determine']</t>
  </si>
  <si>
    <t>In cellular mobile radio systems using coded modulations, the spectrum efficiency of the system is related to the cutoff rate and the cluster size. We evaluate the cutoff rate for M-ary QAM considering a coherent detection and a memoryless flat fading channel. Simulation results relate the cluster size to the signal-to-noise ratio and with that to the cutoff rate. So we present the spectrum efficiency of the system as a function of the cutoff rate and show its limits in the classical cellular system. Then we apply the same procedure to examine the performance of systems using directional antennas with and without sectorisation of the original cell surface. With our proposed representation, we can always determine the optimum spectrum efficiency of the modulation that maximizes the spectrum efficiencies of the different systems. ¬© 1996 IEEE.</t>
  </si>
  <si>
    <t>33-40</t>
  </si>
  <si>
    <t>60029116;60029116</t>
  </si>
  <si>
    <t>57197403254;6701809765</t>
  </si>
  <si>
    <t>Haas, Ralf;Belfiore, Jean Claude</t>
  </si>
  <si>
    <t>T√©l√©com Paris</t>
  </si>
  <si>
    <t>Haas R.</t>
  </si>
  <si>
    <t>Spectrum Efficiency Limits in Mobile Cellular Systems</t>
  </si>
  <si>
    <t>S0018954596001922</t>
  </si>
  <si>
    <t>10.1109/25.481818</t>
  </si>
  <si>
    <t>2-s2.0-0030084297</t>
  </si>
  <si>
    <t>MIP-9320890</t>
  </si>
  <si>
    <t>['ura ).', 'unitary esprit', 'simulation results', 'presented verifying', 'one related', 'one member', 'ith eigenvalue', 'imaginary parts', 'form algorithm', 'form 2', 'final stage', 'efficiently formulated', 'dimension equal', 'array configurations', 'algorithm providing']</t>
  </si>
  <si>
    <t>UCA-ESPRIT is a recently developed closed-form algorithm for use in conjunction with a uniform circular array (UCA) that provides automatically paired source azimuth and elevation angle estimates. 2-D unitary ESPRIT is presented as an algorithm providing the same capabilities for a uniform rectangular array (URA). In the final stage of the algorithm, the real and imaginary parts of the ith eigenvalue of a matrix are one-to-one related to the respective direction cosines of the ith source relative to the two major array axes. 2-D unitary ESPRIT offers a number of advantages over other recently proposed ESPRIT based closed-form 2-D angle estimation techniques. First, except for the final eigenvalue decomposition of dimension equal to the number of sources, it is efficiently formulated in terms of real-valued computation throughout Second, it is amenable to efficient beamspace implementations that will be presented. Third, it is applicable to array configurations that do not exhibit identical subarrays, e. g., two orthogonal linear arrays. Finally, 2-D unitary ESPRIT easily handles sources having one member of the spatial frequency coordinate pair in common. Simulation results are presented verifying the efficacy of the method. ¬© 1996 IEEE.</t>
  </si>
  <si>
    <t>316-328</t>
  </si>
  <si>
    <t>60000251-60009254;60019722;60021071</t>
  </si>
  <si>
    <t>55664103800;7005894536;7102737733</t>
  </si>
  <si>
    <t>Zoltowski, Michael D.;Haardt, Martin;Mathews, Cherian P.</t>
  </si>
  <si>
    <t>United States;Germany;United States;United States</t>
  </si>
  <si>
    <t>Pensacola;Munich;West Lafayette;New York</t>
  </si>
  <si>
    <t>University of West Florida;Technical University of Munich;Purdue University;IEEE</t>
  </si>
  <si>
    <t>60021071;60019722;60009254;60000251</t>
  </si>
  <si>
    <t>Zoltowski M.</t>
  </si>
  <si>
    <t>Closed-form 2-D angle estimation with rectangular arrays in element space or beamspace via unitary ESPRIT</t>
  </si>
  <si>
    <t>S1053587X96016441</t>
  </si>
  <si>
    <t>10.1109/78.485927</t>
  </si>
  <si>
    <t>2-s2.0-0030084734</t>
  </si>
  <si>
    <t>DAAH04-93-G-0068</t>
  </si>
  <si>
    <t>['transmitted via', 'speed photodetector', 'recovered rf', 'receiving end', 'optical interaction', 'optical fiber', 'modulated signal', 'microwave circuits', 'electromagnetic interference', 'doppler transceiver', 'dfb laser']</t>
  </si>
  <si>
    <t>With the advance of high speed laser technology, optical interaction with microwave circuits has become highly viable. Such interaction is advantageous as the fiber is low-loss, lightweight, and immune to electromagnetic interference. In this paper, interaction of direct-modulated and gain-switched optical links with active antenna phased array systems is demonstrated. In the direct-modulated optical system, the RF signal directly modulates the DFB laser. In the gain-switched optical system, the laser is gain-switched to function as a RF frequency doubler. The modulated signal is transmitted via an optical fiber and recovered at the receiving end by a high-speed photodetector. The recovered RF is then injected into the active antenna phased array systems as an injection-locking reference signal. Two active antenna systems are used for this demonstration: beam-switching and Doppler transceiver. ¬© 1996 IEEE.</t>
  </si>
  <si>
    <t>326-330</t>
  </si>
  <si>
    <t>60000251-60027550;60027550;60000251-60027550;60000251-60027550</t>
  </si>
  <si>
    <t>Chew, Siou Teck;Tong, Dennis Tak Kit;Wu, Ming C.;Itoh, Tatsuo</t>
  </si>
  <si>
    <t>Use of direct-modulated/gain-switched optical links in monopulse-type active phased array systems</t>
  </si>
  <si>
    <t>S001894809601455X</t>
  </si>
  <si>
    <t>10.1109/22.481583</t>
  </si>
  <si>
    <t>2-s2.0-0030084931</t>
  </si>
  <si>
    <t>['expansion functions', 'electromagnetic compensation', 'distorted reflector', 'compensation results', 'compensation method', 'compensation excitations', 'array feeds']</t>
  </si>
  <si>
    <t>In this study, a neural network algorithm for electromagnetic compensation of reflector surface error effects is formulated. Sets of trained neural networks are used to compute the compensation excitations for array feeds. The networks were trained using data generated with the constrained least squares (CLS) compensation method. Once trained, the calculation of the excitations is accomplished in significantly less time than required by the original constrained least squares algorithm. The surface error profile for a distorted reflector antenna is expanded using bivariate surface basis functions. Each of the trained networks corresponds to one of the expansion functions. Excitations computed using the neural net woks are superposed to produce composite compensation excitations for the distorted reflector. The compensation results for a distorted reflector are presented, and the neural network algorithm performance is compared to the original CLS technique. ¬© 1996 IEEE.</t>
  </si>
  <si>
    <t>60015941;60015941;60015941</t>
  </si>
  <si>
    <t>7406473521;7006495315;7003279451</t>
  </si>
  <si>
    <t>Smith, William T.;Bastian, Richard James;Cheah, Shu Young</t>
  </si>
  <si>
    <t>Smith W.</t>
  </si>
  <si>
    <t>An efficient neural network algorithm for reflector surface error compensation</t>
  </si>
  <si>
    <t>SOOL8926X96011933</t>
  </si>
  <si>
    <t>10.1109/8.481639</t>
  </si>
  <si>
    <t>2-s2.0-0030085070</t>
  </si>
  <si>
    <t>['vector potential', 'valid everywhere', 'second kind', 'loop radius', 'linear combinations', 'induction fields', 'free space', 'far field', 'exact solution', 'exact integration', 'elementary functions', 'current distribution', 'converging rapidly', 'arbitrary radius', 'also valid']</t>
  </si>
  <si>
    <t>Assuming a known (constant) current distribution on the thin circular loop antenna of arbitrary radius in free space, an exact integration of the vector potential is performed without recourse to approximations. The only restrictions on the solution variables arc that the observation point distance must be greater than the loop radius and that the polar angle must run between U and œÄ. The resulting vector potential infinite series solution possesses a real pail composed of linear combinations of complete elliptic integrals of the first and second kind and an imaginary part composed of elementary functions. Thus, it is possible to obtain an exact solution which is valid everywhere that r &gt; a and 0 &lt; 0 Œ∏ œÄ. The electromagnetic field components of the constant current circular loop antenna are then determined by direct series differentiation. These solutions are valid in the near and induction fields, converging rapidly there, and are also valid in the far field, although many terms of the series are needed for convergence.</t>
  </si>
  <si>
    <t>166-171</t>
  </si>
  <si>
    <t>Overfelt, P. L.</t>
  </si>
  <si>
    <t>China Lake</t>
  </si>
  <si>
    <t>Naval Air Warfare Center Weapons Division</t>
  </si>
  <si>
    <t>Overfelt P.L.</t>
  </si>
  <si>
    <t>Near fields of the constant current thin circular loop antenna of arbitrary radius</t>
  </si>
  <si>
    <t>S0018926X96011970</t>
  </si>
  <si>
    <t>10.1109/8.481643</t>
  </si>
  <si>
    <t>2-s2.0-0030085072</t>
  </si>
  <si>
    <t>['waveguide width', 'slot length', 'sidelobe arrays', 'resonant length', 'rectangular waveguide', 'reactive nature', 'radar project', 'phase errors', 'paper describes', 'narrow wall', 'half wavelength', 'e .,', 'designed successfully', 'degradation effects', 'associated pattern', 'array simulator', 'array antennas', 'array antenna']</t>
  </si>
  <si>
    <t>For a frequency-scanning-radar project, a traveling-wave-array antenna was designed. It employs radiating slots in the narrow wall of a meander-rectangular waveguide, which is milled in a flat metal block. Due to the restriction of the waveguide width, the maximum slot length that could be implemented is less than a half wavelength, i.e., below the resonant length. Although such slots are commonly deemed useless, it is shown that traveling-wave-array antennas can be designed successfully. This paper describes the design and results of low-sidelobe arrays, starting from the measurement of basic slot characteristics in an array simulator. The realization of a prescribed amplitude distribution, by tapering the slot length, is shown The creation of phase errors, due to the reactive nature of the slots, and the associated pattern-degradation effects, are discussed in detail.</t>
  </si>
  <si>
    <t>Solbach, Klaus</t>
  </si>
  <si>
    <t>Solbach K.</t>
  </si>
  <si>
    <t>Below-resonant-length slot radiators for traveling-wave-array antennas</t>
  </si>
  <si>
    <t>10.1109/74.491286</t>
  </si>
  <si>
    <t>2-s2.0-0030085878</t>
  </si>
  <si>
    <t>F49620-94-1-0054</t>
  </si>
  <si>
    <t>['temperature profiles', 'stix coil', 'solely excites', 'small fraction', 'results indicate', 'provide ionization', 'promising due', 'power absorption', 'plasma density', 'originally written', 'neutral gas', 'nagoya type', 'modeling existing', 'materials processing', 'important role', 'high densities', 'heating mechanisms', 'fast electrons', 'electron distributions', 'computer code', 'competing effects', 'collisions play', 'collisional model', 'axis peaking', 'argon gas', 'also found', '3 ).']</t>
  </si>
  <si>
    <t>A computer code for modeling existing and new helicon sources for materials processing has been developed. The Nagoya type-III, helical, and Stix coil antennas have been modeled to study and examine plasma density and temperature profile effects on power absorption of a small fraction (nfe/ne ‚âà 5%) of fast electrons (Te-fast ‚âà 40 eV) which provide ionization of the neutral gas in the experiment, and bulk (Te-slow ‚âà 3 eV) electron distributions in an argon gas. The "ANTENA" computer code, originally written by B. McVey to study ion cyclotron waves, was modified and used to study and model helicon sources. A collisional model that includes radial density and temperature profiles was added to the code to study the effect of collisions on the heating mechanisms. The competing effects of collisional and Landau damping heating mechanisms have been investigated in detail, and results indicate that collisions play an important role in the plasma absorption profile at high densities (ne ‚â• 1013 cm-3). The radio frequency wave absorption profiles are sensitive to the plasma density and temperature profiles. The partial-turn helix antenna, that solely excites the m = +1 azimuthal mode, is found to be more efficient in coupling the power to an assumed plasma profile than the Nagoya type-III. The Stix coil is also found to be promising due to its on-axis peaking of the wave heating fields. ¬© 1996 IEEE.</t>
  </si>
  <si>
    <t>152-160</t>
  </si>
  <si>
    <t>60000251-60032179;60000251-60032179</t>
  </si>
  <si>
    <t>6603499544;7005335418</t>
  </si>
  <si>
    <t>Mouzouris, Yiannis;Scharer, John E.</t>
  </si>
  <si>
    <t>Mouzouris Y.</t>
  </si>
  <si>
    <t>Modeling of profile effects for inductive helicon plasma sources</t>
  </si>
  <si>
    <t>S0093381396021935</t>
  </si>
  <si>
    <t>10.1109/27.491753</t>
  </si>
  <si>
    <t>2-s2.0-0030086082</t>
  </si>
  <si>
    <t>['strip dipole', 'radiative gain', 'radiation reflected', 'free space', 'copolarized directivity', 'constructive interference', '0 ghz']</t>
  </si>
  <si>
    <t>A strip dipole on a (111)-oriented face centered cubic photonic crystal is found to have a copolarized directivity and radiative gain of 9.1 and 7.2¬±1.4, respectively, along the zenith and at a frequency in the first stop band of 18.0 GHz. Under the same conditions, the maximum copolarized directivity and radiative gain were 10.0 and 8.1¬±1.6, respectively, in the H-plane 5¬∞ down from the zenith. The zenithal results correspond to a 5.5-times greater radiation intensity than displayed by the same dipole in free space. From power balance measurements, only 10% of this enhancement is attributed to superior power transfer between the generator and antenna. The remainder is associated with constructive interference between the primary antenna radiation and radiation reflected from the crystal. ¬© 1996 American Institute of Physics.</t>
  </si>
  <si>
    <t>1300-1302</t>
  </si>
  <si>
    <t>60022195;60022195</t>
  </si>
  <si>
    <t>57223745182;6602297101</t>
  </si>
  <si>
    <t>Brown, E. R.;McMahon, O. B.</t>
  </si>
  <si>
    <t>Massachusetts Institute of Technology</t>
  </si>
  <si>
    <t>Brown E.R.</t>
  </si>
  <si>
    <t>High zenithal directivity from a dipole antenna on a photonic crystal</t>
  </si>
  <si>
    <t>S0003695196019080</t>
  </si>
  <si>
    <t>10.1063/1.115959</t>
  </si>
  <si>
    <t>2-s2.0-0030086102</t>
  </si>
  <si>
    <t>['wave dipoles', 'type expression', 'thin half', 'systems trades', 'scan impedance', 'plane scan', 'period variation', 'model predicts', 'infinite array', 'impedance wave', 'grating lube', 'gibbs oscillations']</t>
  </si>
  <si>
    <t>A finite-by-infinite array of thin half-wave dipoles with H-plane scan is used to show the existence of a Gibbs' phenomenon-type standing wave in scan impedance (normalized by the infinite array value) over the elements of the array. The period of this wave is .5Œª at broadside for Œª/2 array spacing and increases as the scan angle increases by a grating lube-type expression. A simple empirical model based on Gibbs oscillations is fitted to the scan-impedance wave; the model predicts the 1/(1 - sin Œ∏0) period variation, and should be useful for systems trades and for preliminary design purposes. ¬© 1996 IEEE.</t>
  </si>
  <si>
    <t>100352408-101985437;100352408-101985437</t>
  </si>
  <si>
    <t>Washington;Tarzana</t>
  </si>
  <si>
    <t>U. States AF;Consulting Engineer</t>
  </si>
  <si>
    <t>101985437;100352408</t>
  </si>
  <si>
    <t>A gibbsian model for finite scanned arrays</t>
  </si>
  <si>
    <t>S0018926X96012094</t>
  </si>
  <si>
    <t>10.1109/8.481654</t>
  </si>
  <si>
    <t>2-s2.0-0030086127</t>
  </si>
  <si>
    <t>Texas Tech University</t>
  </si>
  <si>
    <t>TTU</t>
  </si>
  <si>
    <t>['shutter photography', 'radiated power', 'plasma ring', 'ended wr', 'air adjacent', '90 waveguide', '0 software']</t>
  </si>
  <si>
    <t>Open-shutter photography was used to capture the air breakdown pattern induced by a TM01 mode radiated by a high-power backward wave oscillator. The resultant plasma ring was formed in air adjacent to a conical horn antenna fitted with a membrane to keep the experiment under vacuum. This image was digitized and further processed using Khoros 2.0 software to obtain the dimensions of the plasma ring. This information was used in an air breakdown analysis to estimate the radiated power, and agrees within 10% with the power measured using field mapping with an open-ended WR-90 waveguide. ¬© 1996 IEEE.</t>
  </si>
  <si>
    <t>60000251-60069974-60033021;60000251-60015710;60000251-60033021;60000251;60000251;60000251</t>
  </si>
  <si>
    <t>7006390232;7401610872;7003478028;7007060559;6603790132;8355600800</t>
  </si>
  <si>
    <t>Schamiloglu, Edl;Jordan, Ramiro;Haworth, Michael D.;Moreland, Larald D.;Pegel, Igor V.;Roitman, Albert M.</t>
  </si>
  <si>
    <t>Russian Federation;United States;United States;United States</t>
  </si>
  <si>
    <t>Tomsk;Albuquerque;Kirtland;New York</t>
  </si>
  <si>
    <t>Institute of High Current Electronics of Siberian Branch of the Russian Academy of Sciences;The University of New Mexico;Kirtland Air Force Base;IEEE</t>
  </si>
  <si>
    <t>60069974;60033021;60015710;60000251</t>
  </si>
  <si>
    <t>Schamiloglu E.</t>
  </si>
  <si>
    <t>High-power microwave-induced TM&lt;inf&gt;01&lt;/inf&gt; plasma ring</t>
  </si>
  <si>
    <t>S0093381396022199</t>
  </si>
  <si>
    <t>10.1109/27.491664</t>
  </si>
  <si>
    <t>2-s2.0-0030087248</t>
  </si>
  <si>
    <t>['vector potential', 'systematic approach', 'simplified expressions', 'simple integrals', 'series expansion', 'particular example', 'paper introduces', 'many years', 'limiting cases', 'fourier cosine', 'field integrals', 'field expressions', 'field expansions', 'field analysis', 'exact integration', 'degenerate forms', 'cosinusoidal loop', 'complicated near', 'classical far']</t>
  </si>
  <si>
    <t>A direct integration procedure for far-zone vector potentials of thin circular loop antennas has been known for many years. This method is general in the sense that it leads to simple integrals which have closed form solutions for most commonly assumed loop current distributions. However, a comparable integration technique has not been available for evaluating the more complicated near-zone vector potentials. This paper introduces a systematic approach for the exact integration of general nearzone vector potentials associated with current-carrying circular loop antennas. A particular example is considered where this new integration technique is used to find exact solutions to the vector potential and electromagnetic field integrals for loops with a Fourier cosine-series expansion of the current. The observation is made that degenerate forms of these exact representations lead to simplified expressions for the important special cases of a uniform and cosinusoidal current loop. Two equivalent forms of exact series expansions are derived for the uniform current vector potential and field integrals. It is shown that the familiar smallloop approximations, as well as the classical far-field expressions, may be obtained as limiting cases of the more general exact series representations for the uniform current loop obtained in this paper. Convenient asymptotic far-field expansions are derived for the loop with a cosinusoidal current distribution. Finally, the far-field analysis for the cosinusoidal loop is generalized to loops having an arbitrary current represented by a Fourier cosine series. ¬© 1996 IEEE.</t>
  </si>
  <si>
    <t>157-165</t>
  </si>
  <si>
    <t>Werner, Douglas H.</t>
  </si>
  <si>
    <t>Werner D.</t>
  </si>
  <si>
    <t>An exact integration procedure for vector potentials of thin circular loop antennas</t>
  </si>
  <si>
    <t>S0018926X96011969</t>
  </si>
  <si>
    <t>10.1109/8.481642</t>
  </si>
  <si>
    <t>2-s2.0-0030087257</t>
  </si>
  <si>
    <t>['significant departure', 'principal application', 'prescribed n', 'new technique', 'multiwinding transformers', 'microwave frequencies', 'matching networks', 'givens rotations', 'design technique', 'corresponding n', 'cascade connection', 'approach represents', '1 ],']</t>
  </si>
  <si>
    <t>A new technique is proposed for designing a passive lossless coupling network transforming any prescribed N by N symmetric immittance matrix into a corresponding N by N diagonal immittance matrix. A principal application of the technique is in the design of matching networks between N uncoupled resistive source impedances and planar antenna arrays. The technique is based upon repeated applications of Givens rotations [1], which can be implemented by a cascade connection of four-port directional couplers. Thus, both in the design technique and in the subsequent hardware implementation, our approach represents a significant departure from past design procedures. Existing synthesis methods involve the use of multiwinding transformers, which are impractical at microwave frequencies. ¬© 1996 IEEE.</t>
  </si>
  <si>
    <t>364-371</t>
  </si>
  <si>
    <t>60000251-60030821;60015481;60000251-60015481</t>
  </si>
  <si>
    <t>6507732141;7101672073;7403570672</t>
  </si>
  <si>
    <t>Geren, W. Preston;Curry, Clifford R.;Andersen, Jonny</t>
  </si>
  <si>
    <t>Chicago;Seattle;New York</t>
  </si>
  <si>
    <t>Boeing Corporation;University of Washington;IEEE</t>
  </si>
  <si>
    <t>60030821;60015481;60000251</t>
  </si>
  <si>
    <t>Geren W.</t>
  </si>
  <si>
    <t>A practical technique for designing multiport coupling networks</t>
  </si>
  <si>
    <t>S0018948096015402</t>
  </si>
  <si>
    <t>10.1109/22.486145</t>
  </si>
  <si>
    <t>2-s2.0-0030104139</t>
  </si>
  <si>
    <t>['truncated periodic', 'truncated arrays', 'target classification', 'system noise', 'superresolution algorithms', 'special interest', 'solution yielded', 'slab loading', 'scattered fields', 'problem parameters', 'present study', 'phenomenological footprints', 'phase space', 'mode phenomena', 'inverse procedure', 'field constituents', 'companion paper', 'asymptotic reduction', 'aperiodic arrays']</t>
  </si>
  <si>
    <t>In a companion paper, we presented the formulation and solution for time-harmonic plane wave fields scattered by truncated periodic and aperiodic arrays of infinitely long filaments on an infinite dielectric slab. The solution was constructed so as to highlight the coupled phenomenologies associated with slab loading of the Floquet mode beams characteristic of the truncated arrays and with the slab-guided leaky modes excited by these arrays. Asymptotic reduction of the solution yielded a parameterization of the scattered fields and a numerically accurate algorithm, based on physically observable ray- and mode-field constituents. The present study is concerned with the inverse procedure of extracting from the scattered field data the phenomenological footprints of the scattering mechanisms found by forward problem asymptotics; this information is relevant to target classification and identification. The data processing tools involve Gaussian windowed transforms and superresolution algorithms that yield projections onto appropriate subdomains of the (space)-(spectral wave number) phase space. A variety of examples demonstrate physically and quantitatively the interplay of Floquet-mode and leaky-mode phenomena, and how these are affected by changes in the problem parameters. Of special interest is the performance of superresolution algorithms for "cleaning up" the diffuse Gaussian windowed phase space distributions, in the absence and presence of system noise. ¬© 1996 IEEE.</t>
  </si>
  <si>
    <t>352-360</t>
  </si>
  <si>
    <t>60008724;60008724;60008724;60008724</t>
  </si>
  <si>
    <t>7401791662;7103018919;56883021600;7004561693</t>
  </si>
  <si>
    <t>Hsu, Teng Tai;McClure, Mark R.;Felsen, Leopold B.;Carin, Lawrence</t>
  </si>
  <si>
    <t>Duke University</t>
  </si>
  <si>
    <t>Hsu T.</t>
  </si>
  <si>
    <t>Wave-oriented processing of scattered field data from a plane-wave-excited finite array of filaments on an infinite dielectric slab</t>
  </si>
  <si>
    <t>S0018926X96018194</t>
  </si>
  <si>
    <t>10.1109/8.486304</t>
  </si>
  <si>
    <t>2-s2.0-0030104265</t>
  </si>
  <si>
    <t>['systems nearby', 'optimisation task', 'limited environments', 'highly interference', 'great value', 'coverages must']</t>
  </si>
  <si>
    <t>In this paper a method for the optimization of TV re-emitter antenna system design is described. In highly interference-limited environments re-emitters' coverages must be confined to the actual shadow areas they are intended to serve, thus limiting interference on other systems nearby. The use of software planning tools using Terrain Data Bases (TDB) is of great value in this optimisation task as is showed in this paper. ¬© 1996 IEEE.</t>
  </si>
  <si>
    <t>IEEE Transactions on Broadcasting</t>
  </si>
  <si>
    <t>Font√°n, F. P√©rez</t>
  </si>
  <si>
    <t>Vigo</t>
  </si>
  <si>
    <t>Universidade de Vigo</t>
  </si>
  <si>
    <t>Font√°n F.P.</t>
  </si>
  <si>
    <t>UHF TV Re-emitter antenna system design and optimization with the aid of terrain and environmental data bases</t>
  </si>
  <si>
    <t>10.1109/11.486071</t>
  </si>
  <si>
    <t>2-s2.0-0030104351</t>
  </si>
  <si>
    <t>63-73</t>
  </si>
  <si>
    <t>Ledoux, Benoit</t>
  </si>
  <si>
    <t>Ledoux B.</t>
  </si>
  <si>
    <t>Channel characterization and television field strength measurements</t>
  </si>
  <si>
    <t>10.1109/11.486077</t>
  </si>
  <si>
    <t>2-s2.0-0030104407</t>
  </si>
  <si>
    <t>['typical cases', 'robust design', 'rf characteristics', 'remarkably low', 'reflector curtains', 'radiation patterns', 'paper presents', 'input impedance', 'ice loading', 'fem calculations', '92 miles']</t>
  </si>
  <si>
    <t>Rotatable shortwave antennas enable broadcasters to cover target areas in any direction. This paper presents the concept and design of a rotatable curtain antenna characterized by a simple and robust design, which can be operated up to very high wind speeds. The deformation of the steel support structure is shown for typical cases of wind and ice loading, the results being obtained by FEM calculations. For the very high basic wind speed of 41 m/s (92 miles/h) the deflections of the dipole and reflector curtains are calculated and subsequently the RF characteristics for this situation. It is found that the influence of wind on the input impedance and the radiation patterns is remarkably low. ¬© 1996 IEEE.</t>
  </si>
  <si>
    <t>50-54</t>
  </si>
  <si>
    <t>Bruger, Peter</t>
  </si>
  <si>
    <t>Telefunken Sendeltechnik</t>
  </si>
  <si>
    <t>Bruger P.</t>
  </si>
  <si>
    <t>Rotatable shortwave curtain antenna operable at very high wind speeds</t>
  </si>
  <si>
    <t>10.1109/11.486075</t>
  </si>
  <si>
    <t>2-s2.0-0030104428</t>
  </si>
  <si>
    <t>PAS642-2</t>
  </si>
  <si>
    <t>['successful dual', 'spacing perturbations', 'layer dual', 'band fss', 'allow dual']</t>
  </si>
  <si>
    <t>A single-layer dual-band frequency selective surface (FSS) created by the perturbation of a single-band dipole array is studied. A simple algebraic formulation is derived to analyze both element and spacing perturbations. Guidelines are then proposed to allow dual-band FSS's to be designed with no anomalous behavior occurring in the two desired bandstop responses. Examples of unsuccessful and successful dual-band FSS's are calculated. ¬© 1996 IEEE.</t>
  </si>
  <si>
    <t>368-374</t>
  </si>
  <si>
    <t>100620018;100620018</t>
  </si>
  <si>
    <t>55451558500;35550481500</t>
  </si>
  <si>
    <t>Hill, Roger A.;Munk, Benedikt A.</t>
  </si>
  <si>
    <t>Cincinnati</t>
  </si>
  <si>
    <t>Xetron Corporation</t>
  </si>
  <si>
    <t>Hill R.</t>
  </si>
  <si>
    <t>The effect of perturbating a frequency-selective surface and its relation to the design of a dual-band surface</t>
  </si>
  <si>
    <t>S0018926X96018212</t>
  </si>
  <si>
    <t>10.1109/8.486306</t>
  </si>
  <si>
    <t>2-s2.0-0030104698</t>
  </si>
  <si>
    <t>['surface type', 'subsurface interactions', 'soil characteristics', 'rough surface', 'normal incidence', 'natural ground', 'incident field', 'incidence angle', 'free space', 'buried object', 'also apply']</t>
  </si>
  <si>
    <t>Two-dimensional electromagnetic scattering from a perfectly conducting target embedded near the randomly rough surface of an isotropic lossy dielectric is investigated. The randomly rough surface is illuminated by a finite width beam from an antenna in the free space above the surface, with off-normal incidence. Standard integral equation methods are applied and include all subsurface interactions between the object and rough surface. For a chosen embedded target, Monte Carlo simulations are performed for a selection of ensembles of rough surface types intended to be suggestive of natural ground. Far field scattering coefficient distributions and corresponding synthetic images suggest when the buried object should be discernible. Sensitivities are explored in terms of surface type, polarization of the incident field, depth and orientation of target, soil characteristics, incidence angle, and beamwidth. Many of the scattering features identified should also apply in 3-D. ¬© 1996 IEEE.</t>
  </si>
  <si>
    <t>367-376</t>
  </si>
  <si>
    <t>60006051;60030443;60030443</t>
  </si>
  <si>
    <t>7101918329;6602878800;7102750366</t>
  </si>
  <si>
    <t>O'Neill, Kevin;Lussky, Robert F.;Paulsen, Keith D.</t>
  </si>
  <si>
    <t>Hanover;Hanover</t>
  </si>
  <si>
    <t>Thayer School of Engineering at Dartmouth;U.S. Army Cold Regions Research and Engineering Laboratory</t>
  </si>
  <si>
    <t>60030443;60006051</t>
  </si>
  <si>
    <t>O'Neill K.</t>
  </si>
  <si>
    <t>Scattering from a metallic object embedded near the randomly rough surface of a lossy dielectric</t>
  </si>
  <si>
    <t>S0196289296010091</t>
  </si>
  <si>
    <t>10.1109/36.485114</t>
  </si>
  <si>
    <t>2-s2.0-0030104919</t>
  </si>
  <si>
    <t>['ultrafast electro', 'sensors suitable', 'recent study', 'optic sensors', 'infrared imaging', 'detection geometry', 'coherent measurement']</t>
  </si>
  <si>
    <t>We report our recent study of ultrafast electro-optic field sensors for the coherent measurement of freely propagating subpicosecond pulsed electromagnetic waves (THz beams). The sensitivity and bandwidth of these electro-optic sensors are comparable with the conventional ultrafast photoconductive dipole antennas. The simplicity of the detection geometry and capability of optical parallel processing make these sensors suitable for real-time 2D subpicosecond far-infrared imaging. ¬© 1996 American Institute of Physics.</t>
  </si>
  <si>
    <t>1604-1606</t>
  </si>
  <si>
    <t>Ultrafast electro-optic field sensors</t>
  </si>
  <si>
    <t>S0003695196013125</t>
  </si>
  <si>
    <t>10.1063/1.115665</t>
  </si>
  <si>
    <t>2-s2.0-0030106494</t>
  </si>
  <si>
    <t>['typical smooth', 'theoretical calculations', 'smooth surface', 'rough surfaces', 'reflective properties', 'reflection model', 'reflection coefficients', 'propagation prediction', 'propagation measurements', 'predictions using', 'limestone blocks', 'good agreement', 'directly applied', 'directional antennas', '9 ghz', '4 ghz', '0 ghz']</t>
  </si>
  <si>
    <t>This paper presents microwave reflection coefficient measurements at 1.9 GHz and 4.0 GHz for a variety of typical smooth and rough exterior building surfaces. The measured test surfaces include walls composed of limestone blocks, glass, and brick. Reflection coefficients were measured by resolving individual reflected signal components temporally and spatially, using a spread-spectrum sliding correlation system with directional antennas. Measured reflection coefficients are compared to theoretical Fresnel reflection coefficients, applying Gaussian rough surface scattering corrections where applicable. Comparisons of theoretical calculations and measured test cases reveal that Fresnel reflection coefficients adequately predict the reflective properties of the glass and brick wall surfaces. The rough limestone block wall reflection measurements are shown to be bounded by the predictions using the Fresnel reflection coefficients for a smooth surface and the modified reflection coefficients using the Gaussian rough surface correction factors. A simple, but effective, reflection model for rough surfaces is proposed, which is in good agreement with propagation measurements at 1.9 GHz and 4 GHz for both vertical and horizontal antenna polarizations. These reflection coefficient models can be directly applied to the estimation of multipath signal strength in ray tracing algorithms for propagation prediction. ¬© 1996 IEEE.</t>
  </si>
  <si>
    <t>341-351</t>
  </si>
  <si>
    <t>60021378;60021378;60021378</t>
  </si>
  <si>
    <t>6507999902;7005366806;7006091503</t>
  </si>
  <si>
    <t>Landron, Orlando;Feuerstein, Martin J.;Rappaport, Theodore S.</t>
  </si>
  <si>
    <t>Landron O.</t>
  </si>
  <si>
    <t>A comparison of theoretical and empirical reflection coefficients for typical exterior wall surfaces in a mobile radio environment</t>
  </si>
  <si>
    <t>S0018926X96018182</t>
  </si>
  <si>
    <t>10.1109/8.486303</t>
  </si>
  <si>
    <t>2-s2.0-0030106846</t>
  </si>
  <si>
    <t>Alexander von Humboldt-Stiftung</t>
  </si>
  <si>
    <t>INTAS-93-0642</t>
  </si>
  <si>
    <t>['significant improvement', 'priori information', 'new modification', 'new algorithm', 'moderate order', 'known hung', 'jammer scenarios', 'jammer directions', 'important advantage', 'forming algorithm', 'derivative constraints', 'constraints used', 'computer simulations', 'computational efficiency', 'adaptive beam']</t>
  </si>
  <si>
    <t>We present a new modification of the well-known Hung-Turner (HT) adaptive beam-forming algorithm, providing additional robustness of a narrowband adaptive array in wideband and moving-jammer scenarios. The robustness is achieved by involving the derivative constraints toward the jammer directions in the conventional HT algorithm. The important advantage of the constraints used is that they do not require any a priori information about jammer directions. The computer simulations with wideband and moving jammers show that the proposed algorithm provides the significant improvement of the adaptive array performance as compared with the conventional HT algorithm. At the same time, for a moderate order of derivative constraints, the new algorithm has computational efficiency, comparable with the conventional HT algorithm. ¬© 1996 IEEE.</t>
  </si>
  <si>
    <t>60005322;60005322;60005322</t>
  </si>
  <si>
    <t>7006198109;57224373508;7005185971</t>
  </si>
  <si>
    <t>Gershman, Alex B.;Serebryakov, George V.;B√∂hme, Johann F.</t>
  </si>
  <si>
    <t>Bochum</t>
  </si>
  <si>
    <t>Ruhr-Universitat Bochum</t>
  </si>
  <si>
    <t>Gershman A.B.</t>
  </si>
  <si>
    <t>Constrained hung-turner adaptive beam-forming algorithm with additional robustness to wideband and moving jammers</t>
  </si>
  <si>
    <t>S0018926X96018200</t>
  </si>
  <si>
    <t>10.1109/8.486305</t>
  </si>
  <si>
    <t>2-s2.0-0030106929</t>
  </si>
  <si>
    <t>['surface resistance', 'superconducting thin', 'simulation model', 'radiation efficiency', 'parallel line', 'paper describes', 'model makes', 'line radiator', 'film radiator', 'electromagnetic coupling', 'dielectric substrate', 'also proposed', '79 k']</t>
  </si>
  <si>
    <t>This paper describes the structure and properties of a 900-MHz-band small antenna with a superconducting thin-film radiator operated by electromagnetic coupling. The radiation efficiency of the antenna with a Œª/38 radiator reached 74% at 79 K. The loss in this antenna comprised mismatching loss and radiator loss caused by the surface resistance of the superconducting thin film. A simulation model with a meander-line radiator and a parallel line is also proposed. This model makes it possible to design a superconducting thin-film radiator which can be fabricated on a dielectric substrate by using the moment method without taking account of the dielectric substrate. ¬© 1996 IEEE.</t>
  </si>
  <si>
    <t>IEEE Transactions on Applied Superconductivity</t>
  </si>
  <si>
    <t>60025555;60000251-60025555;60025555;60026487</t>
  </si>
  <si>
    <t>7404604430;37019710800;7402580660;7006534690</t>
  </si>
  <si>
    <t>Suzuki, Naobumi;Itoh, Keiichiro;Nagai, Yasuhiro;Michikami, Osamu</t>
  </si>
  <si>
    <t>Morioka;Tokyo;New York</t>
  </si>
  <si>
    <t>Iwate University;Nippon Telegraph and Telephone Corporation;IEEE</t>
  </si>
  <si>
    <t>60026487;60025555;60000251</t>
  </si>
  <si>
    <t>Suzuki N.</t>
  </si>
  <si>
    <t>Properties of an electromagnetically coupled small antenna with a superconducting thin-film radiator</t>
  </si>
  <si>
    <t>S1051822396036378</t>
  </si>
  <si>
    <t>10.1109/77.488275</t>
  </si>
  <si>
    <t>2-s2.0-0030107736</t>
  </si>
  <si>
    <t>MIP 9308919</t>
  </si>
  <si>
    <t>['wiener model', 'transient behavior', 'training signal', 'state properties', 'source captured', 'signal canceller', 'multistage system', 'identical stages', 'direction vector', 'conventional weight', 'constant modulus', 'computer simulations', 'cm array', 'captured signal', 'array input', 'analytical results']</t>
  </si>
  <si>
    <t>The constant modulus (CM) array is a blind adaptive beamformer capable of recovering a narrowband signal among several cochannel sources without using a pilot or training signal. It is a conventional weight-and-sum adaptive beamformer whose weights are updated by the constant modulus algorithm. An adaptive signal canceller follows the beamformer to remove the captured signal from the array input and to provide an estimate of its direction vector. Based on a Wiener model, we investigate the steady-state properties of the CM array and the signal canceller. For mutually uncorrelated sources and noise, it is shown that the signal canceller exactly removes the source captured by the array. Thus, identical stages of the CM array and signal canceller may be used in a multistage system to recover several cochannel sources. Computer simulations are presented to verify the analytical results and to illustrate the transient behavior of the system. ¬© 1996 IEEE.</t>
  </si>
  <si>
    <t>652-660</t>
  </si>
  <si>
    <t>60000251-60029241;60000251-60076836</t>
  </si>
  <si>
    <t>7005641508;7005702908</t>
  </si>
  <si>
    <t>Shynk, John J.;Gooch, Richard P.</t>
  </si>
  <si>
    <t>Sunnyvale;Santa Barbara;New York</t>
  </si>
  <si>
    <t>Applied Signal Technology;University of California, Santa Barbara;IEEE</t>
  </si>
  <si>
    <t>60076836;60029241;60000251</t>
  </si>
  <si>
    <t>Shynk J.</t>
  </si>
  <si>
    <t>The constant modulus array for cochannel signal copy and direction finding</t>
  </si>
  <si>
    <t>S1053587X96023936</t>
  </si>
  <si>
    <t>10.1109/78.489038</t>
  </si>
  <si>
    <t>2-s2.0-0030107897</t>
  </si>
  <si>
    <t>['problem domain', 'new method', 'measured data', 'matrix equation', 'local nature', 'formalism allows', 'fields outside', 'fem region', 'electromagnetic fields']</t>
  </si>
  <si>
    <t>A new method for finding radiation patterns and the reflection coefficients associated with an axisymmetric waveguide fed horn is presented. The approach is based on a hybrid finite element method (FEM) wherein the electromagnetic fields in the FEM region are coupled to the fields outside by two surface integral equations. Because of the local nature of the FEM, this formalism allows for the presence of inhomogeneities to be included in the problem domain. The matrix equation which results from the application of this method is shown to be complex-symmetric. Comparisons of calculated and measured data for two different horns show good agreement. ¬© 1996 IEEE.</t>
  </si>
  <si>
    <t>280-285</t>
  </si>
  <si>
    <t>6701803120;6701919037;7103053272</t>
  </si>
  <si>
    <t>Chinn, Gilbert C.;Epp, Larry W.;Hoppe, Daniel J.</t>
  </si>
  <si>
    <t>Chinn G.</t>
  </si>
  <si>
    <t>A hybrid finite-element method for axisymmetric waveguide-fed horns</t>
  </si>
  <si>
    <t>S0018926X9601808X</t>
  </si>
  <si>
    <t>10.1109/8.486294</t>
  </si>
  <si>
    <t>2-s2.0-0030108034</t>
  </si>
  <si>
    <t>['soil type', 'received concerning', 'program developed', 'previous computer', 'optimum number', 'elevated radiais', 'continued addition', 'analysis shows']</t>
  </si>
  <si>
    <t>Previous computer-modeling studies indicated that four elevated radiais may be used in conjunction with an elevated vertical monopole (tower) to produce radiated field strength which is equivalent to that emitted by a similar monopole using 120 buried radiais. [1] Inquiries have been received concerning the effect of increasing the number of elevated radiais, and/or changing the height of the radiais above ground. Analysis shows that there seems to be an optimum number of elevated radiais for each height and soil type. Surprisingly, the continued addition of more and more elevated radiais eventually produces a reduction in performance. The computer code used for this work was NEC, a "Method of Moments" program developed at Lawrence Livermore National Laboratory. [2] ¬© 1996 IEEE.</t>
  </si>
  <si>
    <t>Christman, Al</t>
  </si>
  <si>
    <t>Grove City</t>
  </si>
  <si>
    <t>Grove City College</t>
  </si>
  <si>
    <t>Christman A.</t>
  </si>
  <si>
    <t>AM broadcast antennas with elevated radials: Varying the number of radials and their height above ground</t>
  </si>
  <si>
    <t>10.1109/11.486070</t>
  </si>
  <si>
    <t>2-s2.0-0030108445</t>
  </si>
  <si>
    <t>['various sum', 'time allowing', 'relative levels', 'new remez', 'individual sidelobes', 'including superdirective', 'exact specification', 'difference patterns', 'complex coefficients', 'beam width', 'beam arrays', 'asymmetrical far']</t>
  </si>
  <si>
    <t>A new L‚àû optimal method for the synthesis of equispaced linear array functions with asymmetrical far-fleld pattern functions is proposed. This iterative method provides for the exact specification of the beam width, while at the same time allowing for the specification of the relative levels of individual sidelobes by index or as a function of bearing (e.g., angularly-extended nulls), as well as the realization of specified narrowband nulls. The resulting array factors are optimal in the weighted L‚àû sense and, in general, have complex coefficients. This new Remez-type method employs multiple objective functions to provide the degrees of freedom that are required for exact null placement Examples which demonstrate the design flexibility offered by the method are included for various sum and difference patterns, including superdirective and shaped-beam arrays. ¬© 1996 IEEE.</t>
  </si>
  <si>
    <t>286-294</t>
  </si>
  <si>
    <t>Shpak, Dale J.</t>
  </si>
  <si>
    <t>Shpak D.J.</t>
  </si>
  <si>
    <t>A method for the optimal pattern synthesis of linear arrays with prescribed nulls</t>
  </si>
  <si>
    <t>S0018926X96018091</t>
  </si>
  <si>
    <t>10.1109/8.486295</t>
  </si>
  <si>
    <t>2-s2.0-0030108738</t>
  </si>
  <si>
    <t>['westfleld college', 'three amsu', 'space view', 'queen mary', 'paper describes', 'offset parabola', 'main reflector', 'earth views', 'b receiver', 'b ),', 'antenna patterns', 'antenna effects', 'also discussed', '31 ghz']</t>
  </si>
  <si>
    <t>Measurements of the antenna patterns for the high frequency component of the Advanced Microwave Sounding Unit (AMSU-B), to fly on the NOAA-KLM polar orbiting satellites, are reported here. They were made on the Compact Antenna Test Range at Queen Mary and Westfleld College, London, at three frequencies within the AMSU-B receiver's channels, centered at 89, 150, and 183.31 GHz. The main reflector of AMSU-B's antenna is an offset parabola with a 219-mm diameter aperture. This paper describes the measurements that were made and presents the results of an analysis of them for the three AMSU-B flight models. Measurements of beamwidths, main beam efficiencies, and sensitivity to cross-polarization are all reported. These data are then used to compute simulated antenna temperatures for the space and Earth views and recommendations for correcting the space view and Earth view data due to antenna effects are proposed. The implications for the operational radiometric calibration of AMSU-B are also discussed. ¬© 1996 IEEE.</t>
  </si>
  <si>
    <t>405-412</t>
  </si>
  <si>
    <t>60018258;60018258</t>
  </si>
  <si>
    <t>6604053026;7201706659</t>
  </si>
  <si>
    <t>Hewison, Timothy J.;Saunders, Roger</t>
  </si>
  <si>
    <t>Exeter</t>
  </si>
  <si>
    <t>Met Office</t>
  </si>
  <si>
    <t>Hewison T.</t>
  </si>
  <si>
    <t>Measurements of the AMSU-B antenna pattern</t>
  </si>
  <si>
    <t>S0196289296010145</t>
  </si>
  <si>
    <t>10.1109/36.485118</t>
  </si>
  <si>
    <t>2-s2.0-0030108753</t>
  </si>
  <si>
    <t>9247/90/NL/US</t>
  </si>
  <si>
    <t>['unambiguous way', 'thoroughly examined', 'supportive numerical', 'gap voltage', 'experimental results', 'current ones', 'correctly use', 'become equivalent', 'also provided']</t>
  </si>
  <si>
    <t>The issue of characterizing multiport planar circuits using the method of moments is addressed. For this purpose two commonly encountered excitation models, the delta-gap voltage, and the impressed-current ones are considered. The two excitation models are thoroughly examined and the conditions are determined under which they become equivalent. Based on this equivalence, it is shown how to correctly use the models for extracting the required network representation of general multiport planar circuits, possibly having transversely multisegmented ports, in an unambiguous way. Supportive numerical and experimental results for the characterization of shielded planar circuits are also provided. ¬© 1996 IEEE.</t>
  </si>
  <si>
    <t>438-445</t>
  </si>
  <si>
    <t>60000251-60028186;60000251-60028186</t>
  </si>
  <si>
    <t>7004469751;7006665188</t>
  </si>
  <si>
    <t>Eleftheriades, George V.;Mosig, Juan R.</t>
  </si>
  <si>
    <t>Switzerland;United States</t>
  </si>
  <si>
    <t>Lausanne;New York</t>
  </si>
  <si>
    <t>Swiss Federal Institute of Technology Lausanne;IEEE</t>
  </si>
  <si>
    <t>60028186;60000251</t>
  </si>
  <si>
    <t>Eleftheriades G.V.</t>
  </si>
  <si>
    <t>On the network characterization of planar passive circuits using the method of moments</t>
  </si>
  <si>
    <t>S0018948096015475</t>
  </si>
  <si>
    <t>10.1109/22.486153</t>
  </si>
  <si>
    <t>2-s2.0-0030108847</t>
  </si>
  <si>
    <t>['three planes', 'thorough investigation', 'shorting posts', 'scanning potential', 'scan performance', 'scan impedance', 'polarization levels', 'planes ).', 'paper presents', 'microstrip probe', 'low cross', 'also proposed']</t>
  </si>
  <si>
    <t>This paper presents a thorough investigation of the use of shorting posts to improve the scanning potential of microstrip probe-fed patch arrays. A rigorous spectral domain integral equation (SDIE) technique is used to analyze the scan impedance and related radiation characteristics of several proposed shorting post-patch array configurations. It is shown that by using shorting posts, potential scan blindnesses can be removed and the useful scanning range of the array can be significantly extended beyond 80¬∞ in the plane of interest. Comparisons of the scan performance of several microstrip patch arrays containing up to three shorting posts are presented. Novel hybrid shorting post configurations are also proposed and examined, which provide excellent scanning potential in the three principal planes (E-, H-, and D-planes). These modified microstrip patches incorporate switching diodes and provide minimal scan impedance variation for scan angles near 80¬∞ in all three planes, as well as very low cross-polarization levels. ¬© 1996 IEEE.</t>
  </si>
  <si>
    <t>302-309</t>
  </si>
  <si>
    <t>Waterhouse, Rodney B.</t>
  </si>
  <si>
    <t>RMIT University</t>
  </si>
  <si>
    <t>Waterhouse R.B.</t>
  </si>
  <si>
    <t>The use of shorting posts to improve the scanning range of probe-fed microstrip patch phased arrays</t>
  </si>
  <si>
    <t>S0018926X9601811X</t>
  </si>
  <si>
    <t>10.1109/8.486297</t>
  </si>
  <si>
    <t>2-s2.0-0030109019</t>
  </si>
  <si>
    <t>['sheet ).', 'self inductance', 'selective radiation', 'results extend', 'resistive sheet', 'mutual inductance', 'inductance concepts', 'finite speed', 'derived self', 'capacitive sheets']</t>
  </si>
  <si>
    <t>Formulas for self inductance, mutual inductance, and image for a horizontal loop placed above a resistive sheet are presented. These results extend the magnetostatically-derived self- and mutual-inductance concepts to account for the finite speed of propagation of the fields. Classical network equivalents are introduced for low- and high-resistive sheet values. For capacitive sheets, the structure is capable of selective radiation (eminently below the plane of the sheet). ¬© 1996 IEEE.</t>
  </si>
  <si>
    <t>Monzon, Cesar</t>
  </si>
  <si>
    <t>Monzon C.</t>
  </si>
  <si>
    <t>A loop antenna in front of a resistive sheet</t>
  </si>
  <si>
    <t>S0018926X96018261</t>
  </si>
  <si>
    <t>10.1109/8.486311</t>
  </si>
  <si>
    <t>2-s2.0-0030109046</t>
  </si>
  <si>
    <t>N00014-93-1-012 3</t>
  </si>
  <si>
    <t>['two models', 'transmitted pulsewidth', 'surface model', 'squares fit', 'snow data', 'pointing angle', 'optimization method', 'ice shelf', 'general configuration', 'continental ice', 'combining surface', 'combined model', 'antenna beamwidth', 'altimeter data']</t>
  </si>
  <si>
    <t>A method for combining surface and volume scattering effects to model the radar altimeter power waveforms recorded over continental ice and snow, such as that present on Greenland and Antarctica, is discussed. The surface model that is used is a variant of the well-known impulse response based method that is capable of modeling the returns for an altimeter having a general configuration of altitude, antenna beamwidth, transmitted pulsewidth, and pointing angle. The newly formulated volume model is also an impulse response based method that differs from previously introduced versions in that it can also be applied to a general altimeter configuration. The two models are added together assuming completely incoherent scattering. An example of fitting this combined model to altimeter data is given to illustrate the importance of accounting for the volume scattering present in ice/snow data. An optimization method can then be used to achieve a least-squares fit to actual altimeter data, providing an estimate of the parameters for that area on the ice shelf. ¬© 1996 IEEE.</t>
  </si>
  <si>
    <t>444-456</t>
  </si>
  <si>
    <t>101166012;60027090</t>
  </si>
  <si>
    <t>7005137403;7406465664</t>
  </si>
  <si>
    <t>Newkirk, Michael H.;Brown, Gary S.</t>
  </si>
  <si>
    <t>Blacksburg;Adelphi</t>
  </si>
  <si>
    <t>Virginia Polytechnic Institute and State University;U.S. Array Research Laboraiory</t>
  </si>
  <si>
    <t>60027090;101166012</t>
  </si>
  <si>
    <t>Newkirk M.</t>
  </si>
  <si>
    <t>A waveform model for surface and volume scattering from ice and snow</t>
  </si>
  <si>
    <t>S0196289296011783</t>
  </si>
  <si>
    <t>10.1109/36.485122</t>
  </si>
  <si>
    <t>2-s2.0-0030109070</t>
  </si>
  <si>
    <t>Centre National d‚ÄôEtudes Spatiales</t>
  </si>
  <si>
    <t>CNES</t>
  </si>
  <si>
    <t>['year period', 'typical regions', 'strong dependence', 'scatterometer system', 'results show', 'results indicate', 'regional scales', 'r ¬∞', 'high capability', 'good intercalibration', 'global vegetation', 'global scales', 'elevation map', 'data quality', 'calibrated data', 'backscattering coefficient', 'april 1992', '80 ¬∞']</t>
  </si>
  <si>
    <t>The capability of ERS-1 wind scatterometer (WSC) data for land surface studies at regional and global scales is investigated. Calibrated data, available since April 1992, consist of backscattering coefficient &lt;r¬∞ values estimated over a 50km ground resolution cell within a 18-59¬∞ incidence range. The WSC covers latitudes between 80¬∞S and 85¬∞N. Data quality is investigated. Results show a good radiometric stability throughout a two-year period (April 1992-March 1994), a good measurement accuracy and a very good intercalibration between antennas. A global backscattering coefficient image of the world is presented and statistics of &lt;r¬∞ are extracted for the main land surfaces. A strong dependence between this image and global vegetation and elevation map is observed. Finally, WSC and Seasat-A Scatterometer System (SASS) data of typical regions are compared. Results indicate the high capability of ERS-1 WSC data for land surfaces monitoring at global and regional scales. ¬© 1996 IEEE.</t>
  </si>
  <si>
    <t>550-560</t>
  </si>
  <si>
    <t>60017694;60017694</t>
  </si>
  <si>
    <t>6603670994;7003798418</t>
  </si>
  <si>
    <t>Frison, P. L.;Mougin, E.</t>
  </si>
  <si>
    <t>Frison P.L.</t>
  </si>
  <si>
    <t>Use of ERS-1 wind scatterometer data over land surfaces</t>
  </si>
  <si>
    <t>S019628929601176X</t>
  </si>
  <si>
    <t>10.1109/36.485131</t>
  </si>
  <si>
    <t>2-s2.0-0030109071</t>
  </si>
  <si>
    <t>Department of Trade and Industry</t>
  </si>
  <si>
    <t>DTI</t>
  </si>
  <si>
    <t>['transient radiation', 'theoretical model', 'multimode nature', 'model propagation', 'method developed', 'including single', 'fluid medium', 'experimental results', 'arrays comprised', 'annular apertures']</t>
  </si>
  <si>
    <t>An approach to predict the compressional wave transient radiation in solid load media from elements and arrays comprised of segmented annular apertures is described. The model may also be applied to the simulation of the transient radiation from circular, rectangular, and annular apertures by suitable parameter manipulation. The approach is based on the method developed by Stepanishen to model propagation in a fluid medium. A suitable angular weighting factor, that of Miller and Pursey, is included to account for the multimode nature of solids. A number of experimental results, including single-element and phased array operation, obtained from a prototype segmented annular array system are presented. These results demonstrate good agreement when compared with those obtained from the theoretical model. ¬© 1996 IEEE.</t>
  </si>
  <si>
    <t>263-269</t>
  </si>
  <si>
    <t>60024724;60024724</t>
  </si>
  <si>
    <t>7103164744;7101602933</t>
  </si>
  <si>
    <t>Reilly, David;Hayward, Gordon</t>
  </si>
  <si>
    <t>University of Strathclyde</t>
  </si>
  <si>
    <t>Reilly D.</t>
  </si>
  <si>
    <t>A model to predict the transient radiation from segmented annular apertures radiating into solid media</t>
  </si>
  <si>
    <t>S0885301096017583</t>
  </si>
  <si>
    <t>10.1109/58.485952</t>
  </si>
  <si>
    <t>2-s2.0-0030109363</t>
  </si>
  <si>
    <t>['wave objects', 'various shapings', 'scattering environments', 'ray tracing', 'ray theory', 'quasiperiodic features', 'previous results', 'planar two', 'phenomena associated', 'incident fields', 'gtd ).', 'dimensional case', 'developed high', 'constructed entirely', 'bragg condition']</t>
  </si>
  <si>
    <t>Many scattering configurations of interest include finite portions with periodic or quasiperiodic features. Several recent investigations have dealt with this problem for the planar two-dimensional case and have developed high-frequency asymptotic solutions that include multibeam reflections obeying the Bragg condition and Bragg-modulated edge diffractions. These constituents have been interpreted as wave objects in a generalized geometrical theory of diffraction (GTD). The present investigation adds to these previous results and formalizes them into a ray theory. This allows the scattered fields due to a finite quasiperiodic array of obstacles, excited by an arbitrary incident field, to be constructed entirely by ray tracing. Scattered ray plots and caustics for various shapings of incident fields and array parameters illustrate the variety of phenomena associated with this class of scattering environments. ¬© 1996 IEEE.</t>
  </si>
  <si>
    <t>375-382</t>
  </si>
  <si>
    <t>60019674;</t>
  </si>
  <si>
    <t>56883021600;14320243200</t>
  </si>
  <si>
    <t>Felsen, Leopold B.;Ribas, Emilio Gago</t>
  </si>
  <si>
    <t>Boston University</t>
  </si>
  <si>
    <t>Felsen L.</t>
  </si>
  <si>
    <t>Ray theory for scattering by two-dimensional quasiperiodic plane finite arrays</t>
  </si>
  <si>
    <t>S0018926X96018224</t>
  </si>
  <si>
    <t>10.1109/8.486307</t>
  </si>
  <si>
    <t>2-s2.0-0030109599</t>
  </si>
  <si>
    <t>['synthesis leads', 'substrate thicknesses', 'radar antennas', 'one proposed', 'new type', 'microstrip elements', 'may lead', 'final thickness', 'feeding network', 'elevation plane', 'done extensively', 'cosec2 beam', 'configuration similar', 'band performance', 'array elements']</t>
  </si>
  <si>
    <t>Pattern synthesis using planar arrays was done extensively in the past, mainly in the context of radar antennas where a cosec2 beam is required in the elevation plane. The synthesis leads to a set of coefficients for the array elements which may be difficult to realize and which, if realizable, may lead to a very narrow-band performance. In this paper, a new type of array is proposed. The shaped-beam nonplanar array is an array of microstrip elements, where the phasing is not generated through the feeding network, but by shaping the substrate. Microstrip arrays lend themselves well to a configuration similar to the one proposed, and as it will be shown, the final thickness of the array does not exceed a few substrate thicknesses. ¬© 1996 IEEE.</t>
  </si>
  <si>
    <t>389-392</t>
  </si>
  <si>
    <t>Herscovici, Naftali</t>
  </si>
  <si>
    <t>Framingham</t>
  </si>
  <si>
    <t>Anteg, Inc.</t>
  </si>
  <si>
    <t>Nonplanar microstrip arrays</t>
  </si>
  <si>
    <t>S0018926X96018248</t>
  </si>
  <si>
    <t>10.1109/8.486309</t>
  </si>
  <si>
    <t>2-s2.0-0030109601</t>
  </si>
  <si>
    <t>['¬± 0', 'wind scatterometers', 'wind scatterometer', 'well calibrated', 'uniquely distinguish', 'system gain', 'slow variations', 'simple technique', 'several tenths', 'seasonal variations', 'seasat scatterometer', 'rain forest', 'radar response', 'r ¬∞', 'processing channels', 'postlaunch calibration', 'polynomial model', 'made consistent', 'intrinsic variability', 'incidence angle', 'gain corrections', 'escat data', 'ensure consistency', 'different antennas', 'calibration using', 'aircraft flights', '15 db']</t>
  </si>
  <si>
    <t>Wind scatterometers are radar systems designed specifically to measure the normalized radar backscatter coefficient (&lt;r¬∞) of the ocean's surface in order to determine the near-surface wind vector. Postlaunch calibration of a wind scatterometer can be performed with an extended-area natural target such as the Amazon tropical rain forest Rain forests exhibit a remarkably high degree of homogeneity in their radar response over a very large area though some spatial and temporal variability exist. In this paper we present a simple technique for calibrating scatterometer data using tropical rain forests. Using a polynomial model for the rolloff of &lt;r¬∞ with incidence angle, the technique determines gain corrections to ensure consistency between different antennas and processing channels. Corrections for the time varying instrument gain are made consistent with a seasonally fixed rain forest response; however, without ground stations or aircraft flights, it is difficult to uniquely distinguish between seasonal variations in the rain forest and slow variations of the system gain. Applying the corrections, the intrinsic variability of the &lt;r¬∞ of the rain forest is estimated to be ¬±0.15 dB, which is the limit of the accuracy of calibration using the rain forest. The technique is illustrated with Seasat scatterometer (SASS) data and applied to ERS-1 Active Microwave Instrument scatterometer (Escat) data. Gain corrections of up to several tenths of a decibel are estimated for SASS. Corrections for Escat data are found to be very small, suggesting that Escat data is well calibrated. ¬© 1996 IEEE.</t>
  </si>
  <si>
    <t>413-424</t>
  </si>
  <si>
    <t>60006832;60006832</t>
  </si>
  <si>
    <t>35508257500;6504775472</t>
  </si>
  <si>
    <t>Long, David G.;Skouson, Gary B.</t>
  </si>
  <si>
    <t>Provo</t>
  </si>
  <si>
    <t>Brigham Young University</t>
  </si>
  <si>
    <t>Long D.</t>
  </si>
  <si>
    <t>Calibration of spaceborne scatterometers using tropical rain forests</t>
  </si>
  <si>
    <t>S0196289296009928</t>
  </si>
  <si>
    <t>10.1109/36.485119</t>
  </si>
  <si>
    <t>2-s2.0-0030110124</t>
  </si>
  <si>
    <t>['wave devices', 'spatial mapping', 'silicon millimeter', 'sapphire antenna', 'powerful method', 'photoconductive silicon', 'induced second', 'harmonic generation', 'electric field', 'efishg technique', 'contactless sampling']</t>
  </si>
  <si>
    <t>Electric field-induced second-harmonic generation (EFISHG) is shown to be a very powerful method for contactless sampling of high-speed electrical signals on silicon millimeter-wave devices. We present picosecond resolution EFISHG measurements of 2 GHz sinusoidal signals on a photoconductive silicon-on-sapphire antenna. We further demonstrate the application of the EFISHG technique for spatial mapping of free-running microwave signals in silicon. ¬© 1996 American Institute of Physics.</t>
  </si>
  <si>
    <t>1699-1701</t>
  </si>
  <si>
    <t>60016653;60016653;60016653;60016653;60016653;60016653;60016653</t>
  </si>
  <si>
    <t>6505988928;35618357500;7004387964;7003519023;7102250137;7004848584;7202054618</t>
  </si>
  <si>
    <t>Ohlhoff, C.;Meyer, C.;L√ºpke, G.;L√∂ffler, T.;Pfeifer, T.;Roskos, H. G.;Kurz, H.</t>
  </si>
  <si>
    <t>Ohlhoff C.</t>
  </si>
  <si>
    <t>Optical second-harmonic probe for silicon millimeter-wave circuits</t>
  </si>
  <si>
    <t>S0003695196043124</t>
  </si>
  <si>
    <t>10.1063/1.115910</t>
  </si>
  <si>
    <t>2-s2.0-0030110157</t>
  </si>
  <si>
    <t>['zero variances', 'weight vectors', 'single array', 'simulation results', 'random amplitude', 'phase errors', 'original system', 'new technique', 'entire system']</t>
  </si>
  <si>
    <t>In this paper, a new technique to reduce the variances of the source-tracking response zeros of power inversion arrays in the presence of random amplitude and phase errors is investigated. Essentially, the zero variances are reduced by dividing the original system into several spatially shifted power inversion arrays, averaging the weight vectors of these arrays, and determining the zeros of the spatially averaged weight vector. Equations for the optimal averaging weights and the ensuing variance performance are derived and verified by simulation results. It is found that the new technique may reduce the zero variance substantially when compared with taking the entire system as a single array. ¬© 1996 IEEE.</t>
  </si>
  <si>
    <t>413-419</t>
  </si>
  <si>
    <t>7202596473;7102180158</t>
  </si>
  <si>
    <t>Ko, C. C.;Low, K. H.</t>
  </si>
  <si>
    <t>Ko C.C.</t>
  </si>
  <si>
    <t>Reduction of variances of source-tracking response zeros of power inversion arrays in the presence of random amplitude and phase errors</t>
  </si>
  <si>
    <t>S0018926X96012008</t>
  </si>
  <si>
    <t>10.1109/8.486312</t>
  </si>
  <si>
    <t>2-s2.0-0030110589</t>
  </si>
  <si>
    <t>MIP-9308302</t>
  </si>
  <si>
    <t>['polarization estimation', 'numerical examples', 'noise subspace', 'mode algorithm', 'including coherent', 'greatly improved', 'direction estimation', 'cold array']</t>
  </si>
  <si>
    <t>This paper considers angle and polarization estimation by means of a cocentered orthogonal loop and dipole (COLD) array. We show that by using the COLD array, the performance of both angle and polarization estimation can be greatly improved, as compared to using a crossed dipole array. We present an asymptotically statistically efficient method of direction estimation (MODE) algorithm that can be used with the COLD array for both angle and polarization estimation of correlated (including coherent) or uncorrelated incident signals. Numerical examples are given to show the better estimation performance of the MODE algorithm than that of the multiple signal classification (MUSIC) and the noise subspace-fitting (NSF) algorithms. ¬©1996 IEEE.</t>
  </si>
  <si>
    <t>539-547</t>
  </si>
  <si>
    <t>60013959;60013959;60013959</t>
  </si>
  <si>
    <t>7410065637;36040796700;7202567150</t>
  </si>
  <si>
    <t>Li, Jian;Stoica, Petre;Zheng, Dunmin</t>
  </si>
  <si>
    <t>Li J.</t>
  </si>
  <si>
    <t>Efficient direction and polarization estimation with a COLD array</t>
  </si>
  <si>
    <t>S0018926X96026385</t>
  </si>
  <si>
    <t>10.1109/8.489306</t>
  </si>
  <si>
    <t>2-s2.0-0030125711</t>
  </si>
  <si>
    <t>['¬© 1996', 'waveguide held', 'wave applications', 'two plane', 'suited ideally', 'stage qomc', 'realized two', 'qomc consists', 'perform azimuth', 'per stage', 'parallel reflectors', 'optical 3', 'loss quasi', 'experimental model', 'experimental investigations', 'comparator stage', 'beam waveguide', '300 mhz', '25 wavelengths', '140 ghz']</t>
  </si>
  <si>
    <t>A novel, low-loss, polarization-independent quasioptical monopulse comparator (QOMC) has been developed as an alternative to the commonly used waveguide comparator. It has been implemented as an experimental model with an aperture of 23 x 23 wavelengths for a 140-GHz monopulse tracking antenna fed by a beam waveguide. The QOMC consists of two cascaded identical stages (sections) to perform azimuth and elevation angle measurements. Each comparator stage is composed of only two plane-parallel reflectors and a low-loss quasi-optical 3-dB beam splitter symmetrically positioned in between them. Extensive model calculations of a single QOMC stage with square aperture dimensions between 10 and 25 wavelengths, and experimental investigations of the realized two-stage QOMC in a beam-waveguide Held were performed. Owing to its sufficient high dynamic range at bandwidths of up to about 300 MHz, and particularly, its low absorptive loss of less than 3.5% per stage at 140 GHz, this QOMC is suited ideally for millimeter-wave applications. ¬© 1996 'IEEE.</t>
  </si>
  <si>
    <t>466-477</t>
  </si>
  <si>
    <t>Jakoby, Rolf</t>
  </si>
  <si>
    <t>Darmstadt</t>
  </si>
  <si>
    <t>Deutsche Telekon AO</t>
  </si>
  <si>
    <t>Jakoby R.</t>
  </si>
  <si>
    <t>A novel quasi-optical monopulse-tracking system for millimeter-wave application</t>
  </si>
  <si>
    <t>S0018926X96026300</t>
  </si>
  <si>
    <t>10.1109/8.489298</t>
  </si>
  <si>
    <t>2-s2.0-0030125901</t>
  </si>
  <si>
    <t>Telecommunications Advancement Foundation</t>
  </si>
  <si>
    <t>TAF</t>
  </si>
  <si>
    <t>['supporting pedestal', 'supporting frame', 'realizing small', 'plane wave', 'feed network', 'broad wall', '45 wrj']</t>
  </si>
  <si>
    <t>For the purpose of generating a quasi-plane wave and realizing small-antenna pattern measurements in the 12 GHz band, a planar-waveguide array antenna consisting of 45 WRJ-120 rectangular waveguides with 57 longitudinal slots on the broad wall of each waveguide is fabricated and tested. The dimensions of the antenna are about 1100 mm x 1300 mm X 850 mm, including the waveguide-supporting frame, the feed network, and the antenna-supporting pedestal. As an example, the.</t>
  </si>
  <si>
    <t>588-589</t>
  </si>
  <si>
    <t>Miyata, Katsumasa</t>
  </si>
  <si>
    <t>Akita</t>
  </si>
  <si>
    <t>National Institute of Technology, Akita College</t>
  </si>
  <si>
    <t>Miyata K.</t>
  </si>
  <si>
    <t>A 12 GHz-band planar waveguide array antenna for compact range application-a preliminary study</t>
  </si>
  <si>
    <t>S0018926X96026440</t>
  </si>
  <si>
    <t>10.1109/8.489312</t>
  </si>
  <si>
    <t>2-s2.0-0030125902</t>
  </si>
  <si>
    <t>DAAL03-91-C-0022</t>
  </si>
  <si>
    <t>['varying arrays', 'paper considers', 'observation interval', 'modest amount', 'maximum likelihood', 'known way', 'invariant arrays', 'direction finding', 'crb ).', 'carlo simulations', 'based methods', 'based algorithms', 'algorithms require']</t>
  </si>
  <si>
    <t>This paper considers the problem of finding the directions of narrowband signals using a time-varying array whose elements move during the observation interval in an arbitrary but known way. We derive two eigenstructure-based algorithms for this problem, which are modifications of techniques developed originally for time-invariant arrays. The first uses array interpolation, and the second uses focusing matrices. Like other eigenstructnre-based methods, these algorithms require a modest amount of computations in comparison with the maximum likelihood (ML) estimator. The performance of the algorithms is evaluated by Monte-Carlo simulations, and is compared with the Cramer Rao Bound (CRB). Although both techniques were successful for wideband array processing with time-invariant arrays, we found that only the interpolated array algorithm is useful for direction finding (DF) with time-varying arrays. ¬© 1996 IEEE.</t>
  </si>
  <si>
    <t>689-701</t>
  </si>
  <si>
    <t>60022880;60022880</t>
  </si>
  <si>
    <t>7102972288;7003952239</t>
  </si>
  <si>
    <t>Friedlander, Benjamin;Zeira, Ariela</t>
  </si>
  <si>
    <t>South Portland</t>
  </si>
  <si>
    <t>Fairchild Semiconductor Corporation</t>
  </si>
  <si>
    <t>Friedlander B.</t>
  </si>
  <si>
    <t>Eigenstructure-based algorithms for direction finding with time-varying arrays</t>
  </si>
  <si>
    <t>10.1109/7.489512</t>
  </si>
  <si>
    <t>2-s2.0-0030126166</t>
  </si>
  <si>
    <t>76-X9</t>
  </si>
  <si>
    <t>Air Force Magazine</t>
  </si>
  <si>
    <t>Grier, Peter</t>
  </si>
  <si>
    <t>Grier P.</t>
  </si>
  <si>
    <t>GPS in peace and war</t>
  </si>
  <si>
    <t>2-s2.0-0030127353</t>
  </si>
  <si>
    <t>['technique using', 'sufficient conditions', 'polarization fork', 'minimum copolarized', 'detailed consideration']</t>
  </si>
  <si>
    <t>A detailed consideration is presented of copolarized and cross-polarized radar response for partially polarized scattering. A technique using an adjustable polarization basis is used where appropriate. Conditions tor maximum and minimum copolarized and cross-polarized power return are obtained. Necessary and sufficient conditions for the realization of the polarization fork are presented. ¬©1996 IEEE.</t>
  </si>
  <si>
    <t>425-433</t>
  </si>
  <si>
    <t>McCormick, Glendon C.</t>
  </si>
  <si>
    <t>McCormick G.</t>
  </si>
  <si>
    <t>The theory of polarization diversity systems: the partially polarized case</t>
  </si>
  <si>
    <t>S0018926X96026269</t>
  </si>
  <si>
    <t>10.1109/8.489293</t>
  </si>
  <si>
    <t>2-s2.0-0030127375</t>
  </si>
  <si>
    <t>['severe specifications', 'rotation arrays', 'rotation array', 'presented description', 'predicted figures', 'polarization purity', 'optimization process', 'mutual coupling', 'measurement results', 'measurement methods', 'helix antennas', 'good agreement', 'fourelement sequential', 'feed network', 'experimental results', 'entire main', 'element sequential', 'element performance', 'element array', 'discussed along', 'axis polarization', 'arbitrary radiators']</t>
  </si>
  <si>
    <t>A description for the on-axis polarization of fourelement sequential-rotation arrays with arbitrary radiators is presented, characterizing the contributions from the feed network and the antenna elements separately. This separation provides criteria for an optimization of the individual radiators including mutual coupling effects without an impact of the applied feed network on the optimization process. Moreover, severe specifications for the polarization purity of a four-element sequential-rotation array can be subdivided into separate, less severe requirements for the elements and the excitation-structure, using the presented description. Measurement methods for the determination of the identified characteristic parameters are discussed along with possible limiting factors of the theory. Experimental results are presented for a four-element array of helix antennas which shows the impact of mutual coupling on the element performance and illustrates the excellent polarization properties of the discussed array type for the entire main-beam. The predicted figures for the cross-polarization of the array and the measurement results are in good agreement. ¬©1996 IEEE.</t>
  </si>
  <si>
    <t>515-522</t>
  </si>
  <si>
    <t>Kraft, Ulrich R.</t>
  </si>
  <si>
    <t>Kraft U.</t>
  </si>
  <si>
    <t>Main-beam polarization properties of four-element sequential-rotation arrays with arbitrary radiators</t>
  </si>
  <si>
    <t>S0018926X9602635X</t>
  </si>
  <si>
    <t>10.1109/8.489303</t>
  </si>
  <si>
    <t>2-s2.0-0030127903</t>
  </si>
  <si>
    <t>['considerable saving', 'coherent integration', 'clutter suppression', 'clutter subspace', 'clutter fluctuations', 'clutter degrees', 'array errors', 'aircraft drift']</t>
  </si>
  <si>
    <t>Array errors are inherent in a realistic phased array radar system. The influence of array errors on the clutter degrees of freedom and the clutter subspace in an airborne phased array radar is analyzed. Based on the presented theoretic results, a method of short-time processing followed by coherent integration is proposed for clutter suppression in airborne phased array radars. It can approximate the two-dimensional optimal processor well even in the presence of array errors, clutter fluctuations and aircraft drift, with a considerable saving in computations. ¬© 1996 IEEE.</t>
  </si>
  <si>
    <t>587-597</t>
  </si>
  <si>
    <t>60025278;60025278</t>
  </si>
  <si>
    <t>57198641535;7403419366</t>
  </si>
  <si>
    <t>Liu, Qing Guang;Peng, Ying Ning</t>
  </si>
  <si>
    <t>Tsinghua University</t>
  </si>
  <si>
    <t>Liu Q.G.</t>
  </si>
  <si>
    <t>Analysis of array errors and a short-time processor in airborne phased array radars</t>
  </si>
  <si>
    <t>10.1109/7.489503</t>
  </si>
  <si>
    <t>2-s2.0-0030128061</t>
  </si>
  <si>
    <t>['virtually eliminated', 'snr information', 'snr ).', 'signals reflected', 'reduce multipath', 'receiver noise', 'real data', 'noise ratio', 'local surroundings', 'kalman filtering', 'easily removed', 'attitude determination']</t>
  </si>
  <si>
    <t>Carrier phase multipath is currently the limiting error source for high precision Global Positioning System (GPS) applications such as attitude determination and short baseline surveying. Multipath is the corruption of the direct GPS signal by one or more signals reflected from the local surroundings. Multipath reflections affect both the carrier phase measured by the receiver and signal-to-noise ratio (SNR). A technique is described which uses the SNR information to correct multipath errors in differential phase observations. The potential of the technique to reduce multipath to almost the level of receiver noise was demonstrated in simulations. The effectiveness on real data was demonstrated with controlled static experiments. Small errors remained, predominantly from high frequency multipath. The low frequency multipath was virtually eliminated. The remaining high frequency receiver noise can be easily removed by smoothing or Kalman filtering. ¬© 1996 IEEE.</t>
  </si>
  <si>
    <t>650-660</t>
  </si>
  <si>
    <t>Axelrad, Penina</t>
  </si>
  <si>
    <t>SNR-based multipath error correction for GPS differential phase</t>
  </si>
  <si>
    <t>10.1109/7.489508</t>
  </si>
  <si>
    <t>2-s2.0-0030128062</t>
  </si>
  <si>
    <t>['reflection matrix', 'radiation characteristics', 'method model', 'horn analysis', 'determined using', 'aperture fields']</t>
  </si>
  <si>
    <t>A moment-method model for horn analysis is presented. The generalized reflection matrix of the aperture is determined using the spectral Galerkln method. The reflection matrix is then combined with the generalized scattering matrix of the horn to yield the input return loss and the aperture fields of the horn. It is shown that the model can predict the radiation characteristics more accurately than the models commonly used in practice. ¬© 1996 IEEE.</t>
  </si>
  <si>
    <t>523-531</t>
  </si>
  <si>
    <t>60030821;60030821</t>
  </si>
  <si>
    <t>7402673635;7102958908</t>
  </si>
  <si>
    <t>Bhattacharyya, Arun K.;Rollins, Gordon Zeeman</t>
  </si>
  <si>
    <t>Boeing Corporation</t>
  </si>
  <si>
    <t>Bhattacharyya A.</t>
  </si>
  <si>
    <t>Accurate radiation and impedance characteristics of horn antennas-a moment-method model</t>
  </si>
  <si>
    <t>S0018926X96026361</t>
  </si>
  <si>
    <t>10.1109/8.489304</t>
  </si>
  <si>
    <t>2-s2.0-0030128405</t>
  </si>
  <si>
    <t>['uncle methods', 'uncle estimates', 'uncalibrated sensors', 'statistically efficient', 'simulation study', 'similar finite', 'signals impinging', 'sample properties', 'rederived herein', 'preferred technique', 'paper assumes', 'original work', 'neat solution', 'maximum likelihood', 'location characteristics', 'given application', 'calibrated sensors', 'bearing estimation', 'asymptotically equivalent', 'asymptotic distribution', 'array contains']</t>
  </si>
  <si>
    <t>The problem of using a partly calibrated array for maximum likelihood (ML) bearing estimation of possibly coherent signals buried in unknown correlated noise fields is shown to admit a neat solution under fairly general conditions. More exactly this paper assumes that the array contains some calibrated sensors whose number is only required to be larger than the number of signals impinging on the array and also that the noise in the calibrated sensors is uncorrelated with the noise in the other sensors. These two noise vectors however may have arbitrary spatial autocovariance matrices. Under these assumptions the many nuisance parameters (viz. the elements of the signal and noise covariance matrices and the transfer and location characteristics of the uncalibrated sensors) can be eliminated from the likelihood function leaving a significantly simplified concentrated likelihood whose maximum yields the ML bearing estimates. The ML estimator introduced in this paper and referred to as MLE is shown to be asymptotically equivalent to a recently proposed subspace-based bearing estimator called UNCLE and rederived herein by a much simpler approach than in the original work. A statistical analysis derives the asymptotic distribution of the MLE and UNCLE estimates and proves that they are asymptotically equivalent and statistically efficient. In a simulation study the MLE and UNCLE methods are found to possess very similar finite-sample properties as well. As UNCLE is computationally more efficient it may be the preferred technique in a given application. ¬© 1996 IEEE Publisher Item Identifier S 1053-587X(96)02791-0.</t>
  </si>
  <si>
    <t>888-899</t>
  </si>
  <si>
    <t>Stoica, Petre</t>
  </si>
  <si>
    <t>Maximum-likelihood bearing estimation with partly calibrated arrays in spatially correlated noise fields</t>
  </si>
  <si>
    <t>10.1109/78.492542</t>
  </si>
  <si>
    <t>2-s2.0-0030128653</t>
  </si>
  <si>
    <t>MIP 930891 9</t>
  </si>
  <si>
    <t>['wiener model', 'theoretical results', 'stochastic analysis', 'state properties', 'stages along', 'form expressions', 'finding capabilities', 'fading sources', 'convergence using', 'computer simulations', 'cm array', 'cascade system', 'also discussed', 'adaptive algorithms']</t>
  </si>
  <si>
    <t>The multistage constant modulus (CM) array is a cascade adaptive beamforming system that can recover several narrowband cochannel signals without training. In this paper we examine its steady-state properties at convergence using a stochastic analysis and computer simulations. Based on a Wiener model of convergence for the gradient adaptive algorithms closed-form expressions are derived for the CM array and canceller weight vectors as well as the effective source direction vectors at all stages along the cascade system. The signal-capture and direction-finding capabilities of the system are also discussed. Computer simulations for stationary and fading sources are presented to confirm the theoretical results and to illustrate the rapid convergence behavior of the adaptive algorithms. ¬© 1996 IEEE.</t>
  </si>
  <si>
    <t>948-962</t>
  </si>
  <si>
    <t>Shynk, John J.</t>
  </si>
  <si>
    <t>Steady-state analysis of the multistage constant modulus array</t>
  </si>
  <si>
    <t>S1053587X96027892</t>
  </si>
  <si>
    <t>10.1109/78.492547</t>
  </si>
  <si>
    <t>2-s2.0-0030128654</t>
  </si>
  <si>
    <t>['work concentrates', 'wave scattering', 'usually long', 'top strut', 'section perimeter', 'scattering characteristics', 'radio telescopes', 'operation wavelength', 'numerically optimizing', 'numerical simulations', 'noise top', 'noise temperature', 'noise pickup', 'minimum ground', 'form representation', 'electrical lengths', 'cross section', 'configuration since', 'antenna elevation']</t>
  </si>
  <si>
    <t>This work is concerned with determining the metallic strut cross section of inverted-Y tripods to minimize the plane-wave scattering contribution to the noise temperature of ground-station reflector antennas and radio telescopes. This is accomplished by numerically optimizing the cross section for minimum ground-noise pickup over the antenna elevation-angle operation range. Advantage is taken of the fact that although the struts' cross-section perimeter can be comparable to the operation wavelength, their electrical lengths are usually long. This allows the struts' scattering characteristics to be determined by solving standard two-dimensional field integral equations. This work concentrates on the top strut of an inverted-Y configuration since it is responsible for the dominant ground noise pickup associated with the plane-wave scattering. Numerical simulations are presented to substantiate this fact and a simple and convenient broadband closed-form representation for the minimum-noise top-strut cross section is derived and tested. ¬© 1996 IEEE.</t>
  </si>
  <si>
    <t>492-499</t>
  </si>
  <si>
    <t>60029311;60029311;60029311</t>
  </si>
  <si>
    <t>56999960000;54680004600;54680323600</t>
  </si>
  <si>
    <t>Moreira, Fernando J.S.;Praia, Aluizio;Ttiorburn, Michael A.</t>
  </si>
  <si>
    <t>University of Southern California</t>
  </si>
  <si>
    <t>Moreira F.J.S.</t>
  </si>
  <si>
    <t>Minimization of the plane-wave scattering contribution of inverted-y strut tripods to the noise temperature of reflector antennas</t>
  </si>
  <si>
    <t>S0018926X96026324</t>
  </si>
  <si>
    <t>10.1109/8.489300</t>
  </si>
  <si>
    <t>2-s2.0-0030129095</t>
  </si>
  <si>
    <t>In this correspondence we investigate linear dependence of steering vectors for arrays comprising multiple electromagnetic vector sensors. We derive upper and lower bounds for the number of linearly independent steering vectors associated with such arrays. These bounds are potentially useful for determining the number of signals whose directions-of-arrival can be uniquely identified. ¬© 1996 IEEE.</t>
  </si>
  <si>
    <t>1028-1029</t>
  </si>
  <si>
    <t>Tan, Kah Chye</t>
  </si>
  <si>
    <t>S1053587X96027946</t>
  </si>
  <si>
    <t>10.1109/78.492563</t>
  </si>
  <si>
    <t>2-s2.0-0030129376</t>
  </si>
  <si>
    <t>Royal Swedish Academy of Sciences</t>
  </si>
  <si>
    <t>['source detection', 'significantly enhance', 'oversampling occurs', 'oversampled rrp', 'oversampled arrays', 'operational wavelength', 'maximum likelihood', 'computational load', 'bearing estimation', 'based methods']</t>
  </si>
  <si>
    <t>In this paper we study array processing techniques for oversampled passive arrays. Oversampling occurs when an array contains sensors that are closely spaced relative to the operational wavelength or when the sources are known a priori to he confined to a limited angular range. We examine here the application of the recently introduced reduced rank processing (RRP) approach to several widely used array processing methods for source detection and bearing estimation such as maximum likelihood and MUSIC and show how when an array is oversampled RRP can be used to reduce their computational load. Furthermore we use asymptotic performance analysis to show that RRP for oversampled arrays can significantly enhance the performance of signal-subspace-based methods. ¬© 1996 IEEE Publisher Item Identifier S 1053-587X(96)02796-X.</t>
  </si>
  <si>
    <t>900-911</t>
  </si>
  <si>
    <t>Doron, Miriam A.</t>
  </si>
  <si>
    <t>RAFAEL Armament Development Authority Ltd.</t>
  </si>
  <si>
    <t>Doron M.A.</t>
  </si>
  <si>
    <t>Reduced rank processing for oversampled arrays</t>
  </si>
  <si>
    <t>10.1109/78.492543</t>
  </si>
  <si>
    <t>2-s2.0-0030129410</t>
  </si>
  <si>
    <t>['sensors uniformity', 'sensor scenarios', 'sensor arrays', 'sensor array', 'next propose', 'linear independence', 'least ([(', 'intersensor spacings', 'first extend', 'characterizing rank', 'arc free', 'also show', '2 ambiguity']</t>
  </si>
  <si>
    <t>We first extend a theorem on linear independence of steering vectors proposed by Godara and Cantoni to include more array-sensor scenarios. We then show that an array can have pairwise linearly independent steering vectors even when all its intersensor spacings are more than Œª/2 where Œª is the wavelength of the signals. We next propose a theorem for characterizing rank-2 ambiguity which is applicable to direction-of-arrival estimation applications where the array sensor locations are fixed and known. Subsequently we identify a class of three-sensor arrays and a class of uniform circular arrays that have pairwise linearly independent steering vectors and arc free of rank-2 ambiguity. We also show that collinearity of sensors uniformity in intersensor spacings the dimensions of intersensor spacings or a combination of some or all of these may give rise to linearly dependent steering vectors. In particular we demonstrate that for a m-sensor array m linearly dependent steering vectors exist if the aperture is greater than [(m - 1)/2]Œª/2 or when at least ([(m + 1)/2] + 1) sensors are collinear. ¬© 1996 IEEE Publisher Item Identifier S 1053-587X(96)02793-4.</t>
  </si>
  <si>
    <t>880-887</t>
  </si>
  <si>
    <t>A study of the rank-ambiguity issues in direction-of-arrival estimation</t>
  </si>
  <si>
    <t>10.1109/78.492541</t>
  </si>
  <si>
    <t>2-s2.0-0030129445</t>
  </si>
  <si>
    <t>['uniform within', 'superior method', 'slotted antenna', 'quite important', 'producing large', 'plasma parameters', 'permanent magnets', 'per cent', 'microwave power', 'electron temperature', 'electron density', 'cyclotron resonance', 'antenna structure', '600 w', '45 ghz', '45 cm', '30 cm', '3 ev', '2 pa']</t>
  </si>
  <si>
    <t>A superior method for producing large-diameter uniform plasmas is presented, using a plane-slotted antenna with permanent magnets for electron-cyclotron resonance at 2.45 GHz. The plasmas are uniform within a few per cent over a diameter of 40-45 cm at the distance of 20-30 cm from the antenna. For the control of uniformity of plasma parameters, magnetic field configurations due to the permanent magnets are quite important. By optimizing the antenna structure, the plasma density increases with incident microwave power in the argon pressure range 0.01-0.2 Pa. The electron density is about 2 √ó 1010 cm-3 and the electron temperature is about 3 eV for the microwave power of 600 W.</t>
  </si>
  <si>
    <t>293-298</t>
  </si>
  <si>
    <t>60008435;60084716;100324345;60008435;60008435</t>
  </si>
  <si>
    <t>57214012644;7003716534;7403388429;6507519880;7404180063</t>
  </si>
  <si>
    <t>Ono, Takashi;Hiyama, Shin;Nakagawa, Yukito;Lizuka, Satoru;Sato, Noriyoshi</t>
  </si>
  <si>
    <t>Tokyo;Sendai;Fuchu</t>
  </si>
  <si>
    <t>Hitachi Kokusai Electric Inc.;Tohoku University;ANELVA Corporation</t>
  </si>
  <si>
    <t>60084716;60008435;100324345</t>
  </si>
  <si>
    <t>Ono T.</t>
  </si>
  <si>
    <t>A large-diameter uniform plasma produced by a plane slotted ECR antenna</t>
  </si>
  <si>
    <t>10.1088/0963-0252/5/2/026</t>
  </si>
  <si>
    <t>2-s2.0-0030133958</t>
  </si>
  <si>
    <t>['sulphur hexafluoride', 'silicon dioxide', 'sf6 plasma', 'plasma parameters', 'plane antenna', 'photoresist films', 'permanent magnets', 'microwave power', 'etching rates', 'etching rate', 'electron temperature', 'electron density', 'cyclotron resonance', 'cf4 plasmas', 'carbon tetrafluoride', '600 w', '45 ghz', '45 cm', '35 cm', '3 ev']</t>
  </si>
  <si>
    <t>Large-area uniform material processing is demonstrated in reactive plasmas produced by a plane antenna with permanent magnets for the electron-cyclotron resonance at 2.45 GHz. Oxygen (O2) plasmas are used for the ashing of photoresist films; sulphur hexafluoride (SF6) and carbon tetrafluoride (CF4) are used for the etching of polysilicon and silicon dioxide films, respectively. In both cases the plasma parameters are measured in detail. Typically, the electron density in O2 and CF4 plasmas is about (1-2)√ó1010 cm-3 and the electron temperature is about 3 eV for a microwave power of 600 W. However, ne ‚âÉ 109 cm-3 in the SF6 plasma. The ashing and etching rates for photoresist and polysilicon are 40-50 nm min-1 and the etching rate of silicon dioxide is about 10 nm min-1 in the uniform plasma region (z = 25-35 cm), when the microwave power is 600 W under the condition of the floating substrate potential. A quite homogeneous material processing of those films is established over a diameter of 40-45 cm at the distance of 25-35 cm from the antenna.</t>
  </si>
  <si>
    <t>299-304</t>
  </si>
  <si>
    <t>60084716;60008435;60008435;60008435</t>
  </si>
  <si>
    <t>7003716534;57214012644;7006228562;7404180063</t>
  </si>
  <si>
    <t>Hiyama, Shin;Ono, Takashi;Iizuka, Satoru;Sato, Noriyoshi</t>
  </si>
  <si>
    <t>Tokyo;Sendai</t>
  </si>
  <si>
    <t>Hitachi Kokusai Electric Inc.;Tohoku University</t>
  </si>
  <si>
    <t>60084716;60008435</t>
  </si>
  <si>
    <t>Hiyama S.</t>
  </si>
  <si>
    <t>Wide-area uniform plasma processing in an ECR plasma</t>
  </si>
  <si>
    <t>10.1088/0963-0252/5/2/027</t>
  </si>
  <si>
    <t>2-s2.0-0030134019</t>
  </si>
  <si>
    <t>['slot antenna', 'rectangular waveguide', 'range spectroscopy', 'process area', 'poles face', 'plasma source', 'plasma parameters', 'o2 gas', 'density uniformity', 'cusp field']</t>
  </si>
  <si>
    <t>A plasma source is developed to create broad thin films. Instead of generating large plasmas, substrates will be scrolled in uniform sheet plasmas to extend the process area. The plasmas are generated by electron cyclotron resonance; microwaves are radiated from a rectangular waveguide with a slot on its E-plane. This slot antenna is put between two permanent magnets. Their poles face each other so that a cusp field is formed in front of the slot. Plasmas are generated with O2 gas; plasma parameters are measured by the Langmuir probe method and visible-range spectroscopy. The density uniformity is 9% within 20 cm length when a short plunger terminates the slot antenna. Spectra of O2+ bands and oxygen atomic lines are observed.</t>
  </si>
  <si>
    <t>327-332</t>
  </si>
  <si>
    <t>60032632;60032632;60032632;101796796;101796796</t>
  </si>
  <si>
    <t>7004199389;24487412000;35377242500;35445781600;7006101137</t>
  </si>
  <si>
    <t>Wakatsuchi, M.;Ishii, S.;Kato, Y.;Tani, F.;Sunagawa, M.</t>
  </si>
  <si>
    <t>Imizu;Nishinomiya</t>
  </si>
  <si>
    <t>Toyama Prefectural University;ShinMaywa Industries Ltd.</t>
  </si>
  <si>
    <t>60032632;101796796</t>
  </si>
  <si>
    <t>Wakatsuchi M.</t>
  </si>
  <si>
    <t>An ECR sheet plasma with a slot antenna and permanent magnets</t>
  </si>
  <si>
    <t>10.1088/0963-0252/5/2/031</t>
  </si>
  <si>
    <t>2-s2.0-0030134247</t>
  </si>
  <si>
    <t>['theoretical study', 'source effects']</t>
  </si>
  <si>
    <t>An experimental and theoretical study on ion resonance cones has been carried out taking into account both thermal and source effects. The measurements have been performed in a small toroidal device, with different antenna systems to excite the waves. ¬© 1996 IOP Publishing Ltd.</t>
  </si>
  <si>
    <t>667-679</t>
  </si>
  <si>
    <t>57201282091;6508210111;36812017600;6603918183</t>
  </si>
  <si>
    <t>Riccardi, C.;Salierno, M.;Cant√π, P.;Fontanesi, M.</t>
  </si>
  <si>
    <t>Riccardi C.</t>
  </si>
  <si>
    <t>Ion resonance cones in a magnetized plasma</t>
  </si>
  <si>
    <t>10.1088/0741-3335/38/5/003</t>
  </si>
  <si>
    <t>2-s2.0-0030134309</t>
  </si>
  <si>
    <t>['wave properties', 'two agreement', 'total particle', 'spatial modulation', 'rf power', 'results indicate', 'plasma parameters', 'high densities', 'helicon wave', 'helicon discharges', 'explained quantitatively', 'energy balance', 'downstream region', 'downstream evolution', 'deposited near', 'density n', 'axial profiles', 'attendant loss', 'afterglows without', '2 ev']</t>
  </si>
  <si>
    <t>Measurements of the radial and axial profiles of both the plasma parameters and the wave properties in a long, thin helicon discharge show that most of the RF power is deposited near the antenna and that a dense, cool (Te &lt; 2 eV) plasma can be obtained in the downstream region. The density n and electron temperature Te profiles in that region can be explained quantitatively with classical collisional theory, and factor-of-two agreement can be obtained on total particle and energy balance. Spatial modulation of the helicon wave amplitude can be explained by the beating of two different radial modes launched simultaneously by the antenna. Though the helicon wave can be shown to be essential to the production of high densities, it plays little role in the downstream evolution of the plasma. These results indicate that helicon discharges can produce the cool plasmas normally associated with afterglows without the attendant loss of density.</t>
  </si>
  <si>
    <t>173-180</t>
  </si>
  <si>
    <t>7404907705;6602291763;7102544154</t>
  </si>
  <si>
    <t>Chen, Francis F.;Sudit, Isaac D.;Light, Max</t>
  </si>
  <si>
    <t>Chen F.</t>
  </si>
  <si>
    <t>Downstream physics of the helicon discharge</t>
  </si>
  <si>
    <t>10.1088/0963-0252/5/2/009</t>
  </si>
  <si>
    <t>2-s2.0-0030134321</t>
  </si>
  <si>
    <t>['thermal load', 'surface wave', 'slot antenna', 'scaling rules', 'ring cavity', 'ring cavities', 'remote processing', 'recombination processes', 'plasma parameters', 'plasma chamber', 'microwave power', 'microwave components', 'mechanical load', 'ion concentration', 'ion bombardment', 'ignition performance', 'electron temperature', 'ecr versions', 'different dimensions', 'axial distributions', 'annual waveguide', 'also considered']</t>
  </si>
  <si>
    <t>In slot antenna (SLAN) type plasma sources the microwave power is coupled from an annual waveguide (ring cavity) through equidistantly positioned resonant coupling slots into the plasma chamber made of quartz. The symmetrical power distribution and the surface wave at the plasma-quartz interface allows large-area plasma generation. Three plasma sources with 4, 16 and 66 cm quartz tube diameter (ring cavities with 4, 10 and 30 coupling slots respectively) are compared. The ECR versions of them are also considered. The ignition performance and operation pressure range are presented. Plasma parameters (ion concentration, electron temperature) and their radial and axial distributions are shown. The computation tools used for the design of sources with different dimensions are described. The scaling rules and limitations of up-scaling are discussed. These are plasma inhomogeneity due to diffusion and recombination processes, thermal load of the microwave components, and thermal and mechanical load of the plasma chamber and substrates. The up-scaled discharge architecture for remote processing, suppressing the direct microwave heating and ion bombardment is proposed.</t>
  </si>
  <si>
    <t>216-234</t>
  </si>
  <si>
    <t>56592463300;24726530800;57206027777;7005887088</t>
  </si>
  <si>
    <t>Korzec, D.;Werner, F.;Winter, R.;Engemann, J.</t>
  </si>
  <si>
    <t>Scaling of microwave slot antenna (SLAN): A concept for efficient plasma generation</t>
  </si>
  <si>
    <t>10.1088/0963-0252/5/2/015</t>
  </si>
  <si>
    <t>2-s2.0-0030134590</t>
  </si>
  <si>
    <t>['space potential', 'source diameter', 'permanent magnets', 'paper describes', 'modified source', 'magnetic field', 'improved large', 'electron temperature', 'electron density', 'ecr plasma', 'chamber wall', 'bar antenna', '30 cm', '3 ev', '20 v']</t>
  </si>
  <si>
    <t>This paper describes an improved large-diameter electron cyclotron resonance (ECR) source which employs a strip-bar antenna. By launching a 2.45 GHz microwave near the magnetic field of permanent magnets of alternative polarity set along closed loops, an ECR plasma is produced. The source diameter is 30 cm. The characteristics of an oxygen plasma produced with this modified source are an electron density of 1.4 √ó 1011 cm-3, electron temperature of 3 eV and space potential with respect to the chamber wall of less than 20 V. A high plasma density of uniformity within ¬±3.8% over 30 cm is achieved.</t>
  </si>
  <si>
    <t>265-267</t>
  </si>
  <si>
    <t>100440084;100440084;100440084;100358471;100358471;100358471;60015123;100440084</t>
  </si>
  <si>
    <t>6507674450;7201545151;7410402602;57206841416;56230611900;57194963527;7404537814;24426741100</t>
  </si>
  <si>
    <t>Miyazawa, Wataru;Tada, Shigekazu;Ito, Kohichi;Saito, Hironori;Den, Shoji;Hayashi, Yuzo;Okamoto, Yukio;Sakamoto, Yuichi</t>
  </si>
  <si>
    <t>Tokyo;Kawagoe;Kawagoe</t>
  </si>
  <si>
    <t>Toyo University;Nichimen Electronic Technology Corp.;Irie Koken Co., Ltd.</t>
  </si>
  <si>
    <t>60015123;100440084;100358471</t>
  </si>
  <si>
    <t>Miyazawa W.</t>
  </si>
  <si>
    <t>A large-area ECR processing plasma</t>
  </si>
  <si>
    <t>10.1088/0963-0252/5/2/021</t>
  </si>
  <si>
    <t>2-s2.0-0030134637</t>
  </si>
  <si>
    <t>['wire antennas', 'wire antenna', 'truncation error', 'spiral antenna', 'quadratic b', 'practical value', 'parametric equation', 'high degree', 'directly expanded', 'current distributions', 'conical equiangular']</t>
  </si>
  <si>
    <t>A new numerical technique is presented for calculating the current distributions on wire antennas with a high degree of curvature. The geometry of the wire antenna is expressed by a parametric equation and the current is directly expanded into a series of quadratic B-spline basis functions of the parameter, so that the truncation error in modeling the curved wire structure is avoided. This algorithm is used to analyze a circular loop antenna, a conical equiangular-spiral antenna, and a four-arm Archimcdian spiral antenna to demonstrate its validity and practical value. ¬© 1996 IEEE.</t>
  </si>
  <si>
    <t>906-909</t>
  </si>
  <si>
    <t>60003970;60003970;60023380;60023380</t>
  </si>
  <si>
    <t>6506451216;6506922196;6507410407;7801494887</t>
  </si>
  <si>
    <t>Ronglin, Li;Guangzheng, Ni;Jihui, Yu;Zejia, Jiang</t>
  </si>
  <si>
    <t>Chongqing;Hangzhou</t>
  </si>
  <si>
    <t>Chongqing University;Zhejiang University</t>
  </si>
  <si>
    <t>60023380;60003970</t>
  </si>
  <si>
    <t>Ronglin L.</t>
  </si>
  <si>
    <t>A new numerical technique for calculating current distributions on curved wire antennas-parametric B-spline finite element method</t>
  </si>
  <si>
    <t>10.1109/20.497388</t>
  </si>
  <si>
    <t>2-s2.0-0030141903</t>
  </si>
  <si>
    <t>['squared patches', 'square equivalents', 'results demonstrate', 'particularly useful', 'good compromise', 'far field', 'equal area', 'analytical beams', 'also used', '1996 ieee']</t>
  </si>
  <si>
    <t>A novel Physical Optics algorithm to compute the far field of dual reflector antennas is presented. The algorithm can be also used with single reflector antennas and is particularly useful for many reflector antenna design problems where optimization techniques involving iterative analysis are required. It is based on the discretization of the surfaces in a number of quasi-equal area and quasi-squared patches that are substituted by their planar and square equivalents for a fast computation based on analytical beams. A good compromise is found between the number of patches and the complexity of the representation of the fields at any patch. The results demonstrate the accuracy of the algorithm and its efficiency in terms of CPU time consumption. CE; 1996 IEEE.</t>
  </si>
  <si>
    <t>910-913</t>
  </si>
  <si>
    <t>60026134;60026134;60026134;60026134;60026134</t>
  </si>
  <si>
    <t>57197535084;7202940966;54679505400;57214578141;54679458800</t>
  </si>
  <si>
    <t>Marcos, A.;Arias, A.;Edita, M.;Lorenzo, R.;Garcfa-Pino, Antonio</t>
  </si>
  <si>
    <t>Marcos A.</t>
  </si>
  <si>
    <t>A novel fast algorithm for physical optics analysis of single and dual reflector antennas</t>
  </si>
  <si>
    <t>10.1109/20.497389</t>
  </si>
  <si>
    <t>2-s2.0-0030142158</t>
  </si>
  <si>
    <t>['special problem', 'solution obtained', 'second order', 'formulation described', 'far boundaries', 'conducting object', 'computational domain', 'back scattering']</t>
  </si>
  <si>
    <t>A finite element formulation is given for calculating 3D electromagnetic scattering problems. Especially, the influence of a dipole excited field on low conducting materials situated very close to the antenna will be discussed. The back scattering from the conducting object to the antenna can be treated as well. Along the far boundaries of the computational domain, absorbing boundary conditions of second order have been prescribed in order to avoid unphysical reflections. The formulation described is assessed by applying it (o a special problem and the solution obtained is compared with a boundary element calculation. ¬© 1996 IEEE.</t>
  </si>
  <si>
    <t>862-865</t>
  </si>
  <si>
    <t>60019663;60019663;60015815</t>
  </si>
  <si>
    <t>12790529500;7004411659;7004433923</t>
  </si>
  <si>
    <t>Renhart, W.;Rucker, W.;Biro, O.</t>
  </si>
  <si>
    <t>Austria;Germany</t>
  </si>
  <si>
    <t>Graz;Stuttgart</t>
  </si>
  <si>
    <t>Technische Universitat Graz;Universit√§t Stuttgart</t>
  </si>
  <si>
    <t>60019663;60015815</t>
  </si>
  <si>
    <t>Renhart W.</t>
  </si>
  <si>
    <t>Calculation of antenna near field reactions on low conducting materials using the finite element method</t>
  </si>
  <si>
    <t>10.1109/20.497377</t>
  </si>
  <si>
    <t>2-s2.0-0030142985</t>
  </si>
  <si>
    <t>['transmission lines', 'successful integration', 'subject areas', 'specific software', 'electromagnetics courses', 'effective integration', 'curriculum component', 'computational tool', 'advanced topics']</t>
  </si>
  <si>
    <t>Mathcad is an effective learning tool in electromagnetics courses. Use of Mathcad by students in such courses at the University of Denver incorporate four essential ingredients needed for the successful integration of computer aided learning into a curriculum component: 1) involvement by the student in establishing what is to be analyzed by the computer, 2) a general purpose tool rather than concept-specific software, 3) a user friendly interface, and 4) effective integration of the computational tool(s) into the course. This paper gives examples of the use of Mathcad in the subject areas of electrostatics, plane wave propagation, transmission lines, antennas, and advanced topics. ¬© 1996 IEEE.</t>
  </si>
  <si>
    <t>198-210</t>
  </si>
  <si>
    <t>IEEE Transactions on Education</t>
  </si>
  <si>
    <t>60000251-60015404</t>
  </si>
  <si>
    <t>DeLyser, Ronald R.</t>
  </si>
  <si>
    <t>Denver;New York</t>
  </si>
  <si>
    <t>University of Denver;IEEE</t>
  </si>
  <si>
    <t>60015404;60000251</t>
  </si>
  <si>
    <t>DeLyser R.</t>
  </si>
  <si>
    <t>Using Mathcad in electromagnetics education</t>
  </si>
  <si>
    <t>S0018935996042914</t>
  </si>
  <si>
    <t>10.1109/13.502067</t>
  </si>
  <si>
    <t>2-s2.0-0030143250</t>
  </si>
  <si>
    <t>['phonon resonance', 'full width', 'copropagating electro', '177 fs']</t>
  </si>
  <si>
    <t>We present our measurements of the broadband detection capability of copropagating electro-optic ZnTe field detectors for the characterization of free-space pulsed electromagnetic radiation. To demonstrate ultrawide detection bandwidth, radiation from both gigahertz and terahertz bandwidth pulsed microwave sources has been characterized. The high frequency limitation of the sensor is the first TO phonon resonance (5.31 THz). The ultrashort temporal resolution is demonstrated by the detection of a 177 fs (full width at half-maximum) pulse generated via THz optical rectification in „Äà111„Äâ GaAs. ¬© 1996 American Institute of Physics.</t>
  </si>
  <si>
    <t>2924-2926</t>
  </si>
  <si>
    <t>60025534;60025534;60025534</t>
  </si>
  <si>
    <t>7404603068;6603854525;7410280543</t>
  </si>
  <si>
    <t>Wu, Q.;Litz, M.;Zhang, X. C.</t>
  </si>
  <si>
    <t>Broadband detection capability of ZnTe electro-optic field detectors</t>
  </si>
  <si>
    <t>S0003695196015215</t>
  </si>
  <si>
    <t>10.1063/1.116356</t>
  </si>
  <si>
    <t>2-s2.0-0030143367</t>
  </si>
  <si>
    <t>MENiNIST-88-922</t>
  </si>
  <si>
    <t>['widely used', 'wide variety', 'theoretical model', 'shifting materials', 'real part', 'q factors', 'measured data', 'loss factor', 'insensitive phasers', 'initial permeability', 'increasing saturation', 'ferrite sample', 'determined near', 'demagnetized state', '25 ghz', '2 ghz']</t>
  </si>
  <si>
    <t>A wide variety of microwave ferrite phase-shifting materials have been measured in the demagnetized state. The relative magnetic permeability and loss factor were determined near and above natural gyrumagnetic resonance using H011 cylindrical dielectric ring resonators. These low-loss dielectric sleeves were dimensioned for accurate magnetic property measurements of single ferrite rod samples at logarithmically sampled resonant frequencies from 2 GHz to 25 GHz. Permeability and magnetic loss factor are computed from the measured resonant frequencies and Q factors of these resonators, with and without the ferrite sample, using exact eigenvalue equations. Generally, the real part of the complex magnetic permeability increases with decreasing saturation magnetization, while the magnetic loss factor increases nonlinearly with increasing saturation. Schloemann's theoretical model for the real part of initial permeability of a cylindrically symmetric domain configuration in the completely demagnetized state shows excellent agreement with measured data when 2œÄŒ≥MS/œâ &lt; 0.75. The data allow design optimization of circulators and dual-mode and polarization-insensitive phasers, which are widely used in antenna array systems. ¬© 1996 IEEE.</t>
  </si>
  <si>
    <t>1924-1933</t>
  </si>
  <si>
    <t>60003675;60023053</t>
  </si>
  <si>
    <t>7006728186;7102649213</t>
  </si>
  <si>
    <t>Krupka, Jerzy;Geyer, Richard G.</t>
  </si>
  <si>
    <t>United States;Poland</t>
  </si>
  <si>
    <t>Gaithersburg;Warsaw</t>
  </si>
  <si>
    <t>National Institute of Standards and Technology;Politechnika Warszawska</t>
  </si>
  <si>
    <t>60023053;60003675</t>
  </si>
  <si>
    <t>Krupka J.</t>
  </si>
  <si>
    <t>Complex permeability of demagnetized microwave ferrites near and above gyromagnetic resonance</t>
  </si>
  <si>
    <t>S0018946496017190</t>
  </si>
  <si>
    <t>10.1109/20.492888</t>
  </si>
  <si>
    <t>2-s2.0-0030144811</t>
  </si>
  <si>
    <t>['voltages may', 'transient voltages', 'soil ionization', 'lightning discharge', 'grounding conductors', 'favorably compared', 'computed results', 'common assumption']</t>
  </si>
  <si>
    <t>Electromagnetic compatibility studies require knowledge of transient voltages that may be developed near earthing systems during lightning discharge, since such voltages may be coupled to sensitive electronic circuits. For such purpose accurate evaluation of transient electric field near to and/or at the surface of the grounding conductors is necessary. In this paper, a procedure for computation of transient fields near large earthing systems, as a response to a typical lightning current impulse, based nn computational methodology developed in the field of antennas, is presented. Computed results are favorably compared with published measurement results. The model is applied to check the common assumption that the soil ionization can be neglected in case of large earthing systems. Presented results show that the soil ionization threshold is met and exceeded during typical lightning discharge in a large earthing system. ¬© 1996 IEEE.</t>
  </si>
  <si>
    <t>1525-1528</t>
  </si>
  <si>
    <t>60028673;60028673</t>
  </si>
  <si>
    <t>55952986500;6701534682</t>
  </si>
  <si>
    <t>Grcev, Leonid D.;Menter, Frank E.</t>
  </si>
  <si>
    <t>Grcev L.</t>
  </si>
  <si>
    <t>Transient electromagnetic fields near large earthing systems</t>
  </si>
  <si>
    <t>10.1109/20.497540</t>
  </si>
  <si>
    <t>2-s2.0-0030145501</t>
  </si>
  <si>
    <t>['surface impedance', 'range 30', 'full comparison', 'ferrite tiles', 'characterised experimentally', 'chamber walls']</t>
  </si>
  <si>
    <t>A finite element solver for the complex electric field vector has been used to characterise an nil echoic chamber. The chamber walls are lined with ferrite tiles and the Absorbing Boundary Condition has been modified to model the tile as a surface impedance. The chamber has also been characterised experimentally so that a full comparison of results has been possible in the range 30 to 200MHz. ¬© 1996 IEEE.</t>
  </si>
  <si>
    <t>1513-1516</t>
  </si>
  <si>
    <t>Baker, A. E.</t>
  </si>
  <si>
    <t>Stafford</t>
  </si>
  <si>
    <t>GEC ALSTHOM Engineering Research Centre</t>
  </si>
  <si>
    <t>Baker A.</t>
  </si>
  <si>
    <t>Characterisation of electromagnetic anechoic chamber by finite element method</t>
  </si>
  <si>
    <t>10.1109/20.497537</t>
  </si>
  <si>
    <t>2-s2.0-0030145629</t>
  </si>
  <si>
    <t>['spectral domains', 'potential green', 'optical systems', 'nonparaxial fields', 'nonmodal fields', 'much easier', 'including resonant', 'galerkin routine', 'free space', 'dyadic green']</t>
  </si>
  <si>
    <t>A full-wave moment method implementation, using a combination of spatial and spectral domains, is developed for the analysis of quasi-optical systems. An electric field dyadic Green's function, including resonant and nonresonant terms corresponding to coupling from modal and nonmodal fields, is employed in a Galerkin routine. The dyadic Green's function is derived by separately considering paraxial and nonparaxial fields and is much easier to develop than a mixed, scalar and vector, potential Green's function. The driving point impedance of several antenna elements in a quasi-optical open cavity resonator and a 3 x 3 grid in free space are computed and compared with measurements. ¬© 1996 IEEE.</t>
  </si>
  <si>
    <t>701-710</t>
  </si>
  <si>
    <t>60004923-60018306;60018306-60018353;60002059;60004923;60018353;60018306;60018306</t>
  </si>
  <si>
    <t>6701741989;7004174770;7103146832;35576639300;7102090054;6603448798;54679568900</t>
  </si>
  <si>
    <t>Nuteson, Todd W.;Monahan, Gregory P.;Steer, Michael B.;Naishadham, Krishna;Mink, James W.;Kojucharow, Konstantin K.;Harvey, James</t>
  </si>
  <si>
    <t>Germany;United States;United States;United States</t>
  </si>
  <si>
    <t>Dresden;Dayton;Raleigh;Research Triangle Park</t>
  </si>
  <si>
    <t>Technische Universit√§t Dresden;Wright State University;NC State University;U.S. Army Research Office</t>
  </si>
  <si>
    <t>60018353;60018306;60004923;60002059</t>
  </si>
  <si>
    <t>Nuteson T.W.</t>
  </si>
  <si>
    <t>Full-wave analysis of quasi-optical structures</t>
  </si>
  <si>
    <t>S0018948096030372</t>
  </si>
  <si>
    <t>10.1109/22.493923</t>
  </si>
  <si>
    <t>2-s2.0-0030145782</t>
  </si>
  <si>
    <t>DMS-9205192</t>
  </si>
  <si>
    <t>['solved via', 'simultaneous diagonalization', 'signals impinging', 'modest amount', 'local minima', 'experimental set', 'cm signals', 'certain deficiencies', 'blindly separate', 'arc present', 'antenna array']</t>
  </si>
  <si>
    <t>Iterative constant modulus algorithms such as Godard and CMA have been used to blindly separate a superposition of cochannel constant modulus (CM) signals impinging on an antenna array. These algorithms have certain deficiencies in the context of convergence to local minima and the retrieval of all individual CM signals that arc present in the channel. In this paper, we show that the underlying constant modulus factorization problem is, in fact, a generalized eigenvalue problem, and may be solved via a simultaneous diagonalization of a set of matrices. With this new analytical approach, it is possible to detect the number of CM signals present in the channel, and to retrieve all of them exactly, rejecting other, non-CM signals. Only a modest amount of samples is required. The algorithm is robust in the presence of noise and is tested on measured data collected from an experimental set-up. ¬© 1996 IEEE.</t>
  </si>
  <si>
    <t>1136-1155</t>
  </si>
  <si>
    <t>60012708-60006288;60012708-60006288</t>
  </si>
  <si>
    <t>7005779209;7004920065</t>
  </si>
  <si>
    <t>Van Veen, Alle Jan Der;Paulraj, Arogyaswami</t>
  </si>
  <si>
    <t>Palo Alto;Delft</t>
  </si>
  <si>
    <t>Stanford University;Delft University of Technology</t>
  </si>
  <si>
    <t>60012708;60006288</t>
  </si>
  <si>
    <t>Van Veen A.</t>
  </si>
  <si>
    <t>An analytical constant modulus algorithm</t>
  </si>
  <si>
    <t>10.1109/78.502327</t>
  </si>
  <si>
    <t>2-s2.0-0030145826</t>
  </si>
  <si>
    <t>['standard form', 'second kind', 'linear system', 'integral equation', 'general method', 'current flowing', 'current along', 'continuous kernel', 'algebraic equations']</t>
  </si>
  <si>
    <t>It is shown that the equation for the current flowing on a cylindrical antenna Pocklington's integral equation - can be put into 'a standard form' of dual integral equations. A general method for solving such dual integral equations is discussed. It consists of a transformation into a single Fredholm integral equation of the second kind with continuous kernel, and then into a linear system of algebraic equations by using the weighted residual method. Plots of the current along the antenna and of the input admittance arc finally given. 0 ¬©1996 IEEE.</t>
  </si>
  <si>
    <t>918-921</t>
  </si>
  <si>
    <t>7006758103;7003322700;7004143617</t>
  </si>
  <si>
    <t>Miano, G.;Verolino, L.;Vaccaro, V. G.</t>
  </si>
  <si>
    <t>Miano G.</t>
  </si>
  <si>
    <t>A new numerical treatment for pocklington's integral equation</t>
  </si>
  <si>
    <t>10.1109/20.497391</t>
  </si>
  <si>
    <t>2-s2.0-0030146404</t>
  </si>
  <si>
    <t>['two configurations', 'transmitting antenna', 'theoretical model', 'studied theoretically', 'receiving antenna', 'provide insight', 'power transfer', 'power gain', 'power flow', 'observed variation', 'laboratory measurements', 'dot sensor', 'chamber walls', 'chamber contains']</t>
  </si>
  <si>
    <t>Power transfer through a microwave reverberation chamber is studied theoretically and experimentally. Two configurations are employed as follows. In the first, the chamber contains a transmitting antenna and a receiving antenna; in the second, it contains a transmitting antenna and a receiving D-dot sensor. For each configuration a theoretical model is derived and laboratory measurements are carried out for the power gain of the chamber as a function of frequency. The models prove useful in predicting the observed variation of gain with frequency, and they provide insight into the importance of power flow to the chamber walls and to the receiving antenna/sensor. ¬© 1996 IEEE.</t>
  </si>
  <si>
    <t>60021285;60021285</t>
  </si>
  <si>
    <t>57198258003;57193518855</t>
  </si>
  <si>
    <t>Mitra, Atindra K.;Trost, Thomas F.</t>
  </si>
  <si>
    <t>Lubbock</t>
  </si>
  <si>
    <t>Mitra A.</t>
  </si>
  <si>
    <t>Power transfer characteristics of a microwave reverberation chamber</t>
  </si>
  <si>
    <t>S0018937596038586</t>
  </si>
  <si>
    <t>10.1109/15.494624</t>
  </si>
  <si>
    <t>2-s2.0-0030146490</t>
  </si>
  <si>
    <t>['two configurations', 'numerical integration', 'impedance mismatch', 'immunity measurements', 'excellent agreement', 'emissions measurements', 'analyze radiation', '2000 mhz']</t>
  </si>
  <si>
    <t>We analyze radiation from a microstrip transmission line and calculate total radiated power by numerical integration. Reverberation chamber methods for measuring radiated emissions and immunity are reviewed and applied to three microstrip configurations. Measurements from 200 to 2000 MHz are compared with theory, and excellent agreement is obtained for two configurations that minimize feed cable and finite ground plane effects. Emissions measurements are found to be more accurate than immunity measurements because the impedance mismatch of the receiving antenna cancels when the ratio of the microstrip and reference radiated power measurements is taken. The use of two different receiving antenna locations for emissions measurements illustrates good field uniformity within the chamber. ¬© 1996 IEEE.</t>
  </si>
  <si>
    <t>165-172</t>
  </si>
  <si>
    <t>60000251-60023053;60023053;60000251-60023053;60000251-60023053</t>
  </si>
  <si>
    <t>56050028200;6602793002;6603423078;7004008412</t>
  </si>
  <si>
    <t>Hill, David A.;Camell, Dennis G.;Cavcey, Kenneth H.;Koepke, Galen H.</t>
  </si>
  <si>
    <t>Gaithersburg;New York</t>
  </si>
  <si>
    <t>National Institute of Standards and Technology;IEEE</t>
  </si>
  <si>
    <t>60023053;60000251</t>
  </si>
  <si>
    <t>Hill D.</t>
  </si>
  <si>
    <t>Radiated emissions and immunity of microstrip transmission lines: Theory and reverberation chamber measurements</t>
  </si>
  <si>
    <t>S0018937596037726</t>
  </si>
  <si>
    <t>10.1109/15.494619</t>
  </si>
  <si>
    <t>2-s2.0-0030147562</t>
  </si>
  <si>
    <t>['symbol sequence', 'spatial response', 'simultaneously estimate', 'recursive estimation', 'propagation environment', 'promising performance', 'particularly useful', 'new approach', 'mlj approach', 'known imprecisely', 'digital signals', 'array response', 'antenna array']</t>
  </si>
  <si>
    <t>We propose a maximum-likelihood (MLJ approach for separating and estimating multiple synchronous digital signals arriving at an antenna array. The spatial response of the array is assumed to be known imprecisely or unknown. We exploit the finite alphabet property of digital signals to simultaneously estimate the array response and the symbol sequence for each signal. Uniqueness of the estimates is established for signals with linear modulation formats. We introduce a signal detection technique based on the finite alphabet property that is different from a standard linear combiner. Computationally efficient algorithms for both block and recursive estimation of the signals are presented. This new approach is applicable to an unknown array geometry and propagation environment, which is particularly useful in wireless communication systems. Simulation results demonstrate its promising performance. ¬© 1996 IEEE.</t>
  </si>
  <si>
    <t>1184-1197</t>
  </si>
  <si>
    <t>60012708-60000990;60012708-60000990;60012708-60000990</t>
  </si>
  <si>
    <t>57216999310;7004492932;7004920065</t>
  </si>
  <si>
    <t>Talwar, Shilpa;Viberg, Mats;Paulraj, Arogyaswami</t>
  </si>
  <si>
    <t>Palo Alto;Gothenburg</t>
  </si>
  <si>
    <t>Stanford University;Chalmers University of Technology</t>
  </si>
  <si>
    <t>60012708;60000990</t>
  </si>
  <si>
    <t>Talwar S.</t>
  </si>
  <si>
    <t>Blind separation of synchronous co-channel digital signals using an antenna array-part I: Algorithms</t>
  </si>
  <si>
    <t>10.1109/78.502331</t>
  </si>
  <si>
    <t>2-s2.0-0030148256</t>
  </si>
  <si>
    <t>['zone data', 'thus obtained', 'starting point', 'square amplitude', 'shaped reflector', 'readily appreciated', 'proper formulation', 'phaseless measurements', 'phaseless data', 'paper describes', 'near field', 'minimization procedure', 'mapping connecting', 'large extent', 'global minimum', 'functional definition', 'field techniques', 'field radiated', 'field intensity', 'field determination', 'equipment required', 'detailed investigation', 'data makes', 'crucial role', 'appropriate weights', 'appropriate functional', 'antenna testing', '9 ghz']</t>
  </si>
  <si>
    <t>This paper describes, analyzes, and implements an approach to far-field determination from phaseless measurements over two planar surfaces. A proper formulation of the problem is considered as a quadratic inverse one whose data is the square amplitude of the near field. A solution is introduced as the global minimum of an appropriate functional. Next, to perform such a minimization procedure, a finite dimensional representation of the field radiated by sources whose plane-wave spectrum becomes negligible outside a fixed angular domain is used. A detailed investigation of the properties of the mapping connecting the unknowns to the data makes it possible to analyze how to escape from the local minima possibly met in the course of the minimization procedure. To this end, the crucial role of the availability of phaseless data over two different surfaces and of appropriate weights in the functional definition is emphasized, and a reliable iterative procedure converging on the solution, regardless of the starting point, is thus obtained. This property is confirmed by experimental results concerning near-zone data from a shaped reflector at 9 Ghz. It can be readily appreciated that when only the field intensity is detected the complexity and the cost of the equipment required for near-field techniques in antenna testing and diagnostics can be reduced to a very large extent. ¬© 1996 IEEE.</t>
  </si>
  <si>
    <t>60017293;60026777;60026777</t>
  </si>
  <si>
    <t>7003402426;56963446400;7005281565</t>
  </si>
  <si>
    <t>Isernia, Tommaso;Leone, Giovanni;Pierri, Rocco</t>
  </si>
  <si>
    <t>Radiation pattern evaluation from near-field intensities on planes</t>
  </si>
  <si>
    <t>S0018926X96032292</t>
  </si>
  <si>
    <t>10.1109/8.496257</t>
  </si>
  <si>
    <t>2-s2.0-0030150229</t>
  </si>
  <si>
    <t>['wave solution', 'watson transform', 'used outside', 'traveling modes', 'term residue', 'subsequently reduces', 'stokes regions', 'stokes region', 'residue series', 'patch surface', 'patch junction', 'optimum trade', 'numerically demonstrated', 'narrow region', 'mode current', 'hybrid representation', 'exponentially attenuated', 'either spectral', 'eigenfunction series', 'domain techniques', 'close vicinity', 'cannot model', 'attachment mode']</t>
  </si>
  <si>
    <t>In this paper, we present a hybrid representation for the attachment-mode current existing on the surface of a coaxially fed rectangular microstrip patch antenna. The hybrid representation consists of a one- or two-term residue and an eigenfunction series which gives the attachment-mode current at all points on the patch surface, including the probe-to-patch junction. It is numerically demonstrated that the residue and eigenfunction series blend smoothly in the close vicinity of the Stokes region which includes the probe-to-patch junction. The Stokes region is a very narrow region over which the attachment-mode current changes rapidly. The residue and eigenfunction series are used outside and within this Stokes region, respectively. This hybrid representation can be used in either spectral- or space-domain techniques for a full-wave solution to the microstrip antenna problem. The residue series is obtained by using an equivalent contour integral representation of the infinite eigenfunction series, which subsequently reduces to the Watson transform under the assumption of a slightly lossy substrate. At or near the Stokes regions the residue series is inadequate, as it cannot model the rapidly varying junction currents there. Examination of the residue series shows that the attachment mode is a superposition of exponentially attenuated, leaky, surface-traveling modes. This hybrid representation is expected to provide the optimum trade-off between speed and accuracy for computations involving electrically large finite arrays. ¬© 1996 IEEE.</t>
  </si>
  <si>
    <t>677-686</t>
  </si>
  <si>
    <t>60015457;60015457</t>
  </si>
  <si>
    <t>54679298300;7102157694</t>
  </si>
  <si>
    <t>Chalterjee, Deb;Plumb, Richard G.</t>
  </si>
  <si>
    <t>Chalterjee D.</t>
  </si>
  <si>
    <t>A hybrid formulation for the probe-to-patch attachment-mode current for rectangular microstrip antennas</t>
  </si>
  <si>
    <t>S0018926X96032267</t>
  </si>
  <si>
    <t>10.1109/8.496254</t>
  </si>
  <si>
    <t>2-s2.0-0030150319</t>
  </si>
  <si>
    <t>['system interference', 'significant reduction', 'power transmitted', 'potential approaches', 'pattern tilting', 'path loss', 'large extent', 'existing models', 'delay spread', 'cell site', 'analyzing data', 'also presented', '915 mhz']</t>
  </si>
  <si>
    <t>Results of wideband path loss and delay spread measurements using high gain, high and low antenna heights with pattern tilting are presented. The measurements were done in the frequency range 905-915 MHz, at two existing cellular mobile radio (CMR) sites. Also presented are potential approaches for analyzing data from high gain antennas. It is shown that, to a large extent, existing models can be used to predict path loss for high gain antennas with downtilting. The results further support the notion that high sites together with high gain antennas and suitably selected pattern tilting can result in a significant reduction in path loss and delay spread, as well as reduction in power transmitted from the cell site and reduction in system interference. ¬©.1996 IEEE.</t>
  </si>
  <si>
    <t>217-224</t>
  </si>
  <si>
    <t>100488849;60002306</t>
  </si>
  <si>
    <t>54679414100;7006683405</t>
  </si>
  <si>
    <t>Banner, Edward;Sesay, Abu B.</t>
  </si>
  <si>
    <t>University of Calgary;AGT Mobility</t>
  </si>
  <si>
    <t>60002306;100488849</t>
  </si>
  <si>
    <t>Banner E.</t>
  </si>
  <si>
    <t>Effects of antenna height, antenna gain, and pattern downtilting for cellular mobile radio</t>
  </si>
  <si>
    <t>S0018954596028897</t>
  </si>
  <si>
    <t>10.1109/25.492845</t>
  </si>
  <si>
    <t>2-s2.0-0030150329</t>
  </si>
  <si>
    <t>['outage probability', 'new technique', 'nakagami distributions', 'general problem', 'fading parameters', 'exact formulas', 'effective techniques', 'developed recently', 'computer results', 'cochannel interferences', 'appropriate model', 'also presented']</t>
  </si>
  <si>
    <t>Outage probability provides a fundamental performance measure of the grade of service for cellular mobile radio systems. Determination of outage probability in a Nakagami mobile environment is particularly important since Nakagami fading is, as shown by various empirical measurements, the most appropriate model in many practical applications. Effective techniques have been developed recently to determine outage probability in the presence of multiple Nakagami interferers by assuming that the fading parameters of both signal and cochannel interferences are integer-valued. However, the general problem with arbitrary Nakagami signal and interferers remains unsolved. In this paper, a new technique is presented, which allows the Nakagami distributions for both signal and interferers to be arbitrary. Exact formulas for probability of outage with and without a constraint on minimum signal power are derived, and computer results are also presented to illustrate the theory. ¬© 1996 IEEE.</t>
  </si>
  <si>
    <t>364-372</t>
  </si>
  <si>
    <t>Zhang, Q. T.</t>
  </si>
  <si>
    <t>Ryerson University</t>
  </si>
  <si>
    <t>Zhang Q.T.</t>
  </si>
  <si>
    <t>Outage probability in cellular mobile radio due to Nakagami signal and interferers with arbitrary parameters</t>
  </si>
  <si>
    <t>S0018954596028940</t>
  </si>
  <si>
    <t>10.1109/25.492911</t>
  </si>
  <si>
    <t>2-s2.0-0030150387</t>
  </si>
  <si>
    <t>F 19628-91-K-0010</t>
  </si>
  <si>
    <t>['source model', 'solution algorithm', 'slot aperture', 'line model', 'efficient matrix', 'bor geometries', 'analyzed using']</t>
  </si>
  <si>
    <t>Dielectric resonator antennas (DRA's) excited by a narrow-slot aperture in a conducting ground plane are analyzed using a numerical technique based upon a surface-integral equation formulation for bodies of revolution (BOR's) coupled to non-BOR geometries. An efficient matrix-solution algorithm, together with a simple microstrip transmission-line model or a delta-source model are used to compute the antenna input impedance. Input impedances obtained with this technique show favorable agreement to those obtained via another numerical technique, as well as to those obtained by measurement. ¬© 1996 IEEE.</t>
  </si>
  <si>
    <t>600-607</t>
  </si>
  <si>
    <t>Junker, Gregory P.;Kishk, Ahmed A.;Glisson, Allen W.</t>
  </si>
  <si>
    <t>Input impedance of aperture-coupled dielectric resonator antennas</t>
  </si>
  <si>
    <t>S0018926X96032176</t>
  </si>
  <si>
    <t>10.1109/8.496245</t>
  </si>
  <si>
    <t>2-s2.0-0030150406</t>
  </si>
  <si>
    <t>['various aperture', 'solved via', 'six methods', 'several aperture', 'radiation efficiency', 'proposed technique', 'patch shapes', 'patch configurations', 'numerically de', 'nonrectangular aperture', 'multilayered aperture', 'measured results', 'magnetic currents', 'integral equation', 'input impedance', 'coupled elements', 'calculated using']</t>
  </si>
  <si>
    <t>A mixed-potential integral equation (MPIE) is formulated for the electric and magnetic currents on a multilayered aperture-coupled patch antenna. The integral equation is solved via the method of moments (MoM) using subsectional basis functions that allow the analysis of nonrectangular aperture and patch shapes. The input impedance and radiation efficiency of various aperture-coupled elements are calculated using the proposed technique and compared to measured results. The advantages and disadvantages of several aperture and patch configurations are discussed, and six methods of numerically de-embedding the element's input impedance are compared. ¬©1996 IEEE.</t>
  </si>
  <si>
    <t>608-614</t>
  </si>
  <si>
    <t>112494665-60115733;112494665-60028186</t>
  </si>
  <si>
    <t>55448539100;7006665188</t>
  </si>
  <si>
    <t>Hall, Richard C.;Mosig, Juan R.</t>
  </si>
  <si>
    <t>Switzerland;Switzerland;United States</t>
  </si>
  <si>
    <t>Herisau;Lausanne;Boulder</t>
  </si>
  <si>
    <t>HUBER+SUHNER AG;Swiss Federal Institute of Technology Lausanne;Roulder Microwave Technologies, Inc.</t>
  </si>
  <si>
    <t>60115733;60028186;112494665</t>
  </si>
  <si>
    <t>Hall R.</t>
  </si>
  <si>
    <t>The analysis of arbitrarily shaped aperture-coupled patch antennas via a mixed-potential integral equation</t>
  </si>
  <si>
    <t>S0018926X96N32188</t>
  </si>
  <si>
    <t>10.1109/8.496246</t>
  </si>
  <si>
    <t>2-s2.0-0030150420</t>
  </si>
  <si>
    <t>NSC84-2213- E002-07</t>
  </si>
  <si>
    <t>['weight adaptation', 'theoretical results', 'statistical performance', 'snr ),', 'several eigenspace', 'noise ratio', 'input signal', 'gsc ).', 'form beamformers', 'desired signal', 'convergence rate', 'array elements', 'also provided']</t>
  </si>
  <si>
    <t>In this paper, we analyze the statistical performance of several eigenspace-based adaptive array beamformers, including conventional direct-form beamformers and generalized sidelobe canceler (GSC). It is shown that the convergence rate of eigenspace-based adaptive array beamforming depends on the number of array elements, the input signal-to-noise ratio (SNR), and the number of interferers when the desired signal is present during the weight adaptation. In contrast, the inisadjiistinent of the array output power is a function of the number of interferers and is independent of the number of array elements when the desired signal is absent. Several simulation examples are also provided to confirm the theoretical results. ¬© 1996 IEEE.</t>
  </si>
  <si>
    <t>665-671</t>
  </si>
  <si>
    <t>7405731683;54679972200</t>
  </si>
  <si>
    <t>Yu, Shiann Jeng;Lcc, Ju Hong</t>
  </si>
  <si>
    <t>Yu S.J.</t>
  </si>
  <si>
    <t>The statistical performance of eigenspace-based adaptive array beamformers</t>
  </si>
  <si>
    <t>SOU18926X96032243</t>
  </si>
  <si>
    <t>10.1109/8.496252</t>
  </si>
  <si>
    <t>2-s2.0-0030150461</t>
  </si>
  <si>
    <t>['various types', 'transmit antenna', 'transform domain', 'system geometry', 'specular component', 'spatial fourier', 'readily applied', 'notch frequency', 'measuring height', 'kept fixed', 'grazing angles', 'gravel surfaces', 'gain data', 'full illumination', 'fresnel zones', 'filter bandwidth', 'existing height', 'diffuse components', 'chosen according', 'approximately 0', 'appropriate choice', '95 ghz', '0 ¬∞.']</t>
  </si>
  <si>
    <t>Multipath interference data were obtained at a frequency of 95 GHz over pathlengths of 100-250 m by measuring height-gain interference patterns over various types of terrain. Data were collected over grass, lake, ice, snow, concrete, asphalt, and gravel surfaces. The transmit antenna was kept fixed, while the receive antenna translated vertically resulting in grazing angles between approximately 0.5-2.0¬∞. Full illumination of the Fresnel zones was accomplished by broad-beamwidth horn antennas at both ends. Measured interference patterns indicate the presence of both specular and diffuse multipath components. A technique was developed to separate these components by filtering in the spatial Fourier-transform domain by appropriate choice of the notch frequency for the specular component and the bandpass-filter bandwidth for the diffuse components. The notch frequency is chosen according to system geometry considerations. Using this unique separation technique, specular and diffuse reflection coefficients were deduced for various terrain types. The separation technique developed in this paper can be readily applied to existing height-gain data if the system geometry is known. ¬© 1996 IEEE.</t>
  </si>
  <si>
    <t>627-645</t>
  </si>
  <si>
    <t>60026306;60022889;60008302;60026306</t>
  </si>
  <si>
    <t>7202724032;36850098800;57197952856;7102667584</t>
  </si>
  <si>
    <t>Narayanan, Ram M.;Cox, Daniel D.;Ralston, James M.;Christian, Michael R.</t>
  </si>
  <si>
    <t>Lincoln;Alexandria;Huntsville</t>
  </si>
  <si>
    <t>University of Nebraska‚ÄìLincoln;Institute for Defense Analyses;U.S. Army Space and Missile Defense Command</t>
  </si>
  <si>
    <t>60026306;60022889;60008302</t>
  </si>
  <si>
    <t>Narayanan R.</t>
  </si>
  <si>
    <t>Millimeter-wave specular and diffuse multipath components of terrain</t>
  </si>
  <si>
    <t>S001892FIX96M20FI</t>
  </si>
  <si>
    <t>10.1109/8.496248</t>
  </si>
  <si>
    <t>2-s2.0-0030150487</t>
  </si>
  <si>
    <t>['test antenna', 'required zeros', 'reconstruction theorem', 'polar coordinates', 'polar axis', 'large number', 'field scanning', 'field measurement', 'computing accurately', 'clarified regarding', 'bessel functions', 'angular modes']</t>
  </si>
  <si>
    <t>A number of details are clarified regarding the recently derived sampling-reconstruction theorem for near-field scanning in plane-polar coordinates. The rigorous samplingreconstruction theorem is applied to the near-field measurement of a circular aperture test antenna offset from the plane-polar axis of rotation, so that a large number of angular modes are necessary to represent the fields of the test antenna. An algorithm is described for computing accurately and rapidly the required zeros of Bessel functions of arbitrary integer order. ¬©1996 IEEE.</t>
  </si>
  <si>
    <t>696-700</t>
  </si>
  <si>
    <t>7003451771;7004165772</t>
  </si>
  <si>
    <t>Yaghjian, Arthur D.;Woodworth, Margaret B.</t>
  </si>
  <si>
    <t>Sampling in plane-polar coordinates</t>
  </si>
  <si>
    <t>S0018926X96032280</t>
  </si>
  <si>
    <t>10.1109/8.496256</t>
  </si>
  <si>
    <t>2-s2.0-0030150488</t>
  </si>
  <si>
    <t>Chongqing Science and Technology Commission</t>
  </si>
  <si>
    <t>MAT95-1038-C02-02</t>
  </si>
  <si>
    <t>['would synthesize', 'spectral distribution', 'several bands', 'selfsimilar curves', 'patterns present', 'operating wavelength', 'multiband operation', 'lobe arrays', 'highly dependent', 'held constant', 'fractal structures', 'fractal design', 'characteristic power', 'array factors', 'array elements']</t>
  </si>
  <si>
    <t>Most array factor design techniques are highly dependent on the operating wavelength. In this paper, a novel technique based on fractal structures is described for multiband operation. The analysis is focused in two different approaches: the fractal spatial arrangement of array elements and the fractal design of array factors. Although the patterns of fractal arrays show some interesting similarity properties at several bands, the directivity is not held constant through the bands. Nevertheless, such structures have been shown to be useful for designing low side-lobe arrays with equally weighted current elements. On the other hand, the fractal array factors presented do keep the same shape at several bands because they are designed as selfsimilar curves. The arrays that would synthesize such patterns present a characteristic power-law current distribution analogous to the spectral distribution of the bandlimited fractal Weierstrass function. ¬© 1996 IEEE.</t>
  </si>
  <si>
    <t>730-739</t>
  </si>
  <si>
    <t>60007592;60007592</t>
  </si>
  <si>
    <t>7006058796;6701438680</t>
  </si>
  <si>
    <t>Puente-Baliarda, Carles;Pous, Rafa√´l</t>
  </si>
  <si>
    <t>Puente-Baliarda C.</t>
  </si>
  <si>
    <t>Fractal design of multiband and low side-lobe arrays</t>
  </si>
  <si>
    <t>S0018926X96032322</t>
  </si>
  <si>
    <t>10.1109/8.496259</t>
  </si>
  <si>
    <t>2-s2.0-0030151129</t>
  </si>
  <si>
    <t>['timing measurements', 'time steering', 'simply rotating', 'significantly broader', 'present phased', 'paper describes', 'optical commutator', 'existing phased', 'design theory', 'design concept', 'cylindrical arrays', 'considerable savings', 'beam steering', 'array systems', 'antenna array']</t>
  </si>
  <si>
    <t>This paper describes a new device called an optical commutator. It is shown that this device can provide the time delays needed for true-time steering of an antenna array. The optical commutator consists of a rotatable folded lens comprising a set of fiber-optic coils arranged on a rotor and other fiber optics arranged on a stator. The beam steering is achieved by simply rotating the lens. The design theory of the commutator is described and equations are derived that allow the fiber-optic coil lengths of the windings to be determined for a given antenna performance specification. It is shown that the commutator can be designed to steer either flat, circular, or cylindrical arrays. The bandwidth of this concept is predicted to be significantly broader than any existing phased-array systems and that due to the simplicity of this system, considerable savings in both cost and weight should be possible when compared to present phased-array steering approaches. An optical commutator has been constructed to verify the design concept, and timing measurements have been made that validate the design. ¬© 1996 IEEE.</t>
  </si>
  <si>
    <t>652-658</t>
  </si>
  <si>
    <t>Page, Derrick J.</t>
  </si>
  <si>
    <t>Xenotran LLC</t>
  </si>
  <si>
    <t>Page D.</t>
  </si>
  <si>
    <t>An introduction to the optical commutator</t>
  </si>
  <si>
    <t>S0018926X9603222X</t>
  </si>
  <si>
    <t>10.1109/8.496250</t>
  </si>
  <si>
    <t>2-s2.0-0030151264</t>
  </si>
  <si>
    <t>['upper end', 'significantly different', 'previously published', 'general antenna', 'expression agrees', 'exact method', 'electrical size', 'efficiency limitations', 'approximate expression']</t>
  </si>
  <si>
    <t>An exact method, which is more straightforward than those previously published, is derived for the calculation of the minimum radiation Q of a general antenna. This expression agrees with the previously published and widely cited approximate expression in the extreme lower limit of electrical size. However, for the upper end of the range of electrical size which is considered electrically small, the exact expression given here is significantly different from the approximate expression. This result has implications on both the bandwidth and efficiency limitations of antennas which fall into this category. ¬© 1996 IEEE.</t>
  </si>
  <si>
    <t>672-676</t>
  </si>
  <si>
    <t>McLean, James S.</t>
  </si>
  <si>
    <t>McLean J.</t>
  </si>
  <si>
    <t>A re-examination of the fundamental limits on the radiation q of electrically small antennas</t>
  </si>
  <si>
    <t>S0013926X96032255</t>
  </si>
  <si>
    <t>10.1109/8.496253</t>
  </si>
  <si>
    <t>2-s2.0-0030151353</t>
  </si>
  <si>
    <t>['woodbury formula', 'proposed procedure', 'optimized simultaneously', 'optimal solution', 'lumped components', 'loads along', 'genetic algorithm', 'fast evaluation', 'efficient ultra', 'driven optimization', 'broadband antennas', 'antenna performances']</t>
  </si>
  <si>
    <t>A novel antenna design procedure based on genetic algorithm (GA) driven optimization is proposed and applied to the synthesis of wire antennas loaded with lumped components. Loading circuit parameters, locations of the loads along the antenna, as well as matching network parameters, are optimized simultaneously. A computational scheme based on the Shernian-Morrison-Woodbury formula for the fast evaluation of the antenna performances for many distinct loading configurations is developed. The GA iteratively guides a population of randomly selected design candidates toward the optimal solution. The success of the proposed procedure is demonstrated through its application to the design of efficient ultra-broadband antennas and their corresponding matching networks. ¬©1996 IEEE.</t>
  </si>
  <si>
    <t>687-695</t>
  </si>
  <si>
    <t>7006183137;7006183140;7005196479;55197051100</t>
  </si>
  <si>
    <t>Boag, Alona;Boag, Amir;Michielssen, Eric;Mittra, Raj</t>
  </si>
  <si>
    <t>Boag A.</t>
  </si>
  <si>
    <t>Design of electrically loaded wire antennas using genetic algorithms</t>
  </si>
  <si>
    <t>S0018926X96032279</t>
  </si>
  <si>
    <t>10.1109/8.496255</t>
  </si>
  <si>
    <t>2-s2.0-0030151762</t>
  </si>
  <si>
    <t>['wireless services', 'substantially increase', 'single node', 'single antenna', 'radio transmission', 'radio frequency', 'paper analyzes', 'network elements', 'lower number', 'interference ratios', 'indoor applications', 'handoff performance', 'frequency translation', 'distributed antennas', 'antennas results', 'also shown']</t>
  </si>
  <si>
    <t>This paper analyzes a radio access system that has multiple antennas spatially distributed throughout each cell, instead of a single antenna at each cell. The same signal is simulcast by each antenna in the cell. The signals at a given cell could be multiplexed and modulated for radio transmission at a single node, then transmitted on a coaxial cable distribution system to and from the distributed antennas in a cell. Frequency translation and radio frequency (RF) amplification may need to be performed at each antenna, except for indoor applications with short coaxial cables. This paper presents calculations of signalto-interference ratios (SIR) and handoff performance for cells with distributed antennas. It is shown that the use of distributed antennas can substantially increase the SIR above a system with a single antenna per cell, and this increase is quantified. It is also shown that increasing the number of antennas results in better overall handoff performance, with a lower number of handoffs and higher received signal power. Minimizing the number of handoffs will reduce the impact of wireless services on network elements. ¬© 1996 IEEE.</t>
  </si>
  <si>
    <t>265-275</t>
  </si>
  <si>
    <t>Kerpez, Kenneth J.</t>
  </si>
  <si>
    <t>Piscataway</t>
  </si>
  <si>
    <t>Telcordia Technologies, Inc.</t>
  </si>
  <si>
    <t>Kerpez K.</t>
  </si>
  <si>
    <t>A radio access system with distributed antennas</t>
  </si>
  <si>
    <t>S0018954596009565</t>
  </si>
  <si>
    <t>10.1109/25.492850</t>
  </si>
  <si>
    <t>2-s2.0-0030151822</t>
  </si>
  <si>
    <t>['viable substitute', 'transmission coefficients', 'solid dielectric', 'relative merits', 'paper describes', 'mode transformation', 'measured ones', 'hybrid mode', 'good agreement', 'field components', 'equivalence principle', 'empty horns', 'dielectric slab', 'corrugated horns', 'also measured']</t>
  </si>
  <si>
    <t>This paper describes the step approximation method of analysis of solid dielectric and dielectric-loaded metallised horns. The field components of a hybrid mode [HEmn] were derived and the mode transformation from [HE4mn] to TEmnx, was realised and is reported in the paper. By using proper boundary conditions two characteristic equations were derived which yielded phase constants. The far field expressions were derived using Schelkunoff's Equivalence Principle. The computed radiation patterns were compared with the measured ones and they are found to be in good agreement. The transmission coefficients, copolar and crosspolar radiation levels were also measured for solid dielectric, dielectric slab-loaded and empty horns to ascertain their relative merits as high performance feeds for satellite dish antennas. It is suggested that the slab-loaded dielectric horn is a viable substitute for corrugated horns.</t>
  </si>
  <si>
    <t>139-146</t>
  </si>
  <si>
    <t>60022193-60019578-60000251-100449582;60022193</t>
  </si>
  <si>
    <t>7005495605;6503852712</t>
  </si>
  <si>
    <t>Palit, S. K.;Perris, W.</t>
  </si>
  <si>
    <t>Australia;Australia;United States;India</t>
  </si>
  <si>
    <t>Canberra;Melbourne;New York;</t>
  </si>
  <si>
    <t>University of Canberra;Monash University;IEEE;Institution of Electronics and Telecommunication Engineers (IETE</t>
  </si>
  <si>
    <t>60022193;60019578;60000251;100449582</t>
  </si>
  <si>
    <t>Palit S.</t>
  </si>
  <si>
    <t>Dielectric-loaded pyramidal horns</t>
  </si>
  <si>
    <t>2-s2.0-0030157017</t>
  </si>
  <si>
    <t>34-x4</t>
  </si>
  <si>
    <t>Kiernan, Vincent</t>
  </si>
  <si>
    <t>Kiernan V.</t>
  </si>
  <si>
    <t>Pentagon parentage for pocket phones</t>
  </si>
  <si>
    <t>2-s2.0-0030157280</t>
  </si>
  <si>
    <t>DE-AIOZ-94ER40861</t>
  </si>
  <si>
    <t>['rf breakdown', 'pulse mode', 'power operation', 'plasma loading', 'plasma cathode', 'penultimate cavity', 'paper reports', 'microwave components', 'measured far', 'magnetic field', 'initial high', 'half maximum', 'fwhm ),', 'absolute calibration', '650 kv', '560 ghz', '2 kg', '120 ghz', '10 %.']</t>
  </si>
  <si>
    <t>This paper reports the initial high-power operation of a frequency-doubling magnicon amplifier at 11.120 GHz. The deflection cavities operate at S.560 GHz. The device is operating in a single-pulse mode at 650 kV and ~225 A, using a 5.5-mm diameter beam from a plasma cathode, at a magnetic field of 6.7-8.2 kG. In order to overcome a gain saturation problem in the deflection cavities caused by plasma loading, the penultimate deflection cavity is operated very close to self-oscillation. The typical output pulselength is 100 ns full width at half maximum (FWHM), and is limited by RF breakdown of the penultimate cavity. Based on the measured far-field antenna pattern and absolute calibration of all microwave components, the measured output power is 14 MW (¬±3 dB), corresponding to an efficiency of ~10%. ¬© 1996 IEEE.</t>
  </si>
  <si>
    <t>947-956</t>
  </si>
  <si>
    <t>60027271;60027271;60027271;60027271;60027271</t>
  </si>
  <si>
    <t>57207904682;7003931502;7004389675;7005445272;7005742679</t>
  </si>
  <si>
    <t>Gold, Steven H.;Kinkead, Alien K.;Fliflet, Arne W.;Hafizi, Bahman;Manheimer, Wallace M.</t>
  </si>
  <si>
    <t>Naval Research Laboratory</t>
  </si>
  <si>
    <t>Gold S.</t>
  </si>
  <si>
    <t>Initial operation of a high-power frequency-doubling x-band magnicon amplifier</t>
  </si>
  <si>
    <t>S0093381396046450</t>
  </si>
  <si>
    <t>10.1109/27.533100</t>
  </si>
  <si>
    <t>2-s2.0-0030164122</t>
  </si>
  <si>
    <t>Public Utilities Board - Singapore</t>
  </si>
  <si>
    <t>PUB</t>
  </si>
  <si>
    <t>['wavelength band', 'various aspects', 'typical requirements', 'suitable candidate', 'space beaming', 'proposed application', 'presented based', 'power beaming', 'operating voltage', 'numerical models', 'moderate voltage', 'mm wavelength', 'ground station', 'fem operating', 'fel make', 'energy transfer', 'electron laser', 'efficient source', 'design tradeoffs', 'conceptual design', 'beam current', 'average power', 'accelerator free', '10 amp']</t>
  </si>
  <si>
    <t>The electrostatic-accelerator free-electron laser (EA-FEL) operating at mm wavelength is considered as a source for energy transfer through the atmosphere to a high altitude platform. The high average power and high efficiency attainable from appropriately designed EA-FEL make it a suitable candidate as an efficient source of mm-waves for power beaming from a ground station. Various aspects of the FEL as a high power oscillator (operating voltage, c-beam current, gain and efficiency) are reviewed; design tradeoffs are described. The study includes consideration of typical requirements of power beaming to a high altitude platform such as atmospheric absorption versus frequency and transmitting and receiving antenna requirements. A conceptual design of a compact, moderate voltage (0.5-3 MeV), high current (1-10 Amp) EA-FEM operating in the mm-wavelength band is presented as an efficient power source for space beaming. The FEM design parameters are presented based on analytical and numerical models. Expected performance parameters of an FEL (gain, energy conversion efficiency, average power) are discussed as related to the proposed application. ¬© 1996 IEEE.</t>
  </si>
  <si>
    <t>1050-1057</t>
  </si>
  <si>
    <t>60005681;60005681;60005681;60005681</t>
  </si>
  <si>
    <t>7004221155;35511684400;6603881623;7006001768</t>
  </si>
  <si>
    <t>Pinhasi, Yosef;Yakover, Iosef M.;Eichenbaum, Arie Lew;Gover, Avraham</t>
  </si>
  <si>
    <t>Pinhasi Y.</t>
  </si>
  <si>
    <t>Efficient electrostatic-accelerator free-electron masers for atmospheric power beaming</t>
  </si>
  <si>
    <t>S0093381396051703</t>
  </si>
  <si>
    <t>10.1109/27.533112</t>
  </si>
  <si>
    <t>2-s2.0-0030164260</t>
  </si>
  <si>
    <t>Fi 371/2-1</t>
  </si>
  <si>
    <t>['various discontinuities', 'triaxial technique', 'tissue system', 'sophisticated applicators', 'numerical method', 'muscle phantom', 'known phenomena', 'investigated using', 'g .,', 'four applicators', 'electromagnetic field', 'dipole antennas', 'better understanding', 'also used']</t>
  </si>
  <si>
    <t>The electromagnetic field of dipole antennas for interstitial microwave hyperthermia is investigated using a finite integration algorithm program. The numerical method is applied to conventional, clinically used applicators and is also used for the improvement and optimization of sophisticated applicators, e.g., in a triaxial technique. Simulations of the frequency dependent impedance match, the E-fleld and the specific absorption rate (SAR) distribution of different applicators immersed in a muscle phantom are presented and compared with measurements. Moreover, results for arrays of two and four applicators are given. The field simulation allows one to study the effects at the various discontinuities of the applicator-catheter-tissue system and gives a better understanding of known phenomena. ¬© 1996 IEEE.</t>
  </si>
  <si>
    <t>887-895</t>
  </si>
  <si>
    <t>60000765;60000765;60000765</t>
  </si>
  <si>
    <t>57194907564;7004041943;24544687800</t>
  </si>
  <si>
    <t>Schaller, Gerd;Erb, J√ºrgen;Engelbrecht, Rainer</t>
  </si>
  <si>
    <t>Schaller G.</t>
  </si>
  <si>
    <t>Field simulation of dipole antennas for interstitial microwave hyperthermia</t>
  </si>
  <si>
    <t>S0018948096037878</t>
  </si>
  <si>
    <t>10.1109/22.506448</t>
  </si>
  <si>
    <t>2-s2.0-0030164633</t>
  </si>
  <si>
    <t>ECS-9009395</t>
  </si>
  <si>
    <t>['vlasov equation', 'vector potential', 'scalar potentials', 'scalar potential', 'plasma processing', 'model provides', 'measurements given', 'improved uniformity', 'form solutions', 'fl |.', 'fast way', 'em fields', 'discharge chamber', '2 ],', '1 ].']</t>
  </si>
  <si>
    <t>An RF discharge source with a vertical internal exciting coil was studied in OSRAM SYLVANIA recently [1]. Based on the self-consistent electron kinetic analysis presented in [2], a two-dimensional (2-D) (/, -) model is provided for this kind of inductively coupled discharge source. The mode analysis solves the vector and scalar potentials of the electromagnetic (EM) fields, while the kinetic analysis gives the perturbed Maxwellian distribution of electrons by solving the Boltzmann-Vlasov equation. The vector potential of the EM fields, which dominates the scalar potential in inductively coupled discharge, is calculated by considering the induced space currents obtained in terms of the electron kinetic analysis. With closed-form solutions, the model provides a rigorous and fast way to compute the EM fields and electron kinetic behaviors in the sources. The theoretical results achieve good agreement with the measurements given in fl|. Furthermore, in order to achieve a uniformly distributed plasma in the discharge chamber, which is desired for plasma processing, we propose a novel discharge structure with both external planar coil and internal vertical coil excitions. For a few sets of parameters, the theoretical results demonstrate the improved uniformity for excited azimuthal ¬£-fields in the chamber. ¬© 1996 IEEE.</t>
  </si>
  <si>
    <t>1155-1164</t>
  </si>
  <si>
    <t>Ravindra, Chwan Hwa</t>
  </si>
  <si>
    <t>Ravindra C.</t>
  </si>
  <si>
    <t>Assessment of self-consistent analytic model for inductive rf discharge and design of uniform discharge with planar-vertical antennas</t>
  </si>
  <si>
    <t>S0093381396044529</t>
  </si>
  <si>
    <t>10.1109/27.533125</t>
  </si>
  <si>
    <t>2-s2.0-0030164706</t>
  </si>
  <si>
    <t>['undesirable effect', 'system parameters', 'severely degrades', 'proposed schemes', 'multichannel systems', 'measurement accuracy', 'many commercially', 'frequency resolution', 'formulated mathematically', 'economical ways', 'detrimental effects', 'ctb measurement', 'based measurements', 'based measurement', 'always degraded', 'also presented', '5 db']</t>
  </si>
  <si>
    <t>Many commercially-available oscilloscopes offer the FFT-based spectral analysis capability and it is one of the most economical ways to perform spectral measurement. However, the measurement accuracy is always degraded by the incomplete-cycle sampling present in FFT. Such degradation in the FFT-based measurement of multichannel CATV systems is investigated. It severely degrades the spectral amplitude accuracy as well as the frequency resolution, both of which are important in deriving the system parameters such as CTB, CSO, and CNR. The undesirable effect is formulated mathematically for multichannel systems and the result is useful to obtain more accurate spectral values. Windowing and a proposed correction method are used to alleviate such detrimental effects, and an improvement, of 3-5 dB in CTB measurement is achieved with the proposed correction scheme. A procedure to achieve better spectrum analysis for multichannel CATV systems is also presented. The analysis and the proposed schemes can improve the accuracy in the FFT-based measurements of multichannel CATV systems than the traditional windowing method. ¬© 1996 IEEE.</t>
  </si>
  <si>
    <t>122-129</t>
  </si>
  <si>
    <t>60002798;60002798</t>
  </si>
  <si>
    <t>7404814688;7409435268</t>
  </si>
  <si>
    <t>Chan, Chun Kit;Chen, Lian Kuan</t>
  </si>
  <si>
    <t>Chinese University of Hong Kong</t>
  </si>
  <si>
    <t>Chan C.</t>
  </si>
  <si>
    <t>A correction scheme for measurement accuracy improvement in multichannel CATV systems</t>
  </si>
  <si>
    <t>S0018931696071636</t>
  </si>
  <si>
    <t>10.1109/11.506829</t>
  </si>
  <si>
    <t>2-s2.0-0030165297</t>
  </si>
  <si>
    <t>['x -,', 'test products', 'small dimensions', 'producing procedure', 'paper describes', 'operating circuit', 'microwave circuits', 'measurement examples', 'field probes', 'circuit properties', 'antenna diagnostics', '-, c']</t>
  </si>
  <si>
    <t>A new noncontacting miniature magnetic field probe for measuring the surface current distribution on high-frequency planar circuits in x-, y-, c-directions in the 1-20 GHz band has been designed, fabricated and tested. The field probes have very small dimensions and do not need any connection to the operating circuit under test, therefore there is almost no perturbation of the circuit properties. This simple and practical magnetic field probes can be used to assist the design of microwave circuits, antenna diagnostics and to test products in industry. This paper describes the producing procedure of the magnetic field probes, a scanning diagnostic system, measurement examples and comparisons between measurements and calculations. The measurement results agree very well with theoretically expected field distributions. ¬© 1996 IEEE.</t>
  </si>
  <si>
    <t>911-918</t>
  </si>
  <si>
    <t>60014264;60014264</t>
  </si>
  <si>
    <t>7404706433;35589308200</t>
  </si>
  <si>
    <t>Gao, Yingjie;Wolff, Ingo</t>
  </si>
  <si>
    <t>Duisburg</t>
  </si>
  <si>
    <t>Universit√§t Duisburg-Essen</t>
  </si>
  <si>
    <t>Gao Y.</t>
  </si>
  <si>
    <t>A new miniature magnetic field probe for measuring three-dimensional fields in planar high-frequency circuits</t>
  </si>
  <si>
    <t>S0018948096037994</t>
  </si>
  <si>
    <t>10.1109/22.506451</t>
  </si>
  <si>
    <t>2-s2.0-0030167597</t>
  </si>
  <si>
    <t>['wireless transmitters', 'temperature increase', 'small antenna', 'measured rate', 'lossy matter', 'field exposures', 'based technique', 'apparatus employs', 'antenna using']</t>
  </si>
  <si>
    <t>We describe a thermistor-based technique for measurement of the specific absorption rate (SAR) of radio frequency energy from a small antenna in lossy matter with high spatial resolution. The apparatus employs a small thermistor probe, that is moved about the antenna using a computer-controlled positioning system. The antenna is excited by pulses of radio frequency energy, and the SAR is obtained from the measured rate of temperature increase. We present a simplified thermal model to account for heating of the thermistor by the applied electromagnetic energy, which is a major potential artifact in the method. The apparatus is useful for studies of radio frequency ablation of tissue or near-field exposures in models of the body by wireless transmitters. ¬© 1996 IEEE.</t>
  </si>
  <si>
    <t>754-756</t>
  </si>
  <si>
    <t>60020444;60002817;60006297</t>
  </si>
  <si>
    <t>7003863537;6701775042;7202155857</t>
  </si>
  <si>
    <t>Mirotznik, Mark S.;Cheever, Erik;Foster, Kenneth R.</t>
  </si>
  <si>
    <t>Washington, D.C.;Philadelphia;Swarthmore</t>
  </si>
  <si>
    <t>Catholic University of America;University of Pennsylvania;Swarthmore College</t>
  </si>
  <si>
    <t>60020444;60006297;60002817</t>
  </si>
  <si>
    <t>Mirotznik M.</t>
  </si>
  <si>
    <t>High-resolution measurements of the specific absorption rate produced by small antennas in lossy media</t>
  </si>
  <si>
    <t>S0018945696030847</t>
  </si>
  <si>
    <t>10.1109/19.494594</t>
  </si>
  <si>
    <t>2-s2.0-0030168516</t>
  </si>
  <si>
    <t>['time echoes', 'resolution image', 'paper proposes', 'new method', 'moving targets', 'equivalent space', 'blind area', 'array antenna']</t>
  </si>
  <si>
    <t>Choi-william Distribution (CWD) | Detecting of moving targets | Imaging of moving targets | Spatial and temporal equivalent method for SAR imaging</t>
  </si>
  <si>
    <t>Based on the space-time two dimensional signal processing, this paper proposes a new method for the detecting and imaging of moving targets with SAR by using the equivalent space-time echoes of array antenna. This method, which is much more effective to detect and image the targets whose radial velocity is very small, can reduce the blind area of speed and can provide a high-resolution image of the slow moving targets. The computer simulation results illustrate its availability.</t>
  </si>
  <si>
    <t>86-87</t>
  </si>
  <si>
    <t>60013789;60013789;60013789</t>
  </si>
  <si>
    <t>34882029100;36098722200;7402531106</t>
  </si>
  <si>
    <t>Li, Jingwen;Zhou, Yinqing;Feng, Shizhang</t>
  </si>
  <si>
    <t>Beihang University</t>
  </si>
  <si>
    <t>Detecting and imaging of moving targets with SAR based on space-time two dimensional signal processing</t>
  </si>
  <si>
    <t>2-s2.0-0030182643</t>
  </si>
  <si>
    <t>['sampling scheme', 'results obtained', 'range implementation', 'performed using', 'measured far', 'field transformation', 'excellent agreement']</t>
  </si>
  <si>
    <t>This paper investigates linear spiral sampling for bipolar planar near-field anlenna measurements. This sampling scheme is, depending on range implementation, the most rapid polar near-field data acquisition mode. The near-field to far-field transformation is performed using a modified optimal sampling interpolation (OSI)/fast Fourier transform (FFT) approach. Measured far-field pattern results for a waveguide-fed slot array antenna are presented and are shown to have excellent agreement with results obtained from a conventional bipolar measurement. ¬© 1996 IEEE.</t>
  </si>
  <si>
    <t>1049-1051</t>
  </si>
  <si>
    <t>6604057106;7404478495</t>
  </si>
  <si>
    <t>Yaccarino, Robert G.;Williams, Lawrence I.</t>
  </si>
  <si>
    <t>Yaccarino R.</t>
  </si>
  <si>
    <t>Linear spiral sampling for the bipolar planar near-field antenna measurement technique</t>
  </si>
  <si>
    <t>S0018926X96047552</t>
  </si>
  <si>
    <t>10.1109/8.504314</t>
  </si>
  <si>
    <t>2-s2.0-0030188817</t>
  </si>
  <si>
    <t>NSC85-2213-E002-008</t>
  </si>
  <si>
    <t>['simulation examples', 'score approaches', 'schmidt orthogonalization', 'proposed algorithms', 'paper concerns', 'originally developed', 'n elements', 'modular gram', 'matrix factorization', 'gso process', 'first reformulate', 'efficient method', 'convergence property', 'computation load', 'cohesive restoral', 'adaptive beamformer', 'adaptive algorithms']</t>
  </si>
  <si>
    <t>This paper concerns the adaptive array beamforming using signal cyclostationarity. We present recursive algorithms for implementing the self-cohesive restoral (SCORE) approaches which were originally developed in [3] to perform blind adaptive signal extraction using antenna arrays. Utilizing the theory of matrix factorization in conjunction with a power normalization scheme, we first reformulate the original problems considered by the SCORE approaches as simpler constrained optimization problems. By employing the modular Gram-Schmidt orthogonalization (GSO) structure, adaptive algorithms are then developed for finding the optimal weight vector. It is shown that although the GSO structure used requires a computation load of O(N2) for an adaptive beamformer with N elements, the computing time required for producing an output data vector is reduced to O(N) due to the pipeline implementation suitable for the GSO process. The convergence property for each of the proposed algorithms is considered. A simple and efficient method is proposed for choosing appropriate initial guesses to initiate the adaptive algorithms. Simulation examples are given to show the effectiveness of the proposed algorithms. ¬© 1996 IEEE.</t>
  </si>
  <si>
    <t>943-953</t>
  </si>
  <si>
    <t>54679759700;54679639800</t>
  </si>
  <si>
    <t xml:space="preserve">Yu Shiann-Jeng, ;Lee Ju-Hong, </t>
  </si>
  <si>
    <t>Yu Shiann-Jeng</t>
  </si>
  <si>
    <t>Adaptive array beamforming for cyclostationary signals</t>
  </si>
  <si>
    <t>S0018926X96047382</t>
  </si>
  <si>
    <t>10.1109/8.504300</t>
  </si>
  <si>
    <t>2-s2.0-0030188858</t>
  </si>
  <si>
    <t>['voltage taps', 'training quench', 'signals detected', 'rhic dipole', 'quench antenna', 'quadrupole magnets', 'performed routinely', 'mechanical disturbance', 'heavily instrumented', 'antenna coils']</t>
  </si>
  <si>
    <t>Quench observation using quench antennas is now being performed routinely on RHIC dipole and quadrupole magnets. Recently, a quench antenna was used on a RHIC IR magnet which is heavily instrumented with voltage taps. It was confirmed that the signals detected in the antenna coils do not contradict the voltage tap signals. The antenna also detects a sign of mechanical disturbance which could be related to a training quench. This paper summarizes signals detected in the antenna and discusses possible causes of these signals. ¬© 1996 IEEE.</t>
  </si>
  <si>
    <t>3098-3101</t>
  </si>
  <si>
    <t>4 PART 2</t>
  </si>
  <si>
    <t>60003218;60003218;60003218</t>
  </si>
  <si>
    <t>7005272198;7003698446;56479879800</t>
  </si>
  <si>
    <t>Ogitsu, T.;Terashima, A.;Tsuchiya, K.</t>
  </si>
  <si>
    <t>High Energy Accelerator Research Organization, Tsukuba</t>
  </si>
  <si>
    <t>Ogitsu T.</t>
  </si>
  <si>
    <t>Quench observation using quench antennas on rhic ir quadrupole magnets</t>
  </si>
  <si>
    <t>10.1109/20.511531</t>
  </si>
  <si>
    <t>2-s2.0-0030188957</t>
  </si>
  <si>
    <t>['series combination', 'present analysis', 'odd distributions', 'nonzero widths', 'multiply fed', 'moment method', 'metallic surface', 'linear antenna', 'input admittances', 'input admittance', 'impedance locations', 'feed gaps', 'exist due', 'excitation location', 'excellent agreement', 'employ superposition', 'dielectric constants', 'data based', 'current distributions', 'current distribution', 'analytic expressions', 'admittance expressions']</t>
  </si>
  <si>
    <t>Analytic expressions are derived for the input admittance and the current distribution along the multiply fed and loaded insulated antenna in air which is excited across feed gaps of nonzero widths. In this work, the Wiener-Hopf type analysis for a center fed insulated antenna is combined with the axial field discontinuity (AFD) method to develop the current and admittance expressions. This AFD method considers the metallic surface of the linear antenna as a series combination of longitudinal, electric-field surface functions that exist due to feeding and/or loading. The present analysis, which does not employ superposition of even and odd distributions of sources and loads, yields final expressions in terms of the excitation location, its aperture electric field within the feed gaps, impedance locations, and their values. The current distribution for cases of unity dielectric constant shows an excellent agreement with data based on the moment method. The input admittances and current distributions are reported for different multiple excitations and loads and dielectric constants of the insulator. ¬© 1996 IEEE.</t>
  </si>
  <si>
    <t>905-911</t>
  </si>
  <si>
    <t>60019000;60019000</t>
  </si>
  <si>
    <t>54680085900;7202820407</t>
  </si>
  <si>
    <t>Saoiidy, S. A.;Sinha, B. P.</t>
  </si>
  <si>
    <t>Saoiidy S.</t>
  </si>
  <si>
    <t>Theory of a multiply fed and loaded insulated linear antenna in air</t>
  </si>
  <si>
    <t>S0018926X96047333</t>
  </si>
  <si>
    <t>10.1109/8.504295</t>
  </si>
  <si>
    <t>2-s2.0-0030189422</t>
  </si>
  <si>
    <t>N00014-90-C-0071</t>
  </si>
  <si>
    <t>['theoretical predictions', 'images suffer', 'earlier predicted', 'azimuth wavenumbers', 'alongtrack direction']</t>
  </si>
  <si>
    <t>Estimates of ocean wave spectra obtained from conventional synthetic aperture radar (SAR) images suffer from the azimuth falloff effect which limits the range of azimuth wavenumbers that can be observed by such systems. This effect was earlier predicted to be modified by the use of a second receive antenna which is displaced from the first in the alongtrack direction. In this paper we present experimental evidence which is consistent with these theoretical predictions and suggests that the azimuth falloff limitations inherent in conventional SAR systems can be overcome by the use of two or more appropriately spaced antennas. ¬© 1996 IEEE.</t>
  </si>
  <si>
    <t>1020-1028</t>
  </si>
  <si>
    <t>Lyzenga, David R.</t>
  </si>
  <si>
    <t>Lyzenga D.</t>
  </si>
  <si>
    <t>Azimuth falloff effects in two-antenna sar measurements of ocean wave spectra</t>
  </si>
  <si>
    <t>SOI9628929605053X</t>
  </si>
  <si>
    <t>10.1109/36.508419</t>
  </si>
  <si>
    <t>2-s2.0-0030190062</t>
  </si>
  <si>
    <t>['test results', 'technical specifications', 'servo unit', 'power supply', 'optic gyroscope', 'operational principles', 'military standard', 'extensively tested', 'designed specially', 'described briefly', 'correspondence describes', 'control box', 'civil airplanes', 'boeing 707', 'aeronautics facilities', '7a airplanes']</t>
  </si>
  <si>
    <t>This correspondence describes the HAL-3 navigation radar which was designed specially for civil airplanes. The main technical functions of the radar have been extensively tested on Boeing 707 and Y-7A airplanes to the military standard on aeronautic airborne facilities. The test results [1] are qualified by the Chinese Appraisal Committee of Aeronautics Facilities. The technical specifications of the radar are similar to those of the RDR-1F radar manufactured in the U.S. with several added operational functions. The radar includes 7 units: antenna, transceiver, servo unit, control box, two display units and power supply. Operational principles and functions of each unit are described briefly. The current research project for interfacing the radar to a fibre-optic gyroscope is in process and some initial experimental results are described. ¬© 1996 IEEE.</t>
  </si>
  <si>
    <t>1208-1211</t>
  </si>
  <si>
    <t>60023813;60023813;60023813</t>
  </si>
  <si>
    <t>54680378500;54679661800;54680217200</t>
  </si>
  <si>
    <t>Zhenhe, Fang;Jun, Zhang;Wang, Y. I.</t>
  </si>
  <si>
    <t>Shanghai University</t>
  </si>
  <si>
    <t>Zhenhe F.</t>
  </si>
  <si>
    <t>The hal-3 airborne navigation radar</t>
  </si>
  <si>
    <t>10.1109/7.532286</t>
  </si>
  <si>
    <t>2-s2.0-0030190218</t>
  </si>
  <si>
    <t>U.S. Department of Commerce</t>
  </si>
  <si>
    <t>DOC</t>
  </si>
  <si>
    <t>['prototype devices', 'possible applications', 'moderate performance', 'flux transformers']</t>
  </si>
  <si>
    <t>Melt processed YBa2Cu3Ox thick films display low surface resistance, moderate performance In fields and can be applied to three-dimensional (3-D) substrates with ease. The processing and properties of such films are described. Possible applications are examined and prototype devices are described. These include high Q, low frequency resonators for cellular communications filters, low phase noise oscillators, magnetic resonance imaging receiver coils, low noise magnetic shields, coils, flux transformers, and antennas. ¬©1996 IEEE.</t>
  </si>
  <si>
    <t>1356-1360</t>
  </si>
  <si>
    <t>7 PART 2</t>
  </si>
  <si>
    <t>;;;;;;;</t>
  </si>
  <si>
    <t>7005056283;57211479759;6603619521;6507332801;6701756178;57197126404;7006990603;35417096700</t>
  </si>
  <si>
    <t>Button, Timothy W.;Smith, Paul A.;Dolman, Godfrey;Meggs, Carl;Remillard, Stephen K.;Hodge, James D.;Penn, Stuart J.;Alford, Neil M.</t>
  </si>
  <si>
    <t>Button T.</t>
  </si>
  <si>
    <t>Properties and applications of thick film high temperature superconductors</t>
  </si>
  <si>
    <t>S0018948096047990</t>
  </si>
  <si>
    <t>10.1109/22.508240</t>
  </si>
  <si>
    <t>2-s2.0-0030190622</t>
  </si>
  <si>
    <t>['upgoing waves', 'third section', 'priori information', 'parametric estimation', 'mle method', 'letter addresses', 'downgoing waves', 'bayesian approach']</t>
  </si>
  <si>
    <t>This letter addresses the parametric estimation of multicomponent seismic waves. The approach of parametric separation based on the maximum likelihood estimator (MLE) is introduced, and the a priori information is obtained by the downgoing waves in vertical seismic profile (VSP) data. First, we recall the MLE method. Then the Bayesian approach is introduced in the third section, and finally, we show on synthetic seismic data that the estimation of velocities of upgoing waves is improved.</t>
  </si>
  <si>
    <t>218-220</t>
  </si>
  <si>
    <t>IEEE Signal Processing Letters</t>
  </si>
  <si>
    <t>Essebbar, Abderrahman</t>
  </si>
  <si>
    <t>INP Grenoble - ENSIEG</t>
  </si>
  <si>
    <t>Essebbar A.</t>
  </si>
  <si>
    <t>Bayesian parametric separation applied to multicomponent seismic data</t>
  </si>
  <si>
    <t>10.1109/97.508170</t>
  </si>
  <si>
    <t>2-s2.0-0030191237</t>
  </si>
  <si>
    <t>['widely applied', 'transient excitation', 'related aspect', 'one aspect', 'microstrip calculations', 'many geometries', 'involve including', 'including gap', 'greatly reducing', 'frill feeds', 'fdtd calculations', 'fdtd approximations', 'difference time', 'complicated approaches']</t>
  </si>
  <si>
    <t>The finite-difference time-domain (FDTD) method is being widely applied to antenna and microstrip calculations. One aspect of this application is accurately and efficiently modeling antenna and microstrip feeds within the constraints of FDTD approximations. Several relatively straightforward approaches have been suggested, including gap and frill feeds. More complicated approaches, which involve including the coaxial feed cable in the FDTD calculation space, have also been suggested. A related aspect is the desirability of reducing the number of time steps required for FDTD calculations to converge, especially for transient excitation. In this paper we illustrate that for many geometries a simple gap model with an internal source resistance provides accurate results while greatly reducing the number of time steps required for convergence. ¬© 1996 IEEE.</t>
  </si>
  <si>
    <t>1000-1005</t>
  </si>
  <si>
    <t>7005852706;6701309526</t>
  </si>
  <si>
    <t>Luebbers, R. J.;Langdon, H. S.</t>
  </si>
  <si>
    <t>Luebbers R.</t>
  </si>
  <si>
    <t>A simple feed model that reduces time steps needed for fdtd antenna and microstrip calculations</t>
  </si>
  <si>
    <t>S0018926X96047461</t>
  </si>
  <si>
    <t>10.1109/8.504308</t>
  </si>
  <si>
    <t>2-s2.0-0030191691</t>
  </si>
  <si>
    <t>European Space Agency</t>
  </si>
  <si>
    <t>ESA</t>
  </si>
  <si>
    <t>['strongly relaxed', 'stringent requirements', 'stringent requirement', 'small set', 'redundant correlations', 'reduced number', 'power stability', 'phase equalization', 'novel approach', 'modulus calibration', 'mass volume', 'making use', 'makes use', 'maintain phase', 'large number', 'board calibration', 'adjacent antennas']</t>
  </si>
  <si>
    <t>On-board calibration of bidimensional aperture synthesis radiometers with a large number of antennas by the standard correlated noise injection method is technologically very critical because of the stringent requirements on mass volume and phase equalization of the noise distribution network. A novel approach which makes use of a set of uncorrelated noise sources uniformly distributed in the array is proposed in this paper. Kach noise source drives correlated noise only to a small set of adjacent antennas. These sets of antennas are overlapped in order to maintain phase and modulus track along the array. This approach reduces drastically mass and volume of the noise distribution network. Moreover its phase matching requirement is strongly relaxed because it is only necessary within small sets of adjacent antennas. Power stability of the uncorrelated noise sources is also not a stringent requirement. This procedure allows independent phase and modulus calibration by making use of a reduced number of redundant correlations. ¬© 1996 IEEE.</t>
  </si>
  <si>
    <t>1000-1009</t>
  </si>
  <si>
    <t>Torres, F.</t>
  </si>
  <si>
    <t>Torres F.</t>
  </si>
  <si>
    <t>On-board phase and modulus calibration of large aperture synthesis radiometers: study applied to miras</t>
  </si>
  <si>
    <t>S0196289296050462</t>
  </si>
  <si>
    <t>10.1109/36.508417</t>
  </si>
  <si>
    <t>2-s2.0-0030191902</t>
  </si>
  <si>
    <t>['work extends', 'thermal analysis', 'temperature superconducting', 'substantially improve', 'scanning array', 'radiation patterns', 'phase shifters', 'heat load', 'feed lines', 'compatible low', 'coaxial interconnections', 'bandwidth measurements', 'approach follows', 'antenna design', '20 ghz', '12 ghz']</t>
  </si>
  <si>
    <t>The use of high-temperature superconducting (HTS) feed lines and phase shifters can substantially improve the performance of microwave and millimeter-wave printed phased array antennas. A novel antenna architecture is described that provides a broadband radiating aperture to be used as a scanning array with compatible low-loss HTS phase shifters. The approach follows an earlier design demonstrated at 12 GHz, and this work extends the approach to 20 GHz. The antenna design, radiation patterns, bandwidth measurements, and thermal analysis are reported. A prototype thermal isolator design is described that reduces the heat load of coaxial interconnections between cryocooled and room temperature systems. ¬© 1996 IEEE.</t>
  </si>
  <si>
    <t>1384-1389</t>
  </si>
  <si>
    <t>60076904;60076904;60076904;60076904;60076904;60076904;60076904;60076904;60076904;60076904;60076904</t>
  </si>
  <si>
    <t>7006764320;6602884662;7103111297;6603363061;7006610441;54680266900;8083786100;7006563491;6603290175;6603253688;7403287994</t>
  </si>
  <si>
    <t>Herd, Jeffrey S.;Poles, Livio D.;Kenney, James P.;Derov, John S.;Champion, Michelle H.;Suva, Jose H.;Davidovitz, Marat;Herd, Kenneth G.;Bocchi, William J.;Mittleman, Steven D.;Hayes, Dallas T.</t>
  </si>
  <si>
    <t>Herd J.S.</t>
  </si>
  <si>
    <t>Twenty-GHz broadband microstrip array with elcctromagnetically coupled high Tc superconducting feed network</t>
  </si>
  <si>
    <t>S0018948096047862</t>
  </si>
  <si>
    <t>10.1109/22.508245</t>
  </si>
  <si>
    <t>2-s2.0-0030191944</t>
  </si>
  <si>
    <t>Direction des recherches, √©tudes et techniques d'armement</t>
  </si>
  <si>
    <t>93-1 191/AOOO/DRET/DS/SR</t>
  </si>
  <si>
    <t>DRET</t>
  </si>
  <si>
    <t>['used extensively', 'reflection coefficient', 'numerical implementation', 'numerical efficiency', 'helmholtz equation', 'fem ).', 'derived herein', 'derived abc', 'demonstrated analytically', 'becomes necessary', 'become equivalent', 'arbitrary boundary', 'analytical abc']</t>
  </si>
  <si>
    <t>Electromagnetic field computation may be carried out conveniently by using the finite element method (FEM). When solving open region problems using this technique, it becomes necessary to enclose the scatterer with an outer boundary upon which an absorbing boundary condition (ABC) is applied; analytically-derived ABC's have been used extensively for this purpose. Recently, numerical absorbing boundary conditions (NABC's) have been proposed as alternatives to analytical ABC's. For the two-dimensional (2-D) Helmholtz equation, it has been demonstrated analytically that these NABC's become equivalent to many of the existing analytical ABC's in the limit as the cell size tends to zero. In addition, the numerical efficiency of these NABC's has been evaluated by using as an indicator the reflection coefficient for plane and cylindrical waves incident upon an arbitrary boundary. In this paper, we have extended this procedure to the study of NABC's, derived herein, for the three-dimensional (3-D) scalar and vector wave equations from the point of view of their numerical implementation in node- and edge-based FEM formulations, respectively. ¬© 1996 IEEE.</t>
  </si>
  <si>
    <t>1015-1022</t>
  </si>
  <si>
    <t>60025149;60000745</t>
  </si>
  <si>
    <t>6602993468;55197051100</t>
  </si>
  <si>
    <t>Stupfel, B.;Mittra, R.</t>
  </si>
  <si>
    <t>France;United States</t>
  </si>
  <si>
    <t>Bruyeres-les-Chatel;Urbana</t>
  </si>
  <si>
    <t>CEA Dam Ile-de France;University of Illinois Urbana-Champaign</t>
  </si>
  <si>
    <t>Stupfel B.</t>
  </si>
  <si>
    <t>Numerical absorbing boundary conditions for the scalar and vector wave equations</t>
  </si>
  <si>
    <t>S0018926X96047485</t>
  </si>
  <si>
    <t>10.1109/8.504310</t>
  </si>
  <si>
    <t>2-s2.0-0030192185</t>
  </si>
  <si>
    <t>DAAL03-92-G-0295</t>
  </si>
  <si>
    <t>['slot antennas', 'simple model', 'scan blindnesses', 'scan blindness', 'postulated model', 'polarized arrays', 'interest occur', 'existing designs', 'easily evaluated', 'dominant effects', 'correctly models', 'completely rigorous', 'array designers']</t>
  </si>
  <si>
    <t>A simple model has been postulated for predicting the existence and location of a class of Emplane scan blindnesses in single-polarized arrays of tapered-slot antennas. The blindnesses of interest occur in arrays that have E -plane element spacing greater than Œªo/2. A simple dispersion relation is easily evaluated to obtain accurate estimates of the locations of scan blindnesses. The postulated model is not completely rigorous, but i) it correctly models the dominant effects for this class of scan blindnesses, ii) it has a simple physical interpretation, and iii) the formula can be evaluated so easily that array designers can readily choose array parameters that prevent this type of blindness or they can determine if proposed or existing designs are likely to exhibit this scan blindness. ¬© 1996 IEEE.</t>
  </si>
  <si>
    <t>954-959</t>
  </si>
  <si>
    <t>Schaubert, Daniel H.</t>
  </si>
  <si>
    <t>Schaubert D.</t>
  </si>
  <si>
    <t>A class of ¬£-plane scan blindnesses in single-polarized arrays of tapered-slot antennas with a ground plane</t>
  </si>
  <si>
    <t>S0018926X96047394</t>
  </si>
  <si>
    <t>10.1109/8.504301</t>
  </si>
  <si>
    <t>2-s2.0-0030192252</t>
  </si>
  <si>
    <t>Russian Foundation for Fundamental Investigations</t>
  </si>
  <si>
    <t>94-02-03453-a</t>
  </si>
  <si>
    <t>RFFI</t>
  </si>
  <si>
    <t>['scatterers satisfies', 'reciprocity condition', 'polarizability dyadics', 'numerical simulations', 'lossy material', 'loop portions', 'good agreement', 'free space', 'experimental data', 'electromagnetic analysis', 'chiral particles', 'analytical modeling', 'analytical model', 'analytical expressions']</t>
  </si>
  <si>
    <t>An analytical model for polarizability dyadics of small chiral conductive particles in free space or those embedded in a lossy material is presented and discussed. Chiral particles are modeled by a wire loop connected to two straight wire elements. The electromagnetic analysis is based on the replacement the particles by two connected antennas representing the wire and loop portions. Analytical expressions for polarizabilities are given. For electrically small particles, a lumped-element equivalent circuit can be constructed and the polarizabilities can be expressed in terms of equivalent circuit parameters. It is shown that the wireand-loop antenna model for scatterers satisfies the reciprocity condition and other basic physical requirements. Approximate analytical expressions are compared with numerical simulations and with the experimental data on reflection from single chiral particles, and the results are seen to be in good agreement. The model can be used in analytical modeling of chiral and omega composite materials. ¬© 1996 IEEE.</t>
  </si>
  <si>
    <t>1006-1014</t>
  </si>
  <si>
    <t>60017103;60017103</t>
  </si>
  <si>
    <t>7005479476;6602553554</t>
  </si>
  <si>
    <t>Tretyakov, S. A.;Kharina, T. G.</t>
  </si>
  <si>
    <t>Saint Petersburg</t>
  </si>
  <si>
    <t>Peter the Great St. Petersburg Polytechnic University</t>
  </si>
  <si>
    <t>Tretyakov S.</t>
  </si>
  <si>
    <t>Analytical antenna model for chiral scatterers: comparison with numerical and experimental data</t>
  </si>
  <si>
    <t>S0018926X96047473</t>
  </si>
  <si>
    <t>10.1109/8.504309</t>
  </si>
  <si>
    <t>2-s2.0-0030192391</t>
  </si>
  <si>
    <t>['using pulses', 'transmitting signals', 'traditional measurement', 'time domain', 'tested cases', 'receiving antennas', 'pulsed electric', 'practical applications', 'frequency domain', 'formation using', 'formation boundaries', 'fixed frequency', 'domain transmission']</t>
  </si>
  <si>
    <t>Traditional measurement-while drilling (MWD) logging tools use magnetic dipolcs (coils) as transmitting and receiving antennas and operate at a fixed frequency. In this paper a new MWD tool using electrical dipoles and using pulses as transmitting signals is investigated and its performance is compared to the coil-type MWD tool in the same formation using a numerical simulation technique. The performances of these two different tools are compared both in the time domain and in the frequency domain. A time-domain transmission-line-matrix (TLM) method is used to perform the analysis. It is shown that a pulsed electric-dipole type MWD tool is superior to a coil-type MWD tool in detection of formation boundaries in all the tested cases. It is further suggested that an MWD tool using electric dipole antennas may be more sensitive in practical applications. ¬© 1996 IEEE.</t>
  </si>
  <si>
    <t>1039-1044</t>
  </si>
  <si>
    <t>Zhang, Yongmin</t>
  </si>
  <si>
    <t>University of Houston</t>
  </si>
  <si>
    <t>Zhang Y.</t>
  </si>
  <si>
    <t>The performance evaluation of mwd logging tools using magnetic and electric dipoles by numerical simulations</t>
  </si>
  <si>
    <t>S0196289296051431</t>
  </si>
  <si>
    <t>10.1109/36.508421</t>
  </si>
  <si>
    <t>2-s2.0-0030192844</t>
  </si>
  <si>
    <t>MIP93-21856</t>
  </si>
  <si>
    <t>['transmitted radiation', 'redundancy applied', 'receive elements', 'passive arrays', 'novel concept', 'minimum redundancy', 'line arrays', 'known concept', 'imaging based', 'image synthesis', 'give examples', 'element count', 'arrays differ', 'array redundancy', 'active arrays']</t>
  </si>
  <si>
    <t>Active imaging arrays are used to image scenes composed of reflectors of transmitted radiation, and in many such applications, line arrays are employed. In this paper, we discuss scanned active line arrays for imaging based on image synthesis. We define the novel concept of array redundancy for active arrays, analogous to the well-known concept of redundancy applied to passive arrays, and we define and give examples of minimum redundancy and reduced redundancy line arrays composed of transmit/receive elements. Such arrays differ from their passive imaging counterparts both in geometry and in element count. ¬© 1996 IEEE.</t>
  </si>
  <si>
    <t>1179-1183</t>
  </si>
  <si>
    <t>IEEE Transactions on Image Processing</t>
  </si>
  <si>
    <t>60102562-60000251;60102562-60000251</t>
  </si>
  <si>
    <t>6603222618;56251804200</t>
  </si>
  <si>
    <t>Hoctor, Ralph T.;Kassam, Saleem A.</t>
  </si>
  <si>
    <t>Philadelphia;New York</t>
  </si>
  <si>
    <t>School of Engineering and Applied Science;IEEE</t>
  </si>
  <si>
    <t>60102562;60000251</t>
  </si>
  <si>
    <t>Hoctor R.T.</t>
  </si>
  <si>
    <t>Array redundancy for active line arrays</t>
  </si>
  <si>
    <t>S1057714996045423</t>
  </si>
  <si>
    <t>10.1109/83.502396</t>
  </si>
  <si>
    <t>2-s2.0-0030193176</t>
  </si>
  <si>
    <t>['ybco films', 'x 1', 'wave technique', 'surface may', 'sate resistivity', 'resistivity mapping', 'reflected wave', 'new millimeter', 'map normal', 'high efficiency', 'ghz radiation', 'fixed height', 'find inhomogeneities', 'electromagnetic waves', 'ambient temperature']</t>
  </si>
  <si>
    <t>We demonstrate a new millimeter-wave technique for the resistivity mapping of large-area conducting films, namely, a near-field resistivity microscope. The microscope is based (in the idea that electromagnetic waves are transmitted through a narrow resonant slit with high efficiency. By scanning this slit at fixed height above an inhomogeneous conducting surface and measuring the intensity and phase of the reflected wave, the resistivity of this surface may be determined with a 10-100 Œºm spatial resolution using 80-GHz radiation. Using this technique, we map normal-sate resistivity of 1 in X 1 in YBCO films at ambient temperature. In some films we find inhomogeneities of the normal-state sheet resistance of the order of 10%-20%. ¬© 1996 IEEE.</t>
  </si>
  <si>
    <t>1390-1392</t>
  </si>
  <si>
    <t>60007903;60007903;60007903</t>
  </si>
  <si>
    <t>7004092573;57197605928;56021982000</t>
  </si>
  <si>
    <t>Golosovsky, Michael;Galkin, Alexander;Davidov, Dan</t>
  </si>
  <si>
    <t>Jerusalem</t>
  </si>
  <si>
    <t>Hebrew University of Jerusalem</t>
  </si>
  <si>
    <t>Golosovsky M.</t>
  </si>
  <si>
    <t>High-spatial resolution resistivity mapping of large-area YBCO films by a near-field millimeter-wave microscope</t>
  </si>
  <si>
    <t>S0018948096047874</t>
  </si>
  <si>
    <t>10.1109/22.508246</t>
  </si>
  <si>
    <t>2-s2.0-0030193179</t>
  </si>
  <si>
    <t>NAG2-744</t>
  </si>
  <si>
    <t>['well predicted', 'tuned mixers', 'trilayer junctions', 'transform spectrometry', 'slot antennas', 'frequency response', 'computer simulations', 'best reported', '850 ghz', '808 ghz', '700 ghz', '540 k']</t>
  </si>
  <si>
    <t>We report on the development of low-noise quasioptical SIS mixers for the frequency range 400-850 GHz. The mixers utilize twin-slot antennas, two-junction tuning circuits, and Nb-trilayer junctions. Fourier-transform spectrometry has been used to verify that the frequency response of the devices is well predicted by computer simulations. The 400-850 GHz frequency band can be covered with four separate fixed-tuned mixers. We measure uncorrected double-sideband receiver noise temperatures around 5hv/kB to 700 GHz, and better than 540 K at 808 GHz. These results are among the best reported to date for broadband heterodyne receivers. 0018-9480/96S05.00 ¬© 1996 IEEE.</t>
  </si>
  <si>
    <t>1130-1139</t>
  </si>
  <si>
    <t>7 PART 1</t>
  </si>
  <si>
    <t>60009037;60009037;60031581;60031581;60009037;60000251-60031581</t>
  </si>
  <si>
    <t>6701310156;23974476000;6602197091;7407281737;7402955893;7004482405</t>
  </si>
  <si>
    <t>Gaidis, Michael C.;Leduc, Henry G.;Bin, Mei;Miller, David;Stern, Jeffrey A.;Zmuidzinas, Jonas</t>
  </si>
  <si>
    <t>Pasadena;Pasadena;New York</t>
  </si>
  <si>
    <t>California Institute of Technology;Jet Propulsion Laboratory;IEEE</t>
  </si>
  <si>
    <t>60031581;60009037;60000251</t>
  </si>
  <si>
    <t>Characterization of low-noise quasi-optical SIS mixers for the submillimeter band</t>
  </si>
  <si>
    <t>S0018948096047175</t>
  </si>
  <si>
    <t>10.1109/22.508648</t>
  </si>
  <si>
    <t>2-s2.0-0030193426</t>
  </si>
  <si>
    <t>ONRN00014-92-5-1 190</t>
  </si>
  <si>
    <t>['voltage distributions', 'quite similar', 'periods less', 'oscillating antenna', 'optical sampling', 'microwave characteristics', 'interesting characteristics', 'individual antenna', 'gaas substrates', 'finite arrays', 'edge effects', 'array operation', 'active structures', 'active antennas']</t>
  </si>
  <si>
    <t>Optical sampling has been employed to obtain the charge and voltage distributions on both a self oscillating active antenna and a power combining oscillating array of such active antennas. Various oscillating arrays have been fabricated on GaAs substrates, and the microwave characteristics of these active structures were tested before the optical sampling measurements were performed. The results of optical sampling measurements have revealed some interesting characteristics of both the individual antenna and array operation. It was noted that the charge and voltage distributions of a single isolated oscillating antenna were quite similar to those measured on an oscillating antenna in an array. Along with this, no edge effects were observed in the finite arrays. The charge and voltage distributions repeated smoothly in periods less that a wavelength with the excess phase necessary to achieve 180 degrees per cell being taken up by a large phase jump across each transistor, despite the fact that each transistor has dimension much smaller than the free space wavelength of the oscillation. Some analytical modeling results are presented to try to put the results into perspective. ¬© 1996 IEEE.</t>
  </si>
  <si>
    <t>1000-1008</t>
  </si>
  <si>
    <t>60000221;60000221;60000221;60000221</t>
  </si>
  <si>
    <t>7410238883;7004349250;57191044971;7005956719</t>
  </si>
  <si>
    <t>Chen, Kuang Yi;Biernacki, Paul David;Buchheit, Steve;Mickelson, Alan Rolf</t>
  </si>
  <si>
    <t>Noninvasive experimental determination of charge and voltage distributions on an active surface</t>
  </si>
  <si>
    <t>S001894809604700X</t>
  </si>
  <si>
    <t>10.1109/22.508631</t>
  </si>
  <si>
    <t>2-s2.0-0030193897</t>
  </si>
  <si>
    <t>['scheme combined', 'numerical results', 'measured equation', 'generalized finite', 'fd equations', 'electromagnetic scattering', 'electrically large', 'chiral medium', 'chiral cylinders', 'available data', 'achiral regions']</t>
  </si>
  <si>
    <t>In this paper, a generalized finite-difference (FD) scheme combined with the measured equation of invariance (ME1) is presented for the analysis of electromagnetic scattering from an inliomogeneous and lossy chiral cylinder with electrically large, arbitrarily shaped cross section. A new FD mesh in both chiral and achiral regions is formed, and the FD equations in a chiral medium are derived; then a large sparse matrix is formulated. The numerical results of bistatic scattering width (two-dimensional radar cross section) are given for the chiral cylinders of rectangular, elliptical, and complex cross section, respectively. Some results are compared with available data. ¬© 1996 IEEE.</t>
  </si>
  <si>
    <t>912-917</t>
  </si>
  <si>
    <t>7409485017;56937616600;54680408100</t>
  </si>
  <si>
    <t>Chen, Zhining;Hong, Wei;Zhang, Wenxim</t>
  </si>
  <si>
    <t>Electromagnetic scattering from a chiral cylinder - general case</t>
  </si>
  <si>
    <t>S0018926X96047345</t>
  </si>
  <si>
    <t>10.1109/8.504296</t>
  </si>
  <si>
    <t>2-s2.0-0030194944</t>
  </si>
  <si>
    <t>['various errors', 'sidelobe levels', 'reflector antenna', 'one time', 'generally hold', 'errors may', 'errors degrade', 'computing efficiently', '1 ],']</t>
  </si>
  <si>
    <t>To specify manufacturing tolerances of a reflector antenna, various errors such as random surface errors and misalignment errors must be considered at one time because superposition of the effects of those errors may not hold. In this paper, based on the Rahmat-TSamii's formulation [1], a method for computing efficiently the average power pattern of a reflector antenna with those errors is presented. Simulation results show that superposition of the effects of errors does not generally hold and demonstrate how those errors degrade the peak-gain and sidelobe levels. ¬© 1996 IEEE.</t>
  </si>
  <si>
    <t>996-999</t>
  </si>
  <si>
    <t>60013682;60013682;60013682</t>
  </si>
  <si>
    <t>57193977968;57199695419;57198750746</t>
  </si>
  <si>
    <t>Kim, B. S.;Nam, S.;Lee, W. C.</t>
  </si>
  <si>
    <t>Seoul National University</t>
  </si>
  <si>
    <t>Kim B.S.</t>
  </si>
  <si>
    <t>Computation of the average power pattern of a reflector antenna with random surface errors and misalignment errors</t>
  </si>
  <si>
    <t>S0018926X9604745X</t>
  </si>
  <si>
    <t>10.1109/8.504307</t>
  </si>
  <si>
    <t>2-s2.0-0030195049</t>
  </si>
  <si>
    <t>NAS2-12800</t>
  </si>
  <si>
    <t>['tree branches', 'selective use', 'rotorcraft scenario', 'passive sensors', 'passive component', 'particular approach', 'optical flow', 'motion analysis', 'flight path', 'flight based', 'control actions', 'compute ranges', 'binocular stereo', 'automatic detection', 'appropriate guidance', 'altitude nap', 'airborne vehicle', 'active sensors']</t>
  </si>
  <si>
    <t>An airborne vehicle such as a irotorcraft must avoid obstacles like antennas, towers, poles, fences, tree branches, and wires strung across the flight path. Automatic detection of the obstacles and generation of appropriate guidance and control actions for the vehicle to avoid these obstacles would facilitate autonomous navigation. The requirements of an obstacle detection system for rotorcraft in low-altitude Nap-of-the-Earth (NOE) flight based on various rotorcraft motion constraints is analyzed here in detail. It argues that an automated obstacle detection system for the rotorcraft scenario should include both passive and active sensors to be effective. Consequently, it introduces a maximally passive system which Involves the use of passive sensors (TV, FLIR) as well as the selective use of an active (laser) sensor. The passive component is concerned with estimating range using optical flow-based motion analysis and binocular stereo. The optical flow-based motion analysis Iliai is combined with on-board inertial navigation system (INS) to compute ranges to visible scene points is described. Experimental results obtained using land vehicle data illustrate the particular approach to motion analysis. ¬© 1996 IEEE.</t>
  </si>
  <si>
    <t>875-897</t>
  </si>
  <si>
    <t>60029526-60031098;60029526;60029526</t>
  </si>
  <si>
    <t>7005181563;7406325980;54679534400</t>
  </si>
  <si>
    <t>Bhanu, Bir;Das, Subhodev;Duncan, Barry Roberts Dave</t>
  </si>
  <si>
    <t>Minneapolis;Riverside</t>
  </si>
  <si>
    <t>Honeywell Technology Center;University of California, Riverside</t>
  </si>
  <si>
    <t>60031098;60029526</t>
  </si>
  <si>
    <t>Bhanu B.</t>
  </si>
  <si>
    <t>A system for obstacle detection during rotorcraft low altitude flight</t>
  </si>
  <si>
    <t>10.1109/7.532250</t>
  </si>
  <si>
    <t>2-s2.0-0030195426</t>
  </si>
  <si>
    <t>['three better', 'space instruments', 'room temperature', 'qualification unit', 'passive circuitry', 'noise amplifier', 'jpl class', 'intersalellite links', 'hts resonator', 'hts components', 'engineering model', 'end filter', 'downconverter consists', 'designed specifically', 'cryogenic oscillator', 'cryogenic mixer', 'cryogenic low', 'cryogenic applications', 'conventional downconverter', 'conventional components', 'commercial applications', 'antenna size', '883d specifications', '77 k']</t>
  </si>
  <si>
    <t>A deep space satellite downconverter receiver was proposed by Jet Propulsion Laboratory (JPL) and NASA Lewis Research Center (LeRC) for the Naval Research Laboratory's (NRL) high temperature superconductivity space experiment, phase-II (HTSSE-II) program. Space qualified low-noise cryogenic downconverter receivers utilizing thin-film high temperature superconducting (HTS) passive circuitry and semiconductor active devices were developed and delivered to NRL. The downconverter consists of an HTS preselect filter, a cryogenic low-noise amplifier, a cryogenic mixer, and a cryogenic oscillator with an HTS resonator. HTS components were inserted as the front-end filter and the local oscillator resonator for their superior 77 K performance over the conventional components. The semiconducting low noise amplifier also benefited from cooling to 77 K. The mixer was designed specifically for cryogenic applications and provided low conversion loss and low power consumption. In addition to an engineering model, two space qualified units (qualification, flight) were built and delivered to NRL. Manufacturing, integration and test of the space qualified downconverters adhered to the requirements of JPL class-D space instruments and partially to MIL-STD-883D specifications. The qualification unit has ~50 K system noise temperature which is a factor of three better than a conventional downconverter at room temperature. Commercial applications such as intersalellite links and V-SATS are envisioned to benefit by &gt;3 dB link margin, or a factor of 2 in antenna size, from a future hybrid HTS/semiconducting cryogenic receiver employing new InP based HEMT LNA. In a spread spectrum communication network, the number of users per beam would more than double. ¬© 1996 IEEE.</t>
  </si>
  <si>
    <t>1279-1288</t>
  </si>
  <si>
    <t>60009037;60009037;60009037;60009037;60009037;60009037</t>
  </si>
  <si>
    <t>35499318700;57213445516;6602317549;7003870589;6602697276;7006626132</t>
  </si>
  <si>
    <t>Javadi, Hamid H.S.;Bowen, James G.;Rascoe, Daniel L.;Romanofsky, Robert R.;Chorey, Chris M.;Bhasin, Kul B.</t>
  </si>
  <si>
    <t>Javadi H.</t>
  </si>
  <si>
    <t>Jet propulsion laboratory/NASA lewis research center space qualified hybrid high temperature superconducting/semiconducting 7.4 GHz low-noise downconverter for NRL HTSSE-II program</t>
  </si>
  <si>
    <t>S0018948096048028</t>
  </si>
  <si>
    <t>10.1109/22.508232</t>
  </si>
  <si>
    <t>2-s2.0-0030195560</t>
  </si>
  <si>
    <t>['te incident', 'parallel plate', 'mode excitations', 'matrix elements', 'help recast', 'exact analysis', 'enables one', 'dielectric semicylinder']</t>
  </si>
  <si>
    <t>Moment-method oriented singular integral equation techniques are used to the exact analysis of parallel plate-fed slot antennas loaded by a dielectric semicylinder. Both for TM and for TE incident-mode excitations, high-order acceleration techniques are developed that help recast all matrix elements into rapidly converging series. This, in conjunction with the small matrix sizes required, enables one to obtain extremely accurate results with low computational cost. ¬© 1996 IEEE.</t>
  </si>
  <si>
    <t>1031-1040</t>
  </si>
  <si>
    <t>Tsalamengas, J. L.</t>
  </si>
  <si>
    <t>Tsalamengas J.</t>
  </si>
  <si>
    <t>A parallel plate-fed slot antenna loaded by a dielectric semicylinder</t>
  </si>
  <si>
    <t>S0018926X96042767</t>
  </si>
  <si>
    <t>10.1109/8.504312</t>
  </si>
  <si>
    <t>2-s2.0-0030195831</t>
  </si>
  <si>
    <t>['theory developed', 'theory based', 'required taper', 'paper presents', 'modal voltage', 'individual patches', 'image line', 'good results', 'experiments show', 'cavity model', 'band frequencies', 'arrays fed', 'array theory', 'aperture dimensions']</t>
  </si>
  <si>
    <t>This paper presents the analysis and design of aperture-coupled microstrip patch antennas and arrays fed by an dielectric image line. A theory based on the cavity model of the microstrip patch antenna and the change in the modal voltage of the image line at the aperture was developed to analyze the single element aperture-coupled microstrip patch antenna. The theory developed was combined with the array theory to design linear traveling wave arrays at X-hand and Ka-band frequencies. The required taper in the excitations of the individual patches of the array was achieved by varying the aperture dimensions. Experiments show very good results for the antennas and the arrays. ¬© 1996 IEEE.</t>
  </si>
  <si>
    <t>964-974</t>
  </si>
  <si>
    <t>6602745126;36066390600;7404879378</t>
  </si>
  <si>
    <t>Kanamaluru, Sridhar;Li, Ming Yi;Chang, Kai</t>
  </si>
  <si>
    <t>Kanamaluru S.</t>
  </si>
  <si>
    <t>Analysis and design of aperturecoupled microstrip patch antennas and arrays fed by dielectric image line</t>
  </si>
  <si>
    <t>S0018926X96047412</t>
  </si>
  <si>
    <t>10.1109/8.504303</t>
  </si>
  <si>
    <t>2-s2.0-0030195921</t>
  </si>
  <si>
    <t>['system geometry', 'subsequent design', 'standard transponders', 'space segment', 'novel architecture', 'new equipment', 'main units', 'ground prototypes', 'global coverage', 'entire earth', 'encouraging results', 'demonstration based', 'critical parts', 'board aircraft', 'atm ).', 'array antennas', 'advanced surveillance', 'accuracy requirements']</t>
  </si>
  <si>
    <t>Advanced surveillance and communications are the main functions needed for an efficient Air Traffic Control/Management (ATC/ATM). In order to perform them over the entire Earth, a novel architecture is described and evaluated. It supplies the surveillance and data link capabilities of advanced Secondary Surveillance Radar (SSR) Mode S [1] world-wide by means of a constellation of medium orbit satellites carrying SSR Mode S interrogators with phased-array antennas; no new equipment is required on-board aircraft, because the standard transponders are used. The rationale for the study, the system geometry, the link budget computation, the accuracy requirements as well as the subsequent design of the payload and of the optimized constellations needed for global coverage with high location accuracy are described. Moreover, details are given about the design of the spacecraft and of the main units of the space segment. The encouraging results of this overall system study pave the way to a demonstration based on simulators and ground prototypes of the critical parts. ¬© 1996 IEEE.</t>
  </si>
  <si>
    <t>1088-1106</t>
  </si>
  <si>
    <t>60027509-112495167;;;60027509</t>
  </si>
  <si>
    <t>15922719000;7003966550;54679458600;57197538117</t>
  </si>
  <si>
    <t>Galati, Caspare;Perrotta, Giorgio;Girolamo, Srrgio Di;Mura, Rodolfo</t>
  </si>
  <si>
    <t>Universit√† degli Studi di Roma "Tor Vergata";New Century Informatica S.c.r.I</t>
  </si>
  <si>
    <t>60027509;112495167</t>
  </si>
  <si>
    <t>Galati C.</t>
  </si>
  <si>
    <t>Space-based ssr constellation for global air traffic control</t>
  </si>
  <si>
    <t>10.1109/7.532268</t>
  </si>
  <si>
    <t>2-s2.0-0030196662</t>
  </si>
  <si>
    <t>['special anti', 'second channel', 'rf power', 'resonance regimes', 'principal fraction', 'plasma via', 'plasma core', 'plasma column', 'plasma cavity', 'parameters typical', 'high fields', 'helicon sources', 'excited directly', 'electrostatic waves', 'electrostatic wave', 'electrostatic channel', 'deposit energy', 'bulk plasma', 'azimuthal parts']</t>
  </si>
  <si>
    <t>We consider the excitation and absorption of waves in a plasma cavity with parameters typical for helicon sources, rf power is shown to be transferred into the plasma via two channels. The first is realized by weakly damping helicon waves which are excited directly by the azimuthal parts of the antenna and penetrate into the bulk plasma. Electrostatic waves arising at a plasma edge owing to the linear mode conversion form the second channel. Strongly damped electrostatic waves can reach a plasma core at low magnetic fields only, while at high fields they deposit energy at the periphery of the plasma column. A principal fraction of the rf power is transferred into the plasma via the electrostatic channel, and so the power input turns out to be volume at low magnetic fields and surface at high fields. An enhanced volume input is possible at high fields in special anti-resonance regimes when the excitation of the electrostatic wave is suppressed. The effective collision frequency is introduced to describe effective damping of helicon waves arising due to their conversion into electrostatic waves. The results obtained permit explanation of both measured field profiles and the high absorption efficiency in helicon sources.</t>
  </si>
  <si>
    <t>474-491</t>
  </si>
  <si>
    <t>60005722;60005722</t>
  </si>
  <si>
    <t>6701557700;6701490821</t>
  </si>
  <si>
    <t>Shamrai, Konstantin P.;Taranov, Vladimir B.</t>
  </si>
  <si>
    <t>Institute of Nuclear Research, National Academy of Sciences in Ukraine</t>
  </si>
  <si>
    <t>Shamrai K.</t>
  </si>
  <si>
    <t>Volume and surface rf power absorption in a helicon plasma source</t>
  </si>
  <si>
    <t>10.1088/0963-0252/5/3/015</t>
  </si>
  <si>
    <t>2-s2.0-0030204367</t>
  </si>
  <si>
    <t>['spatial profiles', 'sensitive dependence', 'results show', 'radial transport', 'radial losses', 'radial location', 'plasma uniformity', 'electron heating', 'discharge power', 'density maximum', 'chamber height', 'centre outward', '56 mhz']</t>
  </si>
  <si>
    <t>The effects of chamber height on plasma uniformity are examined for a cylindrically symmetric planar inductive radio frequency (rf) (13.56 MHz) argon plasma generated with a single-turn circular loop antenna. Plasma uniformity is characterized by two-dimensional (r, z) spatial profiles of plasma properties measured with a rf-filtered Langmuir probe. The results show a tendency for the radial location of the plasma density maximum to shift from the centre outward as the chamber height is decreased and pressure is increased. The location of the density maximum is insensitive to changes in discharge power. These observations are explained as a consequence of changes in axial and radial transport of ionizing energetic electrons as the reactor height L is varied. Because electron heating is localized at the radius of the maximum induced rf electric field RE, the critical scale lengths are RE and L, in addition to the energy relaxation length for ionizing electrons Œª‚àà. The competition between axial and radial losses can lead, for RE ‚àº L, to a sensitive dependence of plasma uniformity on discharge operating conditions.</t>
  </si>
  <si>
    <t>429-435</t>
  </si>
  <si>
    <t>Reactor geometry and plasma uniformity in a planar inductively coupled radio frequency argon discharge</t>
  </si>
  <si>
    <t>10.1088/0963-0252/5/3/011</t>
  </si>
  <si>
    <t>2-s2.0-0030204734</t>
  </si>
  <si>
    <t>['temperature effect', 'spatially uniform', 'plasma scrape', 'plasma processing', 'include single', 'high efficiency', 'generate high', 'density plasmas', 'data shown', 'companion paper']</t>
  </si>
  <si>
    <t>Inductively coupled plasma sources are attractive for plasma processing of materials because they can be optimized to generate high-density plasmas at low neutral species pressure that are spatially uniform, with high efficiency, low ion bombarding energy and relatively low expense. Based on the data shown in the companion paper, we describe computer modelling using the cylindrical fully kinetic code ANTENA that demonstrates the advantages of the spiral loop design over several other inductive source geometries that include single and double concentric loop designs. The models also make extrapolation to other and larger designs fairly straightforward. We claim that electrostatic effects due to plasma scrape-off onto plasma limiters near the antenna blades induce a large and dominant radial electric field Er. This Er is a finite-electron-temperature effect and is not present in the purely inductive cold plasma picture. The highly uniform radial density profiles that we measure are shown to be consistent with edge-peaked ionization profiles. It may be possible to exploit this fact to optimize more uniform plasma processing sources.</t>
  </si>
  <si>
    <t>371-382</t>
  </si>
  <si>
    <t>60032179;60032179-60018020</t>
  </si>
  <si>
    <t>7003953563;7202388741</t>
  </si>
  <si>
    <t>Intrator, T.;Menard, J.</t>
  </si>
  <si>
    <t>Madison;Princeton</t>
  </si>
  <si>
    <t>University of Wisconsin-Madison;Princeton Plasma Physics Laboratory</t>
  </si>
  <si>
    <t>60032179;60018020</t>
  </si>
  <si>
    <t>Modelling and optimization of inductively coupled loop antenna plasma sources</t>
  </si>
  <si>
    <t>10.1088/0963-0252/5/3/004</t>
  </si>
  <si>
    <t>2-s2.0-0030204810</t>
  </si>
  <si>
    <t>['working gas', 'source performance', 'several variations', 'input power', 'high efficiency', 'experimental data', 'driving frequency', 'design rules', 'also outlined', '56 mhz']</t>
  </si>
  <si>
    <t>Uniform high density plasmas at low neutral species pressure, with high efficiency and low ion bombarding energy can be produced with inductively coupled plasma sources. We describe experimental investigations of several variations on antenna inductive sources, including single-, double- and spiral loop antennae. Experimental data and computer modelling demonstrate the advantages of the spiral loop design over other inductive source geometries. The models also make extrapolation to other designs fairly straightforward. Source performance at a driving frequency of 13.56 MHz as a function of input power, working gas, additional line cusp confinement, neutral species pressure and background magnetic field will be described. Source construction details and some design rules of thumb are also outlined.</t>
  </si>
  <si>
    <t>363-370</t>
  </si>
  <si>
    <t>60032179-60018020;60032179</t>
  </si>
  <si>
    <t>7202388741;7003953563</t>
  </si>
  <si>
    <t>Menard, J.;Intrator, T.</t>
  </si>
  <si>
    <t>Menard J.</t>
  </si>
  <si>
    <t>Laboratory measurements and optimization of inductively coupled loop antenna plasma sources</t>
  </si>
  <si>
    <t>10.1088/0963-0252/5/3/003</t>
  </si>
  <si>
    <t>2-s2.0-0030205107</t>
  </si>
  <si>
    <t>['wave excitation', 'system could', 'rf field', 'plasma potential', 'plasma parameters', 'magnetized discharge', 'magnetic field', 'improved confinement', 'impedance characteristics', 'electron temperature', 'electron density', '56 mhz', '20 g', '10 mtorr']</t>
  </si>
  <si>
    <t>The profiles of the magnetic field component of the RF field, the impedance characteristics and the plasma parameters (electron density, electron temperature and plasma potential) of a 13.56 MHz, planar inductively coupled argon plasma were studied in the presence of an external magnetic field and compared with those of the non-magnetized discharge. An efficient RF power transfer and stable impedance matching with a low Q factor (œâL/R) of the system could be obtained with the application of a relatively low magnetic field (5-20 G) in the pressure range 0.5-10 mTorr. The RF magnetic field measurement revealed that the wave excitation was responsible for such improvements. Due to the effective power coupling and improved confinement by the magnetic field, the electron density increased by a factor of two and the plasma potential decreased.</t>
  </si>
  <si>
    <t>383-388</t>
  </si>
  <si>
    <t>24399236500;35910824400;36961634800</t>
  </si>
  <si>
    <t>Lee, Ho Jun;Yang, Il Dong;Whang, Ki Woong</t>
  </si>
  <si>
    <t>The effects of magnetic fields on a planar inductively coupled argon plasma</t>
  </si>
  <si>
    <t>10.1088/0963-0252/5/3/005</t>
  </si>
  <si>
    <t>2-s2.0-0030205216</t>
  </si>
  <si>
    <t>['traditional method', 'performances comparable', 'passive shielding', 'passive screening', 'optimality criterion', 'one wants', 'new technique', 'interference signals', 'active screening']</t>
  </si>
  <si>
    <t>On the basis of the analogy between time and space sampling electrical emitters can be identified and localized. The traditional method of screening (passive shielding) and the new technique (active shielding), based on the generation of interference signals capable of creating screening barriers, are compared. By using signal processing techniques the minimization of the mean square error (MSE), taken as the optimality criterion, shows that active screening has performances comparable with passive screening, as long as interference signals are related to the signals which one wants to protect. ¬© 1996 IEEE.</t>
  </si>
  <si>
    <t>334-340</t>
  </si>
  <si>
    <t>100739161;100739161</t>
  </si>
  <si>
    <t>7003332109;7003638007</t>
  </si>
  <si>
    <t>Audone, Bruno;Bresciani, Fulvio</t>
  </si>
  <si>
    <t>GF Sistemi Avionici</t>
  </si>
  <si>
    <t>Audone B.</t>
  </si>
  <si>
    <t>Signal processing in active shielding and direction-finding techniques</t>
  </si>
  <si>
    <t>S0018937596063041</t>
  </si>
  <si>
    <t>10.1109/15.536063</t>
  </si>
  <si>
    <t>2-s2.0-0030211572</t>
  </si>
  <si>
    <t>NSC84-2213-E002-07 1</t>
  </si>
  <si>
    <t>['weight subvectors', 'proposed technique', 'pointing errors', 'paper presents', 'mainly affected', 'convergence rate', 'also evaluated']</t>
  </si>
  <si>
    <t>This paper presents a new processing technique for adaptive array beamforming. We first properly decompose the optimal weight vector associated with the original array beamformer into several adaptive weight subvectors. An adaptive algorithm based on the conventional RLS algorithm is derived to update the weight subvectors. The required computational complexity is also evaluated for the proposed technique. The convergence rate of the proposed technique is mainly affected by the size of the largest weight subvector. Faster convergence speed and less array sensitivity to the pointing errors can be achieved by using the proposed technique. Several simulation results are included for illustration and comparison. ¬© 1996 IEEE.</t>
  </si>
  <si>
    <t>1094-1101</t>
  </si>
  <si>
    <t>7405731683;56948251900</t>
  </si>
  <si>
    <t>Yu, Shiann Jeng;Lee, Ju Hong</t>
  </si>
  <si>
    <t>Yu S.</t>
  </si>
  <si>
    <t>Adaptive array beamforming based on an efficient technique</t>
  </si>
  <si>
    <t>S0018926X96047540</t>
  </si>
  <si>
    <t>10.1109/8.511817</t>
  </si>
  <si>
    <t>2-s2.0-0030211610</t>
  </si>
  <si>
    <t>['transmitting antenna', 'transform kottler', 'surface integral', 'segmented reflectors', 'rubinowicz potential', 'reception rather', 'provides results', 'physical optics', 'original maggi', 'line integrals', 'induction model', 'gordon transform', 'flat sections', 'diffraction integral', 'crosspolarized fields', 'asvestas potential', 'analysis method']</t>
  </si>
  <si>
    <t>Kottler's extension of Kirchhoff's diffraction integral to electromagnetic fields yields the copularized and crosspolarized fields of segmented reflectors. For flat sections, the Maggi-Rubinowicz potential can be used to transform Kottler's surface integral into a line integral resulting in an expression composed entirely of line integrals. Computation is simplified by the use of the Asvestas potential which eliminates the need to compute a geometrical optics term required by the original Maggi-Rubinowicz potential, fn computing far fields, a further simplification is realized by considering the antenna in reception rather than in transmission as an involved dyadic potential is then replaced by a simple vector potential. This is an exact-analysis method in the context of the image-induction model which, in theory, provides results which are very close to the physical optics (PO) model for the transmitting antenna. An approximate closedform method is obtained by applying the Gordon transform to Silver's vector far field equations. ¬© 1996 IEEE.</t>
  </si>
  <si>
    <t>1133-1141</t>
  </si>
  <si>
    <t>60003088;60003088;60003088</t>
  </si>
  <si>
    <t>55482880300;7006218526;54679256900</t>
  </si>
  <si>
    <t>Brown, Alexander C.;Kahn, Walter K.;Browii, A.</t>
  </si>
  <si>
    <t>Brown A.C.</t>
  </si>
  <si>
    <t>Comparison of various image induction (II) methods with physical optics (PO) for the far-field computation of flat-sectioned segmented reflectors</t>
  </si>
  <si>
    <t>S001SY26X9606173X</t>
  </si>
  <si>
    <t>10.1109/8.511822</t>
  </si>
  <si>
    <t>2-s2.0-0030211915</t>
  </si>
  <si>
    <t>Agenzia Spaziale Italiana</t>
  </si>
  <si>
    <t>65lAFl1993</t>
  </si>
  <si>
    <t>ASI</t>
  </si>
  <si>
    <t>['strong increase', 'simulated results', 'results showed', 'reported together', 'reduce costs', 'prevent damages', 'increasing complexity', 'good performance', 'electrostatic discharge', 'electronic payloads', 'electromagnetic compatibility', 'annulation tool', 'aircrafts determines']</t>
  </si>
  <si>
    <t>Electrostatic Discharge | Measurements | Method of Moments | Simulation</t>
  </si>
  <si>
    <t>The increasing complexity of electronic payloads on satellites and aircrafts determines a strong increase in electromagnetic compatibility (EMC) test campaign costs and duration. Affordable simulation tools can help system engineers to reduce costs and prevent damages during tests. A Method of Moments (MOM) based simulation tool for the analysis of electrostatic discharge (ESD) interactions with systems has been assessed. Comparisons between experimental and simulated results are reported together with the adopted setup modeling philosophy. Results showed a very good performance of the annulation tool and the need to characterize and include in the computation the experimental current probe model. ¬© 1996 IEEE.</t>
  </si>
  <si>
    <t>282-289</t>
  </si>
  <si>
    <t>60122280;60122280;60122280;60122280</t>
  </si>
  <si>
    <t>6603022806;6507573124;57094950200;7005731106</t>
  </si>
  <si>
    <t>Bandinelli, Mauro;Bessi, Fulvio;Chiti, Stefano;Giorgi, Luca</t>
  </si>
  <si>
    <t>IDS Ingegneria Dei Sistemi S.p.A</t>
  </si>
  <si>
    <t>Bandinelli M.</t>
  </si>
  <si>
    <t>Measured versus simulated transient disturbances induced on a system harness</t>
  </si>
  <si>
    <t>S0018937596062989</t>
  </si>
  <si>
    <t>10.1109/15.536057</t>
  </si>
  <si>
    <t>2-s2.0-0030212041</t>
  </si>
  <si>
    <t>['radiation characteristics', 'radial line', 'monopulse patterns', 'effective theory', 'antenna efficiency', 'actually fabricated']</t>
  </si>
  <si>
    <t>A radial line planar monopulse antenna is proposed. The antenna can be applied to a monopulse tracking operation with a high-antenna efficiency. An analysis of probes in a radial line has been carried out which gives an understanding of why the monopulse patterns can be synthesized, and a simple and effective theory is presented about a realization of uniform-aperture field distribution. The antenna has been actually fabricated and the radiation characteristics have been measured which supports the theory as well as verifies the capability of the antenna for the monopulse tracking operation. ¬© 1996 IEEE.</t>
  </si>
  <si>
    <t>1158-1165</t>
  </si>
  <si>
    <t>7102537181;7004304668</t>
  </si>
  <si>
    <t>Miyashita, Hiroaki;Katagi, Takashi</t>
  </si>
  <si>
    <t>Miyashita H.</t>
  </si>
  <si>
    <t>Radial line planar monopulse antenna</t>
  </si>
  <si>
    <t>S0018926X96061765</t>
  </si>
  <si>
    <t>10.1109/8.511825</t>
  </si>
  <si>
    <t>2-s2.0-0030212174</t>
  </si>
  <si>
    <t>Uh 53/1</t>
  </si>
  <si>
    <t>['unlike trial', 'standardized emission', 'quite poor', 'paper presents', 'often used', 'new chambers', 'measurements obtained', 'immunity measurements', 'functional improvement', 'frequency range', 'focuses especially', 'first time', 'emc testing', 'developed code', 'anechoic chambers', 'accurately predict', 'accreditation due', '30 mhz', '200 mhz', '1 ghz']</t>
  </si>
  <si>
    <t>Absorber | Anechoic chamber | EM theory | Propagation</t>
  </si>
  <si>
    <t>Anechoic chambers for EMC testing in the frequency range from 30 MHz to 1 GHz have to fulfill stringent requirements before they are accepted for standardized emission and immunity measurements. In Europe, these requirements will lead to an exclusion of about 90% of the existing and 50% of the new chambers from an accreditation due to the formerly lower standards. This paper presents for the first time a complete, accurate and validated numerical analysis method of EMC anechoic chambers, which focuses especially on the problems below 200 MHz where the efficiency of most absorbers is quite poor. Examples of computed field configurations, normalized site attenuation (NSA) deviations, and field homogeneity zones are presented. They show the complexity of the frequency dependent field propagation mechanisms in anechoic chambers. Computational results coincide excellently with measurements obtained by scanning the chamber with a small field probe. Unlike trial and error or ray optical methods, often used for this purpose, the developed code can accurately predict the performance of new chambers during their design, before the realization. Measures are proposed for the functional improvement of existing as well as new chambers toward an accreditation. ¬© 1996 IEEE.</t>
  </si>
  <si>
    <t>499-506</t>
  </si>
  <si>
    <t>101366262;60029428</t>
  </si>
  <si>
    <t>23003454900;7006593766</t>
  </si>
  <si>
    <t>Bornkessel, Christian;Wiesbeck, Werner</t>
  </si>
  <si>
    <t>Karlsruhe;Kamp-Lintfort</t>
  </si>
  <si>
    <t>Karlsruhe Institute of Technology, Campus South;Institute of Mobile and Satellite Communication Techniques</t>
  </si>
  <si>
    <t>60029428;101366262</t>
  </si>
  <si>
    <t>Bornkessel C.</t>
  </si>
  <si>
    <t>Numerical analysis and optimization of anechoic chambers for EMC testing</t>
  </si>
  <si>
    <t>S0018937596061480</t>
  </si>
  <si>
    <t>10.1109/15.536082</t>
  </si>
  <si>
    <t>2-s2.0-0030212228</t>
  </si>
  <si>
    <t>['simple way', 'reliable estimation', 'multilayer pcb', 'metallic enclosure', 'interference produced', 'indirect coupling', 'esd event', 'electrostatic discharge', 'electronic equipments', 'coaxial cable', 'analytical approach', 'accurate enough']</t>
  </si>
  <si>
    <t>Coaxial cable | Coupling | ESD | PCB | Shield</t>
  </si>
  <si>
    <t>Electrostatic discharge (ESD) indirect coupling on electronic equipments is theoretically and experimentally investigated considering the effects for three typical structures: coaxial cable, multilayer PCB, and metallic enclosure. The analytical approach is based on classical electromagnetic theory and is developed in a simple way: easy to apply and accurate enough to give the designer a reliable estimation about the interference produced by an ESD event. ¬© 1996 IEEE.</t>
  </si>
  <si>
    <t>274-281</t>
  </si>
  <si>
    <t>60000251-60031624;60031624;60000251-60031624</t>
  </si>
  <si>
    <t>7102832809;35952791600;6602257752</t>
  </si>
  <si>
    <t>Cerri, Graziano;De Leo, Roberto;Primiani, Valter Mariani</t>
  </si>
  <si>
    <t>Ancona;New York</t>
  </si>
  <si>
    <t>Universit√† Politecnica delle Marche;IEEE</t>
  </si>
  <si>
    <t>60031624;60000251</t>
  </si>
  <si>
    <t>Cerri G.</t>
  </si>
  <si>
    <t>ESD indirect coupling modeling</t>
  </si>
  <si>
    <t>S0018937596062977</t>
  </si>
  <si>
    <t>10.1109/15.536056</t>
  </si>
  <si>
    <t>2-s2.0-0030212419</t>
  </si>
  <si>
    <t>['significant change', 'second bragg', 'resonances caused', 'radiation beam', 'propagation characteristics', 'plasma layer', 'plasma density', 'phase shift', 'periodic structure', 'numerical calculation', 'mode losses', 'field distribution']</t>
  </si>
  <si>
    <t>The propagation characteristics of an active plasmainduced millimeter wave phase shifter coupled to a fixed periodic structure are discussed. The numerical calculation is based on an improved boundary value solution. Like a normal dielectric slab waveguide with a plasma layer, the grating waveguide displays a phase shift with the increase of the plasma density. This phase shift due to the significant change of the field distribution has an impact on the modal attenuation coefficient. It results in the scanning of the radiation beam in the vicinity of the second Bragg. Especially, at both weak and strong plasma densities when the mode losses are small, the resonances caused by the periodic structure do not appear to be weakened. The results can be used to design electronically controllable millimeter wave scanning antennas. ¬© 1996 IEEE.</t>
  </si>
  <si>
    <t>1416-1423</t>
  </si>
  <si>
    <t>60017536;60017536;60010547;60010547</t>
  </si>
  <si>
    <t>57219303933;7403925028;7403735426;7402941842</t>
  </si>
  <si>
    <t>Liu, Jin;Butler, Jerome K.;Evans, Gary A.;Rosen, Arye</t>
  </si>
  <si>
    <t>Dallas;Princeton</t>
  </si>
  <si>
    <t>Southern Methodist University;Sarnoff Corporation</t>
  </si>
  <si>
    <t>60017536;60010547</t>
  </si>
  <si>
    <t>Analysis of millimeter wave phase shifters coupled to a fixed periodic structure</t>
  </si>
  <si>
    <t>S0018948096056529</t>
  </si>
  <si>
    <t>10.1109/22.536024</t>
  </si>
  <si>
    <t>2-s2.0-0030212648</t>
  </si>
  <si>
    <t>['transmission coefficients', 'structure antennas', 'results indicate', 'proposed method', 'ncf ).', 'monopole antennas', 'measurement site', 'measurement results', 'measured using', 'frequency range', 'field region', 'field 3', 'caf values', 'background noises', 'antenna method', 'antenna distance', '6 ghz']</t>
  </si>
  <si>
    <t>The near-field 3-antenna method for measuring the complex antenna factor (CAF) is proposed in order to reduce the effect of the measurement site and background noises. The transmission coefficients in the far-field region are calculated from those measured in the near-field and theoretically obtained near-field correction factors (NCF). CAF of monopole antennas are measured using the proposed method in a frequency range up to 6 GHz. From the measurement results, the dependency of CAF values on the antenna distance is small. These results indicate that our theory including NCF is applicable for the measurements of CAF of simple-structure antennas. ¬© 1996 IEEE.</t>
  </si>
  <si>
    <t>424-432</t>
  </si>
  <si>
    <t>60032315-60000251;60032315;60032315-60000251</t>
  </si>
  <si>
    <t>7005911217;55167107100;7403058439</t>
  </si>
  <si>
    <t>Ishigami, Shinobu;Iida, Hitoshi;Iwasaki, Takashi</t>
  </si>
  <si>
    <t>Japan;United States</t>
  </si>
  <si>
    <t>Chofu;New York</t>
  </si>
  <si>
    <t>The University of Electro-Communications;IEEE</t>
  </si>
  <si>
    <t>60032315;60000251</t>
  </si>
  <si>
    <t>Measurements of complex antenna factor by the near-field 3-antenna method</t>
  </si>
  <si>
    <t>S0018937596061364</t>
  </si>
  <si>
    <t>10.1109/15.536072</t>
  </si>
  <si>
    <t>2-s2.0-0030212717</t>
  </si>
  <si>
    <t>['type wave', 'studied theoretically', 'reasonable agreement', 'radiation pattern', 'radiation characteristics', 'fabricated antenna', 'antenna axis', 'angles near', 'analysis results']</t>
  </si>
  <si>
    <t>The radiation characteristics of HE n-type wave in periodic rod waveguides is studied theoretically and experimentally. Based on the analysis results, a periodic rod antenna is designed and fabricated. The radiation pattern of the fabricated antenna is in reasonable agreement with the calculated values excluding the angles near the antenna axis. It is shown that a linearly polarized conical beam or a circularly polarized conical beam are radiated from the antenna. ¬© 1996 IEEE.</t>
  </si>
  <si>
    <t>1063-1066</t>
  </si>
  <si>
    <t>60020739;60020739;60020739</t>
  </si>
  <si>
    <t>26643215800;7405931128;7006770601</t>
  </si>
  <si>
    <t>Kubo, Hiroshi;Yamaguchi, Kazuhiko;Awai, Ikuo</t>
  </si>
  <si>
    <t>Yamaguchi</t>
  </si>
  <si>
    <t>Yamaguchi University</t>
  </si>
  <si>
    <t>Radiation characteristics of HEII-Type wave from dielectric rod antenna with periodic surface</t>
  </si>
  <si>
    <t>S0018926X96047503</t>
  </si>
  <si>
    <t>10.1109/8.511813</t>
  </si>
  <si>
    <t>2-s2.0-0030213444</t>
  </si>
  <si>
    <t>['reflected voltage', 'radiating efficiency', 'quantities include', 'quantities characteristic', 'pulsed performance', 'pulse radiation', 'monochromatic excitation', 'metallic monopole', 'domain gain', 'common basis', 'analyzed numerically']</t>
  </si>
  <si>
    <t>Five previously proposed designs for broad-band monopole antennas are evaluated for pulse radiation. These designs use continuous resistive loading and/or discrete capacitive loading to increase the bandwidth over that of a simple, metallic monopole. The parameters for each of the designs are scaled so that the designs can be compared on a common basis (frequency range). Each of the antennas is analyzed numerically, and quantities characteristic of their pulsed performance are computed. These quantities include the reflected voltage in the feeding transmission line, radiated electric field, radiating efficiency, time-domain gain, fidelity, and symmetry when the monopoles are excited by a differentiated Gaussian pulse. In addition, the input reflection coefficient and gain at broadside for monochromatic excitation are shown. Explanations are provided for the differences in performance for these designs. ¬© 1996 IEEE.</t>
  </si>
  <si>
    <t>1172-1182</t>
  </si>
  <si>
    <t>A study of pulse radiation from several broad-band loaded monopoles</t>
  </si>
  <si>
    <t>S0018926X96061789</t>
  </si>
  <si>
    <t>10.1109/8.511827</t>
  </si>
  <si>
    <t>2-s2.0-0030213445</t>
  </si>
  <si>
    <t>['near fields', 'near field', 'method demonstrates', 'matrix equation', 'magnetic current', 'integral equation', 'field patterns', 'field data', 'fictitious surface', 'far fields', 'experimental data', 'electromagnetic field', 'computing near', 'arbitrary geometry']</t>
  </si>
  <si>
    <t>A method is presented for computing near- and far-field patterns of an antenna from its near-field measurements taken over an arbitrary geometry. This method utilizes near-field data to determine an equivalent magnetic current source over a fictitious surface which encompasses the antenna. This magnetic current, once determined, can be used to ascertain the near and the far fields. This method demonstrates that once the values of the electromagnetic field are known over an arbitrary geometry, its values for any other region can be obtained. An electric field integral equation is developed to relate the near fields to the equivalent magnetic current. A moment method procedure is employed to solve the integral equation by transforming it into a matrix equation. A least squares solution via singular value decomposition is used to solve the matrix equation. Computations with both synthetic and experimental data, where the near field of several antenna configurations are measured over various geometric surfaces, illustrate the accuracy of this method. ¬© 1996 IEEE.</t>
  </si>
  <si>
    <t>536-542</t>
  </si>
  <si>
    <t>6507729709;55650323300</t>
  </si>
  <si>
    <t>Taaghol, Ardalan;Sarkar, Tapan K.</t>
  </si>
  <si>
    <t>Taaghol A.</t>
  </si>
  <si>
    <t>Near-field to near/far-field transformation for arbitrary near-field geometry, utilizing an equivalent magnetic current</t>
  </si>
  <si>
    <t>S0018937596038604</t>
  </si>
  <si>
    <t>10.1109/15.536088</t>
  </si>
  <si>
    <t>2-s2.0-0030213685</t>
  </si>
  <si>
    <t>84-2623-D-009-006</t>
  </si>
  <si>
    <t>['wave antenna', 'uniplanar circuit', 'side placed', 'rigorous green', 'results indicate', 'proposed leaky', 'planar leaky', 'opposite side', 'one side', 'new quasi', 'new microstrip', 'microstrip line', 'experiments show', 'coupled leaky']</t>
  </si>
  <si>
    <t>A new quasi-planar leaky-wave antenna is presented. It consists of microstrip line on one side of the substrate and uniplanar circuit on the other side placed in a partially opened waveguide. The leakage is produced by the excitation of the first higher order (odd) microstrip mode coupled electromagnetically through slotline on the opposite side of the substrate. Theoretic results based on rigorous Green's impedance integral equation method show that the new microstrip-slotline-coupled leaky-wave antenna has broadband tuning range via structure parameters and is insensitive to microstrip line width variation. Measured relative power absorbed (RPA) results indicate that the useful frequency bandwidth agrees with what rigorous field theory predicts. The measured antenna radiation patterns also agree very well with approximate theoretic computations. Theory and experiments show that the proposed leaky-wave antenna can interface to feeding structure easily and directly, the new antenna may become good candidate for microwave and millimeter-wave integrated antenna design. ¬© 1996 IEEE.</t>
  </si>
  <si>
    <t>1078-1085</t>
  </si>
  <si>
    <t>7006490057;55412221300</t>
  </si>
  <si>
    <t>Chou, Guang Jong;Tzuang, Ching Kuang C.</t>
  </si>
  <si>
    <t>Chou G.J.</t>
  </si>
  <si>
    <t>An integrated quasi-planar leaky-wave antenna</t>
  </si>
  <si>
    <t>S0018926X96047527</t>
  </si>
  <si>
    <t>10.1109/8.511815</t>
  </si>
  <si>
    <t>2-s2.0-0030213782</t>
  </si>
  <si>
    <t>DMS-8 700 794-02</t>
  </si>
  <si>
    <t>['‚ àº', 'strictly valid', 'scattered field', 'reflection coefficients', 'rectangular notch', 'radiation condition', 'numerical results', 'incident wave', 'field within', 'explicit representation', 'excellent agreement', 'diffraction gratings', 'characteristic length', 'approximation allows']</t>
  </si>
  <si>
    <t>Here, we address the problem of the scattering of a plane, TM-polarized electromagnetic wave by a two-dimensional rectangularly corrugated surface. The height of the corrugation is measured by a characteristic length D and its period by A. We take the ordering of these scales to be D ‚àº A ‚àº A where A is the wavelength of the incident wave. We apply a radiation condition (strictly valid only in the far-field) in the aperture above a rectangular notch. This approximation allows the determination of an explicit representation of the reflection coefficients, the scattered field, and the field within a corrugation. Numerical results are presented which are in excellent agreement with a published finite difference approximation for diffraction gratings. ¬©1996 IEEE.</t>
  </si>
  <si>
    <t>1193-1194</t>
  </si>
  <si>
    <t>60022904-60015018;60022904-60015018</t>
  </si>
  <si>
    <t>7005979875;54679974700</t>
  </si>
  <si>
    <t>Kriegsmann, Gregory A.;McCarlin, Brian J.</t>
  </si>
  <si>
    <t>Newark;Flint</t>
  </si>
  <si>
    <t>New Jersey Institute of Technology;Kettering University</t>
  </si>
  <si>
    <t>60022904;60015018</t>
  </si>
  <si>
    <t>Kriegsmann G.</t>
  </si>
  <si>
    <t>Scattering by a rectangularly corrugated surface: An approximate theory</t>
  </si>
  <si>
    <t>S0018926X96061807</t>
  </si>
  <si>
    <t>10.1109/8.511829</t>
  </si>
  <si>
    <t>2-s2.0-0030213818</t>
  </si>
  <si>
    <t>['solved using', 'slot leaky', 'several antennas', 'rectangular waveguide', 'moment method', 'isolation responses', 'experimental study', 'experimental results', 'arbitrary thickness', 'aperture fields']</t>
  </si>
  <si>
    <t>A theoretical and experimental study is made of the effects of a dielectric of arbitrary thickness, permittivity, and loss tangent upon the aperture field distributions and the far-field radiation pattern characteristics of long-slot leaky-wave antennas cut on the broadwall of a rectangular waveguide and mounted in an infinite ground plane. The relevant integral equations for determining the aperture fields are developed and then solved using the moment method. Expressions for the far-field radiation patterns and isolation responses are developed. Calculated and experimental results for several antennas are presented and discussed. ¬© 1996 IEEE.</t>
  </si>
  <si>
    <t>1166-1171</t>
  </si>
  <si>
    <t>60003892-60026357;60003892</t>
  </si>
  <si>
    <t>6602466087;35583458100</t>
  </si>
  <si>
    <t>Whetten, Frank L.;Balanis, Constantine A.</t>
  </si>
  <si>
    <t>Prescott;Tempe</t>
  </si>
  <si>
    <t>Embry-Riddle Aeronautical University, Prescott;Arizona State University</t>
  </si>
  <si>
    <t>60026357;60003892</t>
  </si>
  <si>
    <t>Whetten F.</t>
  </si>
  <si>
    <t>Effects of a dielectric coating on leaky-wave long-slot waveguide antennas</t>
  </si>
  <si>
    <t>S0018926X96061777</t>
  </si>
  <si>
    <t>10.1109/8.511826</t>
  </si>
  <si>
    <t>2-s2.0-0030213849</t>
  </si>
  <si>
    <t>['small apertures', 'simple structures', 'radiation patterns', 'radiated emission', 'elementary sources', 'complex systems', 'also given']</t>
  </si>
  <si>
    <t>This paper will deal with the problems that arise when physically large systems, such as a digital switching exchange for high speed broadband applications, must be tested in order to comply with the EN 55022 standard for radiated emission. Simple closed formulas to predict radiated emissions from elementary sources, such as tracks in PCB's, cables, and small apertures, are outlined with their limits of application and verified by measurements. An analysis of the radiation patterns of simple structures and complex systems is also given. ¬© 1996 IEEE.</t>
  </si>
  <si>
    <t>290-299</t>
  </si>
  <si>
    <t>60083541;60083541;60083541;60083541;60083541;60083541</t>
  </si>
  <si>
    <t>6603510083;6507329599;7103026243;7005140763;6603416032;6508069780</t>
  </si>
  <si>
    <t>Caniggia, Spartaco;Catello, Luigino;Costa, Viscardo;Marano, Gilberto;O'Riordan, Noel;Vitucci, Luigi</t>
  </si>
  <si>
    <t>Settimo Milanese</t>
  </si>
  <si>
    <t>Italtel S.p.A.</t>
  </si>
  <si>
    <t>Caniggia S.</t>
  </si>
  <si>
    <t>Controlling radiated emission from a physically large telecommunication system</t>
  </si>
  <si>
    <t>S0018937596062990</t>
  </si>
  <si>
    <t>10.1109/15.536058</t>
  </si>
  <si>
    <t>2-s2.0-0030214153</t>
  </si>
  <si>
    <t>['small amount', 'physical meaning', 'moment method', 'model consists', 'input admittance', 'good accuracy', 'finite number', 'circuit model', 'circuit component', 'antenna array']</t>
  </si>
  <si>
    <t>In this paper, a circuit model is developed to represent the input admittance of an antenna array with a finite number of elements. This model consists of a component to represent the input admittance of an isolated antenna element and infinite shunt components with each to represent different degrees of antenna mutual coupling effects. Twersky's algorithm of multiple scattering analysis is used to illustrate the physical meaning of each circuit component. Numerical results show that good accuracy for the antenna input admittance calculation can be obtained by using this model to the second order approximation. As the array is large and sparse, a very small amount of computation can yield good accuracy. This model is shown not only to be numerically efficient compared to the full wave analysis using the moment method, but also to give physical insight into the antenna array mutual coupling mechanism. Furthermore, this model has no limitation on antenna array geometry and excitation. ¬© 1996 IEEE.</t>
  </si>
  <si>
    <t>483-489</t>
  </si>
  <si>
    <t>7501504156;7401775911</t>
  </si>
  <si>
    <t>Lee, Kun Chou;Chu, Tah Hsiung</t>
  </si>
  <si>
    <t>Lee K.</t>
  </si>
  <si>
    <t>A circuit model for mutual coupling analysis of a finite antenna array</t>
  </si>
  <si>
    <t>S001893759606348X</t>
  </si>
  <si>
    <t>10.1109/15.536079</t>
  </si>
  <si>
    <t>2-s2.0-0030214154</t>
  </si>
  <si>
    <t>U.S. Air Force</t>
  </si>
  <si>
    <t>719628-91-COO89</t>
  </si>
  <si>
    <t>USAF</t>
  </si>
  <si>
    <t>['wave moment', 'wave analysis', 'strip dipoles', 'rectangular patches', 'microstrip elements', 'microstrip antennas', 'method analysis', 'magnetostatic waves', 'little radiates', 'layer thickness', 'field strength', 'ferrite layer', 'extraordinary waves', 'effectively absent', 'antenna resulting', 'antenna radiation', 'accurate full']</t>
  </si>
  <si>
    <t>Switchable antennas consisted of microstrip elements with an in-plane biased ferrite cover layer are introduced. Their radiation and radar cross section (RCS) properties are examined through a full-wave moment-method analysis. For microstrip antennas with a ferrite cover layer, the presence of a decaying extraordinary wave in the ferrite layer can reduce or prohibit incident fields from reaching the antenna resulting in significant RCS reduction. For antenna radiation, most of the power will be converted into magnetostatic waves and little radiates into the air. Under such circumstances, the antennas are "off," in the sense that they are effectively absent as radiators or scatterers. The aim of this paper is, through the use of an accurate full-wave analysis, to investigate the properties of the switchable microstrip antennas. Both the cases of strip dipoles and rectangular patches are analyzed. The effects of the cover-layer thickness, bias-field strength, and the existence of both ordinary and extraordinary waves on the switchable antenna properties are discussed. ¬© 1996 IEEE.</t>
  </si>
  <si>
    <t>1127-1132</t>
  </si>
  <si>
    <t>David Yang, Hung Y.</t>
  </si>
  <si>
    <t>David Yang H.</t>
  </si>
  <si>
    <t>Characteristics of switchable ferrite microstrip antennas</t>
  </si>
  <si>
    <t>S0018926X96061728</t>
  </si>
  <si>
    <t>10.1109/8.511821</t>
  </si>
  <si>
    <t>2-s2.0-0030214188</t>
  </si>
  <si>
    <t>['systematic comparision', 'size arc', 'maximum coupling', 'crucial parameters', 'aperture shape', 'acmsa ).']</t>
  </si>
  <si>
    <t>Aperture shape and size arc the crucial parameters for the aperture-coupled microstrip antennas (ACMSA). In this communication, a systematic comparision of various aperture shapes for the aperture coupled rectangular microstrip antenna has been carried out. An optimum "hour glass"-shaped aperture configuration has been proposed for maximum coupling. ¬©1996 IEEE.</t>
  </si>
  <si>
    <t>1196-1198</t>
  </si>
  <si>
    <t>60014153;60014153;60014153</t>
  </si>
  <si>
    <t>14320236500;7202418704;56003150900</t>
  </si>
  <si>
    <t>Rathi, Vivek;Kumar, Girish;Ray, K. P.</t>
  </si>
  <si>
    <t>Mumbai</t>
  </si>
  <si>
    <t>Indian Institute of Technology Bombay</t>
  </si>
  <si>
    <t>Rathi V.</t>
  </si>
  <si>
    <t>Improved coupling for aperture coupled microstrip antennas</t>
  </si>
  <si>
    <t>S0018926X96047564</t>
  </si>
  <si>
    <t>10.1109/8.511831</t>
  </si>
  <si>
    <t>2-s2.0-0030214539</t>
  </si>
  <si>
    <t>['microstrip patch', 'input impedance', 'impedance show', 'hopf technique', 'fed short', 'experimental results', 'electromotive force']</t>
  </si>
  <si>
    <t>The input impedance of a probe-fed short-circuited microstrip antenna (SCMSA) is presented. The electric field expression under the microstrip patch by using the Wiener-Hopf technique is used and the electromotive force (EMF) method is applied. Analytical and experimental results for the impedance show the dependence on the dimensions and frequency. ¬© 1996 IEEE.</t>
  </si>
  <si>
    <t>427-430</t>
  </si>
  <si>
    <t>60030988-60015331;60030988</t>
  </si>
  <si>
    <t>7003999101;7005683394</t>
  </si>
  <si>
    <t>Kyriacou, George A.;Sahalos, John N.</t>
  </si>
  <si>
    <t>Greece;Greece</t>
  </si>
  <si>
    <t>Komotini;Thessaloniki</t>
  </si>
  <si>
    <t>Democritus University of Thrace;Aristotle University of Thessaloniki</t>
  </si>
  <si>
    <t>60030988;60015331</t>
  </si>
  <si>
    <t>Kyriacou G.A.</t>
  </si>
  <si>
    <t>Analysis of a probe-fed short-circuited microstrip antenna</t>
  </si>
  <si>
    <t>S0018954596029040</t>
  </si>
  <si>
    <t>10.1109/25.533758</t>
  </si>
  <si>
    <t>2-s2.0-0030214758</t>
  </si>
  <si>
    <t>['paper discusses', 'magnetic fields', 'field measurement', 'different distances', 'conventional electric', '6 db']</t>
  </si>
  <si>
    <t>This paper discusses the use of a three-loop antenna system (TLAS) for near-field measurement of electric and magnetic fields from video display terminals (VDT's). We calculated the electric and magnetic dipole moments to derive the electric and magnetic field patterns in the near field region. Electric and magnetic fields, emitted by several different models of VDT's, were evaluated with the TLAS and were compared with those measured by conventional electric and magnetic field probes at different distances and directions from VDT's. A good correlation (¬±1.6 dB) between the two measurement techniques was found. This agreement is within the accuracy (¬±2 dB) of the conventional field probe measurements. ¬© 1996 IEEE.</t>
  </si>
  <si>
    <t>341-347</t>
  </si>
  <si>
    <t>60000251-100499102;100499102;100499102;100499102;60000251-60023053;60023053</t>
  </si>
  <si>
    <t>57218242641;6603272455;6603810929;6602997099;35578175900;7101659615</t>
  </si>
  <si>
    <t>Tofani, Santi;Ossola, Piero;D'Amore, Giovanni;Anglesio, Laura;Kanda, Motohisa;Novotny, David R.</t>
  </si>
  <si>
    <t>United States;United States;Italy</t>
  </si>
  <si>
    <t>Gaithersburg;New York;Ivrea</t>
  </si>
  <si>
    <t>National Institute of Standards and Technology;IEEE;Servizio di Fisica Sanitaria</t>
  </si>
  <si>
    <t>60023053;60000251;100499102</t>
  </si>
  <si>
    <t>Tofani S.</t>
  </si>
  <si>
    <t>A three-loop antenna system for performing near-field measurements of electric and magnetic fields from video display terminals</t>
  </si>
  <si>
    <t>S0018937596063053</t>
  </si>
  <si>
    <t>10.1109/15.536064</t>
  </si>
  <si>
    <t>2-s2.0-0030214982</t>
  </si>
  <si>
    <t>['wire antenna', 'slot half', 'radiation patterns', 'published results', 'mobile antennas', 'input impedance', 'feed models', 'equivalence principle', 'discussed based', 'directive gain', 'difference timedomain', 'contour integral', 'configurations considered', 'conducting box', 'also calculated']</t>
  </si>
  <si>
    <t>In this paper, a review of the finite-difference timedomain (FDTD) method is presented and then employed to model and predict the radiation patterns of three basic configurations of mobile antennas. The directive gain and the input impedance are also calculated. The antennas' configurations considered are a quarter-wavelength monopole mounted on a conducting box, a bent-slot half-wavelength dipole flush mounted on a conducting box, and a quarter-wavelength monopole mounted on the top of an automobile. Three-feed models are discussed and the contour integral is used to model the wire antenna. Transformation of the near field data, resulting from the FDTD, to obtain the radiation patterns is discussed based on the equivalence principle. Radiation patterns obtained using the FDTD compare well with published results. ¬© 1996 IEEE.</t>
  </si>
  <si>
    <t>417-426</t>
  </si>
  <si>
    <t>100338831-60009697;100338831</t>
  </si>
  <si>
    <t>7201898632;7005104207</t>
  </si>
  <si>
    <t>Hussein, M.;Sebak, A.</t>
  </si>
  <si>
    <t>Winnipeg;Winnipeg</t>
  </si>
  <si>
    <t>University of Manitoba;Integrated Engineering Software</t>
  </si>
  <si>
    <t>60009697;100338831</t>
  </si>
  <si>
    <t>Hussein M.</t>
  </si>
  <si>
    <t>Application of the finite-difference time-domain method to the analysis of mobile antennas</t>
  </si>
  <si>
    <t>S0018954596054667</t>
  </si>
  <si>
    <t>10.1109/25.533757</t>
  </si>
  <si>
    <t>2-s2.0-0030215562</t>
  </si>
  <si>
    <t>['wave distribution', 'radiation patterns', 'main objective', 'li band', 'input impedance', 'ground plane', 'ground antenna', 'gps ).', 'frequency close', 'folded elements', 'folded element', 'different configurations', 'current distribution', 'computed using', 'circularly polarized', 'antenna design', 'also measured', '6 ghz']</t>
  </si>
  <si>
    <t>A traveling-wave distribution of current can be produced on a monopole over a ground plane by inserting a resistance of suitable magnitude one-quarter wave length from its end. It has been shown that the resistor can be replaced with a modified folded dipole which has a radiation resistance approximately equal to that of the resistor. Furthermore, it was found that when the folded element was about 0.1A above the ground plane, near hemispherical coverage was obtained in the plane of the element. In this paper, the resistor is replaced with orthogonal folded elements. The main objective is to obtain an antenna which is circularly polarized and which has near hemispherical coverage. Input impedance, current distribution, and radiation patterns of this antenna were computed using the numerical electromagnetics code (NEC); radiation patterns and input impedance were also measured. To produce a circularly polarized wave it is necessary to tilt the folded elements. After experimenting with a number of different configurations an antenna design having directional and polarization properties approaching those that were desired was obtained. All computations and measurements were conducted near 1.6 GHz, a frequency close to that of the proposed IRIDIUM communications system and the LI band of global positioning system (GPS). The double-folded monopole may prove to be a very low cost option as a ground antenna for these types of systems. ¬© 1996 IEEE.</t>
  </si>
  <si>
    <t>1112-1119</t>
  </si>
  <si>
    <t>Hemispherical coverage using a double-folded monopole</t>
  </si>
  <si>
    <t>S0018926X96061704</t>
  </si>
  <si>
    <t>10.1109/8.511819</t>
  </si>
  <si>
    <t>2-s2.0-0030215694</t>
  </si>
  <si>
    <t>['statistical properties', 'spurred interest', 'path loss', 'indoor channel', 'individual pulses', 'growing use', 'delay spread', 'coherence bandwidth']</t>
  </si>
  <si>
    <t>The growing use of unlicensed wireless systems has spurred interest in the 2.4-GHz ISM band. In order to facilitate the design of such systems, measurements of the pulse response characteristics have been made inside commercial buildings. From the measured pulse response, the statistical properties of the amplitude varia lion for individual pulses was determined, in addition to path loss, mean excess delay, root mean square (rms) delay spread, and the coherence bandwidth of the indoor channel. ¬©1996 IEEE.</t>
  </si>
  <si>
    <t>579-592</t>
  </si>
  <si>
    <t>60108318;60108318;60108318</t>
  </si>
  <si>
    <t>22334016200;7005129354;54680351700</t>
  </si>
  <si>
    <t>Kim, Seong Cheol;Bertoni, Henry L.;Stem, Miklos</t>
  </si>
  <si>
    <t>New York</t>
  </si>
  <si>
    <t>NYU Tandon School of Engineering</t>
  </si>
  <si>
    <t>Kim S.C.</t>
  </si>
  <si>
    <t>Pulse propagation characteristics at 2.4 GHz inside buildings</t>
  </si>
  <si>
    <t>S0018954596054680</t>
  </si>
  <si>
    <t>10.1109/25.533773</t>
  </si>
  <si>
    <t>2-s2.0-0030215855</t>
  </si>
  <si>
    <t>['work well', 'wire thickness', 'wire radius', 'wire model', 'typically sensitive', 'shielding enclosures', 'shielding enclosure', 'primary concerns', 'noise voltage', 'monopole connected', 'modeling wires', 'modeling common', 'model wires', 'model radiation', 'mode radiation', 'method uses', 'mesh discretization', 'mesh dimensions', 'may result', 'input impedance', 'gross errors', 'field quantities', 'fdtd methods', 'fdtd analysis', 'energy coupling', 'electromagnetic interference', 'electric field', 'difference time', 'conducting half', 'complex geometries', 'cables attached', 'b limits', 'axial component', 'attached cables', 'arbitrary radii', 'also investigated']</t>
  </si>
  <si>
    <t>Radiation from cables attached to printed circuit boards and shielding enclosures is among the primary concerns in meeting FCC Class A and B limits. The finite-difference time-domain (FDTD) method can be employed to model radiation from printed circuit boards and shielding enclosures with complex geometries, but difficulties in modeling wires and cables of arbitrary radii are encountered. Modeling the wire by setting the axial component of the electric field to zero in the FDTD method results in an effective wire radius that is determined by the mesh discretization. Neglecting the wire radius in applications, such as electromagnetic interference (EMI) or printed circuit board modeling, may result in gross errors because near-field quantities are typically sensitive to wire thickness. Taflove et al. have developed a subcellular FDTD algorithm for modeling wires that has been shown to work well for plane wave scattering. The method uses a quasistatic field approximation to model wires with a well defined radius independent of the mesh dimensions. The wire model is reviewed and investigated for application to common-mode radiation from cables attached to printed circuit boards, where the source is often a noise voltage at the connector. Also investigated is energy coupling to attached cables through enclosure apertures resulting in common-mode radiation from the cable. The input impedance for a center-fed dipole antenna, as well as a monopole connected to a conducting half-sheet, is computed with FDTD methods and compared to moment method input impedance results. A simulation of a shielding enclosure with an attached cable demonstrates the utility of FDTD analysis in modeling common-mode radiation. ¬© 1996 IEEE.</t>
  </si>
  <si>
    <t>376-387</t>
  </si>
  <si>
    <t>60024728-60000251;60024728-60000251;60024728-60000251;60024728-60000251</t>
  </si>
  <si>
    <t>6701837310;7007149908;7005230345;7004867433</t>
  </si>
  <si>
    <t>Hockanson, David M.;Drewniak, James L.;Hubing, Todd H.;Van Doren, Thomas P.</t>
  </si>
  <si>
    <t>Rolla;New York</t>
  </si>
  <si>
    <t>Missouri University of Science and Technology;IEEE</t>
  </si>
  <si>
    <t>60024728;60000251</t>
  </si>
  <si>
    <t>Hockanson D.</t>
  </si>
  <si>
    <t>FDTD modeling of common-mode radiation from cables</t>
  </si>
  <si>
    <t>S0018937596061388</t>
  </si>
  <si>
    <t>10.1109/15.536068</t>
  </si>
  <si>
    <t>2-s2.0-0030215922</t>
  </si>
  <si>
    <t>['widespread use', 'vehicle commonplace', 'typical vhf', 'two transceivers', 'tone spurious', 'thoroughly treated', 'system performance', 'remote transceiver', 'remote receiver', 'recent paper', 'quantitative computations', 'qualitative analysis', 'presented methods', 'paper presents', 'modulation methods', 'mitigation techniques', 'less affected', 'important become', 'computation methods', 'collocated operations', 'also efficient']</t>
  </si>
  <si>
    <t>The widespread use of mobile communications makes the installation of two transceivers in the same vehicle commonplace. This paper presents the analysis, computation methods, and mitigation techniques for the mutual interference caused by two collocated transceivers on a remote receiver. It is, in fact, a complement to a recent paper [1] that analyzed and computed the mutual interference effects between the two collocated transceivers only. The remote transceiver is less affected by desensitization with increasing separation distances. More important become the effects of single-tone spurious and intermodulation distortion interference, which are thoroughly treated. The qualitative analysis is followed by quantitative computations of the mutual interference effects for a typical VHF/FM-FSK vehicular radio system. Deterministic and semiempirical computation methods are applied and most effective mitigation techniques are presented. The presented methods are also efficient for different frequency ranges and modulation methods. Application of these methods by simulation from the initial development phase of new radio systems intended for use in collocated operations will optimize the system performance and improve frequency spectrum utilization and management. ¬© 1996 TEEE Publisher Item Identifier S 0018-9545(96)02895-2.</t>
  </si>
  <si>
    <t>431-442</t>
  </si>
  <si>
    <t>60016941;60016941-101780071</t>
  </si>
  <si>
    <t>7004402050;55289308600</t>
  </si>
  <si>
    <t>Gavan, Jacob;Handler, Francis</t>
  </si>
  <si>
    <t>Israel;Israel</t>
  </si>
  <si>
    <t>Tel Aviv-Yafo;Tel Aviv-Yafo</t>
  </si>
  <si>
    <t>Holon Institute of Technology;BEZEQ</t>
  </si>
  <si>
    <t>60016941;101780071</t>
  </si>
  <si>
    <t>Gavan J.</t>
  </si>
  <si>
    <t>Analysis, computation, and mitigation of the interference to a remote receiver from two collocated vehicular transceivers</t>
  </si>
  <si>
    <t>10.1109/25.533759</t>
  </si>
  <si>
    <t>2-s2.0-0030215962</t>
  </si>
  <si>
    <t>Cardinal Tien Hospital</t>
  </si>
  <si>
    <t>CTH</t>
  </si>
  <si>
    <t>['spatial domain', 'sources must', 'source currents', 'solutions followed', 'radiation pattern', 'powerful method', 'paper presents', 'one obtained', 'one method', 'numerical 2', 'mutual interaction', 'moment method', 'infinite spectrum', 'hybrid technique', 'harmonic 2', 'g .,', 'finite set', 'equivalent sources', 'determined directly', 'cylindrical scatterer', 'boundary conditions', 'asymptote extraction', 'analyze antennas']</t>
  </si>
  <si>
    <t>This paper presents a powerful method to analyze antennas which can be considered principally two-dimensional (2-D) or cylindrical, except for some three-dimensional (3-D) physical or equivalent sources, e.g., dipoles or slots. It is shown by Fourier transform techniques that such antennas can be analyzed as 2-D problems with harmonic longitudinal field variation. The radiation pattern can often be determined directly from a finite set of such 2-D solutions, each one obtained by any method, e.g., the moment method. The mutual interaction between the cylindrical scatterer and the sources must be calculated to determine the exact current distribution on the sources and their impedances or admittances. This is facilitated by performing an inverse Fourier transform of an infinite spectrum of the numerical 2-D solutions followed by a moment method solution in the spatial domain to satisfy the boundary conditions on the 3-D equivalent sources themselves. The inverse Fourier transform is simplified by the use of asymptote extraction. The method is in itself a hybrid technique as one method is used to solve the harmonic 2-D problem, and the other to solve for the source currents. ¬© 1996 IEEE.</t>
  </si>
  <si>
    <t>1183-1192</t>
  </si>
  <si>
    <t>60000990-60020975;60000990-60002392;60020975-60002392</t>
  </si>
  <si>
    <t>7101988263;56219429900;6603460142</t>
  </si>
  <si>
    <t>Kildal, Per Simon;Rengarajan, Sembiam;Moldsvor, Arild</t>
  </si>
  <si>
    <t>United States;Sweden;Sweden</t>
  </si>
  <si>
    <t>Northridge;Karlstad;Gothenburg</t>
  </si>
  <si>
    <t>California State University, Northridge;Karlstads Universitet;Chalmers University of Technology</t>
  </si>
  <si>
    <t>60020975;60002392;60000990</t>
  </si>
  <si>
    <t>Analysis of nearly cylindrical antennas and scattering problems using a spectrum of two-dimensional solutions</t>
  </si>
  <si>
    <t>S0018926X96061790</t>
  </si>
  <si>
    <t>10.1109/8.511828</t>
  </si>
  <si>
    <t>2-s2.0-0030216412</t>
  </si>
  <si>
    <t>['voice activity', 'soft capacity', 'power control', 'outage probability', 'north america', 'increasing demand', 'hopped tdma', 'capacity motivates', 'base transmission', 'antenna diversity', 'alternate systems']</t>
  </si>
  <si>
    <t>Time-division multiple access (TDMA)-based systems have been adopted as the first generation digital cellular standards in North America, Europe, and Japan. The increasing demand for capacity motivates the study of alternate systems and enhancements to the adopted TDMA standards. In particular, CDMA techniques using direct sequence and slow frequency hopping have been suggested. In this paper we analyze the capacity of a slow-frequency-hopped TDMA-based cellular system via calculation of outage probability. Expressions for outage probability as a function of voice activity, power control, and antenna diversity are provided for mobile-to-base transmission. These expressions are used to evaluate system capacity (users/MHz/cell) based on simulating mobile locations within 37 hexagonal cells. The sensitivity to power control error, voice activity factor, and soft capacity of the system is investigated. ¬© 1996 IEEE.</t>
  </si>
  <si>
    <t>531-542</t>
  </si>
  <si>
    <t>60004661-60025534;60004661;60025534;60004661-60025534</t>
  </si>
  <si>
    <t>6701516662;7402686734;7406782831;6603087347</t>
  </si>
  <si>
    <t>Chennakeshu, Sandeep;Hassan, Amer A.;Anderson, John B.;Gudmundson, Bj√∂rn</t>
  </si>
  <si>
    <t>Troy;Stockholm</t>
  </si>
  <si>
    <t>Rensselaer Polytechnic Institute;Telefonaktiebolaget LM Ericsson</t>
  </si>
  <si>
    <t>60025534;60004661</t>
  </si>
  <si>
    <t>Chennakeshu S.</t>
  </si>
  <si>
    <t>Capacity analysis of a TDMA-based slow-frequency-hopped cellular system</t>
  </si>
  <si>
    <t>S0018954596054631</t>
  </si>
  <si>
    <t>10.1109/25.533768</t>
  </si>
  <si>
    <t>2-s2.0-0030216512</t>
  </si>
  <si>
    <t>NSC84-2221-E-002-007</t>
  </si>
  <si>
    <t>['work reported', 'without traffic', 'wedge diffraction', 'wall roughness', 'traffic inside', 'time delay', 'technique applies', 'rectangular tunnel', 'propagation loss', 'power received', 'numerical results', 'modified shooting', 'major effect', 'images coherently', 'good approximation', 'future studies', 'deterministic approach', 'deep fading', 'bouncing ray', 'arched tunnel', 'also find', 'additional considerations']</t>
  </si>
  <si>
    <t>In this paper we will propose a deterministic approach to model the radio propagation channels in tunnels with and without traffic. This technique applies the modified shooting and bouncing ray (SUR) method to find equivalent sources (images) in each launched ray tube and sums the receiving complex amplitude contributed by all images coherently. In addition, vector effective antenna height (VEH) is introduced to consider the polarization-coupling effect resulting from the shape of tunnels. We verify this approach by comparing the numerical results in two canonical examples where closed-form solutions exist. The good agreement indicates that our method can provide a good approximation of high-frequency radio propagation inside tunnels where reflection is dominant. Work reported in this paper has shown that propagation loss in tunnels can vary considerably according to the shapes of tunnels and the traffic inside. From the results we also find a ¬©focusing¬© effect, which makes the power received in an arched tunnel higher than that in a rectangular tunnel. Besides, the deep fading that appears in a rectangular tunnel is absent in an arched tunnel. The major effect of traffic is observed to be the fast fading due to the reflection/obstruction of vehicles. Additional considerations, such as time delay, wall roughness, and wedge diffraction of radio wave propagation in tunnels are left for future studies. ¬© 1996 IEEE.</t>
  </si>
  <si>
    <t>570-578</t>
  </si>
  <si>
    <t>Chen S.H.</t>
  </si>
  <si>
    <t>SBR image approach for radio wave propagation in tunnels with and without traffic</t>
  </si>
  <si>
    <t>S0018954596054692</t>
  </si>
  <si>
    <t>10.1109/25.533772</t>
  </si>
  <si>
    <t>2-s2.0-0030216636</t>
  </si>
  <si>
    <t>['space surrounding', 'resistive termination', 'reflected voltage', 'qualitative agreement', 'pulse radiation', 'previously designed', 'plate horn', 'open end', 'metallic triangular', 'good agreement', 'field plotted', 'electrical properties', 'electric field', 'difference time', 'computed results', 'color scale', 'approximate models']</t>
  </si>
  <si>
    <t>In the past, various approximate theoretical models have been used to analyze TEM horn antennas. Because of the limitations of these approximate models, there has been, to date, only qualitative agreement of measurements for TEM horn antennas with the predictions of the theories. In this paper, the finite-difference time-domain (FDTD) method is used to accurately analyze TEM horn antennas for pulse radiation. First, the metallic triangular-plate TEM horn antenna is considered. Computed results for the reflected voltage in the feeding transmission line and the time-varying radiated electric field are shown to be in very good agreement with new experimental measurements. Graphs of the electric field in the space surrounding the antenna (magnitude of field plotted on a color scale) are used to give physical insight into the process of radiation. Next, the method is used to analyze two TEM horns that were previously designed for pulse radiation. The geometry and electrical properties of these antennas are more complicated than for the metallic, triangular-plate horn. One has shaped metallic plates with a resistive termination at the open end; the other has plates whose resistance varies continuously along their length. The computed results for these antennas are compared with previously made experimental measurements. ¬© 1996 IEEE.</t>
  </si>
  <si>
    <t>414-423</t>
  </si>
  <si>
    <t>60021032-60025209-60000251;60021032-60000251;60015099-60000251</t>
  </si>
  <si>
    <t>Los Angeles;Atlanta;Atlanta;New York</t>
  </si>
  <si>
    <t>Northrop Grumman corporation;Georgia Institute of Technology;Georgia Tech Research Institute;IEEE</t>
  </si>
  <si>
    <t>60025209;60021032;60015099;60000251</t>
  </si>
  <si>
    <t>Shlager K.</t>
  </si>
  <si>
    <t>Accurate analysis of TEM horn antennas for pulse radiation</t>
  </si>
  <si>
    <t>S0018937596061352</t>
  </si>
  <si>
    <t>10.1109/15.536071</t>
  </si>
  <si>
    <t>2-s2.0-0030216642</t>
  </si>
  <si>
    <t>['theoretical results', 'slot antennas', 'rigorous model', 'results obtained', 'mutual coupling', 'layer high', 'iterative formulation', 'coplanar wave', 'array environment']</t>
  </si>
  <si>
    <t>Coplanar wave (CPW)-fed slot antennas printed on multilayer dielectric substrates are numerically analyzed using a full-wave integral equation technique and the method of moments. The Green's function is derived with an iterative formulation. Results obtained with a simplified and a rigorous model of the feeding CPW lines are compared. The mutual coupling between slot antennas in an array environment is calculated for a three-layer high-low-high permittivity combination. Theoretical results are verified with measurements. ¬©1996 IEEE.</t>
  </si>
  <si>
    <t>1102-1111</t>
  </si>
  <si>
    <t>7003360986;56246062600;7006384021</t>
  </si>
  <si>
    <t>Laheurte, Jean Marc;Katehi, Linda P.B.;Rebeiz, Gabriel M.</t>
  </si>
  <si>
    <t>Laheurte J.</t>
  </si>
  <si>
    <t>CPW-fed slot antennas on multilayer dielectric substrates</t>
  </si>
  <si>
    <t>S0018926X96061698</t>
  </si>
  <si>
    <t>10.1109/8.511818</t>
  </si>
  <si>
    <t>2-s2.0-0030216952</t>
  </si>
  <si>
    <t>['resonant mode', 'paper presents', 'input admittance', 'experimental data']</t>
  </si>
  <si>
    <t>This paper presents a procedure which can be used to model the input admittance of a probe-fed nikrostrip antenna using simple circuit components. The values of the components are extracted from experimental data and represent the antenna about any resonant mode. A good circuit description of the antenna can greatly facilitate system analysis. ¬© 1996 IEEE.</t>
  </si>
  <si>
    <t>60008809;60003088</t>
  </si>
  <si>
    <t>35551073300;7006218526</t>
  </si>
  <si>
    <t>Weiss, Steven J.;Kahn, Walter K.</t>
  </si>
  <si>
    <t>;Washington, D.C.</t>
  </si>
  <si>
    <t>United States Army;The George Washington University</t>
  </si>
  <si>
    <t>Weiss S.</t>
  </si>
  <si>
    <t>Measurement of simple resonant equivalent circuits for microstrip antennas</t>
  </si>
  <si>
    <t>S0018948096056438</t>
  </si>
  <si>
    <t>10.1109/22.536041</t>
  </si>
  <si>
    <t>2-s2.0-0030217070</t>
  </si>
  <si>
    <t>['terms regardless', 'singular part', 'second kind', 'reasonable precision', 'previous approaches', 'one relevant', 'method seems', 'logarithmic singularity', 'linear system', 'iterative solution', 'integral equation', 'infinitesimal gap', 'infinite capacitance', 'first resort', 'finite number', 'expansion requires', 'electromagnetic fields', 'doubtless improvements', 'defined hybrid', 'cylindrical antenna', 'current due', 'current distribution', 'continuous kernel', 'assigned precision', 'antenna needs', 'already shown', 'algebraic equations', 'accurate evaluation', '2 ],']</t>
  </si>
  <si>
    <t>The knowledge of the electromagnetic fields in the neighborhood of an antenna needs the accurate evaluation of the current distribution on it. This is a subject which deserves a particular attention mainly for sensors. It is called Hall√©n's problem the one relevant to the current distribution on a cylindrical antenna. We have already shown [1] that this problem can be formulated as a Fredholm integral equation of the second kind with a continuous kernel, and that this integral equation can be solved by a transformation into a linear system of algebraic equations. Even if this solution has a number of doubtless improvements with respect to previous approaches [2], [3], however it does not explicit the logarithmic singularity of the current due to the infinite capacitance of the infinitesimal gap. As a consequence the above expansion requires more and more terms to obtain an assigned precision of the solution, the closer we are to the gap. In this paper, we show that it is possible to extract the singular part of the current, and to obtain a reasonable precision with a finite number of terms regardless of the distance from the gap. The method seems to be suitable for thick dipole antennas. The procedure has been defined hybrid because we first resort to a finite number of steps of the iterative solution, and then the nth integral equation is solved by the Bubnov-Galerkin projection method. ¬© 1996 IEEE.</t>
  </si>
  <si>
    <t>495-498</t>
  </si>
  <si>
    <t>A hybrid procedure to solve Hall√©n's problem</t>
  </si>
  <si>
    <t>S0018937596061443</t>
  </si>
  <si>
    <t>10.1109/15.536081</t>
  </si>
  <si>
    <t>2-s2.0-0030217071</t>
  </si>
  <si>
    <t>['pointmatching method', 'nonuniform spacing', 'nonisotropic elements', 'matching method', 'linear arrays', 'linear array', 'excitation coefficients']</t>
  </si>
  <si>
    <t>In this paper, a newly developed point-matching method is presented to obtain a set of excitation coefficients of a linear array that generates a desired radiation pattern with arbitrarily suppressed sidelobe levels. This method can be used for linear arrays with nonuniform spacing and nonisotropic elements. The design examples presented show that the pointmatching method is both effective and efficient. ¬© 1996 IEEE.</t>
  </si>
  <si>
    <t>773-781</t>
  </si>
  <si>
    <t>60018491-60003122;60018491-60003122</t>
  </si>
  <si>
    <t>56477419900;7202877999</t>
  </si>
  <si>
    <t>Zielinski, Adam;Bird, John S.</t>
  </si>
  <si>
    <t>Burnaby;Victoria</t>
  </si>
  <si>
    <t>Simon Fraser University;University of Victoria</t>
  </si>
  <si>
    <t>60018491;60003122</t>
  </si>
  <si>
    <t>Zielinski A.</t>
  </si>
  <si>
    <t>A point-matching method for array pattern synthesis</t>
  </si>
  <si>
    <t>S0885301096063435</t>
  </si>
  <si>
    <t>10.1109/58.535478</t>
  </si>
  <si>
    <t>2-s2.0-0030241072</t>
  </si>
  <si>
    <t>Australian Telecommunications and Electronics Research Board</t>
  </si>
  <si>
    <t>ATERB</t>
  </si>
  <si>
    <t>['resonator antenna', 'rectangular dielectric', 'radiates like', 'obtained using', 'measured patterns', 'magnetic dipole', 'low profile', 'height ratio', 'h planes', 'fdtd method', 'directional due', 'compare well', 'aperturecoupled antenna', '6 ghz', '1 input', '0 ghz']</t>
  </si>
  <si>
    <t>A rectangular dielectric-resonator antenna (DRA) with a very low profile (length-to-height ratio can) is presented. This aperturecoupled antenna is almost perfectly matched to the 50(1 input and radiates like a magnetic dipole at 11.6 GHz. It is also well matched at 13.0 GHz, but the pattern is more directional due to the influence of a higher order mode. Theoretical antenna patterns, obtained using the FDTD method, compare well with measured patterns in the E and H planes. ¬© 1996 IEEE.</t>
  </si>
  <si>
    <t>1296-1297</t>
  </si>
  <si>
    <t>Esselle, Karu P.</t>
  </si>
  <si>
    <t>A low-profile rectangular dielectric-resonator antenna</t>
  </si>
  <si>
    <t>S0018926X96070068</t>
  </si>
  <si>
    <t>10.1109/8.535389</t>
  </si>
  <si>
    <t>2-s2.0-0030241284</t>
  </si>
  <si>
    <t>['measured results', 'good agreement', 'diffraction integral', 'cylinder center', 'base station', 'arbitrary angle', 'antenna fabrication', '9 ghz']</t>
  </si>
  <si>
    <t>A cylindrical Fresnel zone antenna as a candidate for a base station in wireless indoor LAN systems is described. An arbitrary angle-tilted fan beam in azimuth can be achieved by moving the position of the strip dipole feed at the cylinder center. A simple theory based on the diffraction integral is developed which predicts the antenna radiation characteristics. The antenna fabrication and measurement are carried out at 9 GHz with good agreement between calculated and measured results. ¬© 1996 IEEE.</t>
  </si>
  <si>
    <t>1301-1303</t>
  </si>
  <si>
    <t>Fujita, M.</t>
  </si>
  <si>
    <t>Fujita M.</t>
  </si>
  <si>
    <t>A cylindrical fresnel zone antenna</t>
  </si>
  <si>
    <t>S0018926X9607010X</t>
  </si>
  <si>
    <t>10.1109/8.535392</t>
  </si>
  <si>
    <t>2-s2.0-0030241522</t>
  </si>
  <si>
    <t>['transmitting power', 'technically feasible', 'signals due', 'receiving antennas', 'paper describes', 'multipath propagation', 'modulation schemes', 'investigated taking', 'channel plan', 'channel bandwidth', '8 mbps']</t>
  </si>
  <si>
    <t>At the World Administrative Radio Conference (WARC)-92, the 2.6 GHz frequency band was allocated to a group of East Asian countries including Japan. This band is being studied for use in mobile multimedia broadcasting. This paper describes the outline of a system for 2.6 GHz band mobile-multimedia broadcasting services, together with its requirements. In particular, the effects of attenuation of broadcasting signals due to shadowing by buildings and foliage, and deterioration of the signals due to multipath propagation and fading, must be taken into account in order to realize the 2.6 GHz band system. This study considers economic and technical constraints related to modulation schemes, transmitting power, satellite antenna reflector aperture, gain of receiving antennas and scale of satellites. The configuration of satellite hardware systems based on channel plan, channel bandwidth, and other specifications is investigated taking into account of these constraints. For example, a bit-rate of 4.8 Mbps can be provided when a 2-ton class satellite bus is utilized. This indicates that 2.6 GHz band services are technically feasible. ¬© 1996 IEEE.</t>
  </si>
  <si>
    <t>167-172</t>
  </si>
  <si>
    <t>60103907;60103907;60103907;60103907-60022990</t>
  </si>
  <si>
    <t>57206649146;55041049200;36853175700;7402596897</t>
  </si>
  <si>
    <t>Saito, Tomohiro;Murakami, Kenji;Nakagawa, Hitoshi;Nishida, Hayato</t>
  </si>
  <si>
    <t>Tokyo;Chofu</t>
  </si>
  <si>
    <t>Nippon Hoso Kyokai;Japan Aerospace Exploration Agency</t>
  </si>
  <si>
    <t>60103907;60022990</t>
  </si>
  <si>
    <t>Saito T.</t>
  </si>
  <si>
    <t>2.6 GHz band satellite ISDB system for mobile reception</t>
  </si>
  <si>
    <t>S0018931696082856</t>
  </si>
  <si>
    <t>10.1109/11.536576</t>
  </si>
  <si>
    <t>2-s2.0-0030241970</t>
  </si>
  <si>
    <t>['vertical polarization', 'spherical drops', 'scattering volume', 'rotated independently', 'relatively short', 'propagation path', 'path length', 'mie theory', 'good agreement', 'first order', 'electromagnetic waves', 'computations using', 'bistatic scattering', 'assumed homogeneous', 'antennas could', '94 ghz', '120 ¬∞.', '120 ¬∞']</t>
  </si>
  <si>
    <t>This paper presents measurements of bistatic scattering of electromagnetic waves by rain at 94 GHz in vertical polarization. The experiment was done using transmitting and receiving rotating antennas of 312 m distance. Both antennas could be rotated independently in horizontal plane enabling the measurement of bistatic scattering angles from -120¬∞ to +120¬∞. The raindrop size distributions were measured by a distrometer located close to the propagation path. Since narrow beam antennas were employed and path length was relatively short, the scattering volume was small and the rain statistics could be assumed homogeneous over the scattering volume. We show that computations using the first order of multiple scattering hypothesis and Mie theory for spherical drops are in good agreement with measured experimental values. ¬© 1996 IEEE.</t>
  </si>
  <si>
    <t>1247-1258</t>
  </si>
  <si>
    <t>Gloaguen, Catherine</t>
  </si>
  <si>
    <t>Issy-les-Moulineaux</t>
  </si>
  <si>
    <t>Orange Labs</t>
  </si>
  <si>
    <t>94 GHz bistatic scattering in rain</t>
  </si>
  <si>
    <t>S0018926X96069992</t>
  </si>
  <si>
    <t>10.1109/8.535383</t>
  </si>
  <si>
    <t>2-s2.0-0030242326</t>
  </si>
  <si>
    <t>['order p', 'numerical evaluation', 'described tor', 'argument z']</t>
  </si>
  <si>
    <t>The numerical evaluation of the derivative of the parabolic cylinder function, Dp‚Ä≤(z), is described tor the argument z = xe-iœÄ/4 and order p = -1/2 + iy, with x and y real. ¬© 1996 IEEE.</t>
  </si>
  <si>
    <t>1300-1301</t>
  </si>
  <si>
    <t>Shore, Robert A.</t>
  </si>
  <si>
    <t>Shore R.</t>
  </si>
  <si>
    <t>Numerical evaluation of the derivative of the parabolic cylinder function</t>
  </si>
  <si>
    <t>S0018926X96070081</t>
  </si>
  <si>
    <t>10.1109/8.535391</t>
  </si>
  <si>
    <t>2-s2.0-0030242327</t>
  </si>
  <si>
    <t>['tv program', 'tokyo bay', 'terminal consists', 'steered according', 'slant angles', 'roll stabilizer', 'rf terminal', 'rapid tracking', 'mobile sng', 'mechanical tracking', 'good performance', 'communications satellite', 'broadcasting center', 'antenna beam', 'achieved even', '16 subarrays', '05 ¬∞']</t>
  </si>
  <si>
    <t>We propose a mobile SNG (Satellite News Gathering) RF terminal that transmits TV programs from a ship or a vehicle to a broadcasting center in real time via a communications satellite. The terminal consists of a transmitter using beam steering flat antenna with 16 subarrays and of a turntable and pitch-roll stabilizer for mechanical tracking. The antenna beam is steered according to a received beacon signal, and rapid tracking with an accuracy of 0.05¬∞ can be achieved even if slant angles in the pitch and roll of the ship in which the terminal is set, are ¬±10¬∞ and ¬±15¬∞. We demonstrated the good performance of the terminal by transmitting a TV program from a ship in Tokyo Bay.</t>
  </si>
  <si>
    <t>272-277</t>
  </si>
  <si>
    <t>60000251-60103907;60103907;60103907;60103907;60103907;60103907;60000251-60103907;60103907;60103907</t>
  </si>
  <si>
    <t>7006511710;7402736806;7401688376;55461669400;55730303000;56643802200;6701717991;7005418157;55391886300</t>
  </si>
  <si>
    <t>Mitsumoto, H.;Murata, T.;Takano, K.;Fujita, M.;Tanaka, S.;Itoh, S.;Shogen, K.;Toyama, N.;Miyazawa, H.</t>
  </si>
  <si>
    <t>Tokyo;New York</t>
  </si>
  <si>
    <t>Nippon Hoso Kyokai;IEEE</t>
  </si>
  <si>
    <t>60103907;60000251</t>
  </si>
  <si>
    <t>Mitsumoto H.</t>
  </si>
  <si>
    <t>A mobile satellite news gathering system using a flat antenna</t>
  </si>
  <si>
    <t>S001893169608300X</t>
  </si>
  <si>
    <t>10.1109/11.536591</t>
  </si>
  <si>
    <t>2-s2.0-0030242717</t>
  </si>
  <si>
    <t>CityU</t>
  </si>
  <si>
    <t>['waveguide simulator', 'wave ratio', 'theoretical prediction', 'substrate layers', 'paper presents', 'numerical model', 'moments together', 'measured results', 'layer dual', 'floquet theorem', 'domain method', 'dielectric constant', 'coupled two', 'arrays operating', '1 standing']</t>
  </si>
  <si>
    <t>This paper presents an analysis of infinite phased arrays of aperture-coupled two-layer dual-patch microstrip antennas. The substrate layers for supporting the patches have the same dielectric constant and are separated by an airgap. The numerical model is based on the spectral-domain method of moments together with the Floquet theorem. Calculated results predicts a 2 :1 standing-wave ratio (SWR) bandwidth of 30-40% in a ¬±60C scan cone for arrays operating at around 4 GHz. Measured results from a waveguide simulator are obtained to verify the theoretical prediction. ¬© 1996 IEEE.</t>
  </si>
  <si>
    <t>1290-1295</t>
  </si>
  <si>
    <t>Au, Tsien Ming</t>
  </si>
  <si>
    <t>Au T.M.</t>
  </si>
  <si>
    <t>Performance of aperture-coupled dual-patch microstrip phased arrays</t>
  </si>
  <si>
    <t>S0018926X96070056</t>
  </si>
  <si>
    <t>10.1109/8.535388</t>
  </si>
  <si>
    <t>2-s2.0-0030242804</t>
  </si>
  <si>
    <t>['unidirectional beam', 'radiation pattern', 'profile four', 'mobile terminals', 'input characteristics', 'hybrid coupler', 'element method', 'element characteristics', 'dimensional finite', 'cavity model', 'array antenna']</t>
  </si>
  <si>
    <t>A low-profile four-beam switched array antenna for mobile terminals is proposed in this paper. A flat antenna concept modeled as a square magnetic line current array is realized by thin trapezoidal cavity elements. A unidirectional beam is obtained which can be redirected by alternating input terminals of the hybrid coupler. Element characteristics are calculated approximately using a cavity model with the two-dimensional finite-element method. Input characteristics and radiation pattern of the array antenna are evaluated by experiments. ¬© 1996 IEEE.</t>
  </si>
  <si>
    <t>1227-1230</t>
  </si>
  <si>
    <t>Kuga, Nobuhiro</t>
  </si>
  <si>
    <t>A flat four-beam switched array antenna</t>
  </si>
  <si>
    <t>S0018926X96069967</t>
  </si>
  <si>
    <t>10.1109/8.535380</t>
  </si>
  <si>
    <t>2-s2.0-0030242884</t>
  </si>
  <si>
    <t>94-1883-01</t>
  </si>
  <si>
    <t>['point charges', 'expressions given']</t>
  </si>
  <si>
    <t>By including the point charges at the ends of the nonplanar skew monopoles with sinusoidal current distributions, the expressions given by Richmond and Geary [1] are simplified. The simplified expressions satisfy reciprocity. ¬© 1996 IEEE.</t>
  </si>
  <si>
    <t>1298-1299</t>
  </si>
  <si>
    <t>Schmidt, Kevin E.</t>
  </si>
  <si>
    <t>Schmidt K.</t>
  </si>
  <si>
    <t>Simplified mutual impedance of nonplanar skew dipoles</t>
  </si>
  <si>
    <t>S0018926X9607007X</t>
  </si>
  <si>
    <t>10.1109/8.535390</t>
  </si>
  <si>
    <t>2-s2.0-0030242885</t>
  </si>
  <si>
    <t>['resonator approximation', 'radiation properties', 'radiation efficiencies', 'planar millimeter', 'one system', 'nrd components', 'modeling approach', 'microstrip line', 'good agreement', 'first time', 'feed technique', 'experimentally investigated', 'different technologies', 'calculations shows', 'best use', 'analytical investigations']</t>
  </si>
  <si>
    <t>In this paper, experimental and analytical investigations of unidirectional dielectric radiator arrays (UDRA) are presented for the first time. Attractive electrical performance due to the use of nonradiating dielectric waveguide (NRD) structures is demonstrated. A numerical model based on a cavity-resonator approximation is developed for prediction of radiation properties of the UDRA's. Good agreement between measurements and calculations shows the validity of the modeling approach. On the other hand, the feed technique for the UDRA by microstrip line and coupling-aperture is experimentally investigated. Measurement results show high coupling and radiation efficiencies of the proposed excitation method. Such a circuit configuration allows the combination of planar millimeter-wave M(H)MIC's and NRD components in one system for the best use of different technologies. ¬© 1996 IEEE.</t>
  </si>
  <si>
    <t>1201-1207</t>
  </si>
  <si>
    <t>An, Hongming</t>
  </si>
  <si>
    <t>Montreal</t>
  </si>
  <si>
    <t>Centre de Recherche Poly-Grames</t>
  </si>
  <si>
    <t>An H.</t>
  </si>
  <si>
    <t>Analytical and experimental investigations of aperture coupled unidirectional dielectric radiator arrays (UDRA)</t>
  </si>
  <si>
    <t>S0018926X96069931</t>
  </si>
  <si>
    <t>10.1109/8.535377</t>
  </si>
  <si>
    <t>2-s2.0-0030242905</t>
  </si>
  <si>
    <t>Caltech</t>
  </si>
  <si>
    <t>['swath wider', 'scansar operation', 'scansar mode', 'scansar data', 'example images', 'also represents', '200 km']</t>
  </si>
  <si>
    <t>During the two spate shuttle missions in 1994, the Spaceborne Imaging Radar-C (SIR-C) acquired several experimental datatakes using the ScanSAR mode. Some of these ScanSAR data have been processed into images of swath wider than 200 km. Example images are shown in this paper. These early results demonstrate that ScanSAR operation is not only feasible, but also represents a potentially useful tool for regional and global scale imaging by the future SAR missions. ¬© 1996 IEEE.</t>
  </si>
  <si>
    <t>1278-1281</t>
  </si>
  <si>
    <t>60009037;60009037;60009037;60009037</t>
  </si>
  <si>
    <t>7407035398;7202559539;7202581950;35594051500</t>
  </si>
  <si>
    <t>Chang, C. Y.;Jin, Michael Y.;Lou, Yun Ling;Holt, Benjamin</t>
  </si>
  <si>
    <t>Chang C.</t>
  </si>
  <si>
    <t>First SIR-C scansar results</t>
  </si>
  <si>
    <t>S0196289296051455</t>
  </si>
  <si>
    <t>10.1109/36.536543</t>
  </si>
  <si>
    <t>2-s2.0-0030243068</t>
  </si>
  <si>
    <t>['two types', 'spatial resolutions', 'sar measurements', 'sar images', 'results confirm', 'results based', 'rayleigh model', 'previously presented', 'numerical simulations', 'indoor scatterometric', 'indoor facility', 'experimental data', 'distributed targets', 'correlation length', 'acl ),']</t>
  </si>
  <si>
    <t>A comparison between indoor scatterometric and SAR measurements of distributed targets is presented. In particular, the hackscattered signal statistics (in amplitude and phase) obtained in these two types of measurements are compared for different surface parameters (roughness and correlation length) and varying spatial resolutions in the SAR images. Experimental data have been taken in the European Microwave Signature Laboratory (EMSL) at JRC, an indoor facility which is able to measure extended targets both in scatterometric and linear SAR mode under the same conditions. The results confirm that, with spatial resolutions in the SAR image smaller than two autocorrelation lengths (ACL), the statistics of the backscattered signal depends significantly on the resolution cell size. For larger resolution cells, the experimental data are consistent with the Rayleigh model. This experimental finding substantially confirms the results based on numerical simulations, previously presented in the literature. ¬© 1996 IEEE.</t>
  </si>
  <si>
    <t>1074-1083</t>
  </si>
  <si>
    <t>60103695;60103695;60103695</t>
  </si>
  <si>
    <t>6701789450;6603372832;7005291501</t>
  </si>
  <si>
    <t>Nesti, Giuseppe;Fortuny, Joaquim;Sieber, A. J.</t>
  </si>
  <si>
    <t>European Commission Joint Research Centre</t>
  </si>
  <si>
    <t>Nesti G.</t>
  </si>
  <si>
    <t>Comparison of backscattered signal statistics as derived from indoor scatterometric and SAR experiments</t>
  </si>
  <si>
    <t>S0196289296068209</t>
  </si>
  <si>
    <t>10.1109/36.536523</t>
  </si>
  <si>
    <t>2-s2.0-0030243660</t>
  </si>
  <si>
    <t>NOOO14-90-5-1329</t>
  </si>
  <si>
    <t>['volume fraction', 'usually assumed', 'unit volume', 'stokes matrix', 'spherical scatterers', 'results indicate', 'phase matrix', 'phase correction', 'numerical simulations', 'laboratory measurements', 'final expression', 'field approximation', 'correlation function', 'conventional one', 'concept used']</t>
  </si>
  <si>
    <t>In the derivation of the conventional scattering phase matrix of a discrete random medium, the far-field approximation is usually assumed. In this paper, the phase matrix of a dense discrete random medium is developed by relaxing the far-field approximation and accounting for the effect of volume fraction and randomness properties characterized by the variance and correlation function of scatterer positions within the medium. The final expression for the phase matrix differs from the conventional one in two major aspects: there is an amplitude and a phase correction. The concept used in the derivation is analogous to the antenna array theory. The phase matrix for a collection of scatterers is found to be the Stokes matrix of the single scatterer multiplied by a dense medium phase correction factor. The close spacing amplitude correction appears inside the Stokes matrix. When the scatterers are uncorrelated, the phase correction factor approaches unity. The phase matrix is used to calculate the volume scattering coefficients for a unit volume of spherical scatterers, and the results are compared with calculations from other theories, numerical simulations, and laboratory measurements. Results indicate that there should be a distinction between physically dense medium and electrically dense medium. ¬© 1996 IEEE.</t>
  </si>
  <si>
    <t>1137-1143</t>
  </si>
  <si>
    <t>60003467-60029157;60003467-60029157;60003467-100808294;60029157-100808294</t>
  </si>
  <si>
    <t>7005188026;6604045605;7101926785;54790583100</t>
  </si>
  <si>
    <t>Chuah, Hean Teik;Tjuatja, Saibun;Fung, Adrian K.;Bredow, Jonathan W.</t>
  </si>
  <si>
    <t>Malaysia;United States;United States</t>
  </si>
  <si>
    <t>Kuala Lumpur;Arlington;Arlington</t>
  </si>
  <si>
    <t>Universiti Malaya;The University of Texas at Arlington;Wave Scattering Research Center</t>
  </si>
  <si>
    <t>60029157;60003467;100808294</t>
  </si>
  <si>
    <t>Chuah H.</t>
  </si>
  <si>
    <t>A Phase matrix for a dense discrete random medium: Evaluation of volume scattering coefficient</t>
  </si>
  <si>
    <t>S0196289296068350</t>
  </si>
  <si>
    <t>10.1109/36.536529</t>
  </si>
  <si>
    <t>2-s2.0-0030244546</t>
  </si>
  <si>
    <t>Emory Eye Center</t>
  </si>
  <si>
    <t>EEC</t>
  </si>
  <si>
    <t>['radiation patterns', 'paper describes', 'house semi', 'experimental results', 'electromagnetic simulations']</t>
  </si>
  <si>
    <t>This paper describes the performance and construction of several multiband integrated microstrip antennas around 35 GHz on in-house semi-insulating multilayer GaAs. The simulated and measured input impedances and radiation patterns at both the lower and upper resonant frequencies are given and some experimental results are provided to check the accuracy of the electromagnetic simulations. ¬© 1996 IEEE.</t>
  </si>
  <si>
    <t>1590-1593</t>
  </si>
  <si>
    <t>60011520;60011520;60011520;60011520</t>
  </si>
  <si>
    <t>7003359258;55698353200;15766187300;14068000200</t>
  </si>
  <si>
    <t>S√¢nchez-Hern√¢ndez, David;Wang, Q. H.;Rezazadeh, All A.;Robertson, Lan D.</t>
  </si>
  <si>
    <t>King's College London</t>
  </si>
  <si>
    <t>S√¢nchez-Hern√¢ndez D.</t>
  </si>
  <si>
    <t>Millimeter-wave dual-band microstrip patch antennas using multilayer GaAs technology</t>
  </si>
  <si>
    <t>S0018948096063909</t>
  </si>
  <si>
    <t>10.1109/22.536610</t>
  </si>
  <si>
    <t>2-s2.0-0030245391</t>
  </si>
  <si>
    <t>84-2221-E-009-012</t>
  </si>
  <si>
    <t>['three arrangements', 'tabulation technique', 'structural parameters', 'reflection coefficient', 'radiation nature', 'overlap length', 'order mode', 'numerical results', 'line width', 'line spacing', 'fully analyzed', 'feeding structure', 'experimental setup', 'excitation source', 'design criteria', 'computational effort']</t>
  </si>
  <si>
    <t>Three arrangements of the feeding structure for the excitation of a microstrip leaky wave antenna are proposed and investigated in this paper. A full-wave spectral domain integral equation method combined with the fundamental mode sampling technique is applied to determine the reflection coefficient of the excitation source. Tabulation technique is used to reduce the computational effort. Dependence on structural parameters such as line width, line spacing and overlap length is fully analyzed to obtain the design criteria for a microstrip leaky wave antenna. Additionally, an experimental setup is used to check the validity of our numerical results and verify the radiation nature of the microstrip line first higher-order mode. ¬© 1996 IEEE.</t>
  </si>
  <si>
    <t>1540-1547</t>
  </si>
  <si>
    <t>60012370;60012370;60012370</t>
  </si>
  <si>
    <t>57209831312;7004999780;55412221300</t>
  </si>
  <si>
    <t>Lin, Yu De;Sheen, Jyh Wen;Tzuang, Ching Kuang C.</t>
  </si>
  <si>
    <t>Analysis and design of feeding structures for microstrip leaky wave antenna</t>
  </si>
  <si>
    <t>S0018948096063831</t>
  </si>
  <si>
    <t>10.1109/22.536602</t>
  </si>
  <si>
    <t>2-s2.0-0030246282</t>
  </si>
  <si>
    <t>Agency for Defense Development</t>
  </si>
  <si>
    <t>ADD</t>
  </si>
  <si>
    <t>['thickness changes', 'simulation results', 'longitudinal direction', 'good agreement', 'fdtd method', 'equivalent circuit', 'discontinuity occurs', 'difference time']</t>
  </si>
  <si>
    <t>The finite-difference time-domain (FDTD) method has been applied to the analysis of a double step microstrip discontinuity having thickness changes in the longitudinal direction. The discontinuity occurs in patch antenna feeds or interconnections between microwave planar circuit modules. The simulation results are compared with those computed by HFSS to show a good agreement. An equivalent circuit for the double step discontinuity is developed from the scattering parameters computed by the FDTD method. ¬© 1996 IEEE.</t>
  </si>
  <si>
    <t>1600-1602</t>
  </si>
  <si>
    <t>60068712;60032330</t>
  </si>
  <si>
    <t>7202587195;36024195200</t>
  </si>
  <si>
    <t>Chun, Joong Chang;Park, Wee Sang</t>
  </si>
  <si>
    <t>Seoul;Pohang</t>
  </si>
  <si>
    <t>KT Corporation;Pohang University of Science and Technology</t>
  </si>
  <si>
    <t>Chun J.</t>
  </si>
  <si>
    <t>Analysis of a double step microstrip discontinuity in the substrate using the 3-D-FDTD method</t>
  </si>
  <si>
    <t>S0018948096063922</t>
  </si>
  <si>
    <t>10.1109/22.536613</t>
  </si>
  <si>
    <t>2-s2.0-0030246319</t>
  </si>
  <si>
    <t>['temporal differential', 'sfdtd approach', 'resultant formulation', 'resonant structures', 'reference results', 'good agreements', 'generally effective', 'directly obtained', 'different configurations', 'developed differently']</t>
  </si>
  <si>
    <t>The recently developed spatial finite-difference and temporal differential (SFDTD) approach is extended to dielectric loaded cylindrical environments. Although the method is developed differently, its resultant formulation can be directly obtained from the corresponding finitedifference time-domain (FD-TD) method. Good agreements between the SFDTD and reference results are obtained for different configurations of dielectric loaded cylindrical structures. As a result, the SFDTD approach is shown to be generally effective and robust for resonant structures. ¬© 1996 IEEE.</t>
  </si>
  <si>
    <t>60015913;60015913</t>
  </si>
  <si>
    <t>55465254300;7409467196</t>
  </si>
  <si>
    <t>Chan, Alan Ming Keung;Chen, Zhizhang</t>
  </si>
  <si>
    <t>Halifax</t>
  </si>
  <si>
    <t>Dalhousie University</t>
  </si>
  <si>
    <t>Chan A.</t>
  </si>
  <si>
    <t>Application of the spatial finite-difference and temporal differential (SFDTD) formulation to cylindrical structure problems</t>
  </si>
  <si>
    <t>S0018948096063983</t>
  </si>
  <si>
    <t>10.1109/22.536612</t>
  </si>
  <si>
    <t>2-s2.0-0030246496</t>
  </si>
  <si>
    <t>['spectral domain', 'reflection measurements', 'process step', 'operation frequency', 'novel plasma', 'microstrip line', 'measured results', 'mds ).', 'homogeneous excitation', 'ground metallization', 'gaas substrate', 'first time', 'feed network', 'antenna patches', 'anechoic chamber', '77 ghz', '6 ghz', '30 db']</t>
  </si>
  <si>
    <t>Planar aperture coupled microstrip antennas for 77 GHz are demonstrated for the first time. As far as possible standard GaAs monolithic microwave/millimeter-wave integrated circuit (MMIC) technology is used to realize the antennas. The antenna patches are suspended on a thin dielectric SiN., membrane on GaAs substrate. Therefore a novel plasma-enhanced chemical vapor deposition (PECVD) process step for the fabrication of the membranes is developed and described. The single antenna patches are coupled to a microstrip line through an aperture in the ground metallization. The method of moments in spectral domain is applied to design the patches. The feed network of a 3 x 1 antenna array for homogeneous excitation is simulated and optimized with a microwave design system (MDS). From reflection measurements the operation frequency of this triple patch antenna is determined to be 77.6 GHz. The farneld antenna characteristics are measured in an anechoic chamber, showing good agreement between simulated and measured results and a co- to cross-polarization isolation better than 30 dB. ¬© 1996 IEEE.</t>
  </si>
  <si>
    <t>1593-1595</t>
  </si>
  <si>
    <t>60085149;60011226;60011226;60085149</t>
  </si>
  <si>
    <t>6602318779;7004062266;6603328118;7102340909</t>
  </si>
  <si>
    <t>Stotz, M.;Gottwald, G.;Haspeklo, H.;Wenger, J.</t>
  </si>
  <si>
    <t>Stuttgart;Darmstadt</t>
  </si>
  <si>
    <t>Daimler AG;Technische Universit√§t Darmstadt</t>
  </si>
  <si>
    <t>60085149;60011226</t>
  </si>
  <si>
    <t>Stotz M.</t>
  </si>
  <si>
    <t>Planar millimeter-wave antennas using SiNj;-membranes on GaAs</t>
  </si>
  <si>
    <t>S0018948096063910</t>
  </si>
  <si>
    <t>10.1109/22.536611</t>
  </si>
  <si>
    <t>2-s2.0-0030247767</t>
  </si>
  <si>
    <t>R01CA055034</t>
  </si>
  <si>
    <t>['width half', 'transverse magnetic', 'target perturbations', 'simultaneous recovery', 'similar accuracies', 'recover two', 'reconstructed targets', 'quantitative evaluation', 'positioning errors', 'object size', 'multiple targets', 'measurement strategy', 'important implications', 'imaging performance', 'imaginary components', 'image reconstructions', 'geometrical factors', 'frequency range', 'frequency dependent', 'experiments conducted', 'equivalent targets', 'embedded tissue', 'embedded object', 'electrical contrast', 'diameter estimates', 'correct size', 'background values', 'although errors', '700 mhz', '10 mm', '1 mm']</t>
  </si>
  <si>
    <t>A prototype microwave imaging system is evaluated for its ability to recover two-dimensional (2-D) electrical property distributions under transverse magnetic (TM) illumination using multitarget tissue equivalent phantoms. Experiments conducted in a surrounding lossy saline tank demonstrate that simultaneous recovery of both the real and imaginary components of the electrical property distribution is possible using absolute imaging procedures over a frequency range of 300-700 MHz. Further, image reconstructions of embedded tissue-equivalent targets are found to be quantitative not only with respect to geometrical factors such as object size and location but also electrical composition. Quantitative assessments based on full-width half-height criteria reveal that errors in diameter estimates of reconstructed targets are less than 10 mm in all cases, whereas, positioning errors are less than 1 mm in single object experiments hut degrade to 4-10 mm when multiple targets are present. Recovery of actual electrical properties is found to be frequency dependent for the real and imaginary components with background values being typically within 10-20% of their correct size and embedded object having similar accuracies as a percentage of the electrical contrast, although errors as high as 50 % can occur. The quantitative evaluation of imaging performance has revealed potential advantages in a two-tiered receiver antenna configuration whose measured field values are more sensitive to target region changes than the typical tomographic type of approach which uses reception sites around the full target region perimeter. This measurement strategy has important implications for both the image reconstruction algorithm where there is a premium on minimizing problem size without sacrificing image quality and the hardware system design which seeks to economize on the amount of measured data required for quantitative image reconstruction while maximizing its sensitivity to target perturbations. ¬© 1996 IEEE.</t>
  </si>
  <si>
    <t>878-890</t>
  </si>
  <si>
    <t>60000251-60030443;60000251-60022820;60007267;60030931</t>
  </si>
  <si>
    <t>7003545137;7102750366;7004369332;7202984945</t>
  </si>
  <si>
    <t>Meaney, Paul M.;Paulsen, Keith D.;Hartov, Alexander;Crane, Robert K.</t>
  </si>
  <si>
    <t>Norman;Hanover;Lebanon;Hanover;New York</t>
  </si>
  <si>
    <t>University of Oklahoma;Thayer School of Engineering at Dartmouth;Norris Cotton Cancer Center;Geisel School of Medicine at Dartmouth;IEEE</t>
  </si>
  <si>
    <t>60030931;60030443;60022820;60007267;60000251</t>
  </si>
  <si>
    <t>Meaney P.</t>
  </si>
  <si>
    <t>Microwave imaging for tissue assessment: Initial evaluation in multitarget tissue-equivalent phantoms</t>
  </si>
  <si>
    <t>S0018929496061046</t>
  </si>
  <si>
    <t>10.1109/10.532122</t>
  </si>
  <si>
    <t>2-s2.0-0030249004</t>
  </si>
  <si>
    <t>60000891;60000891;60000891</t>
  </si>
  <si>
    <t>35562685800;7003531756;35562114200</t>
  </si>
  <si>
    <t>Lockyer, D.;Seager, R.;Vardaxoglou, J. C.</t>
  </si>
  <si>
    <t>Reconfigurable FSS using multilayer conducting and slotted array structures</t>
  </si>
  <si>
    <t>2-s2.0-0030252013</t>
  </si>
  <si>
    <t>60011897;60011897;60011897;60011897</t>
  </si>
  <si>
    <t>11239865200;57197946828;57197106880;57198082569</t>
  </si>
  <si>
    <t>Pearson, R. A.;Phillips, B.;Mitchell, K. G.;Patel, M.</t>
  </si>
  <si>
    <t>Pearson R.</t>
  </si>
  <si>
    <t>Application of waveguide simulators to FSS and wideband radome design</t>
  </si>
  <si>
    <t>2-s2.0-0030252019</t>
  </si>
  <si>
    <t>60010818;60011897</t>
  </si>
  <si>
    <t>7201840709;7006753955</t>
  </si>
  <si>
    <t>Parker, E. A.;Philips, B.</t>
  </si>
  <si>
    <t>Leatherhead;Canterbury</t>
  </si>
  <si>
    <t>ERA Technology Ltd;University of Kent</t>
  </si>
  <si>
    <t>60011897;60010818</t>
  </si>
  <si>
    <t>Parker E.</t>
  </si>
  <si>
    <t>Some aspects of curved frequency selective surfaces</t>
  </si>
  <si>
    <t>2-s2.0-0030252108</t>
  </si>
  <si>
    <t>Adams, D. N.</t>
  </si>
  <si>
    <t>Nortel Technology</t>
  </si>
  <si>
    <t>Adams D.</t>
  </si>
  <si>
    <t>Macrocellular angle-of-arrival and delay measurements at 1800MHz</t>
  </si>
  <si>
    <t>2-s2.0-0030252167</t>
  </si>
  <si>
    <t>['¬© 1996', 'wideband measurements', 'synthetic models', 'optimisation based', 'models correspond', 'measurement results', 'mathematical approach', 'include directions', 'experimental investigations', 'etsi smg5', 'electrical engineers', 'doppler spectrum', 'distance dependence', 'data evaluations', 'complex time', 'base station', 'arrival information', 'additionally long']</t>
  </si>
  <si>
    <t>Synthetic models of the wideband mobile radio channel are required for mobile radio system design and optimisation based on simulations and for the implementation into hardware channel simulators for experimental investigations. These models correspond to a time varying transversal filter structure. For the derivation of such models from a set of wideband measured complex impulse responses a mathematical approach is presented. Each tap is described by its complex time-varying amplitude including its statistic and Doppler spectrum. Additionally long-term fading due to shadowing and distance dependence are taken into account This procedure has been applied to the derivation of wideband channel models based on extensive propagation measurement campaigns within the RACE-II Project 2084 ATDMA to be presented by the ACTS Project FRAMES AC090 to ETSI SMG5 and ITU TG 8/1. These models have been accepted by ETSI SMG5 and partly by ITU TG 8/1. Beyond the measurement campaigns within the ATDMA project recently wideband propagation measurements and data evaluations for the directions-of-arrival at the base station have been performed. A method for wideband measurements and for postprocessing of these radio channel impulse responses which include directions-of-arrival information in the azimuth is introduced. Based on this method, measurement results for outdoor macrocellular environments are presented. Such results are essential for assessing, developing, evaluating and optimising adaptive directional antenna concepts and for extending wideband channel models including the directions-of-arrival. ¬© 1996 The Institution of Electrical Engineers.</t>
  </si>
  <si>
    <t>Mohr, Werner</t>
  </si>
  <si>
    <t>Mohr W.</t>
  </si>
  <si>
    <t>Special topics in wideband mobile radio channel modelling and measurements</t>
  </si>
  <si>
    <t>2-s2.0-0030252190</t>
  </si>
  <si>
    <t>7202876045;55806265000</t>
  </si>
  <si>
    <t>Saunders, S. R.;Evans, B. G.</t>
  </si>
  <si>
    <t>Saunders S.</t>
  </si>
  <si>
    <t>The spatial correlation of shadow fading in macrocellular mobile radio systems</t>
  </si>
  <si>
    <t>2-s2.0-0030252191</t>
  </si>
  <si>
    <t>60020650;60020650</t>
  </si>
  <si>
    <t>7004302468;7102568206</t>
  </si>
  <si>
    <t>Tsoulos, G. V.;Beach, M. A.</t>
  </si>
  <si>
    <t>Deployment of adaptive antenna systems in microcells</t>
  </si>
  <si>
    <t>2-s2.0-0030252206</t>
  </si>
  <si>
    <t>['saline solutions', 'lossy materials', 'four open', 'four models', 'complex permittivity', 'comparative study', 'capacitive model', 'calibration materials', 'biological material', 'antenna model']</t>
  </si>
  <si>
    <t>A comparative study of four open-ended coaxial probe models which relate the coaxial line end impedance to the complex permittivity of the material under test is presented. The accuracy of the models in measuring lossy dielectric/biological material and their robustness as a function of the calibration materials are investigated. The four open-ended coaxial probe models studied are: capacitive model, antenna model, virtual line model, and rational function model. Experimental results taken on saline solutions as lossy materials are obtained for the four models. ¬© 1996 IEEE.</t>
  </si>
  <si>
    <t>1928-1934</t>
  </si>
  <si>
    <t>Beruhe, D.</t>
  </si>
  <si>
    <t>Polytechnique Montr√©al</t>
  </si>
  <si>
    <t>Beruhe D.</t>
  </si>
  <si>
    <t>A comparative study of four open-ended coaxial probe models for permittivity measurements of lossy dielectric/biological materials at microwave frequencies</t>
  </si>
  <si>
    <t>S0018948096070172</t>
  </si>
  <si>
    <t>10.1109/22.539951</t>
  </si>
  <si>
    <t>2-s2.0-0030257446</t>
  </si>
  <si>
    <t>['surface distribution', 'strongly dependent', 'realistic hand', 'method using', 'head model', 'finitedifference time', 'experimentally measured', 'electrical inhomogeneity', 'distributions calculated', 'calculated sar', 'also shown']</t>
  </si>
  <si>
    <t>This paper presents characteristics of the specific absorption rate (SAR) distributions calculated by the finitedifference time-domain (FDTD) method using a heterogeneous and realistic head model and a realistic hand-held portable radio model. The difference between the SAR distributions produced by a 1/4-wavclength monopole antenna and those produced by a 1/2-wavelength dipole antenna is investigated. The dependence of the maximum local SAR on the distance d between the auricle of the head and the antenna of the radio is evaluated. It is shown that the maximum local SAR decreases as the antenna length extends from 1/4 to 1/2 of the wavelength. The maximum local SAR's in a head model with auricles are larger than those in one without auricles. The dependence of the SAR on the electrical inhomogeneity of the tissues in the head model is not significant with regard to the surface distribution and the maximum local SAR when the radio is near the head. It is also shown that the maximum local SAR is not strongly dependent on the position of the hand when the hand does not shade the antenna. Furthermore, the SAR's experimentally measured in a homogeneous head phantom are compared with the calculated SAR's. ¬© 1996 IEEE.</t>
  </si>
  <si>
    <t>1874-1883</t>
  </si>
  <si>
    <t>Watanabe, So Ichi</t>
  </si>
  <si>
    <t>Watanabe S.I.</t>
  </si>
  <si>
    <t>Characteristics of the SAR distributions in a head exposed to electromagnetic fields radiated by a hand-held portable radio</t>
  </si>
  <si>
    <t>10.1109/22.539946</t>
  </si>
  <si>
    <t>2-s2.0-0030257469</t>
  </si>
  <si>
    <t>Texas Higher Education Coordinating Board</t>
  </si>
  <si>
    <t>THECB</t>
  </si>
  <si>
    <t>['wireless communications', 'transceiver applications', 'produce compact', 'mixer diode', 'lowcost products', 'local oscillator', 'integrated within', 'fet serves', 'effect transistor', 'doppler sensors', 'distributed oscillators', '8 ghz', '6 ghz']</t>
  </si>
  <si>
    <t>Integrated and active antennas incorporate component functions directly at the antenna terminals thereby reducing the size, weight, and cost of many microwave systems. Active integrated antennas have been used for distributed oscillators in spatial and quasi-optical power combining arrays, but the concept can be extended to include such applications as Doppler sensors, radars, and wireless communications to produce compact, lowcost products. In this paper, we report that a field-effect transistor (FET) and a Schottky mixer diode have been integrated within an inverted patch antenna for transceiver applications. The position of the mixer diode on the patch was optimized to achieve a minimum conversion loss. Preliminary results exhibit a 5.5 dB isotropic mixer conversion loss at 6 GHz for a 200 MHz intermediate frequency. The FET serves as both the transmitter and the local oscillator at 5.8 GHz. A two-way communication system using these transceivers is proposed. ¬© 1996 IEEE.</t>
  </si>
  <si>
    <t>1642-1649</t>
  </si>
  <si>
    <t>10 PART 1</t>
  </si>
  <si>
    <t>60000251-60020547;60000251-60015272;60000251-100435954;60020547-60015272</t>
  </si>
  <si>
    <t>6602428202;7402512895;7402580085;7404879378</t>
  </si>
  <si>
    <t>Flynt, Robert A.;Fan, Lu;Navarro, Julio A.;Chang, Kai</t>
  </si>
  <si>
    <t>College Station;Dallas;New York;Geneve</t>
  </si>
  <si>
    <t>Texas A&amp;M University;Texas Instruments;IEEE;Epsilon Lambda Electronics Corp</t>
  </si>
  <si>
    <t>60020547;60015272;60000251;100435954</t>
  </si>
  <si>
    <t>Flynt R.</t>
  </si>
  <si>
    <t>Low cost and compact active integrated antenna transceiver for system applications</t>
  </si>
  <si>
    <t>S0018948096069001</t>
  </si>
  <si>
    <t>10.1109/22.538955</t>
  </si>
  <si>
    <t>2-s2.0-0030257544</t>
  </si>
  <si>
    <t>['statistical treatment', 'spinal cord', 'power deposition', 'paper presents', 'nonthermal effects', 'microwaves irradiating', 'microwave effect', 'impulse response', 'implanted micro', 'evoked potential', 'electrical stimulus']</t>
  </si>
  <si>
    <t>The paper presents an in vivo experiment concerning cerebral evoked potentials in the presence and in the absence of microwaves irradiating the spinal cord. An electrical stimulus is applied on the peripheral nervous system of a rabbit while the impulse response (evoked potential) is measured by an electrode in the cortex. The spinal cord is irradiated at 4.2-GlIz by an implanted micro-antenna. The purpose of the experiment is to distinguish between thermal and possible nonthermal effects. A statistical treatment of the recorded data shows that there is a microwave effect. Power deposition is calculated. The bioheat equation indicates that the microwave irradiation results in a temperature increase within the spinal cord. Nonthermal effects were not observed. ¬© 1996 IEEE.</t>
  </si>
  <si>
    <t>1942-1948</t>
  </si>
  <si>
    <t>Teng, Jian</t>
  </si>
  <si>
    <t>Louvain-la-Neuve</t>
  </si>
  <si>
    <t>Universit√© Catholique de Louvain</t>
  </si>
  <si>
    <t>Teng J.</t>
  </si>
  <si>
    <t>No nonthermal effect observed under microwave irradiation of spinal cord</t>
  </si>
  <si>
    <t>S0018948096070378</t>
  </si>
  <si>
    <t>10.1109/22.539953</t>
  </si>
  <si>
    <t>2-s2.0-0030257935</t>
  </si>
  <si>
    <t>03 RR05333-01</t>
  </si>
  <si>
    <t>['thereby fixing', 'term success', 'prototype antenna', 'model symmetric', 'microwave power', 'helical antennas', 'healthy artery', 'fourlayered concentric', 'excitation frequency', 'avoiding overheating', 'asymmetric models', 'analytically computed']</t>
  </si>
  <si>
    <t>A catheter-based microwave helix antenna has been developed in an attempt to improve the long-term success of balloon angioplasty treatment of arteriosclerosis. When the balloon is inflated to widen vessels obstructed with plaque, microwave power is deposited in the plaque, heating it, and thereby fixing it in place. By optimizing the helix pitch angle and excitation frequency, the antenna radiation pattern can be adjusted to deposit microwave power preferentially in the plaque while avoiding overheating the healthy artery. The optimal power deposition patterns of helical antennas are analytically computed for fourlayered concentric and four-layered nonconcentric cylindrical geometries, which model symmetric and asymmetric occluded arteries. Experiments were performed on occluded artery phantom models with a prototype antenna for both symmetric and asymmetric models, which matched the theoretical predictions well, indicating almost complete power absorption in the lowwater-content simulated plaque. ¬© 1996 IEEE.</t>
  </si>
  <si>
    <t>1819-1831</t>
  </si>
  <si>
    <t>60028628;60028628</t>
  </si>
  <si>
    <t>55183042900;7004701432</t>
  </si>
  <si>
    <t>Liu, Ping;Rappaport, Carey M.</t>
  </si>
  <si>
    <t>Northeastern University</t>
  </si>
  <si>
    <t>Liu P.</t>
  </si>
  <si>
    <t>A helical microwave antenna for welding plaque during balloon angioplasty</t>
  </si>
  <si>
    <t>S0018948096070287</t>
  </si>
  <si>
    <t>10.1109/22.539940</t>
  </si>
  <si>
    <t>2-s2.0-0030257936</t>
  </si>
  <si>
    <t>['theoretical calculation', 'switch parameters', 'pvfet characteristics', 'performance improved', 'inductor tuned', 'fall times', 'enhance isolation', 'electrical bias', 'complete electromagnetic', '790 mhz', '4 ghz', '30 mil', '2 /¬´']</t>
  </si>
  <si>
    <t>A pholovoltaic-FET (PV-FET) is demonstrated for RF//iwavc switching with performance improved over other optoelectronic switches reported while operating with 10-100 times less optical power. The PVFET characteristics were 3 (I on-resistance, &gt; 30 Mil off-resistance under &lt;1 mW optical power, and 300 fF switch capacitance. This PVFET was inductor tuned at 790 MHz and 7.4 GHz to enhance isolation, intended for reconfigurable antenna applications. The measured insertion loss and isolation agree well with those from theoretical calculation and numerical circuit simulation based on the switch parameters. The measured switch rise and fall times were 20 /s and 2 /¬´s, respectively. Controlled by light via optical fiber, the PV-FET can be used for remote RF//iwave switching control with no electrical bias, complete electromagnetic, and good thermal isolation. ¬©1996 IEEE.</t>
  </si>
  <si>
    <t>1747-1750</t>
  </si>
  <si>
    <t>60032503;60032503;60032503;60032503</t>
  </si>
  <si>
    <t>57218984936;23022495300;7407034642;54679382400</t>
  </si>
  <si>
    <t>Sun, C. K.;Nguyen, R.;Chang, C. T.;Alhares, D. J.</t>
  </si>
  <si>
    <t>Sun C.K.</t>
  </si>
  <si>
    <t>Photovoltaic-FET for optoelectronic RF/pwave switching</t>
  </si>
  <si>
    <t>S0018948096069153</t>
  </si>
  <si>
    <t>10.1109/22.538971</t>
  </si>
  <si>
    <t>2-s2.0-0030257937</t>
  </si>
  <si>
    <t>['voxel si', 'sources operating', 'slightly overestimates', 'shape arc', 'results demonstrate', 'reduced degrees', 'numerical results', 'multitissue phantom', 'mri scans', 'minor importance', 'local inhomogeneities', 'internal anatomy', 'inhomogeneous phantoms', 'human head', 'homogeneous phantoms', 'electrical properties', 'electric properties', 'different shapes', 'close proximity', 'case exposure', 'addition simulations', '900 mhz']</t>
  </si>
  <si>
    <t>In this paper the dependence of electromagnetic energj absorption at 900 MHz in the human head on its anatomy and its modeling are investigated for RF-sources operating in the very close proximity of the head. Different numerical head phantoms based on MRI scans of three different adults were used with voxel si/es down to 1 mm'. Simulations of the absorption were performed by distinguishing the electrical properties of up to 13 tissue types. In addition simulations with modified electric parameters and reduced degrees of complexity were performed. Thus, the phantoms greatly differ from each other in terms of shape, size, and internal anatomy. The numerical results are compared with those of measurements in a multitissue phantom and two homogeneous phantoms of different shapes and sizes. The results demonstrate that size and shape arc of minor importance. Although local SAR values depend significantly on local inhomogeneities and electric properties, the volume-averaged spatial peak SAR obtained with the homogeneous phantoms only slightly overestimates that of the worst-case exposure in the inhomogeneous phantoms. ¬© 1996 IEEE.</t>
  </si>
  <si>
    <t>1865-1873</t>
  </si>
  <si>
    <t>Hombach, Volker</t>
  </si>
  <si>
    <t>Hombach V.</t>
  </si>
  <si>
    <t>The dependence of EM energy absorption upon human head modeling at 900 MHz</t>
  </si>
  <si>
    <t>S0018948096070329</t>
  </si>
  <si>
    <t>10.1109/22.539945</t>
  </si>
  <si>
    <t>2-s2.0-0030258332</t>
  </si>
  <si>
    <t>['spatial distribution', 'simulate brain', 'outer sets', 'model allows', 'layer model', 'induced electromagnetic', 'indirect mode', 'imm ).', 'head separation', 'frequencies used', 'exposure configuration', 'excitation frequency', 'cellular phones']</t>
  </si>
  <si>
    <t>The induced electromagnetic (EM) field in a layered eccentric spheres structure is determined through a concise analytical formulation based on indirect mode-matching (IMM). The exact analytical solution is applied to a six-layer model of the head. This model allows for eccentricity between the inner and outer sets of concentric spherical layers which simulate brain and skull, respectively. Excitation is provided by a nearby localized source or by an incident plane wave. The numerical application provides information about the total absorbed power, the absorption in each layer, and the spatial distribution of the specific absorption rate (SAR) at frequencies used by cellular phones. The effects of excitation frequency, eccentricity, exposure configuration, and antenna-head separation are investigated. ¬© 1996 IEEE.</t>
  </si>
  <si>
    <t>1963-1973</t>
  </si>
  <si>
    <t>Skaropoulos, Nikos C.</t>
  </si>
  <si>
    <t>Skaropoulos N.</t>
  </si>
  <si>
    <t>Induced em field in a layered eccentric spheres model of the head: plane-wave and localized source exposure</t>
  </si>
  <si>
    <t>S0018948096070408</t>
  </si>
  <si>
    <t>10.1109/22.539956</t>
  </si>
  <si>
    <t>2-s2.0-0030258476</t>
  </si>
  <si>
    <t>['values computed', 'useful prerequisite', 'time course', 'temperature rise', 'results confirm', 'reflection coefficient', 'radiated power', 'numerical model', 'microwave energy', 'microwave catheters', 'heart model', 'electromagnetic field', 'either homogeneous', 'different frequencies', 'different electrical', 'coaxial cable', 'close agreement', 'axisymmetrical geometries', 'axial steady', 'accurate modeling']</t>
  </si>
  <si>
    <t>To investigate the delivery of microwave energy by a catheter located inside the heart for the purpose of ablating small abnormal regions producing cardiac arrhythmias, a numerical model was developed. This model is based on the finite element method and can solve both the electromagnetic field and the temperature distribution resulting from the radiated power for axisymmetrical geometries. The antenna, which is fed by a coaxial cable with a 2.4 mm diameter, is constituted by a monopole which is terminated by a metallic cylindrical cap. The heart model can be either homogeneous or constituted of coaxial cylindrical shells with different electrical and thermal conductivities representing the intracavitary blood masses, the heart, and the torso. Experimental measurements obtained in an homogeneous tissue equivalent medium, such as the reflection coefficient of the antenna at different frequencies and for different monopole lengths, the radial and axial steady-state temperature profiles, and the time course of the temperature rise, were all in close agreement with the values computed with the model. Accurate modeling is a useful prerequisite for the design of antennas, and these results confirm the validity of the catheter-heart model for the investigation and the development of microwave catheters. ¬© 1996 IEEE.</t>
  </si>
  <si>
    <t>1848-1854</t>
  </si>
  <si>
    <t>Kaouk, Zouheir</t>
  </si>
  <si>
    <t>University of Montreal</t>
  </si>
  <si>
    <t>Kaouk Z.</t>
  </si>
  <si>
    <t>A finite element model of a microwave catheter for cardiac ablation</t>
  </si>
  <si>
    <t>S0018948096070196</t>
  </si>
  <si>
    <t>10.1109/22.539943</t>
  </si>
  <si>
    <t>2-s2.0-0030258477</t>
  </si>
  <si>
    <t>['using simultaneously', 'urethral applicators', 'two applicators', 'thermal pattern', 'thermal modeling', 'rectal applicator', 'prostate gland', 'operate together', 'operate independently', 'operate alone', 'microwave energy', 'large adenoma', 'gland particularly', 'efficient heating', 'complete 915', 'applicator alone']</t>
  </si>
  <si>
    <t>Microwave therniotherapy systems used for benign prostatic hyperplasia treatment generally operate with urethral or rectal applicator to deliver the microwave energy in the prostate. This technique does not allow an efficient heating of all the gland particularly in the case of large adenoma or when the treatment is limited to only one heating session. A solution to this problem is given by using simultaneously the rectal and urethral applicators [1J. A complete 915-MHz microwave therniotherapy system is presented with two applicators which can operate independently or simultaneously to deliver the microwave energy in the prostate. Electromagnetic and thermal modeling have been developed for the applicator antenna optimization, to calculate the specific absorption rate (SAR) and the thermal pattern in the prostate for each applicator alone and when they operate together in phase. Different canine experiments have been performed to prove the interest of using the two applicators simultaneously as compared when they operate alone. Hystological examination cuts of the prostate gland after heating have been carried out. ¬© 1996 IEEE.</t>
  </si>
  <si>
    <t>1762-1768</t>
  </si>
  <si>
    <t>Despret, David</t>
  </si>
  <si>
    <t>Despret D.</t>
  </si>
  <si>
    <t>Microwave prostatic hyperthermia: interest of urethral and rectal applicators combination-theoretical study and animal experimental results</t>
  </si>
  <si>
    <t>S0018948096070238</t>
  </si>
  <si>
    <t>10.1109/22.539933</t>
  </si>
  <si>
    <t>2-s2.0-0030258478</t>
  </si>
  <si>
    <t>BC Hydro</t>
  </si>
  <si>
    <t>['user interaction', 'unreliable results', 'spherical model', 'specific findings', 'significantly altered', 'resultant deposition', 'resolution models', 'relatively simple', 'relatively close', 'previous analyses', 'particular interest', 'paper builds', 'numerical analysis', 'microwave power', 'human head', 'human body', 'head model', 'hand holding', 'difference time', 'considerably decreased', 'computer tomography', 'cellular telephones', 'box model']</t>
  </si>
  <si>
    <t>The antenna radiation pattern and other characteristics are significantly altered by the presence of the human body. This interaction as well as the resultant deposition of microwave power in the body (specific absorption rate-SAR) are of particular interest for cellular telephones and similar communication devices. This paper builds on and extends the previous analyses of parameters that influence the antenna-user interaction. Computer tomography (CT) and magnetic resonance imaging (MRI)-derived, high-resolution models of the human head are used. The numerical analysis is performed with the finite-difference time-domain (FDTD) method. The specific findings are: 1) a box model of a human head provides grossly distorted and unreliable results for the antenna radiation pattern; 2) a spherical model of the human head provides results that are relatively close to those obtained with a relatively simple, but more realistic, head model; 3) the SAR values obtained with spherical or simplified head models, that do not include the ear, are greater than those for a realistic head model that includes the ear; and 4) a hand holding the handset absorbs significant amount of antenna output power, which can be considerably decreased by modifying the geometry of the handset metal box. ¬© 1996 IEEE.</t>
  </si>
  <si>
    <t>1855-1864</t>
  </si>
  <si>
    <t>Okoniewski, Michal</t>
  </si>
  <si>
    <t>Okoniewski M.</t>
  </si>
  <si>
    <t>A study of the handset antenna and human body interaction</t>
  </si>
  <si>
    <t>S0018948096070317</t>
  </si>
  <si>
    <t>10.1109/22.539944</t>
  </si>
  <si>
    <t>2-s2.0-0030258579</t>
  </si>
  <si>
    <t>['tip monopoles', 'theoretical results', 'reflection coefficient', 'normal saline', 'measurements performed', 'magnetic field', 'good agreement', 'frequency domain', 'element method', 'different dimensions', 'computer model', 'compare metal', 'catheter ablation', 'antennas immersed']</t>
  </si>
  <si>
    <t>We study the characteristics of various monopole antennas for microwave catheter ablation of the endocardium. The investigation is done with a computer model based on the finite-element method in the frequency domain. Three monopole geometries are considered: open-tip, dielectric-tip, and metaltip. Calculations are made for the magnetic field, the reflection coefficient and the power deposition pattern of the antennas immersed in normal saline. The theoretical results are compared with measurements performed on prototypes and good agreement is obtained. The antenna characteristics suggest that the metal-tip monopole best fulfills the requirements of catheter ablation. The computer model is then used to compare metal-tip monopoles of different dimensions and to determine design trade-offs. ¬© 1996 IEEE.</t>
  </si>
  <si>
    <t>1832-1840</t>
  </si>
  <si>
    <t>Labont√©, Sylvain</t>
  </si>
  <si>
    <t>University of Ottawa</t>
  </si>
  <si>
    <t>Labont√© S.</t>
  </si>
  <si>
    <t>Monopole antennas for microwave catheter ablation</t>
  </si>
  <si>
    <t>S0018948096070299</t>
  </si>
  <si>
    <t>10.1109/22.539941</t>
  </si>
  <si>
    <t>2-s2.0-0030258631</t>
  </si>
  <si>
    <t>['vivo testing', 'various energies', 'various distances', 'temperature profile', 'temperature measurements', 'temperature contours', 'surface temperature', 'radio frequency', 'power versus', 'power density', 'power delivery', 'phantom model', 'perfusion chamber', 'mw electrodes', 'model consists', 'min immersed', 'measurements obtained', 'lesions created', 'lesion volumes', 'lesion volume', 'lesion geometry', 'imperfect tuning', 'higher temperature', 'deeper heating', 'cooling effects', 'catheter due', 'carefully analyzed', '915 mhz', '8 mm', '550 khz', '4 l']</t>
  </si>
  <si>
    <t>We have developed a flow-phantom model in order to measure the temperature profile of radio frequency (RF) and microwave (MW) catheters. The model consists of a muscle equivalent phantom in a perfusion chamber with constant saline infusion of 4 L/min immersed in a 37¬∞ C saline hath. RF (4 or 8 mm, 550 kHz) or MW (12 mm helical antenna, 915 MHz) catheters were placed on the surface of the phantom and various energies were applied. Temperature measurements were obtained with fiberoptic thermometry probes placed at various distances from the catheter. Temperature contours were generated, and lesion volumes were estimated using 47¬∞C isotherm (AT &gt; 10¬∞C). The dosimetry of power versus AT was linear. A 2.59 fold increase in power density was required to achieve a similar surface temperature with the 8 mm versus 4 mm electrode tip. The volumes of lesions created with an 8 mm electrode were 2.5 x larger than those made with a 4 mm electrode at a similar surface temperature. The RF phantom data compared favorably with the lesion volumes seen in the in vivo canine left ventricular model. The temperature profile of the microwave electrode showed heating along the length of the catheter due to imperfect tuning of the antenna. Deeper heating was seen with 8 mm RF and MW electrodes than with an RF 4 mm electrode given the same surface temperature. Measurements obtained with both a static and flow-phantom model demonstrated the cooling effects of flow on surface temperature measured during power delivery. Conclusions: The flow-phantom model accurately predicts the lesion geometry but underestimates the lesion volume at higher temperature when compared to the m vivo left ventricular canine model. Static phantom models will overestimate lesion size due to the surface cooling effects of cardiac blood flow. Changes in microwave catheter design may be carefully analyzed with the flow-phantom model prior to in vivo testing. ¬© 1996 IEEE.</t>
  </si>
  <si>
    <t>1841-1847</t>
  </si>
  <si>
    <t>Hsu, Steve S.</t>
  </si>
  <si>
    <t>Jefferson Medical College</t>
  </si>
  <si>
    <t>Hsu S.</t>
  </si>
  <si>
    <t>A method for the in vitro testing of cardiac ablation catheters</t>
  </si>
  <si>
    <t>S0018948096070305</t>
  </si>
  <si>
    <t>10.1109/22.539942</t>
  </si>
  <si>
    <t>2-s2.0-0030258679</t>
  </si>
  <si>
    <t>ECS- 9257927</t>
  </si>
  <si>
    <t>['model facilitates', 'microwave hyperthermia', 'first step', 'design procedure', 'bolus materials', 'antenna performance']</t>
  </si>
  <si>
    <t>Phased array applicators for microwave hyperthermia are usually developed using planar, layered tissue models, and then evaluated using numerical techniques. The present investigation considers the use of a cylindrical, layered tissue model to replace the first step of the design procedure. This model facilitates an evaluation of the impact of curvature, polarization, and bolus materials on the antenna performance. ¬© 1996 IEEE.</t>
  </si>
  <si>
    <t>1799-1802</t>
  </si>
  <si>
    <t>Najafabadi, Reza M.</t>
  </si>
  <si>
    <t>Najafabadi R.</t>
  </si>
  <si>
    <t>Focusing and impedance properties of conformable phased array antennas for microwave hyperthermia</t>
  </si>
  <si>
    <t>S0018948096070263</t>
  </si>
  <si>
    <t>10.1109/22.539937</t>
  </si>
  <si>
    <t>2-s2.0-0030258725</t>
  </si>
  <si>
    <t>['source points', 'phased array', 'like medium', 'iteration method', 'individual applicators', 'fielditeration method', 'electric field', 'dyadic green', 'derived using', '200 mhz']</t>
  </si>
  <si>
    <t>The field-iteration method (FIM) is used for simulation of the three-dimensional (3-D) phased array for deep regional hyperthermia at a frequency of 200 MHz. The iterative equation involving the electric field integral equation is derived using the dyadic Green's function with singularities at source points. The electric field and specific absorption rate distributions in a circular cylindrical model of muscle-like medium and in a model of computerized tomography scans of a liver cancer patient are calculated, respectively, using different amplitudes and/or phases and/or positions of individual applicators of the H-horn phased array. The obtained numerical results compared with the moment method results are analysed to assess the accuracy of the fielditeration method and also to predict the advantages of the 3-U phased array hyperthermia system. ¬© 1996 IEEE.</t>
  </si>
  <si>
    <t>1778-1787</t>
  </si>
  <si>
    <t>Deng, Tianquan</t>
  </si>
  <si>
    <t>Deng T.</t>
  </si>
  <si>
    <t>Use of the field-iteration method in studying the three-dimensional phased array for electromagnetic hyperthermia</t>
  </si>
  <si>
    <t>S001894809607024X</t>
  </si>
  <si>
    <t>10.1109/22.539935</t>
  </si>
  <si>
    <t>2-s2.0-0030258726</t>
  </si>
  <si>
    <t>['widely used', 'theoretical analysis', 'sonar applications', 'simulation results', 'sidelobe level', 'reject interference', 'proposed method', 'precisely control', 'phase errors', 'moderate bandwidth', 'method proposed', 'inadequate estimation', 'high sidelobes', 'distorted inaiiibeains', 'also generalized']</t>
  </si>
  <si>
    <t>Adaptive beamforming techniques are now widely used to reject interference (jammer/clutter) signals in radar, communication, and sonar applications. In adaptive arrays using the sample matrix inversion (SMI) algorithm, inadequate estimation of the covariance matrix results in adaptive antenna patterns with high sidelobes and distorted inaiiibeains. In this paper, a method is proposed to precisely control the peak (rather than average) sidelobe level of adapted array patterns. The proposed method is also generalized to adaptive array antennas with moderate bandwidth and large random amplitude and phase errors. Theoretical analysis and simulation results are provided to illustrate the performance of the method proposed. ¬© 1996 IEEE.</t>
  </si>
  <si>
    <t>1341-1347</t>
  </si>
  <si>
    <t>101229925;60003977;101229925</t>
  </si>
  <si>
    <t>7402944474;57225678424;57204102683</t>
  </si>
  <si>
    <t>Wu, Renbiao;Bao, Zheng;Ma, Yuanliang</t>
  </si>
  <si>
    <t>Xi'an;Tianjin</t>
  </si>
  <si>
    <t>Northwestern Polytechnical University;Civil Aviation Institute of China</t>
  </si>
  <si>
    <t>60003977;101229925</t>
  </si>
  <si>
    <t>Wu R.</t>
  </si>
  <si>
    <t>Control of peak sidelobe level in adaptive arrays</t>
  </si>
  <si>
    <t>S0018926X96075448</t>
  </si>
  <si>
    <t>10.1109/8.537328</t>
  </si>
  <si>
    <t>2-s2.0-0030269743</t>
  </si>
  <si>
    <t>['numerical model', 'module characterized', 'modular approach', 'major advantages', 'impedance matrix', 'computed results', 'available measured', 'array antennas', 'appropriate sequence']</t>
  </si>
  <si>
    <t>A numerical model is presented to analyze multilayered microstrip infinite phased-array antennas. The model is based on modular approach where each layer is considered as a module characterized by its generalized scattering matrix. The individual scattering matrices are combined in appropriate sequence to yield the overall scattering matrix and the impedance matrix of the structure. Accuracy of the model is verified by comparison with available measured and computed results. The major advantages of the model are outlined in the conclusion. ¬© 1996 IEEE.</t>
  </si>
  <si>
    <t>1386-1393</t>
  </si>
  <si>
    <t>Bhattacharyya, Arun K.</t>
  </si>
  <si>
    <t>A numerical model for multilayered microstrip phased-array antennas</t>
  </si>
  <si>
    <t>S0018926X96075497</t>
  </si>
  <si>
    <t>10.1109/8.537333</t>
  </si>
  <si>
    <t>2-s2.0-0030270198</t>
  </si>
  <si>
    <t>['radiation characteristics', 'obtained using', 'modal expansion', 'input admittance', 'ground plane', 'geometrical theory', 'free space', 'fields inside', 'fem solution', 'fem ).', 'feed region', 'experimental results', 'ended circular', 'em fields', 'coaxial cavity']</t>
  </si>
  <si>
    <t>A technique using hybrid finite element method (FEM)/method of moments (MoM) and geometrical theory of diffraction (GTD) is presented to analyze the radiation characteristics of cavity fed aperture antennas in a finite ground plane. The cavity which excites the aperture is assumed to be fed by a cylindrical transmission line. The electromagnetic (EM) fields inside the cavity are obtained using finite element method (FEM). The EM fields and their normal derivatives required for FEM solution are obtained using: 1) the modal expansion in the feed region and 2) the MoM for the radiating aperture region (assuming an infinite ground plane). The flniteness of the ground plane is taken into account using GTD. The input admittance of open-ended circular, rectangular, and coaxial line radiating into free space through an infinite ground plane arc computed and compared with earlier published results. Radiation characteristics of a coaxial cavity-fed circular aperture in a finite rectangular ground plane are verified with experimental results. ¬© 1996 IEEE.</t>
  </si>
  <si>
    <t>1327-1333</t>
  </si>
  <si>
    <t>60000854;60031249;60000854;60000854</t>
  </si>
  <si>
    <t>7403176992;7102211143;7004414709;7202917810</t>
  </si>
  <si>
    <t>Reddy, C. J.;Deshpande, M. D.;Cockrell, C. R.;Beck, F. B.</t>
  </si>
  <si>
    <t>Hampton;Hampton</t>
  </si>
  <si>
    <t>Hampton University;NASA Langley Research Center</t>
  </si>
  <si>
    <t>60031249;60000854</t>
  </si>
  <si>
    <t>Radiation characteristics of cavity backed aperture antennas in finite ground plane using the hybrid FEM/MoM technique and geometrical theory of diffraction</t>
  </si>
  <si>
    <t>S0018926X96075424</t>
  </si>
  <si>
    <t>10.1109/8.537326</t>
  </si>
  <si>
    <t>2-s2.0-0030270326</t>
  </si>
  <si>
    <t>['transmission lines', 'polar coordinates', 'integration region', 'exact technique', 'coordinate system', 'calculated exactly', 'boundary point', 'asymmetrically edge']</t>
  </si>
  <si>
    <t>An exact technique for the evaluation of the two-dimensional generalized exponential integral-as required in structures involving rectangular planar radiators and transmission lines-is presented. It is shown that the singularity is integrable if integration is performed in polar coordinates. The integral can be calculated exactly and with minimal computational effort, even if integration over the origin of the coordinate system is required-regardless of whether the origin is an internal or boundary point of the integration region. Comparison with a standard technique proves the presented approach superior. Stability of the algorithm and convergence is discussed. Performance is demonstrated for the example of an asymmetrically edge-fed patch antenna. ¬© 1996 IEEE.</t>
  </si>
  <si>
    <t>1422-1425</t>
  </si>
  <si>
    <t>6602632189;7102313844;7006128443</t>
  </si>
  <si>
    <t>Gimersky, Martin;Amari, Smain;Bornemann, Jens</t>
  </si>
  <si>
    <t>Gimersky M.</t>
  </si>
  <si>
    <t>Numerical evaluation of the two-dimensional generalized exponential integral</t>
  </si>
  <si>
    <t>S0018926X96070093</t>
  </si>
  <si>
    <t>10.1109/8.537338</t>
  </si>
  <si>
    <t>2-s2.0-0030270592</t>
  </si>
  <si>
    <t>['theoretically demonstrated', 'temporal taps', 'required number', 'interference produced', 'design formulas', 'cancelled using']</t>
  </si>
  <si>
    <t>We have theoretically demonstrated that the interference produced in a radar by multiple wideband mainbeam jammers can be cancelled using a set of appropriately located auxiliary antennas with adaptive tapped delay lines. Typical cancellation performance is illustrated, and design formulas are derived for the required number of auxiliaries and their gain, spacing, number of temporal taps, etc. ¬© 1996 IEEE.</t>
  </si>
  <si>
    <t>1402-1413</t>
  </si>
  <si>
    <t>60012564;60012564;60012564</t>
  </si>
  <si>
    <t>7006009447;7410191088;6507241543</t>
  </si>
  <si>
    <t>Fante, Ronald L.;Davis, Richard M.;Guella, Thomas P.</t>
  </si>
  <si>
    <t>McLean</t>
  </si>
  <si>
    <t>MITRE Corporation</t>
  </si>
  <si>
    <t>Fante R.L.</t>
  </si>
  <si>
    <t>Wideband cancellation of multiple mainbeam jammers</t>
  </si>
  <si>
    <t>S0018926X96075539</t>
  </si>
  <si>
    <t>10.1109/8.537336</t>
  </si>
  <si>
    <t>2-s2.0-0030270785</t>
  </si>
  <si>
    <t>['wall reflections', 'various values', 'various line', 'utd model', 'transmitter height', 'theoretical results', 'specular reflections', 'signal propagation', 'side streets', 'rectilinear grid', 'received signal', 'quasi three', 'propagation parameters', 'propagation models', 'propagation model', 'previous papers', 'possible paths', 'parallel streets', 'paper presents', 'oos regions', 'multiple reflections', 'much higher', 'model includes', 'measurements indicates', 'main street', 'limited number', 'limited mainly', 'including ground', 'ground reflections', 'good agreement', 'generalized format', 'flat surfaces', 'dimensional one', 'corner diffractions', 'conductivity cr', 'city streets', 'buildings walls', 'building walls']</t>
  </si>
  <si>
    <t>This paper presents a comprehensive uniform theory of diffraction (UTD) propagation model for a city street grid, using the multiple image concept and the generalized Format's principle to describe the multiple reflections and diffractions. The model is a quasi three-dimensional one in the sense that the building walls are assumed to be much higher than the transmitter height so that the diffractions from the rooftops can be neglected. The model includes all possible specular wall and ground reflections and corner diffractions in the main street, side streets, and parallel streets of a microcell. This enables the signal propagation through all the possible paths to be tracked to the receiver at various line-of-sight (LOS) or out-of-sight (OOS) positions. Previous papers on such propagation models have included only a limited number of specular reflections and diffractions or they are restricted to a rectilinear grid where all the buildings walls on each side of the streets are coplanar. Our model includes contributions to the received signal from all possible propagation paths, including ground and wall reflections from diffracted and specularly reflected signals both in the LOS and OOS regions. Within the scope of the UTD model, the accuracy of our model is limited mainly by the assumptions of characterizing the building walls as "smoothed-out" flat surfaces with average relative permittivity sr and conductivity cr. Our theoretical results of the signal path loss along the streets are compared with measurements which have been reported for city streets in Tokyo and New York City for various values of the propagation parameters. The good agreement with these measurements indicates that our UTD model works well for such microcellular communication applications. ¬© 1996 IEEE.</t>
  </si>
  <si>
    <t>1317-1326</t>
  </si>
  <si>
    <t>7403365955;7403011603</t>
  </si>
  <si>
    <t>Tan, S. Y.;Tan, H. S.</t>
  </si>
  <si>
    <t>Tan S.</t>
  </si>
  <si>
    <t>A microcellular communications propagation model based on the uniform theory of diffraction and multiple image theory</t>
  </si>
  <si>
    <t>S0018926X96075394</t>
  </si>
  <si>
    <t>10.1109/8.537325</t>
  </si>
  <si>
    <t>2-s2.0-0030271117</t>
  </si>
  <si>
    <t>['slot lengths', 'proposed antenna', 'nearly equal', 'good impedance', 'cross slot', 'circular polarization', 'circular patch', 'antenna radius']</t>
  </si>
  <si>
    <t>A new, circularly polarized small-size microstrip antenna using a proximity coupled feed method is proposed. A simple configuration based on a cross slot with unequal slot lengths on a circular patch is adopted to realize a small-size element antenna. The proposed antenna has no 90¬∞ hybrid coupler for circular polarization. The measured results verify the circular polarization, and the antenna radius was reduced by about 36% by using the slot lengths which are nearly equal to the diameter of the circular patch antenna. Good impedance and axial ratio characteristics have been obtained. ¬© 1996 IEEE.</t>
  </si>
  <si>
    <t>1399-1401</t>
  </si>
  <si>
    <t>Iwasaki, Hisao</t>
  </si>
  <si>
    <t>A circularly polarized small-size microstrip antenna with a cross slot</t>
  </si>
  <si>
    <t>S0018926X96075527</t>
  </si>
  <si>
    <t>10.1109/8.537335</t>
  </si>
  <si>
    <t>2-s2.0-0030271118</t>
  </si>
  <si>
    <t>['unique role', 'simulators play', 'significant amount', 'printed antennas', 'precise microwave', 'experimental results', 'become clear', 'article describes', 'analytical methods']</t>
  </si>
  <si>
    <t>Recently, a significant amount of research has concentrated on printed antennas and their applications using either commercial or in-house electromagnetic simulators to evaluate performance prior to construction. It has now become clear that such 2.5-D/3-D simulators play a unique role in the development of precise microwave or millimeter-wave printed antennas. This article describes some of the experimental results and benchmarking of printed antennas designed using the Sonnet Software em electromagnetic simulator. Discussions about em's accuracy and problems and comparisons to other analytical methods are presented. ¬© 1996 John Wiley &amp; Sons, Inc.</t>
  </si>
  <si>
    <t>419-429</t>
  </si>
  <si>
    <t>60011520;60011520</t>
  </si>
  <si>
    <t>6508327650;35551096000</t>
  </si>
  <si>
    <t>S√©nchez-Hern√©ndez, David;Robertson, Ian D.</t>
  </si>
  <si>
    <t>S√©nchez-Hern√©ndez D.</t>
  </si>
  <si>
    <t>Some experimental results of printed antennas for the benchmarking of sonnet em electromagnetic simulator</t>
  </si>
  <si>
    <t>2-s2.0-0030282673</t>
  </si>
  <si>
    <t>['vertical monopole', 'utd ),', 'transverse corrugations', 'thin layer', 'surface wave', 'specific geometries', 'soft surfaces', 'sectional shapes', 'moment method', 'modeling corrugations', 'measured results', 'material interfaces', 'large bandwidth', 'incremental theory', 'including corrugations', 'general characteristics', 'g .,', 'different ways', 'different realizations', 'different cross', 'calculated results']</t>
  </si>
  <si>
    <t>We study a vertical monopole on a circular metallic disk which is loaded in different ways to provide a soft boundary condition, e.g., by transverse corrugations or by dielectric or lossy material coatings. The different realizations are calculated by the uniform geometrical theory of diffraction (UTD), the incremental theory of diffraction, the moment method (MM) with an impedance boundary model, and MM using equivalent currents on all material interfaces. The calculated results are compared with measured results for specific geometries. Some general characteristics of the different realizations of the soft surfaces are extracted from the results. It is verified that the artificially soft boundary condition can be realized by different surface loadings. In particular, a nearly soft boundary condition can be realized over a large bandwidth by coating a conductor with a thin layer of lossy magnetic material. It is found that the surface impedance model works very well for modeling corrugations. It may also work for material coated surfaces provided the surface wave is prohibited from radiating. The bandwidth of the different soft surfaces are given, including corrugations with different cross-sectional shapes. ¬© 1996 IEEE.</t>
  </si>
  <si>
    <t>1474-1481</t>
  </si>
  <si>
    <t>56073271600;7101988263;7004922524</t>
  </si>
  <si>
    <t>Ying, Zhinong;Kildal, Per Simon;Kishk, Ahmed A.</t>
  </si>
  <si>
    <t>Study of different realizations and calculation models for soft surfaces by using a vertical monopole on a soft disk as a test bed</t>
  </si>
  <si>
    <t>S0018926X96079562</t>
  </si>
  <si>
    <t>10.1109/8.542072</t>
  </si>
  <si>
    <t>2-s2.0-0030283923</t>
  </si>
  <si>
    <t>['œé ).', 'œ ¥,', 'œ ¥', 'small l', 'radiation losses', 'penetration depth', 'induced currents', 'h waves', 'frequency situation', 'derive formulas', 'deep penetration', 'associated joule']</t>
  </si>
  <si>
    <t>In this paper we investigate the penetration of both E and H waves into a cylinder of arbitrary cross section (characteristic dimension L). The material of the cylinder is a nonmagnetic good conductor, and we examine the limits of deep penetration (small L/Œ¥, where Œ¥ is the penetration depth) and small quality factor Q = (œâŒµ0/œÉ). These two asymptotic conditions imply a low-frequency situation, for which we derive formulas for the induced currents and associated Joule and radiation losses. ¬© 1996 IEEE.</t>
  </si>
  <si>
    <t>549-556</t>
  </si>
  <si>
    <t>60000251-60033316</t>
  </si>
  <si>
    <t>Van Bladel, Jean G.</t>
  </si>
  <si>
    <t>Belgium;United States</t>
  </si>
  <si>
    <t>Ghent;New York</t>
  </si>
  <si>
    <t>Universiteit Gent;IEEE</t>
  </si>
  <si>
    <t>60033316;60000251</t>
  </si>
  <si>
    <t>Van Bladel J.</t>
  </si>
  <si>
    <t>Deep field penetration into a conducting cylinder</t>
  </si>
  <si>
    <t>S0018937596088977</t>
  </si>
  <si>
    <t>10.1109/15.544309</t>
  </si>
  <si>
    <t>2-s2.0-0030284736</t>
  </si>
  <si>
    <t>['taylor distributions', 'specific case', 'numerical examples', 'new technique', 'implementation details', 'conventional sampling']</t>
  </si>
  <si>
    <t>The theory of sampling continuous distributions for the purpose of determining planar array excitation coefficients is examined. The cause of pattern degradation associated with conventional sampling is identified, and a new method called integrated sampling is introduced which provides superior results. Implementation details are given for the specific case of a rectangular grid planar array with a roughly circular boundary. Numerical examples are provided for both uniform and Taylor distributions in order to perform comparative studies and to demonstrate the advantages of the new technique. ¬© 1996 IEEE.</t>
  </si>
  <si>
    <t>7201718319;7102110120</t>
  </si>
  <si>
    <t>Hodges, Richard E.;Rahmat-Samii, Yahya</t>
  </si>
  <si>
    <t>Hodges R.</t>
  </si>
  <si>
    <t>On sampling continuous aperture distributions for discrete planar arrays</t>
  </si>
  <si>
    <t>S0018926X96079598</t>
  </si>
  <si>
    <t>10.1109/8.542075</t>
  </si>
  <si>
    <t>2-s2.0-0030284802</t>
  </si>
  <si>
    <t>['received signal', 'noise ratio', 'multiple antennas', 'lower bound', 'csc ),', 'analytical techniques']</t>
  </si>
  <si>
    <t>When signals from a user (fixed or mobile) are received at multiple antennas, the signals can be arrayed to increase the signal-to-noise ratio (SNR) of the received signal. This article describes two maximal ratio combining techniques referred to as full spectrum combining (FSC) and complex symbol combining (CSC), and then compares them in terms of the achievable arraying gain. Although the performance of these techniques is derived for the case of binary phase shift keying (BPSK) signalling in an additive white Gaussian noise channel, the analytical techniques here are applicable to other modulations and channels. The paper also addresses the use of symbol SNR degradation and symbol SNR loss as system performance measures. It is shown that degradation and loss are equal at weak signal levels but degradation is a lower bound for loss when the signal is strong. ¬© 1996 IEEE.</t>
  </si>
  <si>
    <t>1599-1609</t>
  </si>
  <si>
    <t>6508270030;57196496661;6603723267</t>
  </si>
  <si>
    <t>Million, Samson;Shah, Biren;Hinedi, Sami</t>
  </si>
  <si>
    <t>Million S.</t>
  </si>
  <si>
    <t>Comparison of two maximal ratio combining techniques in antenna arraying</t>
  </si>
  <si>
    <t>S0090677896086813</t>
  </si>
  <si>
    <t>10.1109/26.544477</t>
  </si>
  <si>
    <t>2-s2.0-0030285443</t>
  </si>
  <si>
    <t>['surface impedance', 'simple relations', 'reflector illuminated', 'radiation field', 'impedance surface', 'cross polarization']</t>
  </si>
  <si>
    <t>The radiation field from an aperture in an impedance surface is studied by using a newly proposed expression of an equivalent magnetic current. Simple relations between the polarization and the surface impedance are derived concerning two subjects: the currents on a reflector illuminated by an aperture in an impedance surface and the cross polarization of the aperture. ¬© 1996 IEEE.</t>
  </si>
  <si>
    <t>1464-1466</t>
  </si>
  <si>
    <t>Yoshitomi, Kuniaki</t>
  </si>
  <si>
    <t>Yoshitomi K.</t>
  </si>
  <si>
    <t>Polarization characteristics of the radiation field from an aperture in an impedance surface</t>
  </si>
  <si>
    <t>S0018926X96079549</t>
  </si>
  <si>
    <t>10.1109/8.542070</t>
  </si>
  <si>
    <t>2-s2.0-0030286210</t>
  </si>
  <si>
    <t>['stacked three', 'parasitic element', 'investigated experimentally', 'impedance bandwidth', 'element antenna', 'deign procedure']</t>
  </si>
  <si>
    <t>A stacked microstrip antenna with two parasitic elements, one of which increases the impedance bandwidth and the other which enhances the gain, has been investigated experimentally. The effect of each parasitic element have been clarified as well as the characteristics of the stacked three-element antenna and the deign procedure for the stacked microstrip antenna have been described. ¬© 1996 IEEE.</t>
  </si>
  <si>
    <t>1533-1534</t>
  </si>
  <si>
    <t>60019983;60019983</t>
  </si>
  <si>
    <t>35608208100;7003869703</t>
  </si>
  <si>
    <t>Egashira, Shigeru;Nishiyama, Eisuke</t>
  </si>
  <si>
    <t>Saga</t>
  </si>
  <si>
    <t>Saga University</t>
  </si>
  <si>
    <t>Egashira S.</t>
  </si>
  <si>
    <t>Stacked microstrip antenna with wide bandwidth and high gain</t>
  </si>
  <si>
    <t>S0018926X96079641</t>
  </si>
  <si>
    <t>10.1109/8.542079</t>
  </si>
  <si>
    <t>2-s2.0-0030286541</t>
  </si>
  <si>
    <t>FI 9628-95-C-0002</t>
  </si>
  <si>
    <t>['three designs', 'spatial power', 'eirp greater', 'constructed using', 'combined transmitter', 'band centered', 'approach architecture', '5 watts', '4 subarray', '27 dbw', '20 %,', '16 cavity', '10 ghz']</t>
  </si>
  <si>
    <t>Three designs for a 4-by-4 subarray are described for use in a spatial power-combined transmitter. The subarrays are constructed using a hybrid-circuit, tile-approach architecture and are composed of 16 cavity-backed, proximity-coupled microstrip antennas, each fed by a 0.5 watt amplifier. Both linearly and circularly polarized subarrays have been constructed for operation over a 10% band centered at 10 GHz. The linearly polarized subarray showed the following peak performance: EIRP greater than 27 dBW, effective transmitter power greater than 5 watts, dc-RF efficiency greater than 20%, and excellent graceful degradation performance. ¬© 1996 IEEE.</t>
  </si>
  <si>
    <t>2093-2098</t>
  </si>
  <si>
    <t>60022195;60022195;60022195</t>
  </si>
  <si>
    <t>6701840697;7005881515;7202065715</t>
  </si>
  <si>
    <t>Gouker, Mark A.;Delisle, John T.;Duffy, Sean M.</t>
  </si>
  <si>
    <t>Gouker M.</t>
  </si>
  <si>
    <t>A 16-element subarray for hybrid-circuit tile-approach spatial power combining</t>
  </si>
  <si>
    <t>S0018948096079215</t>
  </si>
  <si>
    <t>10.1109/22.543967</t>
  </si>
  <si>
    <t>2-s2.0-0030286650</t>
  </si>
  <si>
    <t>['unconventional way', 'theoretical predictions', 'primary concern', 'near field', 'measurements almost', 'mainly determined', 'main wave', 'immediate vicinity', 'horn made', 'fourier transformation', 'emerging wavefront', 'edge waves', 'aperture plane']</t>
  </si>
  <si>
    <t>Edge-wave diffraction theory is used in an unconventional way to predict the field in the immediate vicinity of the aperture plane of a pyramidal microwave horn. The far field may then be inferred by Fourier transformation. The theoretical predictions for the near field are compared with measurements almost in the aperture plane and inside a horn made by the modulated scatterer method. The directivity on axis, which is our primary concern, is mainly determined by the curvature of the wavefront at the aperture. When computed as a function of frequency, it shows oscillations similar to those observed. They arise because edge waves, multiply reflected inside the horn, mimic the effect of a wave reflected back from the throat; this interferes with the main wave to change the curvature of the emerging wavefront, and hence, the directivity. ¬© 1996 IEEE.</t>
  </si>
  <si>
    <t>1488-1498</t>
  </si>
  <si>
    <t>7006370365;7402026566</t>
  </si>
  <si>
    <t>Nye, John F.;Liang, Wenlie</t>
  </si>
  <si>
    <t>Nye J.</t>
  </si>
  <si>
    <t>Theory and measurement of the field of a pyramidal horn</t>
  </si>
  <si>
    <t>S0018926X96079586</t>
  </si>
  <si>
    <t>10.1109/8.542074</t>
  </si>
  <si>
    <t>2-s2.0-0030287175</t>
  </si>
  <si>
    <t>Vetenskapsr√•det</t>
  </si>
  <si>
    <t>VR</t>
  </si>
  <si>
    <t>['thin struts', 'thick struts', 'thick cylinders', 'strip loading', 'scattered field', 'reduced scattering', 'polarized performance', 'plates coated', 'outer surfaces', 'oblong shape', 'moment method', 'measured results', 'losses caused', 'hard surfaces', 'forward scattering', 'even backward', 'electromagnetic waves', 'dielectric material', 'cross section', 'blockage widths']</t>
  </si>
  <si>
    <t>We discuss how forward scattering can be characterized in terms of an equivalent blockage width, and a relation between this and the bistatic scattering width is derived. Then, we show how cylinders such as struts and masts can be constructed to reduce their blockage widths. Thereby, when the cylinders are mounted in front of an antenna, the sidelobes and losses caused by the blockage will be reduced. For thin metal cylinders the blockage width reduction is obtained by giving its cross section an oblong shape and, in addition (for the TM case), by coating the outer metal surface with dielectric material to obtain &amp; hard boundary condition. For thick cylinders, the reduced scattering is obtained by designing them as dielectric-filled parallel plate waveguides with the outer surfaces of the plates coated in the same way as for the thin struts. Dual-polarized performance is obtained in both cases by strip loading the outer surfaces. The performance of both the thin and the thick struts have limited frequency bandwidth. Both computed and measured results are presented; the computations being done with the moment method. The designs are based on the concept of soft and hard surfaces in electromagnetics, and the results can be regarded as a proof of the existence of hard surfaces for electromagnetic waves. The study considers reduction of forward scattering which also will give a reduction of the total integrated power of the scattered field over all directions-even backward. ¬© 1996 IEEE.</t>
  </si>
  <si>
    <t>1509-1520</t>
  </si>
  <si>
    <t>7101988263;7004922524;6507088628</t>
  </si>
  <si>
    <t>Kildal, Per Simon;Kishk, Ahmed A.;Tengs, Audun</t>
  </si>
  <si>
    <t>Reduction of forward scattering from cylindrical objects using hard surfaces</t>
  </si>
  <si>
    <t>S0018926X96079604</t>
  </si>
  <si>
    <t>10.1109/8.542076</t>
  </si>
  <si>
    <t>2-s2.0-0030287509</t>
  </si>
  <si>
    <t>['two examples', 'superstrate layer', 'specific shape', 'slits cut', 'simple rotation', 'patch geometry', 'patch bandwidth', 'limited range', 'design guidelines', 'circular polarized', 'basic shape', 'antenna characteristics', 'another patch']</t>
  </si>
  <si>
    <t>The paper addresses two aspects of resonant microstrip patch antennas, namely, miniaturization and resonant frequency tuning. First, a patch geometry which allows a controllable size reduction over a limited range is presented. The basic shape is circular with slits cut into it. Modification of the slit geometry leads to both linear as well as circular polarized (CP) operation. Second, the use of another patch of a specific shape as a superstrate layer in a stacked configuration allows tuning over a relatively large frequency range as compared to the patch bandwidth. Tuning is accomplished by a simple rotation of the superstrate layer. The use of another superstrate layer allows tunable CP operation. Details on the antenna characteristics have been worked out for two examples, and computations have been compared with measurements where possible. Some design guidelines have also been included. ¬© 1996 IEEE.</t>
  </si>
  <si>
    <t>1521-1528</t>
  </si>
  <si>
    <t>101472815;101472815;101472815;101472815</t>
  </si>
  <si>
    <t>7006898765;7004724089;7006665188;35609196900</t>
  </si>
  <si>
    <t>Bokhari, S. A.;Z√ºrcher, Jean Fran√ßois;Mosig, Juan R.;Gardiol, Fred E.</t>
  </si>
  <si>
    <t>UNICAD Canada Ltd.</t>
  </si>
  <si>
    <t>Bokhari S.</t>
  </si>
  <si>
    <t>A small microstrip patch antenna with a convenient tuning option</t>
  </si>
  <si>
    <t>S0018926X96079628</t>
  </si>
  <si>
    <t>10.1109/8.542077</t>
  </si>
  <si>
    <t>2-s2.0-0030288102</t>
  </si>
  <si>
    <t>ECS-9157089</t>
  </si>
  <si>
    <t>['restoration technique', 'reduce clipping', 'original signal', 'modulated vestigial', 'modulated subcarriers', 'model clipping', 'limiter channel', 'input signal', 'gaussian input', 'determined analytically', 'clipped channel', 'catv system', '4 db']</t>
  </si>
  <si>
    <t>For a clipped channel with a Gaussian input, a predistortion/restoration technique to reduce clipping-induced nonlinear distortion is proposed and analyzed. The input signal is processed by a nonlinear predistorter circuit, reducing the probability of clipping. The receiver output signal passes through a restorer having the inverse transfer characteristic, which yields the original signal. For both one-sided and two-sided limiter channels, the optimal predistortion curves are determined analytically. A limiter channel with Gaussian input may be used to model clipping-induced nonlinear distortion in opticalfiber common antenna television (CATV) distribution systems using multiple intensity-modulated subcarriers. When applied to an amplitude-modulated vestigial-sideband (AM-VSB) CATV system, the optimal predistortion curves yield sensitivity improvements of 5.3 and 4.4 dB for one- and two-sided limiter channels, respectively. ¬© 1996 IEEE.</t>
  </si>
  <si>
    <t>1505-1513</t>
  </si>
  <si>
    <t>60023456;60121438</t>
  </si>
  <si>
    <t>7403581889;7402544128</t>
  </si>
  <si>
    <t>Ho, Keang Po;Kahn, Joseph M.</t>
  </si>
  <si>
    <t>Berkeley;Piscataway</t>
  </si>
  <si>
    <t>University of California, Berkeley;Telcordia Technologies, Inc.</t>
  </si>
  <si>
    <t>60121438;60023456</t>
  </si>
  <si>
    <t>Ho K.</t>
  </si>
  <si>
    <t>Optimal predistortion of gaussian inputs for clipping channels</t>
  </si>
  <si>
    <t>S009067789608600X</t>
  </si>
  <si>
    <t>10.1109/26.544467</t>
  </si>
  <si>
    <t>2-s2.0-0030288362</t>
  </si>
  <si>
    <t>['radiated power', 'numerically examined', 'input impedance', 'dielectric substrate']</t>
  </si>
  <si>
    <t>The input impedance of a monopole antenna partially buried in an infinite grounded dielectric substrate and fed by a coaxial transmission line is calculated by the modal expansion method. The effect of the dielectric substrate on the antenna's radiated power and input impedance is numerically examined. ¬© 1996 IEEE.</t>
  </si>
  <si>
    <t>1535-1536</t>
  </si>
  <si>
    <t>Modeling of a monopole partially buried in a grounded dielectric substrate by the modal expansion method</t>
  </si>
  <si>
    <t>S0018926X96079653</t>
  </si>
  <si>
    <t>10.1109/8.542080</t>
  </si>
  <si>
    <t>2-s2.0-0030290497</t>
  </si>
  <si>
    <t>DAAh04-94-G-0352</t>
  </si>
  <si>
    <t>['wave systems', 'wave frequencies', 'uniplanar mixers', 'theoretical results', 'supported slot', 'ring antennas', 'ring antenna', 'port isolation', 'polarized slot', 'polarized antenna', 'noise amplifiers', 'nearly identical', 'minimal effect', 'excellent candidate', 'dielectric lens', 'cost millimeter', 'coplanar waveguide', 'azimuth scans', 'antenna performance', '94 ghz', '25 db']</t>
  </si>
  <si>
    <t>Single- and dual-polarized dielectric lens-supported slot-ring antennas have been developed for operation at millimeter-wave frequencies. The antennas are fed with coplanar waveguide (CPW) to be compatible with uniplanar mixers and low-noise amplifiers, and the feedline is shown to have a minimal effect on antenna performance. The measured antenna patterns agree well with theoretical results and have symmetric main hennis, low sidelobe levels (&lt; -15 dB), low cross polarization (&lt; -20 dB), and 27 dB directivity. A 2 √ó 2 array of single-polarized slot-ring antennas for moinopulse applications demonstrates excellent patterns at 94 GHz with -3 dB crossover power levels in both elevation and azimuth scans. The dual-polarized slot-ring antenna patterns are nearly identical to those of the single-polarized antenna, and two-port isolation is as low as -25 dB. The dielectric lens-supported slot-ring antenna is an excellent candidate for compact, low-cost millimeter-wave systems with fixed or variable polarization capabilities. ¬© 1996 IEEE.</t>
  </si>
  <si>
    <t>1438-1444</t>
  </si>
  <si>
    <t>7201482483;7006384021</t>
  </si>
  <si>
    <t>Raman, Sanjay;Rebeiz, Gabriel M.</t>
  </si>
  <si>
    <t>Raman S.</t>
  </si>
  <si>
    <t>Single- and dual-polarized millimeter-wave slot-ring antennas</t>
  </si>
  <si>
    <t>S0018926X96079513</t>
  </si>
  <si>
    <t>10.1109/8.542067</t>
  </si>
  <si>
    <t>2-s2.0-0030291569</t>
  </si>
  <si>
    <t>Army Research Laboratory</t>
  </si>
  <si>
    <t>ARL</t>
  </si>
  <si>
    <t>['synchronize jitter', 'pulse generation', 'locked laser', 'line model', 'free ultrawideband', 'free space', 'energy storage', 'delay techniques']</t>
  </si>
  <si>
    <t>A mode-locked laser is used to synchronize jitter-free ultrawideband (UWB) pulse generation at an array of UWB antenna elements. The jitter-free pulses radiated by each element add together in free space to produce a radiated field pattern that is steerable via optical true-time-delay techniques. The results from a three element array experiment are presented and used to develop a model for an N-element phased array. A transmission-line model is presented for a single array element, which includes the functions of energy storage, as well as UWB pulse generation and radiation. ¬© 1996 IEEE.</t>
  </si>
  <si>
    <t>2039-2044</t>
  </si>
  <si>
    <t>60033252-60020304;60033252-60020304</t>
  </si>
  <si>
    <t>7005278955;25956629700</t>
  </si>
  <si>
    <t>Funk, Eric H.;Lee, Chi H.</t>
  </si>
  <si>
    <t>Adelphi;College Park</t>
  </si>
  <si>
    <t>U.S. Army Research Laboratory;University of Maryland, College Park</t>
  </si>
  <si>
    <t>60033252;60020304</t>
  </si>
  <si>
    <t>Funk E.</t>
  </si>
  <si>
    <t>Free-space power combining and beam steering of ultra-wideband radiation using an array of laser-triggered antennas</t>
  </si>
  <si>
    <t>S0018948096079112</t>
  </si>
  <si>
    <t>10.1109/22.543960</t>
  </si>
  <si>
    <t>2-s2.0-0030291852</t>
  </si>
  <si>
    <t>['typical across', 'type sensilla', 'several types', 'receptor cells', 'mosquito antenna', 'essential message', 'cooperating set', 'complex pattern', 'complex mixtures', 'another case']</t>
  </si>
  <si>
    <t>Recent behavioural studies have demonstrated that human body odours which female Aedes aegypti find attractive exert their effects as complex mixtures of synergistically acting components. We have attempted to clarify the sensory mechanisms underlying the perception of these complex host odours by studying the responses of sensory cells underneath the A3-type sensilla of the mosquito antenna to both a human skin wash extract and the extract's active chromatographic fractions. The reaction patterns show that the host stimuli elicit responses from several types of receptor cells in a typical across-fibre pattern mode. It seems as if this is another case where the essential message in a biologically significant odour consists of a complex pattern of compounds that is encoded in an according complex response pattern by a cooperating set of primary sensory neurons of different odour specificities.</t>
  </si>
  <si>
    <t>254-266</t>
  </si>
  <si>
    <t>60030807;60030807;60030807</t>
  </si>
  <si>
    <t>6505807483;7005453316;6701782875</t>
  </si>
  <si>
    <t>Pappenberger, Barbara;Geier, Martin;Boeckh, J√ºrgen</t>
  </si>
  <si>
    <t>Pappenberger B.</t>
  </si>
  <si>
    <t>Responses of antennal olfactory receptors in the yellow fever mosquito Aedes aegypti to human body odours</t>
  </si>
  <si>
    <t>2-s2.0-0030331730</t>
  </si>
  <si>
    <t>['volatile emissions', 'specific kairomones', 'specialized sensilla', 'sensilla located', 'semiochemicals emanating', 'potential host', 'physiological state', 'olfactory receptors', 'olfactory cues', 'olfactory behaviour', 'olfactory basis', 'olfactory based', 'notably l', 'mosquito species', 'locating behaviour', 'lactic acid', 'kairomones results', 'intricate pathway', 'host specificity', 'host seeking', 'host interactions', 'host interaction', 'genetically determined', 'fatty acids', 'determining whether', 'co2 ).', 'behavioural responses', 'behavioural response', 'available evidence', 'ample evidence']</t>
  </si>
  <si>
    <t>There is ample evidence that host seeking in mosquitoes is mediated by semiochemicals emanating from the host. Olfactory cues (kairomones) are detected through an intricate pathway, beginning with sensilla located on the antennae (odour) and palpi (CO2). Age and physiological state of the mosquito determine whether detection of kairomones results in a behavioural response. Only a few kairomones have been described so far. CO2 is a kairomone for most mosquito species and signifies the presence of a potential host because of its occurrence in the volatile emissions of all vertebrates. Other chemicals are likely to play a role in mosquito-host interaction as well, notably L-lactic acid, fatty acids and 1-octen-3-ol. Species-specific host preference is thought to be olfactory based and related to the presence of specialized sensilla or perception at the central olfactory pathway. Host specificity is genetically determined, as demonstrated by inherited differences within members of the Anopheles gambiae complex. In view of the available evidence, challenging research areas are: (1) the function of olfactory receptors and the level of specialization; (2) the identification of general and host-specific kairomones; (3) demonstration of behavioural responses to laboratory-identified olfactory cues in the field; (4) studying whether mosquito host-locating behaviour can be manipulated by kairomones; (5) the genetics of the regulation of olfactory behaviour; and (6) determining whether there is an olfactory basis for the evolution of mosquito-host interactions.</t>
  </si>
  <si>
    <t>302-320</t>
  </si>
  <si>
    <t>Takken, Willem</t>
  </si>
  <si>
    <t>Wageningen</t>
  </si>
  <si>
    <t>Wageningen University &amp; Research</t>
  </si>
  <si>
    <t>Takken W.</t>
  </si>
  <si>
    <t>Synthesis and future challenges: The response of mosquitoes to host odours</t>
  </si>
  <si>
    <t>2-s2.0-0030331961</t>
  </si>
  <si>
    <t>['unique property', 'understanding olfactory', 'similar correlations', 'sensory information', 'seeking behaviour', 'remaining glomeruli', 'pharmacological manipulation', 'olfactory information', 'odour processing', 'moths suggests', 'maxillary palps', 'latter arborize', 'integrated centrally', 'host odours', 'help us', 'guided behaviour', 'female mosquitoes', 'dendritic arborizations', 'contributed significantly', 'co2 receptors', 'cns processing', 'axon projections', 'antennal lobes', 'antennal lobe', '25 glomeruli']</t>
  </si>
  <si>
    <t>Studies of CNS processing of olfactory information have contributed significantly to understanding olfactory-guided behaviour in insects. Evidence in moths suggests that each glomerulus in the antennal lobes has a unique property: receptor-axon projections and dendritic arborizations of uniglomerular output neurons can relate to anatomically and functionally distinct glomeruli. Similar correlations are not typical of the concentrically organized locust antennal lobes. Insights about odour processing in the CNS of female mosquitoes should help us to understand how sensory information can lead to host-seeking behaviour. It will be interesting to learn how inputs from CO2 receptors on the maxillary palps and inputs from antennal olfactory receptors that respond to host odours are integrated centrally, so that pharmacological manipulation of olfactory neuron activity might provide a tool for the control of mosquitoes as important vector insects. The antennal lobe of male and female Aedes aegypti contains 20-25 glomeruli. Primary afferent projections from the antennae and maxillary palps target specific glomeruli of the ipsilateral antennal lobe. Maxillary palp projections are restricted to two posteromedial glomeruli, which do not receive antennal afferents. The latter arborize in the remaining glomeruli.</t>
  </si>
  <si>
    <t>184-196</t>
  </si>
  <si>
    <t>Anton, Sylvia</t>
  </si>
  <si>
    <t>Central olfactory pathways in mosquitoes and other insects</t>
  </si>
  <si>
    <t>2-s2.0-0030332614</t>
  </si>
  <si>
    <t>['sensillary structures', 'olfactory sensilla', 'mouth parts', 'modified according', 'flower thrips', 'flower interactions', 'extensive survey', 'diverse type', 'arid areas']</t>
  </si>
  <si>
    <t>Basiconica | Chaetica | Flower thrips | Host selection | Sensilla trichoidea</t>
  </si>
  <si>
    <t>Extensive survey was carried out in order to study the thrips-flower interactions of some introduced/native tree species of arid and semi-arid areas. The behavioural response involved in feeding are modified according to the sensillary structures and functions of the antennae and mouth parts. Though no work in this direction has been undertaken forestry thrips, an analysis of diverse type of olfactory sensilla on the antenna of different species would appear important and measures have to be adopted to protect the forest tree species from flower thrips.</t>
  </si>
  <si>
    <t>361-368</t>
  </si>
  <si>
    <t>Annals of Arid Zone</t>
  </si>
  <si>
    <t>60010919;60010919;60010919</t>
  </si>
  <si>
    <t>7005818079;55500484500;6603886093</t>
  </si>
  <si>
    <t>Murugesan, S.;Kumar, Shivesh;Sundararaj, R.</t>
  </si>
  <si>
    <t>Jodhpur</t>
  </si>
  <si>
    <t>Arid Forest Research Institute India</t>
  </si>
  <si>
    <t>Murugesan S.</t>
  </si>
  <si>
    <t>Sensillar dynamics in thrips-flower interactions of arid and semi-arid tree species</t>
  </si>
  <si>
    <t>2-s2.0-0030335973</t>
  </si>
  <si>
    <t>['work done', 'tokamak suggest', 'radial currents', 'induced voltages', 'increase sputtering', 'impurity content', 'fss ).', 'fs material', 'edge region', 'antenna feeds']</t>
  </si>
  <si>
    <t>Work done on the Phaedrus-T tokamak is summarized regarding RF voltages induced on the sides of slotted side Faraday screens (FSs). Direct in-air measurements show voltages induced on slotted side FSs, while theory and computer simulations suggest that these voltages are induced by radial currents on antenna feeds. Triple probe measurements in the edge region of the Phaedrus-T tokamak suggest that the induced voltages modify edge plasma parameters and increase sheath potentials, which increase sputtering of the FS material and result in an increase of the impurity content of the plasma. These effects of the induced voltages can be eliminated by using insulating plates as FS side limiters.</t>
  </si>
  <si>
    <t>1609-1622</t>
  </si>
  <si>
    <t>60032179-60012222;60032179-60018020;60032179;60032179</t>
  </si>
  <si>
    <t>56164756600;35356029400;6602677244;7006072211</t>
  </si>
  <si>
    <t>Tanaka, T.;Majeski, R.;Diebold, D. A.;Hershkowitz, N.</t>
  </si>
  <si>
    <t>Madison;Princeton;Santa Clara</t>
  </si>
  <si>
    <t>University of Wisconsin-Madison;Princeton Plasma Physics Laboratory;Applied Materials Incorporated</t>
  </si>
  <si>
    <t>60032179;60018020;60012222</t>
  </si>
  <si>
    <t>Tanaka T.</t>
  </si>
  <si>
    <t>RF generated voltage on the faraday screen of an ICRF antenna and its effect on the phaedrus-T edge plasma</t>
  </si>
  <si>
    <t>10.1088/0029-5515/36/12/I02</t>
  </si>
  <si>
    <t>2-s2.0-0030349138</t>
  </si>
  <si>
    <t>['telephone networks', 'return channels', 'recent advances', 'forthcoming introduction', 'channel coding', 'catv networks', 'appropriate sources']</t>
  </si>
  <si>
    <t>The forthcoming introduction of interactive video services such as video-on-demand, which is facilitated by recent advances in source and channel coding as well as modulation, calls for a network platform via which the subscriber can access the appropriate sources of information. Two such approaches - the use of existing broadband CATV and the use of telephone networks - are detailed in this article. In the case of CATV networks, special emphasis needs to be placed on return channels.</t>
  </si>
  <si>
    <t>31-37</t>
  </si>
  <si>
    <t>Hessenmueller, H.</t>
  </si>
  <si>
    <t>Hessenmueller H.</t>
  </si>
  <si>
    <t>Access network options for interactive video and multimedia services</t>
  </si>
  <si>
    <t>2-s2.0-0030349423</t>
  </si>
  <si>
    <t>6603440870;7004314926;7003347612</t>
  </si>
  <si>
    <t>Pugliese, J. P.;Hammoudeh, A.;Al-Nuaimi, M. O.</t>
  </si>
  <si>
    <t>Pugliese J.</t>
  </si>
  <si>
    <t>Reflection and transmission characteristics of building materials at 62 GHz</t>
  </si>
  <si>
    <t>2-s2.0-0030352757</t>
  </si>
  <si>
    <t>Bush, Douglas M.</t>
  </si>
  <si>
    <t>Radiocommunications Agency</t>
  </si>
  <si>
    <t>Bush D.</t>
  </si>
  <si>
    <t>MVDS:- An outline of standards and planning considerations</t>
  </si>
  <si>
    <t>2-s2.0-0030356304</t>
  </si>
  <si>
    <t>60023254;60023254;60023254</t>
  </si>
  <si>
    <t>7004504569;7101975682;7403484066</t>
  </si>
  <si>
    <t>Norbury, J. R.;Craig, K. H.;Hall, M. P.M.</t>
  </si>
  <si>
    <t>Didcot</t>
  </si>
  <si>
    <t>Rutherford Appleton Laboratory</t>
  </si>
  <si>
    <t>Norbury J.R.</t>
  </si>
  <si>
    <t>Propagation research for millimetrewave cellular services</t>
  </si>
  <si>
    <t>2-s2.0-0030356681</t>
  </si>
  <si>
    <t>60023254;60023254</t>
  </si>
  <si>
    <t>55209205700;7003653764</t>
  </si>
  <si>
    <t>Tan, J.;Thurai, M.</t>
  </si>
  <si>
    <t>Tan J.</t>
  </si>
  <si>
    <t>Calculations of rain-induced cross-polarisation on line-of-sight systems at 38 GHz</t>
  </si>
  <si>
    <t>2-s2.0-0030360227</t>
  </si>
  <si>
    <t>['wide range', 'wide choice', 'transmission reliability', 'terrestrial specification', 'system states', 'single transmitter', 'programmes carried', 'potential applications', 'portable reception', 'particular allow', 'ofdm carriers', 'network operator', 'modulation method', 'main applications', 'hierarchical transmission', 'guard interval', 'frequency networks', 'error protection', 'coverage probabilities']</t>
  </si>
  <si>
    <t>The specification for digital terrestrial television, DVB-T, offers a wide range of potential applications: single transmitter and single-frequency networks, prohibited channel operation, portable reception, hierarchical transmission, etc. The network operator can select technical parameters such as the number of OFDM carriers, the length of guard interval, the degree of error protection and the modulation method. The last two parameters in particular allow the operator to reach a compromise between the number of programmes carried and their transmission reliability. This raises the question of which results, with regard to coverage, need to be achieved in each case. The main applications have been studied at the IRT using Monte Carlo simulations of regular network situations. The results are documented here in the form of predictions for the coverage probabilities. The reasons for the choice of parameters for the terrestrial specification are dealt with specifically. Ways to restrict the basically very wide choice of system states (modes) can also be derived from these simulations.</t>
  </si>
  <si>
    <t>19-30</t>
  </si>
  <si>
    <t>60011604-60072190</t>
  </si>
  <si>
    <t>Weck, C.</t>
  </si>
  <si>
    <t>Munich;Berlin</t>
  </si>
  <si>
    <t>IFT Institut f√ºr Therapieforschung;Technical University of Berlin</t>
  </si>
  <si>
    <t>60072190;60011604</t>
  </si>
  <si>
    <t>Weck C.</t>
  </si>
  <si>
    <t>Coverage aspects of digital terrestrial television broadcasting</t>
  </si>
  <si>
    <t>2-s2.0-0030361903</t>
  </si>
  <si>
    <t>['using outputs', 'star trackers', 'star tracker', 'space segment', 'september 1996', 'protoflight model', 'performance analyses', 'paper describes', 'control system', 'b spacecraft', 'attitude determination', '8 meter', '3 sigma', '19 arcseconds', '1 sigma', '01 degrees']</t>
  </si>
  <si>
    <t>This paper presents design and performance of a high-precision star tracker which has been developed for use in the attitude determination and control system of MUSES-B spacecraft; the space segment of space VLBI program called VSOP (equals VLBI Space Observation Program). The MUSES-B is being prepared for launch in September 1996. The attitude control system is required to fulfill an overall pointing accuracy of 0.01 degrees (3 sigma) of an 8 meter-diameter VLBI antenna mounted on the spacecraft. The onboard attitude determination system is based on a reset type Kalman filter that assures the overall attitude determination accuracy of 19 arcseconds, using outputs from the star trackers and the gyroscope-based inertial sensors. For this purpose, the star tracker is designed to provide star position detection accuracy of 4 arcsec random (1 sigma) plus 15 arcsec bias error. This paper describes the design of the STTs, the performance analyses, and ground test results of the Protoflight Model.</t>
  </si>
  <si>
    <t>190-200</t>
  </si>
  <si>
    <t>Proceedings of SPIE - The International Society for Optical Engineering</t>
  </si>
  <si>
    <t>60031293;60031293;60031293;60031293;60031293;60031293;60031293</t>
  </si>
  <si>
    <t>7402614196;55495489900;6504452956;7006572988;7103321936;6602844289;6602244912</t>
  </si>
  <si>
    <t>Noguchi, Kazuhide;Sato, Koshi;Kasikawa, Ryouichi;Ogura, Naoto;Ninomiya, Keiken;Hasimoto, Tatsuaki;Hirokawa, Eiji</t>
  </si>
  <si>
    <t>CCD star tracker for attitude determination and control of a satellite for a space VLBI mission</t>
  </si>
  <si>
    <t>2-s2.0-0030364932</t>
  </si>
  <si>
    <t>56097572800;35551096000</t>
  </si>
  <si>
    <t>Passiopoulos, G.;Robertson, I. D.</t>
  </si>
  <si>
    <t>Passiopoulos G.</t>
  </si>
  <si>
    <t>Smart antenna techniques for wireless mobile multimedia services</t>
  </si>
  <si>
    <t>2-s2.0-0030365217</t>
  </si>
  <si>
    <t>60025225;60023254</t>
  </si>
  <si>
    <t>7003982874;57219686756</t>
  </si>
  <si>
    <t>Zaporozhets, A.;Seville, A.</t>
  </si>
  <si>
    <t>Southampton;Didcot</t>
  </si>
  <si>
    <t>University of Southampton;Rutherford Appleton Laboratory</t>
  </si>
  <si>
    <t>Zaporozhets A.</t>
  </si>
  <si>
    <t>Modelling of radiowave propagation in urban environment</t>
  </si>
  <si>
    <t>2-s2.0-0030367283</t>
  </si>
  <si>
    <t>['sized apertures', 'radiation patterns', 'original integrals', 'numerical calculation', 'mutual admittance', 'measured data', 'limited range', 'integral transform', 'general case', 'excellent agreement', 'coupling coefficients', 'complex plane', 'better suited', 'also presented']</t>
  </si>
  <si>
    <t>A solution for the mutual admittance between modes in identical circular apertures is extended to the general case of coupling between different-sized apertures. Two alternative representations for the mode coupling integrals are derived. One is a gamma-function series representation with a limited range of application. The other is an improved integral formulation which is better suited to numerical calculation than the original integrals and was obtained by means of an integral transform in the complex plane. The accuracy of this improved integral formulation is demonstrated by comparing computed results with measured data for a three-element test array. Excellent agreement is obtained between theory and experiment for both coupling coefficients and radiation patterns. Results are also presented for an eight-horn feed cluster for a reflector.</t>
  </si>
  <si>
    <t>451-464</t>
  </si>
  <si>
    <t>Commonwealth Scientific and Industrial Research Organization</t>
  </si>
  <si>
    <t>2-s2.0-0030368173</t>
  </si>
  <si>
    <t>['polar regions', 'globalstar system', 'energy management', 'cdma technology']</t>
  </si>
  <si>
    <t>The Globalstar system will utilize active phased array antennas and energy management in combination with CDMA technology to achieve greater power efficiency than ever achieved form comparable satellite communications. This system will enable satellite based extension of terrestrial cellular system world wide, except for polar regions.</t>
  </si>
  <si>
    <t>69-82</t>
  </si>
  <si>
    <t>Hirshfield, Edward</t>
  </si>
  <si>
    <t>San Jose</t>
  </si>
  <si>
    <t>Globalstar</t>
  </si>
  <si>
    <t>Hirshfield E.</t>
  </si>
  <si>
    <t>Globalstar system: breakthroughs in efficiency in microwave and signal processing technology</t>
  </si>
  <si>
    <t>2-s2.0-0030380360</t>
  </si>
  <si>
    <t>['weight vector', 'user gain', 'recursive procedure', 'provides flexibility', 'orthogonal decomposition', 'jamming protection', 'constraint vectors', 'constraint order', 'antenna weight']</t>
  </si>
  <si>
    <t>An algorithm has been developed to control the antenna array beam pattern for satellite communication applications where the uplink received antenna is desired to provide beamforming capability for selective earth coverage and jamming protection. The problem can be formulated to determine the antenna weight to meet the user gain and jammer null requirements in their known directions subject to the norm bound constraint of the weight. The algorithm makes use of the orthogonal decomposition of the weight vector and a recursive procedure that provides flexibility in the determination of the constraint vectors the constraint order and the constraint phase optimization. ¬© 1996 IEEE.</t>
  </si>
  <si>
    <t>3162-3166</t>
  </si>
  <si>
    <t>Yu, Kai Bor</t>
  </si>
  <si>
    <t>Schenectady</t>
  </si>
  <si>
    <t>General Eleltric Research and Development Center</t>
  </si>
  <si>
    <t>Yu K.</t>
  </si>
  <si>
    <t>Adaptive beamforming for satellite communication with selective earth coverage and jammer nulling capability</t>
  </si>
  <si>
    <t>S1053587X96090605</t>
  </si>
  <si>
    <t>10.1109/78.553494</t>
  </si>
  <si>
    <t>2-s2.0-0030380898</t>
  </si>
  <si>
    <t>['time variance', 'systems based', 'successful standard', 'reference point', 'many types', 'main requirements', 'like gsm', 'high flexibility', 'gains achievable', 'frequency selectivity', 'division multiple', 'diversity used', 'different types', 'degrading effects', 'considerable gains', 'cdma feature', 'atdma ).', 'antenna diversity', 'adverse characteristics', 'achieve due']</t>
  </si>
  <si>
    <t>The main requirements to be met by third generation mobile radio systems are high cellular spectrum efficiency and high flexibility. In this paper, the focus is on high cellular spectrum efficiency, which is difficult to achieve due to the time variance and frequency selectivity of the mobile radio channel and due to interference. It is known that the degrading effects of these adverse characteristics of the mobile radio channel and of interference can be mitigated by diversity. The way how diversity influences cellular spectrum efficiency is derived in general. Diversity techniques applied in mobile radio systems realize combinations of different types of diversity. As a reference point, the types of diversity used in GSM are analyzed since GSM is presently the most successful standard of second generation mobile radio systems worldwide. In GSM, the potential for diversity enhancement inherent in code-division multiple-access (CDMA) is not exploited. Recently, a joint detection code-division multiple-access (JD-CDMA) system concept aiming at third generation mobile radio systems has been proposed which introduces a CDMA feature into systems based on time-division multiple-access (TDMA) and frequency-division multiple-access (FDMA) like GSM and also advanced TDMA (ATDMA). The gains achievable by different types of diversity in GSM as well as in the JD-CDMA system concept are investigated. It is shown that considerable gains can be achieved by different types of antenna diversity and by exploiting the additional diversity potential of CDMA. Therefore, third generation standards should be flexible in order to allow the use of as many types of diversity as possible to enhance the cellular spectrum efficiency.</t>
  </si>
  <si>
    <t>1784-1795</t>
  </si>
  <si>
    <t>60000251-60009941-60028673;60009941-60003896;60009941-100620952</t>
  </si>
  <si>
    <t>16417076700;7102617728;6701398067</t>
  </si>
  <si>
    <t>Klein, Anja;Steiner, Bernd;Steil, Andreas</t>
  </si>
  <si>
    <t>Germany;Germany;Germany;United States;Germany</t>
  </si>
  <si>
    <t>Munich;Kaiserslautern;Bonn;New York;Dusseldorf</t>
  </si>
  <si>
    <t>Siemens AG;Technische Universit√§t Kaiserslautern;Deutsche Telekom;IEEE;Mannesmann Mobilfunk GmbH</t>
  </si>
  <si>
    <t>60028673;60009941;60003896;60000251;100620952</t>
  </si>
  <si>
    <t>Klein A.</t>
  </si>
  <si>
    <t>Known and novel diversity approaches as a powerful means to enhance the performance of cellular mobile radio systems</t>
  </si>
  <si>
    <t>S0733871696052407</t>
  </si>
  <si>
    <t>10.1109/49.545701</t>
  </si>
  <si>
    <t>2-s2.0-0030381070</t>
  </si>
  <si>
    <t>['near field', 'analytical method']</t>
  </si>
  <si>
    <t>An analytical method for evaluating the near field of a circular aperture antenna in the Fresnel diffraction region with the help of the Hertz vector method is proposed.</t>
  </si>
  <si>
    <t>1347-1349</t>
  </si>
  <si>
    <t>Pazin, L. Z.</t>
  </si>
  <si>
    <t>Pazin L.</t>
  </si>
  <si>
    <t>Field of a circular aperture antenna in the Fresnel diffraction region</t>
  </si>
  <si>
    <t>2-s2.0-0030381424</t>
  </si>
  <si>
    <t>Semiconductor Research Corporation</t>
  </si>
  <si>
    <t>95IJ-148</t>
  </si>
  <si>
    <t>SRC</t>
  </si>
  <si>
    <t>['transistor characteristics', 'reverse polarity', 'protected devices', 'process damage', 'induced damage', 'detected even', 'damaged devices', '9 mv']</t>
  </si>
  <si>
    <t>Short constant voltage stress was applied to the gate of triple metal process transistors to uncover otherwise undetectable process-induced damage. 1 s at 9 MV/cm was enough to distinguish the damaged devices from the undamaged ones clearly in the transistor characteristics. The process damage was detected even after forming gas anneal and without using large antenna test structures to gather the charges. Also, the small diode provided a good leakage path to protect the gate from plasma process induced charginag even in the reverse polarity. Diode-protected devices can be used as references in this damage detection sheme.</t>
  </si>
  <si>
    <t>563-565</t>
  </si>
  <si>
    <t>60121438-60000251;60121438-60000251;60018489;60018489</t>
  </si>
  <si>
    <t>7403245580;35594318600;7403146409;7007183612</t>
  </si>
  <si>
    <t>Park, Donggun;Hu, Chenming;Zheng, Scott;Bui, Nguyen</t>
  </si>
  <si>
    <t>Berkeley;Sunnyvale;New York</t>
  </si>
  <si>
    <t>University of California, Berkeley;Advanced Micro Devices, Inc.;IEEE</t>
  </si>
  <si>
    <t>60121438;60018489;60000251</t>
  </si>
  <si>
    <t>Park D.</t>
  </si>
  <si>
    <t>A full-process damage detection method using small MOSFET and protection diode</t>
  </si>
  <si>
    <t>S074131069608860X</t>
  </si>
  <si>
    <t>10.1109/55.545771</t>
  </si>
  <si>
    <t>2-s2.0-0030382304</t>
  </si>
  <si>
    <t>['wet term', 'time percentage', 'signal frequency', 'scintillation fades', 'olympus measurements', 'nominal elevation', 'month distributions', 'models utilize', 'empirical models', 'empirical dependence', 'elevation angle', 'atmospheric refractivity', 'antenna diameter', '74 ¬∞.']</t>
  </si>
  <si>
    <t>Semi-empirical models are presented for annual and worst-month distributions of scintillation fades, enhancements, peak-to-peak amplitude excursions, and intensity. The models utilize the well-known theoretical scaling of scintillation with signal frequency, antenna diameter, and path-elevation angle, and its empirical dependence on the wet term of atmospheric refractivity. Dependence on time percentage is obtained by detailed regression analysis of experimental scintillation data obtained at Sparsholt, UK '(51.5850¬∞ N, 1.5033¬∞ W) over a one-year period using the Olympus satellite 19.7704 GHz beacon viewed at a nominal elevation of 28.74¬∞. Results are compared where possible with the ITU-R and Moulsley-Vilar scintillation models and with Olympus measurements in Germany. ¬© 1996 IEEE.</t>
  </si>
  <si>
    <t>1600-1608</t>
  </si>
  <si>
    <t>Otung, Ifiok E.</t>
  </si>
  <si>
    <t>Otung I.</t>
  </si>
  <si>
    <t>Prediction of tropospheric amplitude scintillation on a satellite link</t>
  </si>
  <si>
    <t>S0018926X96083500</t>
  </si>
  <si>
    <t>10.1109/8.546246</t>
  </si>
  <si>
    <t>2-s2.0-0030383609</t>
  </si>
  <si>
    <t>['two components', 'slotted plate', 'remarkable efficiency', 'high frequency', 'antenna consists', '9 dbi', '1 dbi']</t>
  </si>
  <si>
    <t>A slotted waveguide planar array using a single-layer feed circuit is applied to high frequency and high gain use. The remarkable efficiency of 75.6% is realized for the gain of 35.9 dBi in 22 GHz band and 64% is realized for 35.1 dBi in 60 GHz band. Each antenna consists of only two components; a slotted plate and a groove base plate, and are highly mass producible.</t>
  </si>
  <si>
    <t>1765-1772</t>
  </si>
  <si>
    <t>Single-layer slotted waveguide arrays for millimeter wave applications</t>
  </si>
  <si>
    <t>2-s2.0-0030383934</t>
  </si>
  <si>
    <t>['received signals', 'precisely known', 'one signal', 'located within', 'failed elements', 'correlation properties']</t>
  </si>
  <si>
    <t>A technique is presented for replacing the signals from failed elements in a digitally beamformed receive array. The technique is shown to be useful in a multiple signal environment and does not impose special restrictions on the correlation properties of the received signals. Experimental data confirm the operation of this algorithm for the case of one signal and one interfering source. The technique is shown to be accurate when the incident signal locations are not precisely known, and even when the signals are distributed over a broad angular region or are only known to be located within a broad angular region. ¬©1996 IEEE.</t>
  </si>
  <si>
    <t>1543-1550</t>
  </si>
  <si>
    <t>60000251-60076904</t>
  </si>
  <si>
    <t>Mailloux, Robert J.</t>
  </si>
  <si>
    <t>Mailloux R.</t>
  </si>
  <si>
    <t>Array failure correction with a digitally beamformed array</t>
  </si>
  <si>
    <t>S0018926X96083652</t>
  </si>
  <si>
    <t>10.1109/8.546240</t>
  </si>
  <si>
    <t>2-s2.0-0030384175</t>
  </si>
  <si>
    <t>Experience of correlating measurements in the frequency range 30 MHz to 1 GHz</t>
  </si>
  <si>
    <t>2-s2.0-0030385442</t>
  </si>
  <si>
    <t>['variable directivity', 'study develops', 'several studies', 'recent studies', 'pvdf films', 'power density', 'movement causes', 'force relationship', 'flexible structures', 'cylindrical antennas', 'change shape', 'beam steering', 'aperture antennas', 'aperture antenna', 'antennas capable']</t>
  </si>
  <si>
    <t>Recent studies have shown that reflector surface adaptation can achieve performance characteristics of the order of phase array antennas without their complexity and cost. This study develops a class of antennas capable of variable directivity (beam steering) and power density (beam shaping). The actuation for these antennas is employed by attaching polyvinylidene fluoride (PVDF) film to a metallized Mylar substrate. A voltage drop across the material will cause the material to expand or contract. This movement causes a moment to be developed in the structure which causes the structure to change shape. Several studies of flexible structures with PVDF films have shown that cylindrical antennas can achieve significant deflections and thereby offer beneficial changes to radiation patterns emanating from aperture antennas. In this study, relatively large curved actuators are modelled and a deflection-force relationship is developed. This relationship is then employed in simulations where the far-field radiation patterns of an aperture antenna are manipulated. ¬© 1996 IOP Publishing Ltd.</t>
  </si>
  <si>
    <t>801-805</t>
  </si>
  <si>
    <t>Smart Materials and Structures</t>
  </si>
  <si>
    <t>Washington, Gregory</t>
  </si>
  <si>
    <t>Columbus</t>
  </si>
  <si>
    <t>The Ohio State University</t>
  </si>
  <si>
    <t>Washington G.</t>
  </si>
  <si>
    <t>Smart aperture antennas</t>
  </si>
  <si>
    <t>10.1088/0964-1726/5/6/010</t>
  </si>
  <si>
    <t>2-s2.0-0030385762</t>
  </si>
  <si>
    <t>08575-4</t>
  </si>
  <si>
    <t>['transmitter array', 'single flared', 'separate azimuth', 'properly time', 'optic beamformer', 'observed squint', 'notch element', 'microwave signals', 'link proportional', 'independent two', 'first demonstration', 'azimuth steering', '18 ghz']</t>
  </si>
  <si>
    <t>We report a first demonstration of a fiber-optic beamformer for independent two-dimensional (2-D) true timedelay steering of a transmitter array. The fiber-optic beamformer is based on a simple dispersive prism optical delay approach, with separate azimuth and elevation control stages. The azimuth dispersive prism stage includes an amount of dispersion in each link proportional to the corresponding column position in the array. The microwave signals, properly time-delayed for azimuth steering, are amplified and serve as inputs to identical dispersive prisms feeding the elements in each column. The elevation dispersive prism stages include an amount of dispersion in each link proportional to the corresponding row position in the array. Each time-delayed microwave signal feeds a single flared-notch element in a 4 x 4 array. The 2-D array pattern measurements in an anechoic chamber clearly demonstrate independent ¬±30¬∞ azimuth and ¬±30¬∞ elevation steering. There is no observed squint over the microwave-component determined bandwidth of 6-18 GHz.</t>
  </si>
  <si>
    <t>2696-2702</t>
  </si>
  <si>
    <t>12 PART 2</t>
  </si>
  <si>
    <t>60027271;60027271;60027271</t>
  </si>
  <si>
    <t>35458989800;7202324699;7005229250</t>
  </si>
  <si>
    <t>Frankel, Michael Y.;Matthews, Paul J.;Esman, Ronald D.</t>
  </si>
  <si>
    <t>Frankel M.</t>
  </si>
  <si>
    <t>Two-dimensional fiber-optic control of a true time-steered array transmitter</t>
  </si>
  <si>
    <t>10.1109/22.554632</t>
  </si>
  <si>
    <t>2-s2.0-0030387178</t>
  </si>
  <si>
    <t>['time relay', 'telecommunication systems', 'signal routeing', 'satellites provide', 'satellite system', 'satellite requirements', 'satellite mms', 'satellite applications', 'reduced size', 'potential intra', 'potential advantages', 'paper presents', 'optical terminals', 'microwave links', 'lower mass', 'intrasatellite links', 'instrument data', 'increased connectivity', 'increased capacity', 'high gain', 'future inter', 'extended coverage', 'current status', 'applications within', 'achieved within']</t>
  </si>
  <si>
    <t>Free space links between satellites provide a means of introducing increased connectivity into a satellite system. This can result in enhanced traffic capacity and extended coverage for the telecommunication systems and real-time relay of instrument data to the ground for earth observation missions. Optical links offer the potential advantages over microwave links of lower mass, power and reduced size so that they can be accommodated more easily on the satellite MMS has developed a range of optical terminals targetted at future inter-satellite requirements. This paper presents the current status of these optical terminals. Free space links also have potential for applications within the satellite itself. Intrasatellite links are required to connect subsystems within the payload. This is typically achieved using semi-rigid coaxial cables but the current trend towards satellites with increased capacity and high gain, multibeam antennas makes optical intra-satellite links attractive due to the increased connectivity and flexibility, signal routeing, switching and distribution which can be achieved within the payload. An overview of potential intra-satellite applications will be presented.</t>
  </si>
  <si>
    <t>60086242;60086242;60086242;60086242</t>
  </si>
  <si>
    <t>6701785054;7005799136;7102324320;55483984900</t>
  </si>
  <si>
    <t>Baister, G.;Gatenby, P.;Laurent, B.;Lewis, J.</t>
  </si>
  <si>
    <t>Baister G.</t>
  </si>
  <si>
    <t>Applications for optical free space links in inter-satellite and intra-satellite communications</t>
  </si>
  <si>
    <t>2-s2.0-0030387185</t>
  </si>
  <si>
    <t>7103195891;6603555859</t>
  </si>
  <si>
    <t>Hayward, A. C.;Wickenden, C. A.</t>
  </si>
  <si>
    <t>Hayward A.</t>
  </si>
  <si>
    <t>Military perspective - EMC measurements</t>
  </si>
  <si>
    <t>2-s2.0-0030387890</t>
  </si>
  <si>
    <t>['work reported', 'single measure', 'similar results', 'signal correlation', 'results indicate', 'reported elsewhere', 'radiation efficiency', 'much less', 'experimental results', 'experimental findings', 'especially higher', 'directly transferable', 'antenna diversity', 'additional attention']</t>
  </si>
  <si>
    <t>This paper presents one part of a set of experiments that were performed in the city of Liverpool to investigate the effectiveness of antenna diversity for handheld portable radio applications at 450MHz. The work reported here concentrates on spatial antenna diversity. It is evident from the experimental findings that significantly low signal correlation can be produced by closely spaced antennas. Similar results, both experimental and theoretical, have been reported elsewhere. The authors are, however, unaware of any publication in which additional attention has been given to the effect of antenna radiation efficiency degradation produced by such small antenna separations. This work effectively combines the signal correlation and radiation efficiency into a single measure, namely the comparative antenna diversity gain. The results indicate that significant diversity gain is achievable from antennas whose separation is much less than that predicted by the established field autocorrelation models. Theoretical techniques developed by the authors show good agreement with the experimental results. Although the work was conducted at 450MHz, the findings of the study are directly transferable to other (especially higher) frequencies.</t>
  </si>
  <si>
    <t>60020661;60020661</t>
  </si>
  <si>
    <t>7003410946;7402708406</t>
  </si>
  <si>
    <t>Leather, P. S.H.;Parsons, J. D.</t>
  </si>
  <si>
    <t>Leather P.S.H.</t>
  </si>
  <si>
    <t>Handheld antenna diversity experiments at 450MHz</t>
  </si>
  <si>
    <t>2-s2.0-0030388153</t>
  </si>
  <si>
    <t>['¬± 0', 'wave applications', 'system operates', 'spread spectrum', 'restricted area', 'ranging signals', 'positioning system', 'positioning accuracy', 'pn code', 'outdoor fields', 'increasing demand', 'hundred meters', 'autonomous vehicles']</t>
  </si>
  <si>
    <t>In outdoor fields such as construction, mining and agriculture, there is an increasing demand for autonomous vehicles to reduce labor costs. Also, a positioning system is one key technology required for autonomous vehicle systems. For the purpose of expanding the potential of millimeter-wave applications, we have developed a positioning system in the 77-79 GHz frequency band, using the hyperbolic radio navigation method. This system operates in a restricted area with a radius of about a few hundred meters. A spread spectrum with a PN code is used as the ranging signals. We realized about ¬±0.1 m in positioning accuracy.</t>
  </si>
  <si>
    <t>1813-1817</t>
  </si>
  <si>
    <t>101472659;101472659;101472659</t>
  </si>
  <si>
    <t>55451498600;7401909049;7102532455</t>
  </si>
  <si>
    <t>Okamoto, Hironobu;Izumi, Tetsujirou;Kishi, Hiroo</t>
  </si>
  <si>
    <t>Ichikawa</t>
  </si>
  <si>
    <t>Robotech Engineering Co Ltd</t>
  </si>
  <si>
    <t>Okamoto H.</t>
  </si>
  <si>
    <t>70 GHz band positioning system for unmanned vehicles</t>
  </si>
  <si>
    <t>2-s2.0-0030388573</t>
  </si>
  <si>
    <t>['¬± 1', 'wireless communications', 'varactor diode', 'tuning bandwidth', 'power variation', 'particularly suitable', 'mixing antenna', 'mix signals', 'experimental results', 'electronic tuning', 'conversion loss', 'also capable', 'active antenna', '7 db', '450 mhz', '200 mhz', '12 db', '0 db']</t>
  </si>
  <si>
    <t>A cavity-backed, Gunn-diode-driven, self-mixing active inverted stripline circular patch antenna has been developed. The antenna provides good radiation performance with cross-polarization levels 18 dB below copolarization at boresight. The self-mixing performance shows that the circuit has a 2dB conversion gain for IP's up to 450 MHz and a singlesideband noise figure of 12 dB at 200 MHz. The self-mixing antenna is also capable to mix signals with its second-harmonic, providing a conversion loss of 3.7 dB. Also, a varactor diode has been incorporated with a inverted stripline circular patch active antenna to allow for electronic tuning. A 13% tuning bandwidth with a power variation of ¬±1.0 dB was achieved. A simple equivalent circuit has been used to model the active antenna, and the calculated results agree well with the experimental results. The circuit should have many commercial applications in wireless communications, radar, and sensors, but is particularly suitable for use as a transceiver for short communications links or as a microwave identification transceiver. ¬© 1996 IEEE.</t>
  </si>
  <si>
    <t>2421-2430</t>
  </si>
  <si>
    <t>57197881843;7402512895;7404879378</t>
  </si>
  <si>
    <t>Montiel, Claudio M.;Fan, Lu;Chang, Kai</t>
  </si>
  <si>
    <t>Montiel C.</t>
  </si>
  <si>
    <t>A novel active antenna with self-mixing and wideband varactor-tuning capabilities for communication and vehicle identification applications</t>
  </si>
  <si>
    <t>S0018948096085171</t>
  </si>
  <si>
    <t>10.1109/22.554572</t>
  </si>
  <si>
    <t>2-s2.0-0030389189</t>
  </si>
  <si>
    <t>['wireless lans', 'wireless atms', 'wave high', 'sector number', 'quasi millimeter', 'paper shows', 'design method', 'cylindrical shape', 'antenna gains']</t>
  </si>
  <si>
    <t>For quasi millimeter-wave and millimeter-wave high-speed wireless communications over wireless LANs and wireless ATMs, narrow beam antennas have been shown to provide high transmission quality by suppressing the troublesome multipath effect. However, the diameter of sector antennas needed to create the narrow beams rapidly increases with the sector number. In addition, the cylindrical shape of typical sector antennas does not suit portable terminals. This paper shows a methodology for designing planar sector antennas that overcomes these problems. The proposed antenna uses two kinds of beams and the antenna gains are equalized in all sectors. The antenna is developed as a 4-beam subarray fed by a planar Butler matrix circuit. The design method of the subarray and an evaluation of its characteristics in the 20 GHz band are discussed.</t>
  </si>
  <si>
    <t>1773-1777</t>
  </si>
  <si>
    <t>Planar sector antenna for indoor high-speed wireless communication systems</t>
  </si>
  <si>
    <t>2-s2.0-0030389566</t>
  </si>
  <si>
    <t>['tunnel tip', 'topographic features', 'thin films', 'probe setup', 'novel scanning', 'microwave conductivity', 'microwave antenna', 'infrared microscope', 'dimensional semiconductors', 'consequences fort', 'complex transmission', '15 nm']</t>
  </si>
  <si>
    <t>Infrared microscopy | Microwave microscopy | Scanning near-field optical microscopy | Scanning probe microscopy</t>
  </si>
  <si>
    <t>A novel scanning-probe setup is reported that maps the complex transmission of microwaves. Response to topographic features as small as 15 nm was observed. The sharpened coaxial probe tip serves as a microwave antenna and, at the same time, as a tunnel tip to warrant precise distance control by STM (scanning tunneling microscope) feedback. The instrument can be applied to map the microwave conductivity of e.g. thin films or low-dimensional semiconductors. Consequences fort he development of an infrared microscope are outlined.</t>
  </si>
  <si>
    <t>413-417</t>
  </si>
  <si>
    <t>60006070;60006070;60006070;60006070</t>
  </si>
  <si>
    <t>22953812100;24561474600;36476397200;7003579318</t>
  </si>
  <si>
    <t>Kramer, A.;Keilmann, F.;Knoll, B.;Guckenberger, R.</t>
  </si>
  <si>
    <t>Kramer A.</t>
  </si>
  <si>
    <t>The coaxial tip as a nano-antenna for scanning near-field microwave transmission microscopy</t>
  </si>
  <si>
    <t>S0968432896000479</t>
  </si>
  <si>
    <t>10.1016/S0968-4328(96)00047-9</t>
  </si>
  <si>
    <t>2-s2.0-0030390041</t>
  </si>
  <si>
    <t>['without undulations', 'winter period', 'western end', 'thermal plumes', 'tall spikes', 'stable layer', 'sodar antenna', 'september 1993', 'rising layer', 'rarely seen', 'observed structure', 'monsoon trough', 'monsoon spell', 'monsoon period', 'monostatic sodar', 'july 1992', 'dot echoes']</t>
  </si>
  <si>
    <t>Atmosphere | Boundary layer | Monsoon trough | MONTBLEX | Rainfall | Sodar | Thermal structure</t>
  </si>
  <si>
    <t>A monostatic sodar was set up at Jodhpur, near the western end of the monsoon trough, to investigate the atmospheric boundary layer dynamics. A 30m instrumented tower was also located close to the sodar antenna. Data were collected from June to August during the monsoon period of 1990, as also from July 1992 to September 1993. . ... Thermal plumes, surface-based stable layers (both flat or short spiky top and tall spiky top), elevated/multi-layers with or without undulations and dot echo structures were seen; however, erosion of the morning inversion layer in the form of a rising layer with growing thermal plumes under it was rarely seen, and that too only during the winter period. The observed structure of the stable layer with tall spikes and its depth have been found to be correlated with the intensity of the monsoon spell; the dot echoes have been found to be correlated with the approach of a monsoon depression near Jodhpur, and the elevated/multilayers have been, attributed to the formation of a subsidence (shear instability).</t>
  </si>
  <si>
    <t>261-272</t>
  </si>
  <si>
    <t>Proceedings of the Indian Academy of Sciences, Earth and Planetary Sciences</t>
  </si>
  <si>
    <t>60009615;60069555;60009615;60069555</t>
  </si>
  <si>
    <t>55386701100;57196557152;57198340969;7003766339</t>
  </si>
  <si>
    <t>Gera, B. S.;Singal, S. P.;Saxena, Neeraj;Ramakrishna, Y. S.</t>
  </si>
  <si>
    <t>Jodhpur;New Delhi</t>
  </si>
  <si>
    <t>ICAR - Central Arid Zone Research Institute, Jodhpur;National Physical Laboratory India</t>
  </si>
  <si>
    <t>60069555;60009615</t>
  </si>
  <si>
    <t>Gera B.</t>
  </si>
  <si>
    <t>Atmospheric boundary layer studies at Jodhpur during MONTBLEX using sodar and tower</t>
  </si>
  <si>
    <t>2-s2.0-0030390863</t>
  </si>
  <si>
    <t>['westphalian strata', 'westphalian series', 'trunk appendages', 'term konservat', 'specimens exceeds', 'many specimens', 'lowest unit', 'leinster coalfield', 'large number', 'hollypark boreholes', 'geographical area', 'fossil record', 'fauna occurs', 'eastern ireland', 'display features', 'conchostracan branchiopods', 'common elements', 'clearly merits', 'caudal furca', 'castlecomer fauna', 'ardra borehole']</t>
  </si>
  <si>
    <t>A large number of boreholes have been drilled through Namurian and Westphalian strata in the Leinster Coalfield of south-eastern Ireland. Core from the Ardra and Hollypark boreholes has yielded an exceptionally preserved fauna, dominated by arthropods. Elements of this fauna have only previously been recorded from the Ardra borehole. The occurrence of the fauna in the Hollypark borehole extends the geographical area over which it is known to occur. The fauna occurs in the Moyadd Coal Formation at or near the level of the Gastrioceras subcrenatum marine band, the lowest unit of the Westphalian Series. The most common elements of the fauna are conchostracan branchiopods, many specimens of which display features such as the antennae, mandibles, claspers, trunk appendages, telson, and caudal furca. The anatomical detail preserved in these specimens exceeds that in other conchostracan branchiopods in the fossil record. The 'Castlecomer fauna' clearly merits the term Konservat-Lagerst√§tte.</t>
  </si>
  <si>
    <t>93-106</t>
  </si>
  <si>
    <t>Irish Journal of Earth Sciences</t>
  </si>
  <si>
    <t>60020650;60020650;60026271</t>
  </si>
  <si>
    <t>7006077253;57203106346;7006129172</t>
  </si>
  <si>
    <t>Orr, Patrick J.;Briggs, Derek E.G.;Parkes, Matthew A.</t>
  </si>
  <si>
    <t>Ireland;United Kingdom</t>
  </si>
  <si>
    <t>Dublin;Bristol</t>
  </si>
  <si>
    <t>Geological Survey Ireland;University of Bristol</t>
  </si>
  <si>
    <t>60026271;60020650</t>
  </si>
  <si>
    <t>Orr P.J.</t>
  </si>
  <si>
    <t>The 'Castlecomer fauna': A new Konservat-Lagerst√§tte from the upper carboniferous of Ireland</t>
  </si>
  <si>
    <t>2-s2.0-0030391214</t>
  </si>
  <si>
    <t>['web sites', 'various systems', 'propagation community', 'paper presents', 'microstrip antenna', 'important bibliography', 'historical survey', 'given problem', 'example calculation', 'also given', 'algebra systems']</t>
  </si>
  <si>
    <t>This paper presents some computer-algebra systems, and explains how these systems are likely to be relevant in addressing electromagnetic problems. After a historical survey, we discuss the various systems and their features. Some examples are given, with an important bibliography. A listing of Web sites (of interest to the antennas and propagation community) is also given. Finally, we outline how a given problem can be formalized and analyzed using symbolic-algebra systems, and show an example calculation for a conformal-microstrip antenna.</t>
  </si>
  <si>
    <t>92-98</t>
  </si>
  <si>
    <t>60110755;60110755;60110755;60025778</t>
  </si>
  <si>
    <t>16050119900;7003760958;6603172948;7102576479</t>
  </si>
  <si>
    <t>Damiano, Jean Pierre;Scotto, Martine;Ribero, Jean Marc;Volakis, John L.</t>
  </si>
  <si>
    <t>Sophia Antipolis;Ann Arbor</t>
  </si>
  <si>
    <t>Laboratoire D'√©lectronique, Antennes et T√©l√©communications;University of Michigan, Ann Arbor</t>
  </si>
  <si>
    <t>60110755;60025778</t>
  </si>
  <si>
    <t>Computer-algebra systems and electromagnetic problems</t>
  </si>
  <si>
    <t>10.1109/74.556526</t>
  </si>
  <si>
    <t>2-s2.0-0030393171</t>
  </si>
  <si>
    <t>['theoretical proof', 'selective surface', 'prior art', 'present herein', 'paper presents', 'numerical computations', 'impossible polarizers', 'ideal cpss', 'cpss ).']</t>
  </si>
  <si>
    <t>This paper presents the concept of an electromagnetic surface called the circular-polarization-selective surface (CPSS). Few papers have dealt with the CPSS, and it has even been argued that the ideal CPSS belongs to the category of impossible polarizers. We present herein a theoretical proof for the existence of the ideal CPSS, review the prior art in this area, identify some geometrical constraints inherent to such a device, and present the results of numerical computations.</t>
  </si>
  <si>
    <t>18-32</t>
  </si>
  <si>
    <t>60018714-60032619-60030101-60009697;60009697-60022927-60016849</t>
  </si>
  <si>
    <t>7202869339;8092251400</t>
  </si>
  <si>
    <t>Roy, J. E.;Shafai, L.</t>
  </si>
  <si>
    <t>Canada;Canada;Iran;Canada;Canada;Canada</t>
  </si>
  <si>
    <t>Quebec;Regina;Tehran;Ottawa;Toronto;Winnipeg</t>
  </si>
  <si>
    <t>Universit√© Laval;University of Regina;University of Tehran;Communications Research Centre;University of Toronto;University of Manitoba</t>
  </si>
  <si>
    <t>60032619;60030101;60022927;60018714;60016849;60009697</t>
  </si>
  <si>
    <t>Roy J.</t>
  </si>
  <si>
    <t>Reciprocal circular-polarization-selective surface</t>
  </si>
  <si>
    <t>10.1109/74.556517</t>
  </si>
  <si>
    <t>2-s2.0-0030393172</t>
  </si>
  <si>
    <t>['wave transmission', 'standard single', 'remote antennas', 'paper examines', 'multichannel millimeter', 'mode fiber', 'many users', 'loss method', 'chromatic dispersion', '80 km', '1550 nm']</t>
  </si>
  <si>
    <t>The 28-GHz local multipoint distribution service (LMDS) band will be used to deliver broadband wireless services to many users. Millimeter-wave fiber links provide a low-loss method of distributing the multiple QAM channels to remote antennas from a central control station. Through simulation, this paper examines the effects of chromatic dispersion of standard single-mode fiber on multichannel millimeter-wave transmission at 1550 nm. It is shown that with proper planning broadband multichannel QAM transmission with acceptable CIR levels is possible over distances up to 80 km.</t>
  </si>
  <si>
    <t>1716-1718</t>
  </si>
  <si>
    <t>60000251-60121438;60000251-60020536;60000251-60121438</t>
  </si>
  <si>
    <t>15036117400;7004285014;7401559989</t>
  </si>
  <si>
    <t>Park, John;Elrefaie, Aly F.;Lau, Kam Y.</t>
  </si>
  <si>
    <t>Berkeley;Palo Alto;New York</t>
  </si>
  <si>
    <t>University of California, Berkeley;Hewlett-Packard Inc.;IEEE</t>
  </si>
  <si>
    <t>60121438;60020536;60000251</t>
  </si>
  <si>
    <t>Park J.</t>
  </si>
  <si>
    <t>Fiber chromatic dispersion effects on multichannel digital millimeter-wave transmission</t>
  </si>
  <si>
    <t>S1041113596087988</t>
  </si>
  <si>
    <t>10.1109/68.544729</t>
  </si>
  <si>
    <t>2-s2.0-0030393192</t>
  </si>
  <si>
    <t>['wave broadcasting', 'present hydraulic', 'predicted gain', 'new technology', 'mechanical devices', 'international short', 'field intensity', 'expected level', 'commercial aircraft', 'amplitude externally']</t>
  </si>
  <si>
    <t>A NASA research program has been instituted which seeks to replace the present hydraulic and pneumatic control systems on commercial aircraft with electro-optical and electro-mechanical devices. This new technology should be lighter, cheaper, and easier to maintain, but may be susceptible to high-amplitude externally-generated electromagnetic fields. To determine the expected level of interference, a rhombic antenna utilized by the Voice of America for international short-wave broadcasting was modeled using NEC-4D. The predicted gain and take-off angle were calculated, along with the electric-field intensity at several data points located near the ground. ¬© 1996 IEEE.</t>
  </si>
  <si>
    <t>314-322</t>
  </si>
  <si>
    <t>A rhombic antenna case study</t>
  </si>
  <si>
    <t>S008931696093936</t>
  </si>
  <si>
    <t>10.1109/11.544564</t>
  </si>
  <si>
    <t>2-s2.0-0030393438</t>
  </si>
  <si>
    <t>['√† factor', 'wire approach', 'traditional king', 'symmetry property', 'surrounded immediately', 'field nature', 'field characteristics', 'fast algorithm', 'cpu time', 'casey approach', 'basic thin', 'approximation type', 'another case', 'additional reduction']</t>
  </si>
  <si>
    <t>A fast algorithm for determining the near-field characteristics of an insulated dipole antenna (IDA) embedded in a homogenous dissipative medium is described in this paper. A thin-wire-approximation type of analysis is followed here. In this case, 'radiation is considered to originate from a filamentary current flowing along the axis of the dipole, which is surrounded immediately by the ambient dissipative medium. The translational symmetry inherent in the resultant radiation integrals is then exploited to speed up the computation. In one case studied, the basic thin-wire approach that uses no symmetry property is found to yieid accurate results in approximately 380 times less CPU time than the traditional King-Casey approach. In another case, use of symmetry property further reduces the CPU time by √†factor of 7; additional reduction in CPU time is possible by taking into account the near-field nature of the problem. ¬© 1996 IEEE.</t>
  </si>
  <si>
    <t>2290-2293</t>
  </si>
  <si>
    <t>12 PART 1</t>
  </si>
  <si>
    <t>7404903021;7201718116;7006517858</t>
  </si>
  <si>
    <t>Wu, Lin Kun;Su, David Wen Feng;Tseng, Bin Chyi</t>
  </si>
  <si>
    <t>Wu L.K.</t>
  </si>
  <si>
    <t>A fast algorithm for computing field radiated by an insulated dipole aiiteima in dissipative medium</t>
  </si>
  <si>
    <t>S0018948096084906</t>
  </si>
  <si>
    <t>10.1109/22.556469</t>
  </si>
  <si>
    <t>2-s2.0-0030393623</t>
  </si>
  <si>
    <t>['valuable low', 'thick high', 'results demonstrate', 'paper reports', 'modulated scattering', 'microstrip coupled', 'frequency range', 'cpw ),', 'cost tool', 'cost system', 'basic theory', '85 ghz', '4 ghz', '18 ghz', '100 œºm', '10 ghz']</t>
  </si>
  <si>
    <t>This paper reports on the basic theory of operation and experimental results obtained from an electric field imaging system for planar microwave circuits that employs the method of modulated scattering with monolithically integrated probes. The low-cost system is capable of mapping the normal and tangential electric field intensities and electrical phase delays above reciprocal microwave circuits in the frequency range of 0.5-18 GHz with a spatial electric field resolution of better than 100 Œºm. Monolithic probes incorporating silicon Schottky diodes integrated with electrically small dipole and monopole antenna scatterers on a 40-Œºm-thick high-resistivity silicon substrate are used. Electric field intensity and electrical phase delay images are presented for a SS-Œ© coplanar waveguide line (CPW), a three-turn microstrip meander line at 8.8, 11.7, and 13.4 GHz, a microstrip coupled-line directional coupler at 10 GHz, and a microstrip patch antenna at 12.85 GHz. The results demonstrate that the modulated scattering technique is a valuable low-cost tool for microwave circuit diagnostics. ¬© 1996 IEEE.</t>
  </si>
  <si>
    <t>2174-2184</t>
  </si>
  <si>
    <t>6701409429;7801645405;7006384021</t>
  </si>
  <si>
    <t>Budka, Thomas P.;Waclawik, Scott D.;Rebeiz, Gabriel M.</t>
  </si>
  <si>
    <t>Budka T.</t>
  </si>
  <si>
    <t>A coaxial 0.5-18 GHz near electric field measurement system for planar microwave circuits using integrated probes</t>
  </si>
  <si>
    <t>S0018948096084840</t>
  </si>
  <si>
    <t>10.1109/22.556445</t>
  </si>
  <si>
    <t>2-s2.0-0030393626</t>
  </si>
  <si>
    <t>['spectral method', 'spatial orientations', 'receiving antennas', 'program package', 'pattern parameters', 'mathematical expression', 'diffraction problem', 'different heights', 'amplification function', 'absorbing half']</t>
  </si>
  <si>
    <t>A mathematical expression for the field of a millimeter wave beam behind an absorbing half-plane, which takes into account the orientation and pattern parameters of the transmitting - receiving antennas, is derived by means of the spectral method for solving the diffraction problem. A program package is developed and the values of the amplification function for the narrow beam field in the reception point shadowed by the half-plane (an obstacle) are calculated. Spatial orientations of the beams that maximize the received field amplitude are determined. The problem of the proper power supply of two receiving antennas separated by an obstacle and located at different heights and distances from the transmitter is solved.</t>
  </si>
  <si>
    <t>1383-1388</t>
  </si>
  <si>
    <t>7004850705;6506825389</t>
  </si>
  <si>
    <t>Andreev, G. A.;Glagyshev, G. A.</t>
  </si>
  <si>
    <t>Andreev G.A.</t>
  </si>
  <si>
    <t>Diffraction of a millimeter wave beam propagating along an obstructed path</t>
  </si>
  <si>
    <t>2-s2.0-0030394773</t>
  </si>
  <si>
    <t>49-63</t>
  </si>
  <si>
    <t>60106849-112495954-112496292-112494581-112495886-60000251-101598301-112494384</t>
  </si>
  <si>
    <t>Zhang, Wen Xun</t>
  </si>
  <si>
    <t>China;United States;;;;Japan;;China</t>
  </si>
  <si>
    <t>Nanjing;New York;;;;;;</t>
  </si>
  <si>
    <t>Nanjing Institute of Technology;IEEE;Div. Electromagnetics and Microwaves;Antennas and Microwaves Group;Microwave Society;Steering Committee;URSI Commission B;Beijing Centre</t>
  </si>
  <si>
    <t>60106849;60000251;112496292;112495954;112495886;112494581;112494384;101598301</t>
  </si>
  <si>
    <t>Zhang W.</t>
  </si>
  <si>
    <t>Antenna development in China</t>
  </si>
  <si>
    <t>10.1109/74.556520</t>
  </si>
  <si>
    <t>2-s2.0-0030395264</t>
  </si>
  <si>
    <t>Civilian perspective</t>
  </si>
  <si>
    <t>2-s2.0-0030395896</t>
  </si>
  <si>
    <t>['typical cases', 'take account', 'signals received', 'signal received', 'sharp beam', 'scattering points', 'radio wave', 'radar target', 'radar antenna', 'proposed method', 'measured ones', 'estimated characteristics', 'compact range', 'car radar', 'appropriately determined']</t>
  </si>
  <si>
    <t>A method for simply estimating characteristics of signals received by a millimeter wave car radar is presented. The substitution of a radar target with a set of scattering points is introduced to take account of the phenomenon that only part of the target is irradiated with the radio wave from the radar antenna with a sharp beam; the phenomenon is peculiar to the car radar which operates in a compact range. The positions and received signal characteristics (RSC) of the scattering points are appropriately determined on the basis of a measured RSC values on the surface of the target. The estimated characteristics of the signal received by the car radar is compared with the measured ones under typical cases in the car radar environments. The proposed method can realize the estimation of the received signal characteristics.</t>
  </si>
  <si>
    <t>1792-1798</t>
  </si>
  <si>
    <t>60003416;60003416;60003416</t>
  </si>
  <si>
    <t>7401729105;57206013529;7403216058</t>
  </si>
  <si>
    <t>Asano, Yoshikazu;Ohshima, Shigeki;Nishikawa, Kunitoshi</t>
  </si>
  <si>
    <t>Aichi District</t>
  </si>
  <si>
    <t>Toyota Central Research Development Laboratory Inc</t>
  </si>
  <si>
    <t>Asano Y.</t>
  </si>
  <si>
    <t>Estimation of received signal characteristics for millimeter wave car radar</t>
  </si>
  <si>
    <t>2-s2.0-0030397171</t>
  </si>
  <si>
    <t>['software algorithms', 'inherent problems', 'hp smartclock', 'greatly minimize']</t>
  </si>
  <si>
    <t>The U.S. Department of Defense Global Positioning System has inherent problems that limit its use as a source of timing. HP SmartClock is a collection of software algorithms that solve or greatly minimize these problems.</t>
  </si>
  <si>
    <t>60-67</t>
  </si>
  <si>
    <t>Hewlett-Packard Journal</t>
  </si>
  <si>
    <t>Kusters, John A.</t>
  </si>
  <si>
    <t>Kusters J.</t>
  </si>
  <si>
    <t>The Global Positioning System and HP SartClock</t>
  </si>
  <si>
    <t>2-s2.0-0030398113</t>
  </si>
  <si>
    <t>['treated using', 'state devices', 'signal emitted', 'linear distortion', 'inband characteristics', 'fully characterize', 'frequency domain', 'emitted signal', 'electron beams', 'broadcast signal', 'antenna reflections', 'also included']</t>
  </si>
  <si>
    <t>The characteristics of the signal emitted from the Vestigial side band ATV digital terrestrial broadcast transmitter is examined as regards the parameters which determine the quality of the broadcast signal. Only inband characteristics are examined. The band edge characteristics both upper and lower - are defined in terms of the frequency domain and the resulting time domain data pulse shape is examined. Inter symbol interference affecting eye closure is treated using an example of transmission line VSWR caused by antenna reflections. Error vector magnitude is shown to fully characterize the quality of the emitted signal. Included in the error vector magnitude is the above intersymbol interference caused by linear distortion such as echoes, channel magnitude ripple and tilts which have not been removed by pre-equalization. Also included are noise-like components caused by non-linear high power amplifiers and random noise caused by transmitter circuits using solid-state devices and electron beams. An error vector magnitude limit value is proposed for the terrestrial broadcast signal. ¬© 1996 IEEE.</t>
  </si>
  <si>
    <t>298-304</t>
  </si>
  <si>
    <t>Eilers, Carl G.</t>
  </si>
  <si>
    <t>Lincolnshire</t>
  </si>
  <si>
    <t>Zenith Electronics Corporation</t>
  </si>
  <si>
    <t>Eilers C.</t>
  </si>
  <si>
    <t>The in-band characteristics of the vestigial side band emitted signal for atv digital terrestrial broadcasting</t>
  </si>
  <si>
    <t>S0018931696093912</t>
  </si>
  <si>
    <t>10.1109/11.544562</t>
  </si>
  <si>
    <t>2-s2.0-0030399280</t>
  </si>
  <si>
    <t>['wireless direct', 'system capacity', 'sequence code', 'receiver consists', 'rake structure', 'proposed receiver', 'performance improvement', 'front end', 'division multiple', 'base station', 'antenna arrays', 'antenna array', 'angle spread', 'also show', 'also evaluated']</t>
  </si>
  <si>
    <t>In this paper, an antenna array-based base station receiver structure for wireless direct-sequence code-division multiple-access (DS/CDMA) with M-ary orthogonal modulation is proposed. The base station uses an antenna array Beamformer-RAKE structure with noncoherent equal gain combining. The receiver consists of a "front end" beamsteering processor feeding a conventional noncoherent RAKE combiner. The performance of the proposed receiver with closed loop power control in multipath fading channels is evaluated. Expressions for the system uncoded bitor probability (BEP) as a function of number of users, number of antennas, and angle spread are derived for different power control scenarios. The system capacity in terms of number of users that can be supported for a given uncoded BEP is also evaluated. Analysis results show a performance improvement in terms of system capacity due to the use of antenna arrays and the associated signal processing at the base station. In particular, analysis results show an increase in system capacity that is proportional to the number of antennas. They also show an additional performance improvement due to space diversity gain provided by the array for nonzero angle spreads.</t>
  </si>
  <si>
    <t>1770-1783</t>
  </si>
  <si>
    <t>60012708;</t>
  </si>
  <si>
    <t>7004611847;7004920065</t>
  </si>
  <si>
    <t>Naguib, A. F.;Paulraj, A.</t>
  </si>
  <si>
    <t>Naguib A.</t>
  </si>
  <si>
    <t>Performance of wireless CDMA with M-ary orthogonal modulation and cell site antenna arrays</t>
  </si>
  <si>
    <t>S0733871696052390</t>
  </si>
  <si>
    <t>10.1109/49.545700</t>
  </si>
  <si>
    <t>2-s2.0-0030400414</t>
  </si>
  <si>
    <t>['wave short', 'sensing systems', 'major research', 'frequency management', 'development trends', 'development efforts', 'communication systems', 'also described']</t>
  </si>
  <si>
    <t>An overview of the research and development trends in millimeter-wave short-range application systems, such as communication systems and sensing systems, in Japan and other countries is presented. Frequency management are also described. Major research and development efforts in Japan have currently been concentrated on the 59-64 GHz band. The first major achievement resulting from those efforts was the allocation of the 60-61 GHz band to the automotive radar systems. Research and development trends of future application systems, such as broadband mobile communication systems and imaging radar systems, are also described.</t>
  </si>
  <si>
    <t>1741-1753</t>
  </si>
  <si>
    <t>7101896911;7202921206</t>
  </si>
  <si>
    <t>Ihara, Toshio;Fujimura, Keiji</t>
  </si>
  <si>
    <t>Ihara T.</t>
  </si>
  <si>
    <t>Research and development trends of millimeter-wave short-range application systems</t>
  </si>
  <si>
    <t>2-s2.0-0030400503</t>
  </si>
  <si>
    <t>['wide bandwidth', 'use based', 'two computers', 'simple techniques', 'receiving antennas', 'notable advantages', 'introducing filters', 'high reliability', 'gunn oscillator', 'guide technologies', 'developed successfully', 'circuit components', 'base band', 'achieved simultaneously']</t>
  </si>
  <si>
    <t>A 60 GHz digital transceiver for millimeter wave local area network (LAN) use based on nonradiative dielectric waveguide (NRD) guide technologies is developed. The notable advantages of the circuit components are the high reliability of the Gunn oscillator, the wide bandwidth of the circulator, and the high frequency operation of the PIN diode modulator beyond 100 Mbps. Interference between transmitting and receiving antennas is eliminated by simple techniques such as introducing filters in the base band and IF circuits. By using the NRD guide digital transceivers, both-way data transmission between two computers can be achieved simultaneously and a 60 GHz wireless LAN system has been developed successfully.</t>
  </si>
  <si>
    <t>1759-1764</t>
  </si>
  <si>
    <t>60104115;60104115</t>
  </si>
  <si>
    <t>7005760397;7202091831</t>
  </si>
  <si>
    <t>Kuroki, Futoshi;Yoneyama, Tsukasa</t>
  </si>
  <si>
    <t>Kure</t>
  </si>
  <si>
    <t>National Institute of Technology, Kure College</t>
  </si>
  <si>
    <t>Kuroki F.</t>
  </si>
  <si>
    <t>NRD guide digital transceivers for millimeter wave LAN system</t>
  </si>
  <si>
    <t>2-s2.0-0030400741</t>
  </si>
  <si>
    <t>['swiss alps', 'signal without', 'several adjustments', 'original patent', 'metallic connection', 'marconi based', 'equipment work']</t>
  </si>
  <si>
    <t>Guglielmo Marconi made the first wireless experiment in the Swiss Alps. Marconi based his study on the Hertz's experiments and he tried to transmit a signal without any kind of metallic connection. Until several adjustments and patience he was able to make the equipment work and in London Marconi took out the original patent of his work.</t>
  </si>
  <si>
    <t>68-69</t>
  </si>
  <si>
    <t>Gardiol, Fred</t>
  </si>
  <si>
    <t>Gardiol F.</t>
  </si>
  <si>
    <t>Marconi in Switzerland</t>
  </si>
  <si>
    <t>10.1109/74.556523</t>
  </si>
  <si>
    <t>2-s2.0-0030400776</t>
  </si>
  <si>
    <t>A-2176</t>
  </si>
  <si>
    <t>['variable height', 'sleeve monopole', 'sleeve conductor', 'rigorous modal', 'regional interfaces', 'radiation pattern', 'numerical results', 'magnetic wall', 'input impedance', 'initially proposed', 'ground plane', 'good agreement', 'finite thickness', 'expansion coefficients', 'expansion analysis', 'electromagnetic fields', 'electric wall', 'current distribution', 'conducting surfaces', 'coaxial line', 'boundary conditions', 'available data', 'also examined']</t>
  </si>
  <si>
    <t>A rigorous modal-expansion analysis is developed for obtaining the current distribution and input impedance of a sleeve-monopole antenna fed through an infinite ground plane by a coaxial line. A "perfectly matched boundary," which is simply the combination of an electric wall and a magnetic wall, is initially proposed to facilitate the modal-expansion analysis. The walls are parallel to the ground plane at a variable height above it. Expansion coefficients of the electromagnetic fields are then determined by enforcing the boundary conditions at conducting surfaces and regional interfaces. Numerical results for the current distribution and input impedance of the sleeve monopole are presented and compared with available data in the literature. Very good agreement is observed. Also examined are the radiation pattern for different sleeve lengths and the effects of the length and finite thickness of the sleeve conductor on the antenna's input impedance. ¬© 1996 IEEE.</t>
  </si>
  <si>
    <t>1584-1591</t>
  </si>
  <si>
    <t>60014171;60000251-60014171</t>
  </si>
  <si>
    <t>Shen, Zhoogxiang;MacPhie, Robert H.</t>
  </si>
  <si>
    <t>Waterloo;New York</t>
  </si>
  <si>
    <t>University of Waterloo;IEEE</t>
  </si>
  <si>
    <t>60014171;60000251</t>
  </si>
  <si>
    <t>Rigorous evaluation of the input impedance of a sleeve monopole by modal-expansion method</t>
  </si>
  <si>
    <t>S0018926X96083706</t>
  </si>
  <si>
    <t>10.1109/8.546244</t>
  </si>
  <si>
    <t>2-s2.0-0030400948</t>
  </si>
  <si>
    <t>['theoretical model', 'noise performance', 'l ratio', 'gate area', 'frequency noise', 'device w', 'carefully examined', 'biasing voltage', 'also found']</t>
  </si>
  <si>
    <t>Low-frequency noise characteristics of MOSFET's have been studied in terms of their dependence on metal interconnect perimeter length, device W/L ratio, and gate-biasing voltage. In contrast to the theoretical model, a noise intensity increasing with lowering gate biasing was observed, which suggests that a compromise between noise performance and gain/offset voltage needs to be carefully examined in analog circuit design. Low-frequency noise was also found to be dependent on W/L ratio in devices with the same gate area, which should be considered in future device scaling.</t>
  </si>
  <si>
    <t>552-554</t>
  </si>
  <si>
    <t>60032408;60007278;60032408;60032408</t>
  </si>
  <si>
    <t>57200743302;57203774853;7004933184;55492767800</t>
  </si>
  <si>
    <t>Hu, Chun;Li, G. P.;Worley, Eugene;White, Joe</t>
  </si>
  <si>
    <t>Newport Beach;Irvine</t>
  </si>
  <si>
    <t>Conexant;University of California, Irvine</t>
  </si>
  <si>
    <t>60032408;60007278</t>
  </si>
  <si>
    <t>Hu C.</t>
  </si>
  <si>
    <t>Consideration of low-frequency noise in MOSFET's for analog performance</t>
  </si>
  <si>
    <t>S0741310696088568</t>
  </si>
  <si>
    <t>10.1109/55.545767</t>
  </si>
  <si>
    <t>2-s2.0-0030401260</t>
  </si>
  <si>
    <t>60163091;60163091;60163091</t>
  </si>
  <si>
    <t>7005313991;35493777900;7202925251</t>
  </si>
  <si>
    <t>Lever, Peter H.;Ball, Robert J.;Jennings, Paul A.</t>
  </si>
  <si>
    <t>Coventry</t>
  </si>
  <si>
    <t>Faculty of Science, Engineering and Medicine</t>
  </si>
  <si>
    <t>Lever P.H.</t>
  </si>
  <si>
    <t>Design of a mode stirring facility for whole vehicle testing</t>
  </si>
  <si>
    <t>2-s2.0-0030403560</t>
  </si>
  <si>
    <t>45-x5</t>
  </si>
  <si>
    <t>Robinson, Lisa</t>
  </si>
  <si>
    <t>Robinson L.</t>
  </si>
  <si>
    <t>How to select the perfect satellite news vehicle</t>
  </si>
  <si>
    <t>2-s2.0-0030406460</t>
  </si>
  <si>
    <t>['uniplanar microwave', 'type injection', 'theoretical predictions', 'running frequency', 'radiating element', 'proximitycoupled center', 'proposed active', 'power level', 'mode antenna', 'measured performance', 'locked active', 'leaky mode', 'integrated leaky', 'integrated circuit', 'fed slotline', 'design approach', 'bsutd transmission']</t>
  </si>
  <si>
    <t>This paper describes basic research carried out to design a microwave source module employing the concept of an active-integrated leaky-mode antenna. The novel activeantenna source module utilizes a microstrip as the radiating element while adopting uniplanar technology for the active circuit design. The microstrip is operated in the first higher order odd mode, which is a leaky mode, and excited by a proximitycoupled center-fed slotline on the same surface of the uniplanar microwave-integrated circuit. The measured performance of an X-bsutd transmission-type injection-locked active-integrated antenna source module demonstrated that such a design approach was suitable for linear array integration for quasi-optical power combining. The harmonic-balance (HB) analysis of the proposed active-integrated antenna agrees with the measurements in both free-running frequency and power level. The measured radiation patterns of the active-integrated antenna also agree well with the theoretical predictions. ¬© 1996 IEEE.</t>
  </si>
  <si>
    <t>2265-2272</t>
  </si>
  <si>
    <t>Chou G.</t>
  </si>
  <si>
    <t>Oscillator-type active-integrated antenna: The leaky-mode approach</t>
  </si>
  <si>
    <t>S0018948096085092</t>
  </si>
  <si>
    <t>10.1109/22.556456</t>
  </si>
  <si>
    <t>2-s2.0-0030406491</t>
  </si>
  <si>
    <t>['stepping stone', 'solar energy', 'provided efficiently', 'planet economy', 'low cost']</t>
  </si>
  <si>
    <t>Solar energy can be provided efficiently and safely at low cost from solar power bases on the moon. One alternative means of generating solar energy using the Moon is known as Lunar Solar Power system. This system could establish a two-planet economy between the Earth and the Moon thereby solving the Earth's impending natural energy resources shortage an act as a stepping stone for more extensive space exploration. The concept of Lunar Solar Power is discussed.</t>
  </si>
  <si>
    <t>93-97</t>
  </si>
  <si>
    <t>Journal of New Energy</t>
  </si>
  <si>
    <t>60005837;60005837</t>
  </si>
  <si>
    <t>7005619427;57211892667</t>
  </si>
  <si>
    <t>Criswell, David R.;Harris, Philip R.</t>
  </si>
  <si>
    <t>Criswell D.</t>
  </si>
  <si>
    <t>Alternative solar energy source</t>
  </si>
  <si>
    <t>2-s2.0-0030406851</t>
  </si>
  <si>
    <t>['traditional photolithograph', 'seven pencil', 'multibeam antenna', 'line hybrids', 'line crossings', 'layer 8', 'feeding circuit', 'coupled hybrids', '30 ghz', '3 ¬∞']</t>
  </si>
  <si>
    <t>We propose a novel feeding circuit for a 30 GHz planar multibeam antenna applied to high-speed wireless communication systems. The feeding circuit is a bi-layer 8-port Butler matrix constructed with phase adjusted slot-coupled hybrids and branch-line hybrids. The new circuit configuration eliminates troublesome vies and line crossings, so it can be manufactured by traditional photolithograph. The feeding circuit is designed by using the spectral domain moment method considering bonding film effects. A prototype of a multibeam antenna which has seven pencil-beams with 10¬∞ beamwidths is manufactured and tested; the beam scan angle error is less than 3¬∞ at 30 GHz.</t>
  </si>
  <si>
    <t>1778-1783</t>
  </si>
  <si>
    <t>7401920152;7201993763;35564404500</t>
  </si>
  <si>
    <t>Seki, Tomohiro;Uehara, Kazuhiro;Kagoshima, Kenichi</t>
  </si>
  <si>
    <t>Seki T.</t>
  </si>
  <si>
    <t>30-GHz multibeam antenna using bi-layer butler matrix circuits</t>
  </si>
  <si>
    <t>2-s2.0-0030407181</t>
  </si>
  <si>
    <t>['yielded radiation', 'tightly confined', 'structures provides', 'strong evidence', 'simulation studies', 'several types', 'selection rule', 'radiation field', 'quasibound states', 'photonic effect', 'photon excitations', 'performed experimental', 'observed signals', 'observed radiation', 'momentum spread', 'mainly due', 'localized nature', 'lateral dual', 'induced currents', 'induced current', 'individual photons', 'gate device', 'experimental investigation', 'excited transitions', 'effect devices', 'easily achieved', 'dependent features', 'coupled quantum', 'barrier structures']</t>
  </si>
  <si>
    <t>We have performed experimental, theoretical and simulation studies on the response of several types of antenna-coupled quantum-effect devices to high-frequency (f ‚àº 1 THz) radiation. The radiation-induced current in quantum point contact (QPC) devices is mainly due to heating. Our simulation study indicates that the selection rule forbids photon-excited transitions between two extended electronic states, as in the case for QPCs, if the radiation field is not tightly confined. This key understanding may explain why the observed signals in QPCs are dominated by heating. Our simulation study also shows that photon excitations can be more easily achieved in double- and multiple-barrier structures. The localized nature of the quasibound states in these structures provides the momentum spread that relaxes the selection rule. Our experimental investigation of a lateral dual-gate device has yielded radiation-induced currents with distinctively different features at different radiation frequencies. These frequency-dependent features are strong evidence that the observed radiation-induced current is due to a photonic effect that depends on the energy of individual photons.</t>
  </si>
  <si>
    <t>1888-1894</t>
  </si>
  <si>
    <t>60022195;60022195;60022195;60022195-60007774;60022195;60027550;60027550;60007776;60009254;60007774</t>
  </si>
  <si>
    <t>7403214762;7007152447;7102236409;35508972600;35496367700;7402531161;7004313572;56883155700;35510435500;7201638415</t>
  </si>
  <si>
    <t>Hu, Qing;Verghese, S.;Wyss, R. A.;Sch√§pers, Th;Del Alamo, J.;Feng, S.;Yakubo, K.;Rooks, M. J.;Melloch, M. R.;F√∂rster, A.</t>
  </si>
  <si>
    <t>United States;United States;United States;United States;Germany</t>
  </si>
  <si>
    <t>Los Angeles;Cambridge;West Lafayette;Ithaca;J√ºlich</t>
  </si>
  <si>
    <t>University of California, Los Angeles;Massachusetts Institute of Technology;Purdue University;Cornell University;Forschungszentrum J√ºlich (FZJ)</t>
  </si>
  <si>
    <t>60027550;60022195;60009254;60007776;60007774</t>
  </si>
  <si>
    <t>High-frequency (f ‚àº 1 THz) studies of quantum-effect devices</t>
  </si>
  <si>
    <t>10.1088/0268-1242/11/12/021</t>
  </si>
  <si>
    <t>2-s2.0-0030409545</t>
  </si>
  <si>
    <t>['total number', 'slot parameters', 'mathematical model', 'experimental studies', 'developed model', 'acceptable performance']</t>
  </si>
  <si>
    <t>A mathematical model of a switched slotted waveguide feed is developed. The model is based on the scattering matrix theory. The feed loss level with respect to the total number of slots, the open slot ordinal number, and the slot parameters is investigated. Experimental studies have shown the possibility of designing switched feeds with acceptable performance in the millimeter and centimeter wavelength ranges, as well as the suitability of the developed model for investigation and optimization of their characteristics.</t>
  </si>
  <si>
    <t>1319-1323</t>
  </si>
  <si>
    <t>Simulation and investigation of switched slotted waveguide feeds</t>
  </si>
  <si>
    <t>2-s2.0-0030410035</t>
  </si>
  <si>
    <t>['thus providing', 'stacked together', 'port divider', 'multilayer configuration', 'monolithic microwave', 'mmic ),', 'extremely suitable', 'desired frequency', 'band antennas', 'array antennas', 'active devices', '18 ghz', '10 ghz']</t>
  </si>
  <si>
    <t>A novel microstrip antenna using an aluminaceraihic/polyimide multilayer dielectric substrate is presented. The multilayer configuration, in which two different multilayer materials with much different permittivities and thicknesses are stacked together, can be used for designing an antenna with selective substrate thickness, thus providing the optimum substrate thickness for the desired frequency. Both 10 GHz-band and 18 GHz-band antennas are designed and fabricated on the same substrate to demonstrate this feature. They achieve perfect matching and acceptable radiation characteristics. Furthermore, for application to array antennas, power combining circuits such as a 90¬∞ hybrid and a four-port divider are demonstrated. Finally, the possibility of applying this technology to active antenna systems is discussed. The measurement results confirm that the proposed multilayer substrate is extremely suitable for building active array systems integrated with active devices and monolithic microwave/millimeter wave integrated circuits (MMIC), as well as for constructing multifrequency antennas. ¬© 1996 IEEE.</t>
  </si>
  <si>
    <t>2431-2437</t>
  </si>
  <si>
    <t>7006690134;57205356752;57193726608</t>
  </si>
  <si>
    <t>Kamogawa, Kenji;Tokumitsu, Tsuneo;Aikawa, Masayoshi</t>
  </si>
  <si>
    <t>Kamogawa K.</t>
  </si>
  <si>
    <t>Multifrequency microstrip antennas using aluminaceramic/polyimide multilayer dielectric substrate</t>
  </si>
  <si>
    <t>S0018948096085675</t>
  </si>
  <si>
    <t>10.1109/22.554575</t>
  </si>
  <si>
    <t>2-s2.0-0030410303</t>
  </si>
  <si>
    <t>['planar antennas', 'millimeter waves', 'integrated circuits']</t>
  </si>
  <si>
    <t>In order to highlight a rapid progress attained in the field of millimeter waves in Japan, this paper describes several key topics including transistors, integrated circuits, planar antennas, millimeter wave photonics, and others.</t>
  </si>
  <si>
    <t>1729-1740</t>
  </si>
  <si>
    <t>60008435;60008435</t>
  </si>
  <si>
    <t>7202091831;7102815213</t>
  </si>
  <si>
    <t>Yoneyama, Tsukasa;Honjo, Kazuhiko</t>
  </si>
  <si>
    <t>Tohoku University</t>
  </si>
  <si>
    <t>Yoneyama T.</t>
  </si>
  <si>
    <t>Recent advance of millimeter wave technology in Japan</t>
  </si>
  <si>
    <t>2-s2.0-0030410794</t>
  </si>
  <si>
    <t>['substantial improvements', 'standard monopoles', 'similar height', 'new installation', 'medium frequency', 'june 1994', 'efficiency parameters', 'better understanding']</t>
  </si>
  <si>
    <t>A medium frequency AM asymmetric vertical dipole for a SO Kw broadcast station was constructed during June 1994. This kind of vertical dipole operates without the 12O wires classical artificial ground plane. In order to analize its behavior extensive measurements of the near and far radiated fields were carried out. Those results were compared to standard monopoles to have a better understanding of the performance and efficiency parameters. Nocturnal service area was determined in order to observe the antenna high angle radiation. Comparison with the previous monopole served to comfirm that substantial improvements are obtained with this new installation, being both antennas of similar height. ¬© 1996 IEEE.</t>
  </si>
  <si>
    <t>333-339</t>
  </si>
  <si>
    <t>MF AM asymmetric vertical dipole measurements</t>
  </si>
  <si>
    <t>S0018931696093961</t>
  </si>
  <si>
    <t>10.1109/11.544567</t>
  </si>
  <si>
    <t>2-s2.0-0030411640</t>
  </si>
  <si>
    <t>40-x4</t>
  </si>
  <si>
    <t>Cosper, Amy C.</t>
  </si>
  <si>
    <t>Cosper A.</t>
  </si>
  <si>
    <t>The story behind KUSA's 26,000 - Pound news chaser</t>
  </si>
  <si>
    <t>2-s2.0-0030412613</t>
  </si>
  <si>
    <t>['user mobility', 'reported concepts', 'recent years', 'link availability', 'great deal', 'e .,', 'division multiple', 'cdma network', 'american standard']</t>
  </si>
  <si>
    <t>Code-division multiple-access (CDMA) is one of the major candidate access techniques for third generation systems. In recent years, a great deal of effort has been devoted to the study of the capacity it can support. This paper presents analytical derivations which allow the determination of the link availability in the presence of user mobility and power control imperfections in a CDMA network; moreover, it provides the guidelines which permit the implementation of a simple and flexible simulation tool which is independent of the specific CDMA implementations. As a matter of fact, the reported concepts can be applied to any asynchronous CDMA system, i.e., they hold both for the American Standard IS-95 and for the European Community Standard developed in the framework of the RACE CODIT Project.</t>
  </si>
  <si>
    <t>1809-1817</t>
  </si>
  <si>
    <t>60032350-112494498;60000251-60032350-60021199</t>
  </si>
  <si>
    <t>57208921813;55900224700</t>
  </si>
  <si>
    <t>Delli Priscoli, Francesco;Sestini, Fabrizio</t>
  </si>
  <si>
    <t>Rome;Rome;New York;Rome</t>
  </si>
  <si>
    <t>Sapienza Universit√† di Roma;Consiglio Nazionale delle Ricerche;IEEE;Studs. and Experimentation Dept.</t>
  </si>
  <si>
    <t>60032350;60021199;60000251;112494498</t>
  </si>
  <si>
    <t>Delli Priscoli F.</t>
  </si>
  <si>
    <t>Effects of imperfect power control and user mobility on a CDMA cellular network</t>
  </si>
  <si>
    <t>S0733871696052304</t>
  </si>
  <si>
    <t>10.1109/49.545703</t>
  </si>
  <si>
    <t>2-s2.0-0030412893</t>
  </si>
  <si>
    <t>['two types', 'study performed', 'plasma etching', 'performed using', 'paper reports', 'n stress', 'inductive damage', 'electrically inactive', 'electrically activated', 'done using', 'definition etch', 'cmos process', 'clearly seen', 'cl2 plasma', 'charging damage', 'charging antenna', 'based chemistry']</t>
  </si>
  <si>
    <t>This paper reports on the results of a study performed to compare the effects of charging damage and inductive damage to 0.5 Œºm n-channel MOSFETs arising from plasma etching at the gate-definition etch and metal-1 etch levels, respectively. The MOSFETs were fabricated on 200 mm p/p+ silicon wafers using a full CMOS process. The gate-definition etch step was performed using a chlorine-based chemistry and the metal etch step was done using a BCl3/N2/Cl2 plasma. It is found that charging damage is electrically inactive after the full CMOS process flow; however, it is electrically activated by Fowler-Nordheim (F-N) stress when charging damage is clearly seen to correlate with the area of charging antenna in the device. Inductive damage, on the other hand, is seen to impact transistor parameters directly after the CMOS process and before the application of F-N stress. This is attributed to distinctly different mechanisms that are responsible for the creation of the two types of damage: charging damage arises from a dc current stress, whereas inductive damage is suggested to arise from ac current stress. Copyright ¬© 1996 Elsevier Science Ltd.</t>
  </si>
  <si>
    <t>1701-1707</t>
  </si>
  <si>
    <t>Solid-State Electronics</t>
  </si>
  <si>
    <t>60001439;60001439;60001439;60001439;60001439</t>
  </si>
  <si>
    <t>7006556239;7004688904;6603825130;7004345214;7403676566</t>
  </si>
  <si>
    <t>Salah, A.;Awadelkarim, O. O.;Werking, J.;Bersuker, G.;Chan, Y. D.</t>
  </si>
  <si>
    <t>Salah A.</t>
  </si>
  <si>
    <t>A comparison between plasma charging-damage and inductive-damage: Damage response to Fowler-Nordheim stress</t>
  </si>
  <si>
    <t>S0038110196001153</t>
  </si>
  <si>
    <t>10.1016/S0038-1101(96)00115-3</t>
  </si>
  <si>
    <t>2-s2.0-0030413494</t>
  </si>
  <si>
    <t>Agencia Antidroga de la Comunidad de Madrid</t>
  </si>
  <si>
    <t>['tracking algorithms', 'specifically designed', 'six channels', 'rf channel', 'resulting signal', 'q modulator', 'pc interface', 'one connected', 'monolithic microwave', 'input data', 'electronically steered', 'basic characteristics']</t>
  </si>
  <si>
    <t>The design, construction, and basic characteristics of an electronically steered, adaptive phased array antenna for land mobile satellite communications are described here. The antenna system includes an array of six microstrip stacked patch antennas, each one connected to an RF channel, which include a monolithic microwave/millimeter wave integrated circuit (MMIC) low noise amplifier and a commercial silicon monolithic I-Q modulator. A six-way microstrip combiner adds the six channels so that the resulting signal is introduced in a global positioning system (GPS) receiver, constructed with two commercial application specific integrated circuits (ASIC's). This receiver has a PC interface which include control boards, specifically designed for this application, that allow the setting of the amplitude and phase of each RF channel. Acquisition and tracking algorithms have been programmed in C-language for working in real time using as input data the signal levels provided by the receiver. ¬© 1996 IEEE.</t>
  </si>
  <si>
    <t>2438-2449</t>
  </si>
  <si>
    <t>60009455;60009455;60009455;60009455;60009455;60009455;60009455;60009455;60009455</t>
  </si>
  <si>
    <t>16633750600;36783341700;57199817935;7401901320;7005165265;6701791076;55406639100;7801475866;6506680567</t>
  </si>
  <si>
    <t>Alonso, Jos√© I.;Blas, Jos√© M.;Garcia, Luis E.;Ramos, Javier;De Pablos, Jesus;Grajal, Jesus;Gentili, Gian G.;Gismero, Javier;Ferez, F√©lix</t>
  </si>
  <si>
    <t>Alonso J.I.</t>
  </si>
  <si>
    <t>Low cost electronically steered antenna and receiver system for mobile satellite communications</t>
  </si>
  <si>
    <t>S0018948096085638</t>
  </si>
  <si>
    <t>10.1109/22.554576</t>
  </si>
  <si>
    <t>2-s2.0-0030414191</t>
  </si>
  <si>
    <t>['two antennas', 'subsequent use', 'stokes phenomenon', 'results presented', 'particular bearing', 'obtain closed', 'numerical viewpoint', 'normally expected', 'microstrip green', 'microstrip array', 'lateral separation', 'large argument', 'hankel function', 'form expressions', 'asymptotic series', 'asymptotic expansion']</t>
  </si>
  <si>
    <t>In this paper we examine the effect of truncating an infinite asymptotic series for the Hankel function used in microstrip antenna calculations. In particular, the accuracy of this truncated asymptotic expansion of the Hankel function is examined from a numerical viewpoint. This expansion has been used in the literature to obtain closed-form expressions for the microstrip Green's function for subsequent use in calculating mutual coupling between elements in a microstrip array. In this paper, we show that truncating the asymptotic series for the Hankel function could lead to severe unexpected errors for those values of the argument where the asymptotic expansion is normally expected to be valid. This is known as the Stokes phenomenon and has generally remained obscure in the literature. Since the large argument of the Hankel function is shown to be related to the lateral separation between two antennas, the results presented here have a particular bearing in calculating mutual coupling between widely separated elements in electrically large microstrip arrays. ¬© 1996 IEEE.</t>
  </si>
  <si>
    <t>2288-2290</t>
  </si>
  <si>
    <t>36052324500;7102157694</t>
  </si>
  <si>
    <t>Chatterjee, Deb;Plumb, Richard G.</t>
  </si>
  <si>
    <t>Chatterjee D.</t>
  </si>
  <si>
    <t>Stokes phenomenon in the development of microstrip green's function and its ramifications</t>
  </si>
  <si>
    <t>S0018948096084888</t>
  </si>
  <si>
    <t>10.1109/22.556468</t>
  </si>
  <si>
    <t>2-s2.0-0030414192</t>
  </si>
  <si>
    <t>['time domain', 'time delay', 'target position', 'superresolution technique', 'spatial domain', 'source location', 'receiving antennas', 'polarization synthesis', 'one modification', 'music algorithm', 'extensively studied', 'experimental results', 'estimation problem', 'easy implementation', 'correlation matrix', 'conventional method', 'carborne applications']</t>
  </si>
  <si>
    <t>Recently, a short range millimeter wave or a microwave sensing system has been extensively studied to estimate a target position or a source location. It can be applied to indoor propagation analysis, carborne applications, etc. The application of the superresolution technique has been proposed to obtain a high resolution performance in the time domain or the spatial domain. However, the availability of the polarization synthesis in the receiving antennas has not been considered. In this paper, we use a pair of polarized swept frequency data and propose two modifications of the MUSIC algorithm to enhance the resolution of time delay. One modification is the correlation matrix formulation which relates to the total signal power, and the other is a polarization filtering applied to the correlation matrix. These modifications have advantages such that: 1) Reduction of the estimation problem to the delay time estimation only; 2) Easy implementation. Experimental results are illustrated to show the availability of the methods, and to confirm the high resolution performance compared with the conventional method.</t>
  </si>
  <si>
    <t>1827-1832</t>
  </si>
  <si>
    <t>7005603739;57203100681;7404476613</t>
  </si>
  <si>
    <t>Yamakura, Toshiharu;Yamada, Hiroyoshi;Yamaguchi, Yoshio</t>
  </si>
  <si>
    <t>Yamakura T.</t>
  </si>
  <si>
    <t>Resolution improvement of the MUSIC algorithm utilizing two differently polarized antennas</t>
  </si>
  <si>
    <t>2-s2.0-0030416873</t>
  </si>
  <si>
    <t>['¬± 1', 'radial profiles', 'quadrupole antenna', 'plasma produced', 'plane polarized', 'magnetic probe', 'hot electrons', 'good agreement', 'first time', 'field measurements', 'dimensional cross', 'antenna legs', '-¬± 1']</t>
  </si>
  <si>
    <t>The characteristics of plasma produced by plane polarized m -¬±1 and m -¬±2 mode helicon waves were investigated for the first time. Plane polarized m = ¬±1 and m = ¬±2 mode helicon waves were mainly excited using a Nagoya type III antenna and a quadrupole antenna, respectively. Two-dimensional cross-field measurements of Aril optical emission induced by hot electrons were made to investigate the RF power deposition. The components of the wave magnetic field measured with a magnetic probe were compared with the field profiles computed for the m = ¬±1 and m = ¬±2 modes. Two and four high intensity plasma columns were observed for the TO = ¬±1 and m = ¬±2 modes, respectively. These columns were located at the regions between the antenna legs. The radial profiles of the wave magnetic field were in good agreement with computations. ¬© 1996 IEEE.</t>
  </si>
  <si>
    <t>1364-1370</t>
  </si>
  <si>
    <t>M = ¬±1 and m = ¬±2 Mode Helicon Wave Excitation</t>
  </si>
  <si>
    <t>S0093381396093162</t>
  </si>
  <si>
    <t>10.1109/27.553202</t>
  </si>
  <si>
    <t>2-s2.0-0030418237</t>
  </si>
  <si>
    <t>['waves propagate', 'various thicknesses', 'various frequencies', 'various dimensions', 'symmetric bank', 'structure magnetized', 'spatial focusing', 'propagation directions', 'mssw wavenumber', 'mssw trajectory', 'mssw trajectories', 'mssw propagation', 'mssw group', 'low loss', 'investigated theoretically', 'inclination angle', 'ferrite film', 'fdm structure', 'dielectric layer', 'characteristic features']</t>
  </si>
  <si>
    <t>Propagation of magnetostatic surface waves (MSSWs) of various frequencies and propagation directions in a ferrite-dielectric-metal (FDM) structure magnetized by a constant magnetic field Hg with the profile in the form of a symmetric bank is investigated theoretically. The MSSW trajectories are calculated, and the variations of the MSSW wavenumber, the inclination angle of the MSSW phase front, and the MSSW group-velocity direction along the MSSW trajectory are studied for various thicknesses of the dielectric layer and various dimensions and orientations of the MSSW radiating antenna. In the bank-type Hg field, the characteristic features of the MSSW propagation in an FDM structure in comparison with the MSSW propagation in a ferrite film are determined. In particular, the characteristic features of a specific waveguide channel for MSSWs, in which these waves propagate with low loss, are determined. The conditions for frequency and spatial focusing of MSSWs are determined.</t>
  </si>
  <si>
    <t>1307-1318</t>
  </si>
  <si>
    <t>60105253;60105253;60105253</t>
  </si>
  <si>
    <t>6701385580;7103014591;57197316982</t>
  </si>
  <si>
    <t>Vashkovskii, A. V.;Zubkov, V. I.;Shcheglov, V. I.</t>
  </si>
  <si>
    <t>Vashkovskii A.</t>
  </si>
  <si>
    <t>Forward magnetostatic surface waves in a ferrite-dielectric-metal structure magnetized by a bank-type inhomogeneous field</t>
  </si>
  <si>
    <t>2-s2.0-0030418523</t>
  </si>
  <si>
    <t>32-x2</t>
  </si>
  <si>
    <t>Goldberg, Bar Giora</t>
  </si>
  <si>
    <t>Goldberg B.</t>
  </si>
  <si>
    <t>Technical challenges for a crowded wireless</t>
  </si>
  <si>
    <t>2-s2.0-0030421206</t>
  </si>
  <si>
    <t>['using near', 'twodimensional imaging', 'south africa', 'scattering center', 'radiation pattern', 'radar image', 'proposed technique', 'probe correction', 'interrogating antenna', 'field measurements', 'field antenna', 'controlled environment', 'anechoic chamber']</t>
  </si>
  <si>
    <t>In this paper a technique to obtain the far-field scattering signature of bodies, using near-field measurements, is proposed. The method is based on near-field radar imaging techniques. The backscattered field data are collected in a controlled environment over a large frequency band and aspect angle using a near-field antenna. A focused radar image of the body is generated. Probe correction to compensate for the radiation pattern of the interrogating antenna is conducted during the twodimensional imaging of the object. The contribution from each scattering center to the total backscattered far-field is obtained from the radar image. The proposed technique is applied to obtain the far-field radar cross section (RCS) for an object from near-field measurements conducted in an anechoic chamber at the University of Pretoria, South Africa. ¬© 1996 IEEE.</t>
  </si>
  <si>
    <t>948-954</t>
  </si>
  <si>
    <t>60021902;60021902</t>
  </si>
  <si>
    <t>7004459157;35561582300</t>
  </si>
  <si>
    <t>Odendaal, J. W.;Joubert, J.</t>
  </si>
  <si>
    <t>Pretoria</t>
  </si>
  <si>
    <t>University of Pretoria</t>
  </si>
  <si>
    <t>Odendaal J.</t>
  </si>
  <si>
    <t>Radar cross section measurements using near-field radar imaging</t>
  </si>
  <si>
    <t>S0018945696082794</t>
  </si>
  <si>
    <t>10.1109/19.543991</t>
  </si>
  <si>
    <t>2-s2.0-0030421845</t>
  </si>
  <si>
    <t>['loop antenna', 'induced polarization', 'amsterdam b']</t>
  </si>
  <si>
    <t>An algorithm is proposed for separation of field formation effects from induced polarization in setting-up a vertical magnetic dipole-loop antenna. ¬© 1996 OPA (Overseas Publishers Association) Amsterdam B.V. Published in The Netherlands under license by Gordon and Breach Science Publishers SA.</t>
  </si>
  <si>
    <t>885-893</t>
  </si>
  <si>
    <t>Geophysical Journal</t>
  </si>
  <si>
    <t>Seifullin, R. S.</t>
  </si>
  <si>
    <t>Ukrainian State Institute of Geological Exploration</t>
  </si>
  <si>
    <t>Seifullin R.</t>
  </si>
  <si>
    <t>Possibilities of separating field formation effects and induced polarization in the electromagnetic sounding method</t>
  </si>
  <si>
    <t>2-s2.0-0030428087</t>
  </si>
  <si>
    <t>['used safely', 'tumt treatments', 'tumt ),', 'temperature difference', 'target volume', 'small fraction', 'respective catheters', 'prostalund catheters', 'possible back', 'microwave power', 'microwave emission', 'microwave antennae', 'known temperature', 'heating along', 'heat characteristics', 'energy absorbed', 'different catheters', 'cooling capacity', 'conclusions users', 'commonly used', 'absorbed energy']</t>
  </si>
  <si>
    <t>BPH | Cooling | Energy | Microwave | Power | Prostate | TUMT</t>
  </si>
  <si>
    <t>Objective To compare the heat characteristics of the microwave antennae, the absorbed energy in the target volume and the cooling capacity of the catheters of three common devices for transurethral microwave thermotherapy (TUMT), i.e. the Prostcare, Prostatron and ProstaLund. Materials and methods The microwave emission from the respective catheters or antennae was measured in a tissue-equivalent 'phantom' prostate. From these measurements the distribution of absorbed energy from the respective catheters and antennae was calculated from the characteristics of the phantom, the absorbed energy and the temperature difference before and after heating. The cooling capacity of the different catheters were measured by submerging each catheter in a thermally isolated water bath at a known temperature and determining the cooling of the water bath caused by the catheter. Results The design of the microwave antenna influenced the heating profile significantly. The energy absorbed by the prostate model varied among the devices, but was between 13 and 21% of the stated applied energy. The cooling capacity also varied, being least in the Prostcare and greatest in the ProstaLund catheters. Conclusions Users of TUMT should be aware of possible back-heating along the catheter, as this limits the microwave power that can be used safely. Furthermore, the 'treatment energy', which is commonly used as an indicator to describe the intensity of TUMT treatments, is ambiguous and not stringent, in that the microwave energy absorbed in the prostate is only a small fraction of this value. ¬© 1996 British Journal of Urology.</t>
  </si>
  <si>
    <t>564-572</t>
  </si>
  <si>
    <t>British Journal of Urology</t>
  </si>
  <si>
    <t>101936908-60029170;60029170;60011799;60019295;102046251;60031049</t>
  </si>
  <si>
    <t>6701663464;14824361600;7004044996;7004857194;57198234877;56266301300</t>
  </si>
  <si>
    <t>Bolmsj√∂, M.;Wagrellt, L.;Hallin, A.;Eliasson, T.;Erlandsson, B. E.;Mattiasson, A.</t>
  </si>
  <si>
    <t>Sweden;Sweden;Sweden;Sweden;Sweden;Sweden</t>
  </si>
  <si>
    <t>Umea;Lund;Stockholm;Kalmar;Umea;Kalmar</t>
  </si>
  <si>
    <t>Norrlands universitetssjukhus;Lunds Universitet;Karolinska University Hospital;Kalmar County Hospital;Departments of Urology and Andrology;Radiation Physics Department</t>
  </si>
  <si>
    <t>60031049;60029170;60019295;60011799;102046251;101936908</t>
  </si>
  <si>
    <t>Bolmsj√∂ M.</t>
  </si>
  <si>
    <t>The heat is on -but how? A comparison of TUMT devices</t>
  </si>
  <si>
    <t>2-s2.0-0030430229</t>
  </si>
  <si>
    <t>['winter hibernation', 'thoracic tergites', 'male larvae', 'life cycle', 'key larvae', 'imaginal life', 'female larvae', 'egg stage', 'different stages', 'detailed description', 'body weight', '6th instars', '6 years', '6 stages', '5 stages']</t>
  </si>
  <si>
    <t>Female larvae of A. tamerlana have 6 stages and male larvae have 5 stages. A key larvae of different stages and both sexes, together with detailed description, is provided. The changes in the body weight and size, structure of legs, antennae, and thoracic tergites, are defined. Data on duration of different larval stages and imaginal life are given. The life cycle of A. tamerlana is perennial, with winter hibernation of females and 2nd-6th instars and spring-summer egg diapause. Duration of the life cycle, including the egg stage, comprises 3 years in males and 4-6 years in females.</t>
  </si>
  <si>
    <t>Entomological Review</t>
  </si>
  <si>
    <t>Kaplin, V. G.</t>
  </si>
  <si>
    <t>Kaplin V.</t>
  </si>
  <si>
    <t>Life cycle of the cockroach Anisogamia tamerlana Sauss. (Blattodea, Corydiidae) in the east Karakum Desert</t>
  </si>
  <si>
    <t>2-s2.0-0030433349</t>
  </si>
  <si>
    <t>['whitefly nymphs', 'veins ).', 'vascular bundle', 'using light', 'underlying veins', 'two kinds', 'surface structures', 'nymphal positions', 'minor veins', 'mean area', 'least 80', 'lamina trichomes', 'instar nymph', 'including even', 'generally deposited', 'examined originated', 'electron microscopy', 'crawlers walked', 'crawlers spent', 'cells either', 'abaxial bundle', '80 œºm', '30 œºm', '0374 ).']</t>
  </si>
  <si>
    <t>We examined cotton leaves for correlations between surface structures and veins, using light and electron microscopy. Using Bemisia argentifolii Bellows and Perring egg placement, nymphal positions and crawler (first-instar nymph) behavior, we evaluated the responses of whitefly nymphs to leaf surface features. Two kinds of epidermal cells predominated the leaf abaxial surface: those underlying vascular bundles and those underlying the areoles (regions between veins). Lamina trichomes (simple and complex) originated from elongated epidermal cells overlaying the veins, including even the most minute (single-stranded) veins. All 2,000 lamina trichomes (non-glandular) that we examined originated from vascular bundle-associated epidermal cells. Areoles of fully expanded leaves had perimeters of 2.463 mm (¬±0.1113 S.E., N= 10) and a mean area of 0382 mm2 (¬±0.0374). Epidermal cells underlying areoles were isodiametric while those underlying veins were elongated. Eggs were generally deposited on the elongated epidermal cells associated with bundles or on cells within ca. 30 Œºm of those vascular bundle-associated epidermal cells. Crawlers walked about 2300 Œºm per minute until they settled upon feeding sites that were immediately under the minor veins, never more than about 60-80 Œºm from the edge of the abaxial bundle-associated epidermal cells. Crawlers spent at least 80% of their time in contact with bundle-associated epidermal cells, apparently making contact with these cells either with legs or antennae.</t>
  </si>
  <si>
    <t>377-385</t>
  </si>
  <si>
    <t>Southwestern Entomologist</t>
  </si>
  <si>
    <t>60001989;60001989;60001989;60032270;60001989;60001989</t>
  </si>
  <si>
    <t>24431406600;7404345659;36745442000;16467425700;7102129719;7404328881</t>
  </si>
  <si>
    <t>Cohen, Allen Carson;Chu, Chang Chi;Henneberry, Thomas J.;Freeman, Thomas;Buckner, James;Nelson, Dennis</t>
  </si>
  <si>
    <t>Fargo;Washington, D.C.</t>
  </si>
  <si>
    <t>North Dakota State University;USDA Agricultural Research Service</t>
  </si>
  <si>
    <t>60032270;60001989</t>
  </si>
  <si>
    <t>Cohen A.</t>
  </si>
  <si>
    <t>Cotton leaf surface features serve as behavioral cues to silverleaf whiteflies</t>
  </si>
  <si>
    <t>2-s2.0-0030436427</t>
  </si>
  <si>
    <t>['structural changes', 'stronger signs', 'small aggregation', 'similar protonation', 'sensitive enhancement', 'results support', 'ps2 antenna', 'ps1 antenna', 'proton concentration', 'protein complexes', 'ph 7', 'ph 5', 'parallel ph', 'originates mainly', 'larger aggregates', 'isolated pigment', 'induced increase', 'induced de', 'harvesting pigment', 'fluorescence quenching', 'epoxidation resulted', 'dependent aggregation', 'band intensity', 'band enhancement', 'band emission', 'band characteristics', 'antenna aggregation', 'also obtained', 'aggregation capability', '710 nm', '2 antenna', '110 k']</t>
  </si>
  <si>
    <t>chlorophyll fluorescence | light-harvesting pigment-protein complexes | photosynthesis | thermoluminescence | thylakoid | xanthophyll cycle</t>
  </si>
  <si>
    <t>Low-temperature thermoluminescence peaking at 110 K (Z-hand) originates mainly from the light-harvesting pigment-protein complexes of both photosystems. It is sensitive to structural changes in the environment of the emitting chlorophyll species leading to modifications in the chlorophyll- chlorophyll interaction strength. We studied the influence of aggregation of the photosystem (PS) 2 antenna on Z-band characteristics in comparison with 77 K fluorescence measurements. In isolated pigment-protein complexes, 77 K fluorescence decreased more strongly than Z-band intensity during aggregation. Spectral analysis revealed a small aggregation-induced increase of Z-band emission at wavelengths above 695 nm suggesting stronger chromophore interactions. In microaggregates at low detergent concentrations, an increase of the proton concentration from pH 7.6 to pH 5.2 induced simultaneously formation of larger aggregates, fluorescence quenching and enhancement of Z-band emission between 660 and 710 nm. This process was abolished by the presence of 20 ŒºM antimycin A. A similar protonation- dependent and antimycin A-sensitive enhancement of Z-band emission was observed in uncoupled thylakoid membranes. In both microaggregates and thylakoids, depletion of violaxanthin by light or ascorbate-induced de- epoxidation resulted in stronger signs for aggregation of the PS2 antenna, increased fluorescence quenching and Z-band enhancement. Our results support the hypothesis that high-energy-state chlorophyll fluorescence quenching of PS2 is based on antenna aggregation, and that violaxanthin cycle carotenoids modulate the aggregation capability of the light-harvesting pigment-protein complexes. Indications for a parallel pH-dependent aggregation of the PS1 antenna were also obtained.</t>
  </si>
  <si>
    <t>529-543</t>
  </si>
  <si>
    <t>Photosynthetica</t>
  </si>
  <si>
    <t>60029507;60001881;60001881;60021116</t>
  </si>
  <si>
    <t>7102218918;7006934557;57203184101;7406182359</t>
  </si>
  <si>
    <t>Hagen, C.;Pascal, A. A.;Horton, P.;Inoue, Y.</t>
  </si>
  <si>
    <t>Germany;Japan;United Kingdom</t>
  </si>
  <si>
    <t>Jena;Wako;Sheffield</t>
  </si>
  <si>
    <t>Friedrich-Schiller-Universit√§t Jena;RIKEN (The Institute of Physical and Chemical Research);The University of Sheffield</t>
  </si>
  <si>
    <t>60029507;60021116;60001881</t>
  </si>
  <si>
    <t>Hagen C.</t>
  </si>
  <si>
    <t>Influence of structural changes in the photosynthetic antenna system on the thermoluminescence Z-band</t>
  </si>
  <si>
    <t>2-s2.0-0030442590</t>
  </si>
  <si>
    <t>['well log', 'well bottom', 'wave equation', 'vsp data', 'vsp ),', 'vertical range', 'successfully used', 'square deviation', 'rock medium', 'results suggest', 'penalty function', 'paper describes', 'logging methods', 'greater depths', 'exploratory wells', 'detector antenna', 'approach could']</t>
  </si>
  <si>
    <t>Among geophysical well-logging methods, none is more important than vertical seismic profiling (VSP), which is used in virtually all exploratory wells. This paper describes the development of an approach to processing of VSP data in order to enable detailed velocity distributions in the well log to be constructed and to predict the velocities below the well bottom. The approach is based on solving the inverse dynamic problem for a wave equation by minimizing the penalty function, which is the mean-square deviation of the measured wave field from that predicted from a given assumed model of the rock medium. The results suggest that the approach could be successfully used to process VSP data so as to give the detailed velocity distribution in the rock medium not only within the vertical range of the detector antenna but also at greater depths, provided that the trend of the velocity is known a priori.</t>
  </si>
  <si>
    <t>Transactions Doklady - Russian Academy of Sciences: Earth Science Sections</t>
  </si>
  <si>
    <t>57200778241;12789230300</t>
  </si>
  <si>
    <t>Voronina, T. A.;Cheverda, V. A.</t>
  </si>
  <si>
    <t>Voronina T.</t>
  </si>
  <si>
    <t>Inversion of total wave fields in the processing of vertical seismic profiling data</t>
  </si>
  <si>
    <t>2-s2.0-0030452184</t>
  </si>
  <si>
    <t>Fonds De La Recherche Scientifique - FNRS</t>
  </si>
  <si>
    <t>FNRS</t>
  </si>
  <si>
    <t>['worker populations', 'spontaneous behaviour', 'shaped position', 'regurgitation rate', 'recently settled', 'recently collected', 'particular secretions', 'overall age', 'mature colonies', 'mandibles joined', 'licking sessions', 'laboratory nests', 'insect meat', 'greatest number', 'funiculi divergent', 'effect may', 'e .,', 'ants present', 'antennae immobile']</t>
  </si>
  <si>
    <t>Ant | Diet | Duration of colony maintenance | Myrmecophile | Queen | Regurgitation | Starvation</t>
  </si>
  <si>
    <t>Workers of regularly fed Lasius flavus ants regurgitate ingluvial food on the mouthparts of the guest beetle Claviger testaceus in response to the licking of particular secretions of the myrmecophile. These regurgitations typically occur with the workers' mandibles joined and antennae immobile, in a U-shaped position, even if the colony's diet consists exclusively of insect meat or of a low-concentrated (2.5%) sugar solution. In addition, when the dietary sugar concentration exceeds 5%, workers may disgorge spontaneously, with mandibles spread apart and antennae folded backwards, the funiculi divergent. Replete (i.e., over-fed) ants present the same spontaneous behaviour. The ratio of the number of regurgitations to the number of licking sessions on the Claviger's mouthparts is the highest in workers with a moderately filled crop. Such workers therefore provide the beetle with the greatest number of regurgitations. Repletes and, of course, starving workers provide less regurgitations to the beetle. The quantity of liquid food regurgitated on the Claviger also appears to be maximum in workers with a moderately filled crop. The workers' regurgitation rate is higher in laboratory colonies collected from the field and kept for some months than in colonies only recently collected. This effect may be linked to the overall age of the worker populations of the laboratory nests. The presence of a queen does not affect the workers' regurgitation rate. However, her presence does increase the number of workers' licking sessions in mature colonies only recently settled in a laboratory and, consequently, increases to some extent the number of regurgitations on the beetle.</t>
  </si>
  <si>
    <t>297-312</t>
  </si>
  <si>
    <t>Behavioural Processes</t>
  </si>
  <si>
    <t>Cammaerts, R.</t>
  </si>
  <si>
    <t>Universit√© Libre de Bruxelles</t>
  </si>
  <si>
    <t>Cammaerts R.</t>
  </si>
  <si>
    <t>Factors affecting the regurgitation behaviour of the ant Lasius flavus (Formicidae) to the guest beetle Claviger testaceus (Pselaphidae)</t>
  </si>
  <si>
    <t>S037663579600040X</t>
  </si>
  <si>
    <t>10.1016/S0376-6357(96)00040-X</t>
  </si>
  <si>
    <t>2-s2.0-0030452589</t>
  </si>
  <si>
    <t>['vma sites', 'use areas', 'unfamiliar areas', 'treatment periods', 'scent stations', 'mounted null', 'keeping coyotes', 'investigative behavior', 'home ranges', 'home range', 'h periods', 'dl sites', 'deer carrion', 'coyote visitations', 'collared coyotes', 'canis latrans', 'average durations', '115 min', '110 min']</t>
  </si>
  <si>
    <t>Because coyotes (Canis latrans) have been reported to be more vulnerable to capture and to engage in more investigative behavior in low-use areas of their home range, we monitored eight radio-collared coyotes on the Rocky Mountain Arsenal, Adams Co., Colorado to determine if a large dumped food resource, deer (Odocoileus spp.) carrion, increased coyote visitations to low-use areas within their home ranges. We used a vehicle-mounted null-peak antenna system (VMA) and a remote radio telemetry receiver with an attached data logger computer (DL) to monitor coyotes around five carcass sites. Coyote visitations to VMA carcass sites varied among pre-treatment, treatment, and post-treatment periods, but the number of 24-h periods that coyotes visited DL sites did not differ among periods when carcasses were present or absent. Deer carrion was effective in attracting and keeping coyotes in less familiar areas of their home ranges; seven of eight (88%) coyotes visited deer carrion for average durations of 110 min at VMA sites and 115 min at DL sites. No coyotes visited carcasses outside of their home ranges. Because coyotes visited carcass sites in unfamiliar areas of their home ranges for extended time periods, carrion may enhance visitations to scent stations, capture, and delivery of baits to coyotes.</t>
  </si>
  <si>
    <t>48-53</t>
  </si>
  <si>
    <t>Southwestern Naturalist</t>
  </si>
  <si>
    <t>60009226-60006164;60009226</t>
  </si>
  <si>
    <t>7003591872;6701353030</t>
  </si>
  <si>
    <t>Hein, Eric W.;Andelt, William F.</t>
  </si>
  <si>
    <t>Fort Collins;Los Alamos</t>
  </si>
  <si>
    <t>Colorado State University;Los Alamos National Laboratory</t>
  </si>
  <si>
    <t>60009226;60006164</t>
  </si>
  <si>
    <t>Hein E.</t>
  </si>
  <si>
    <t>Coyote visitations to experimentally-placed deer carrion</t>
  </si>
  <si>
    <t>2-s2.0-0030452610</t>
  </si>
  <si>
    <t>K04GM000599</t>
  </si>
  <si>
    <t>['ventral territories', 'v axis', 'territories differ', 'particular morphogen', 'normal patterning', 'mutual antagonism', 'leg disc', 'imaginal discs', 'dynamically maintained', 'dpp signaling', 'dpp expression', 'dorsal anterior', 'domineering influence', 'dn compartment', 'distinct regions', 'developing field', 'describe regions', 'chiral appendage', 'become subdivided', 'anterior compartment', 'antennal discs']</t>
  </si>
  <si>
    <t>Decapentaplegic | Dishevelled | dpp regulation | Drosophila development | Imaginal disc | Pattern formation | Punt | Thick veins | Wingless | Wingless regulation</t>
  </si>
  <si>
    <t>Drosophila appendages develop from imaginal discs which become subdivided into distinct regions during normal patterning. At least 3 axes of asymmetry are required to produce a chiral appendage such as a leg. The A/P compartments provide one axis of asymmetry in all discs. In leg and antennal discs, the anterior compartment becomes asymmetric in the D/V axis with decapentaplegic (dpp) expression defining dorsal anterior leg, and wingless (wg) expression defining ventral anterior leg. However, unlike wing discs, no DN compartment has been demonstrated in legs or antennae. How are the dorsal anterior and ventral anterior territories defined and maintained? Here we show that wg inhibits dpp expression and dpp inhibits log expression in leg and eye/antennal discs. This mutual repression provides a mechanism for maintaining separate regions of wg and dpp expression in a developing field. We propose the term 'territory' to describe regions of cells that are under the domineering influence of a particular morphogen. Territories differ from compartments in that they are not defined by lineage but are dynamically maintained by continuous morphogen signaling. We propose that the anterior compartment of the leg disc is divided into dorsal and ventral territories by the mutual antagonism between WG and DPP signaling.</t>
  </si>
  <si>
    <t>3939-3948</t>
  </si>
  <si>
    <t>60007278;60007278;60007278;60007278</t>
  </si>
  <si>
    <t>6602488605;35611569200;7402685949;57203425625</t>
  </si>
  <si>
    <t>Theisen, Heidi;Haerry, Theodor E.;O'Connor, Michael B.;Lawrence Marsh, J.</t>
  </si>
  <si>
    <t>Irvine</t>
  </si>
  <si>
    <t>University of California, Irvine</t>
  </si>
  <si>
    <t>Theisen H.</t>
  </si>
  <si>
    <t>Developmental territories created by mutual antagonism between wingless and decapentaplegic</t>
  </si>
  <si>
    <t>2-s2.0-0030455147</t>
  </si>
  <si>
    <t>['specific responses', 'specific pattern', 'second class', 'results suggest', 'results show', 'positive dose', 'permit transformation', 'pattern found', 'mechanisms act', 'leg transformation', 'leg discs', 'induced transgenes', 'independent response', 'heat shock', 'external influences', 'drosophila melanogaster', 'dose response', 'different times', 'developmental competence', 'developing tissue', 'dependent phase', 'competence system', '8 hr']</t>
  </si>
  <si>
    <t>Antennapedia | apterous | competence | homeosis | Sec combs reduced | spineless-aristapedia | Ultrabithorax</t>
  </si>
  <si>
    <t>We explore the transformation of antenna to leg in Drosophila melanogaster, using ectopically expressed transgenes with heat shock promoters: heat shock Antennapedia, heat shock Ultrabithorax, and heat shock mouse Hox A5. We determined the frequency of transformation of several leg markers in response to Antennapedia protein delivered by heat shock at different times and doses. We also studied stage-specific responses to the transgene, heat shock mouse Hox A5. Results show that each marker has its own stage and dose-specific pattern of response. The same marker could pass through a period of high-dose inhibition followed by a dose-independent response and then a positive dose-dependent phase. The heat shock-induced transgenes and spineless aristapedia transformed the apterous enhancer trap antenna disc expression pattern toward the pattern found in leg discs. These results are considered in relation to developmental competence - the ability of developing tissue to respond to internal or external influences. The results suggest that all genes tested interact with the same competence system and that at least two classes of mechanisms are associated with antenna to leg transformation: one comprises global mechanisms that permit transformation over approximately 24 hr; the second class of mechanisms act very locally and are responsible for changes in dose response on the order of 4-8 hr.</t>
  </si>
  <si>
    <t>0192253X</t>
  </si>
  <si>
    <t>Developmental Genetics</t>
  </si>
  <si>
    <t>60016849;60016849;60016849-60012317</t>
  </si>
  <si>
    <t>7202920071;57198752623;7003919681</t>
  </si>
  <si>
    <t>Larsen, Ellen;Lee, Tim;Glickman, Nathalia</t>
  </si>
  <si>
    <t>Toronto;Eugene</t>
  </si>
  <si>
    <t>University of Toronto;University of Oregon</t>
  </si>
  <si>
    <t>60016849;60012317</t>
  </si>
  <si>
    <t>Larsen E.</t>
  </si>
  <si>
    <t>Antenna to leg transformation: Dynamics of developmental competence</t>
  </si>
  <si>
    <t>10.1002/(SICI)1520-6408(1996)19:4&lt;333::AID-DVG6&gt;3.0.CO;2-A</t>
  </si>
  <si>
    <t>2-s2.0-0030456147</t>
  </si>
  <si>
    <t>['rass signal', 'rass seem', 'rass profiler', 'performed using', 'horizontal wind', 'drift technique', 'derive profiles']</t>
  </si>
  <si>
    <t>The well known Spaced-Antenna-Drift technique to derive profiles of the horizontal wind was performed using the RASS signal of a Radar-RASS profiler. The results of the Full-Correlation-Analysis show good agreement with standard measuring techniques when using similar average times. Furthermore the Spaced-Antenna-Drift measurements using a Radar-RASS seem to have the capability to provide high resolution time series of the horizontal wind velocity.</t>
  </si>
  <si>
    <t>113-117</t>
  </si>
  <si>
    <t>Contributions to Atmospheric Physics</t>
  </si>
  <si>
    <t>Hirsch, L.</t>
  </si>
  <si>
    <t>Hamburg</t>
  </si>
  <si>
    <t>Universit√§t Hamburg</t>
  </si>
  <si>
    <t>Hirsch L.</t>
  </si>
  <si>
    <t>Spaced-antenna-drift measurements of the horizontal wind speed using a FMCW-radar-RASS</t>
  </si>
  <si>
    <t>2-s2.0-0030461733</t>
  </si>
  <si>
    <t>['z directions', 'radio telescopes', 'presented measurements', 'meter antenna', 'hour session', 'cartesian coordinates', 'antenna derived', '6 cm']</t>
  </si>
  <si>
    <t>Four strong radio sources were observed over a 12-hour session in March, 1990 between radio telescopes at Onsala and Toru≈Ñ at wavelength of 6 cm in the standard VLBI Mark II setup for the purpose of improving the coordinates of the Toru≈Ñ 15-meter antenna. The Cartesian coordinates of the antenna derived from the presented measurements are (in meters): 3638609.62¬±0.19, 1221773.23¬±0.54 and 5077024.50¬±1.66 in the cursive Greek chi, y and z directions, respectively.</t>
  </si>
  <si>
    <t>371-375</t>
  </si>
  <si>
    <t>Acta Astronomica</t>
  </si>
  <si>
    <t>60021858;60007328</t>
  </si>
  <si>
    <t>7005527695;55999022000</t>
  </si>
  <si>
    <t>Borkowski, Kazimierz M.;B√•√•th, Lars B.</t>
  </si>
  <si>
    <t>Poland;Sweden</t>
  </si>
  <si>
    <t>Torun, Kujawsko-Pomorskie;Onsala</t>
  </si>
  <si>
    <t>Uniwersytet Miko≈Çaja Kopernika w Toruniu;Onsala Space Observatory</t>
  </si>
  <si>
    <t>Borkowski K.</t>
  </si>
  <si>
    <t>Determination of the Toru≈Ñ antenna position from VLBI observations</t>
  </si>
  <si>
    <t>2-s2.0-0030462383</t>
  </si>
  <si>
    <t>['well conserved', 'terrestrial plants', 'signal sequence', 'phylogenetic analyses', 'lineages diverged', 'intrinisic peridinin', 'green algae', 'fcp2 ).', 'fcp sequences', 'dimensional structure', 'common ancestor', 'chlorophyll proteins', 'chlorophyll protein', 'cab lhc', 'binding proteins']</t>
  </si>
  <si>
    <t>Fucoxanthin | Gene family | Heterosigma carterae | Light-harvesting antennae | Molecular evolution</t>
  </si>
  <si>
    <t>A fucoxanthin-chlorophyll protein (FCP) cDNA from the raphidophyte Heterosigma carterae encodes a 210-amino acid polypeptide that has similarity to other FCPs and to the chlorophyll a/b-binding proteins (CABs) of terrestrial plants and green algae. The putative transit sequence has characteristics that resemble a signal sequence. The Heterosigma fcp genes are part of a large multigene family which includes members encoding at least two significantly different polypeptides (Fcp1, Fcp2). Comparison of the FCP sequences to the recently determined three-dimensional structure of the pea LHC II complex indicates that many of the key amino acids thought to participate in the binding of chlorophyll and the formation of complex-stabilizing ionic interactions are well conserved. Phylogenetic analyses of sequences of lightharvesting proteins shows that the FCPs of several chromophyte phyla form a natural group separate from the intrinisic peridinin-chlorophyll proteins (iPCPs) of the dinoflagellates. Although the FCP and CAB genes shared a common ancestor, these lineages diverged from each other prior to the separation of the CAB LHC I and LHC II sequences in the green algae and terrestrial plants.</t>
  </si>
  <si>
    <t>377-386</t>
  </si>
  <si>
    <t>Molecular and General Genetics</t>
  </si>
  <si>
    <t>60010365;60015481;60010365</t>
  </si>
  <si>
    <t>7004925786;36066918700;7401825069</t>
  </si>
  <si>
    <t>Durnford, D. G.;Aebersold, R.;Green, B. R.</t>
  </si>
  <si>
    <t>Seattle;Vancouver</t>
  </si>
  <si>
    <t>University of Washington;The University of British Columbia</t>
  </si>
  <si>
    <t>60015481;60010365</t>
  </si>
  <si>
    <t>Durnford D.</t>
  </si>
  <si>
    <t>The fucoxanthin-chlorophyll proteins from a chromophyte alga are part of a large multigene family: structural and evolutionary relationships to other light harvesting antennae</t>
  </si>
  <si>
    <t>10.1007/s004380050334</t>
  </si>
  <si>
    <t>2-s2.0-0030468303</t>
  </si>
  <si>
    <t>['zeaxanthin synthesis', 'zeaxanthin influence', 'zeaxanthin formation', 'zeaxanthin dependent', 'totally missing', 'separately locate', 'samples containing', 'reaction center', 'rate constants', 'proton gradient', 'processes located', 'possible mechanisms', 'one hand', 'marked decrease', 'less pronounced', 'inhibitor dtt', 'fo state', 'fm state', 'enhanced non']</t>
  </si>
  <si>
    <t>ŒîpH-dependence | Fluorescence kinetics | High-energy state quenching | Photosystem II | Zeaxanthin</t>
  </si>
  <si>
    <t>The influence of the transthylakoid proton gradient on the kinetics of picosecond fluorescence decay was examined using isolated pea thylakoids having high or low zeaxanthin contents. Fluorescence lifetime measurements were performed with open (Fo) and closed (Fm) PS II reaction centers. Zeaxanthin formation in membrane energized isolated thylakoids led to a marked decrease of the average fluorescence lifetime at both Fm and Fo. In contrast, when zeaxanthin synthesis was blocked by the inhibitor DTT, the fluorescence lifetime decrease was less pronounced in the Fm state and totally missing in the Fo state. Samples containing the uncoupler ammonium chloride did not exhibit any zeaxanthin influence on the fluorescence decay kinetics. By detailed kinetic analysis of the fluorescence data based on the exciton/radical pair equilibrium model it was possible to separately locate and quantify the effects of zeaxanthin, on the one hand, and the proton gradient, on the other hand, in terms of rate constants of individual primary processes within PS II. It is shown that the enhanced non-photochemical fluorescence quenching (NPQ) in the presence of zeaxanthin mainly originates in the antenna, while without zeaxanthin smaller changes in the Fm state are owing to changes in processes located at the reaction center. Possible mechanisms of zeaxanthin dependent and independent nonphotochemical fluorescence quenching in open and closed PS II are discussed.</t>
  </si>
  <si>
    <t>339-350</t>
  </si>
  <si>
    <t>60072285;60031216;60031216;60031216;60072285</t>
  </si>
  <si>
    <t>7402577973;7006587933;57196729134;7101798388;35501122300</t>
  </si>
  <si>
    <t>Wagner, B.;Goss, R.;Richter, M.;Wild, A.;Holzwarth, A. R.</t>
  </si>
  <si>
    <t>Mulheim an der Ruhr;Mainz</t>
  </si>
  <si>
    <t>Max Planck Institute for Chemical Energy Conversion;Johannes Gutenberg-Universit√§t Mainz</t>
  </si>
  <si>
    <t>60072285;60031216</t>
  </si>
  <si>
    <t>Wagner B.</t>
  </si>
  <si>
    <t>Picosecond time-resolved study on the nature of high-energy-state quenching in isolated pea thylakoids: Different localization of zeaxanthin dependent and independent quenching mechanisms</t>
  </si>
  <si>
    <t>S1011134496073915</t>
  </si>
  <si>
    <t>10.1016/S1011-1344(96)07391-5</t>
  </si>
  <si>
    <t>2-s2.0-0030484808</t>
  </si>
  <si>
    <t>['two cirri', 'three antennae', 'species possesses', 'segments 2', 'one species', 'one pair', 'new genus', 'maximal number', 'leptonerilla diplocirrata', 'hainan island', 'family nerillidae', 'disparate character', 'compound chaetae', 'bear cirri', '9 segments']</t>
  </si>
  <si>
    <t>A new nerillid polychaete, Leptonerilla diplocirrata, new genus and species, is described from subtidal sandy sediments of Hainan Island, China. The species possesses the maximal number of prostomial appendages observed in the taxon: three antennae and one pair of palps. The body is composed of 9 segments, all of which bear cirri and compound chaetae. With the exception of one species it differs from hitherto known nerillids by the presence of two cirri on the parapodia of segments 2 to 9. This most disparate character is considered to be primitive for the family Nerillidae: it is the decisive diagnostic character of the new genus, which now also includes Leptonerilla prospera (Sterrer &amp; Iliffe 1982).</t>
  </si>
  <si>
    <t>586-590</t>
  </si>
  <si>
    <t>0006324X</t>
  </si>
  <si>
    <t>Proceedings of the Biological Society of Washington</t>
  </si>
  <si>
    <t>7003682165;7003675307</t>
  </si>
  <si>
    <t>Westheide, Wilfried;Purschke, G√ºnter</t>
  </si>
  <si>
    <t>Westheide W.</t>
  </si>
  <si>
    <t>Leptonerilla diplocirrata, a new genus and species of interstitial polychaetes from the island of Hainan, south China (Nerillidae)</t>
  </si>
  <si>
    <t>2-s2.0-0030504896</t>
  </si>
  <si>
    <t>['veksler method', 'suppressing anharmonicity', 'suggested methods', 'special attention', 'soliton formation', 'several ways', 'protein molecules', 'potential barrier', 'physicomathematical models', 'nucleic acids', 'nonlinear dynamics', 'millimeter range', 'mahk hayka', 'living cell', 'interperiodica publishing', 'information structures', 'frequency modulation', 'fine mechanisms', 'facilitates crossing', 'energy transfer', 'emr influence', 'emr excitation', 'davydov soliton', 'crucial role', 'common feature', 'collective nature', 'collective modes', 'coherent effects', 'biopolymer chain', 'antenna model', 'active site']</t>
  </si>
  <si>
    <t>Fine mechanisms of the interaction of weak electromagnetic radiation (EMR) with information structures of a living cell - nucleic acids, proteins, and membranes - are considered. Special attention is paid to the mechanisms of action of EMR of the millimeter range. Physicomathematical models of the EMR influence on a biosystem are proposed. Data on nonlinear dynamics of biomacromolecules are presented, in particular, the mechanism of the Davydov soliton for energy transfer in protein molecules is discussed. The processes of soliton formation in polynucleotides and of autosolitons in biosystems are considered. A crucial role of coherent effects in the EMR excitation of selected collective modes in biomacromolecules of proteins and DNA is revealed. Several ways of the excitation of levels of collective modes are considered, namely, a set of phased EMR pulses (an analog of the Veksler method of autophasing), periodic phase modulation of EMR, and amplitude-frequency modulation. A common feature of the suggested methods is the possibility of suppressing anharmonicity and, therefore, of the excitation of high quantum levels, which facilitates crossing of a potential barrier and transfer of a molecule to a new conformational state. A problem of the interaction of EMR with a biopolymer chain is considered; the resonances are shown to have a collective nature. The influence of EMR on the dynamics of biopolymers with an active site (antenna model) is studied. Copyright ¬© 1990 by MAHK Hayka/Interperiodica Publishing.</t>
  </si>
  <si>
    <t>621-653</t>
  </si>
  <si>
    <t>1054660X</t>
  </si>
  <si>
    <t>Laser Physics</t>
  </si>
  <si>
    <t>60009114;60009114;60009114;60009114;60009114</t>
  </si>
  <si>
    <t>7003403480;7103013253;8412548800;57199621537;16316594400</t>
  </si>
  <si>
    <t>Reshetnyak, S. A.;Shcheglov, V. A.;Blagodatskikh, V. I.;Gariaev, P. P.;Maslov, M. Yu</t>
  </si>
  <si>
    <t>Reshetnyak S.A.</t>
  </si>
  <si>
    <t>Mechanisms of interaction of electromagnetic radiation with a biosystem</t>
  </si>
  <si>
    <t>2-s2.0-0030524684</t>
  </si>
  <si>
    <t>['zoological museum', 'unguicaudata sp', 'scientific expedition', 'nimboa species', 'like hairs', 'genus semidalis']</t>
  </si>
  <si>
    <t>Clasping fore leg | Coniopterygidae | New species | Scale like hairs | Tanzania</t>
  </si>
  <si>
    <t>Four coniopterygid species were represented by seven male specimens collected in Tanzania by the scientific expedition of the Zoological Museum of the University of Bergen. Three of them - Nimboa pallida sp. n., Coniopteryx (Xeroconiopteryx) unguicaudata sp. n. and Semidalis obscura sp. n. - are described as new. The presence of scale-like hairs on the antennae of the Nimboa species, and occurence of clasping first legs in the genus Semidalis is reported first time.</t>
  </si>
  <si>
    <t>81-88</t>
  </si>
  <si>
    <t>Acta Zoologica Academiae Scientiarum Hungaricae</t>
  </si>
  <si>
    <t>60010644;60029622</t>
  </si>
  <si>
    <t>7801438589;7003800671</t>
  </si>
  <si>
    <t>Szir√°ki, Gy;Greve, L.</t>
  </si>
  <si>
    <t>Norway;Hungary</t>
  </si>
  <si>
    <t>Bergen;Budapest</t>
  </si>
  <si>
    <t>Universitetet i Bergen;Hungarian Natural History Museum</t>
  </si>
  <si>
    <t>60029622;60010644</t>
  </si>
  <si>
    <t>Szir√°ki G.</t>
  </si>
  <si>
    <t>Some Coniopterygidae (Neuroptera) from a mountain rainforest of Tanzania</t>
  </si>
  <si>
    <t>2-s2.0-0030527029</t>
  </si>
  <si>
    <t>['postdetection signal', 'noisy data', 'noise ratios', 'mahk hayka', 'made possible', 'light recycling', 'interperiodica publishing', 'interferometric detectors', 'gravitational waves', 'fully implemented', 'detector sensitivity', 'dense stars', 'binary system', 'approach coalescence']</t>
  </si>
  <si>
    <t>Interferometric detectors of gravitational waves should be particularly well suited to sense the clean signal generated by a binary system of very dense stars as they approach coalescence. Detector sensitivity will have to be pushed to the limit, and even so, suitable data filtering techniques will be required before the signal can be sorted out from the noisy data. I will discuss here how such detection will be made possible in terms of postdetection signal-to-noise ratios when light recycling is fully implemented in the antenna. Copyright ¬© 1996 by MAHK Hayka/Interperiodica Publishing.</t>
  </si>
  <si>
    <t>306-310</t>
  </si>
  <si>
    <t>Lobo, J. A.</t>
  </si>
  <si>
    <t>Lobo J.</t>
  </si>
  <si>
    <t>Light recycling and detection of coalescing binary GW signals</t>
  </si>
  <si>
    <t>2-s2.0-0030554789</t>
  </si>
  <si>
    <t>['new generation', 'mobile ultrastable', 'mahk hayka', 'interperiodica publishing', 'gravitational waves', 'future project', 'begin work', 'antenna sensitivity']</t>
  </si>
  <si>
    <t>The possibilities of detection of gravitational waves from a 1.6-ms pulsar using highly stable laser radiation are considered. The antenna sensitivity is sufficient to begin work on the future project. We report recent results on the creation of mobile ultrastable (10-14-10-15) lasers of the new generation, including compact diode-pumped crystal lasers. Copyright ¬© 1996 by MAHK Hayka/Interperiodica Publishing.</t>
  </si>
  <si>
    <t>311-313</t>
  </si>
  <si>
    <t>60075769;60075769</t>
  </si>
  <si>
    <t>7005032723;7004722473</t>
  </si>
  <si>
    <t>Bagayev, S. N.;Baklanov, E. V.</t>
  </si>
  <si>
    <t>Novosibirsk</t>
  </si>
  <si>
    <t>Institute of Laser Physics of the Siberian Branch of the RAS</t>
  </si>
  <si>
    <t>Bagayev S.</t>
  </si>
  <si>
    <t>Possibilities of using ultrastable lasers for detection of gravitational waves</t>
  </si>
  <si>
    <t>2-s2.0-0030560168</t>
  </si>
  <si>
    <t>['wearable microprocessor', 'vivo experimentation', 'vivo evaluation', 'vitro prior', 'tests demonstrate', 'telemetry system', 'sized dog', 'receiver linked', 'power supply', 'physiological environment', 'miniature potentiostat', 'linear response', 'induced glycaemia', 'glucose concentration', 'experimental set', 'data transmission', 'data logger', 'data collection', 'chart recorders', '7 minutes', '5 œºa', '5 cm']</t>
  </si>
  <si>
    <t>Glucose biosensor | In vivo glucose monitoring | Telemetry</t>
  </si>
  <si>
    <t>In this study we report the development and short-term in vivo evaluation of an integrated implantable device consisting of an amperometric glucose biosensor, a miniature potentiostat, a FM signal transmitter, and power supply. The device (dimensions: 5.0 x 7.0 x 1.5 cm) was implanted under the skin of medium-size anaesthetized dog. The experimental set-up included several methods for data collection: analog recording via wired X-T chart recorders, data collection by wearable microprocessor-data logger, and remote data collection via antenna and receiver linked to a computer-based data acquisition system. The device (sensor) performance was evaluated in vitro prior to implantation, using different model solutions simulating the physiological environment. A linear response to glucose concentration was obtained up to 25 mM glucose, with a sensitivity of 0.5 ŒºA/mM. The results of short-term subcutaneous implantation of the integrated device reveal adequate monitoring of an artificially-induced glycaemia. The delay-time was 3-7 minutes. These tests demonstrate the feasibibity of data transmission by the telemetry system through the skin of a medium-sized dog and allow the commencement of chronic in vivo experimentation.</t>
  </si>
  <si>
    <t>632-640</t>
  </si>
  <si>
    <t>Medical Engineering and Physics</t>
  </si>
  <si>
    <t>60033021;60033021;60033021;60033021;60033021</t>
  </si>
  <si>
    <t>7006428219;7408514615;6507739324;35583074000;7103182040</t>
  </si>
  <si>
    <t>Atanasov, P.;Yang, S.;Salehi, C.;Ghindilis, A. L.;Wilkins, E.</t>
  </si>
  <si>
    <t>The University of New Mexico</t>
  </si>
  <si>
    <t>Atanasov P.</t>
  </si>
  <si>
    <t>Short-term canine implantation of a glucose monitoring-telemetry device</t>
  </si>
  <si>
    <t>S1350453396000240</t>
  </si>
  <si>
    <t>10.1016/S1350-4533(96)00024-0</t>
  </si>
  <si>
    <t>2-s2.0-0030561045</t>
  </si>
  <si>
    <t>['space electro', 'snr ),', 'noise ratio', 'excellent signal', 'comparison measurement', 'also present', '100 mw']</t>
  </si>
  <si>
    <t>We report the measurement of the dynamics of free-space electro-optic field sensors for pulsed electromagnetic wave radiation. With an optical probe power spanning six decades of linearity and excellent signal-to-noise ratio (SNR), it is feasible to convert a far-infrared 2D image into an optical 2D image. A simple estimation indicates that 100 mW of optical probe power can achieve an image of 256√ó256 pixels with a 50 pA signal current per pixel and a SNR ‚â≥200. We also present a comparison measurement of an ultrafast photoconductive antenna and an electro-optic sensor crystal. ¬© 1996 American Institute of Physics.</t>
  </si>
  <si>
    <t>3224-3226</t>
  </si>
  <si>
    <t>60025534;60025534;60025534;60025534</t>
  </si>
  <si>
    <t>7404603068;57198851198;57199678411;7410280543</t>
  </si>
  <si>
    <t>Wu, Q.;Sun, F. G.;Campbell, P.;Zhang, X. C.</t>
  </si>
  <si>
    <t>Dynamic range of an electro-optic field sensor and its imaging applications</t>
  </si>
  <si>
    <t>S0003695196025235</t>
  </si>
  <si>
    <t>10.1063/1.116444</t>
  </si>
  <si>
    <t>2-s2.0-0030567594</t>
  </si>
  <si>
    <t>['tunnel junction', 'potential use', 'mixing element', 'mixer performance', 'imaging arrays', 'heterodyne mixer', 'frequency range', 'dipole antenna', 'db bandwidth', 'art waveguide', '8 ghz', '115 ghz', '106 ghz']</t>
  </si>
  <si>
    <t>A heterodyne mixer with a micromachined horn antenna and a superconductor-insulator- superconductor (SIS) tunnel junction as mixing element is tested in the W-band (75-115 GHz) frequency range. Micromachined integrated horn antennas consist of a dipole antenna suspended on a thin Si3N4 dielectric membrane inside a pyramidal cavity etched in silicon. The mixer performance is optimized by using a backing plane behind the dipole antenna to tune out the capacitance of the tunnel junction. The lowest receiver noise temperature of 30¬±3 K (without any correction) is measured at 106 GHz with a 3-dB bandwidth of 8 GHz. This sensitivity is comparable to the state-of-the-art waveguide and quasi-optical SIS receivers, showing the potential use of micromachined horn antennas in imaging arrays. ¬© 1996 American Institute of Physics.</t>
  </si>
  <si>
    <t>1862-1864</t>
  </si>
  <si>
    <t>57196863588;8232049100;7403214762</t>
  </si>
  <si>
    <t>De Lange, Gert;Jacobson, Brian R.;Hu, Qing</t>
  </si>
  <si>
    <t>De Lange G.</t>
  </si>
  <si>
    <t>A low-noise micromachined millimeter-wave heterodyne mixer using Nb superconducting tunnel junctions</t>
  </si>
  <si>
    <t>S0003695196044130</t>
  </si>
  <si>
    <t>10.1063/1.116038</t>
  </si>
  <si>
    <t>2-s2.0-0041296117</t>
  </si>
  <si>
    <t>['¬± 2', 'type shape', 'si etching', 'radiated powers', 'radial profile', 'plasma source', 'optimum conditions', 'multiannular antenna', 'h deposition', 'etching rate', 'electron density', 'deposition rate', '280 mm']</t>
  </si>
  <si>
    <t>A large-diameter uniform electron cyclotron resonance plasma is produced by using multiannular antenna which has a capability of adjusting the radiated powers from two annular slits driven by two microwave sources. The radial profile of the ion saturation current can be varied from hollow to hill-type shape by controlling radial profile of radiated microwave power of the multiannular antenna. In optimum conditions, the plasma has ¬±2.9% uniformity over 280 mm in diameter with electron density of 6√ó1010 cm-3. This plasma source is applied to a-Si:H deposition and c-Si etching. It is shown that the radial profile of the deposition rate as well as that of the etching rate can be controlled by changing the radial power radiation profile. ¬© 1996 American Institute of Physics.</t>
  </si>
  <si>
    <t>1476-1478</t>
  </si>
  <si>
    <t>60011001;60011001</t>
  </si>
  <si>
    <t>56102798000;14631007200</t>
  </si>
  <si>
    <t>Yasaka, Yasuyoshi;Nakamura, Tomokazu</t>
  </si>
  <si>
    <t>Kyoto University</t>
  </si>
  <si>
    <t>Yasaka Y.</t>
  </si>
  <si>
    <t>Control of process uniformity by using electron cyclotron resonance plasma produced by multiannular antenna</t>
  </si>
  <si>
    <t>S0003695196019110</t>
  </si>
  <si>
    <t>10.1063/1.116259</t>
  </si>
  <si>
    <t>2-s2.0-0343043735</t>
  </si>
  <si>
    <t>['use 2', 'two photons', 'triplet mechanism', 'triplet annihilation', 'trichromophoric system', 'target unit', 'stilbene unit', 'single photon', 'laser exposure', 'exited state', 'excited tar', 'energy transfer', 'covalently linked', 'amsterdam b']</t>
  </si>
  <si>
    <t>Energy transfer | Laser chemistry | Non-linear behaviour | SEET | Two-photon process</t>
  </si>
  <si>
    <t>The previously demonstrated simultaneous two-photon excitation energy transfer (SEET) using a trichromophoric model compound was further investigated. Therefore, two identical donors (A - antenna) were covalently linked to an energy acceptor unit (T - target) with the different energy levels preventing an energy transfer of a single photon. At high intensity illumination (laser exposure) of a trichromophoric system A-T-A, sufficient to excite both of the appended donor subunits, population of the target excited state may occur via simultaneous energy trans-fer of two photons, one from each donor. In order to restrict reverse energy transfer from the excited tar-get to the donor(s) it is necessary that the excited target unit undergoes an efficient photoreaction used to monitor the SEET. In the case of E-4,4‚Ä≤-di (fluorescein-5‚Ä≥-yl-thioureanyl)-stilbene respectively using erythrosine as antenna the SEET was detected by photoisomerization of the stilbene unit. Concerning the lifetimes of the exited state of the antenna and the role of the sulphur (heavy atom effect) in the A and T linking thiourea group we propose a triplet mechanism (similar to triplet-triplet annihilation) for both of the above mentioned model compounds. Intending to use 2-aminoanthracene as target unit its [4+4] cyclization was investigated. ¬© 1996 OPA (Overseas Publishers Association) Amsterdam B.V. Published in The Netherlands under license by Gordon and Breach Science Publishers SA.</t>
  </si>
  <si>
    <t>63-66</t>
  </si>
  <si>
    <t>Journal of Information Recording</t>
  </si>
  <si>
    <t>60000762;60000762;60000762;60000762</t>
  </si>
  <si>
    <t>8928282900;7202108655;7005841186;7004690958</t>
  </si>
  <si>
    <t>Nickoleit, M.;Hecht, S.;Uhl, A.;Bendig, J.</t>
  </si>
  <si>
    <t>Humboldt-Universit√§t zu Berlin</t>
  </si>
  <si>
    <t>Nickoleit M.</t>
  </si>
  <si>
    <t>Simultaneous Two-photon Excitation Energy Transfer (SEET) and non-linear photochemistry</t>
  </si>
  <si>
    <t>2-s2.0-0343708282</t>
  </si>
  <si>
    <t>['standing wires', 'standing microthermocouples', 'spectral response', 'smart sensor', 'sized copper', 'rise relative', 'response time', 'paper describes', 'hot junctions', 'device consists', 'device causes', 'constantan free', 'cold junctions', 'antenna effects', 'antenna behavior', 'also presented', '1 œºm']</t>
  </si>
  <si>
    <t>Free-standing structure | Infrared detector | Microthermopile</t>
  </si>
  <si>
    <t>This paper describes a free-standing microthermopile infrared detector. The device consists of micron-sized copper-constantan free-standing wires which overlap to form the hot junctions of the thermocouples, while the cold junctions are made from larger metal strips which are attached to the substrate. Incident radiation absorbed by the device causes the temperature of the free-standing hot junction to rise relative to the cold junction thereby resulting in a thermovoltage. These detectors were found to exhibit a response time of ‚àº10 Œºs. The spectral response of the detectors was found to be 3 times higher at a wavelength of 10 Œºm compared to that at 1 Œºm and this difference is thought to be due to antenna effects. The antenna behavior of free-standing microthermocouples has been studied and the results from these experiments are also presented. The device is fabricated using standard silicon microfabrication techniques and can be integrated with active electronic circuits to result in a smart sensor.</t>
  </si>
  <si>
    <t>317-326</t>
  </si>
  <si>
    <t>Sensors and Materials</t>
  </si>
  <si>
    <t>Srinivas, Tadigadapa A.S.</t>
  </si>
  <si>
    <t>Srinivas T.</t>
  </si>
  <si>
    <t>A high-performance infrared detector using MOS technology</t>
  </si>
  <si>
    <t>2-s2.0-0347909792</t>
  </si>
  <si>
    <t>['subfamily pisinae', 'reared material', 'prezoea shares', 'morphological features', 'majid crabs', 'lateral processes', 'family majidae', 'developed processes', 'described larvae', 'characteristics described']</t>
  </si>
  <si>
    <t>Anamathia rissoana | Brachyura | Larval development | Majidae | Prezoea | Zoea</t>
  </si>
  <si>
    <t>The prezoeal and first zoeal stages of the deep-sea spider crab Anamathia rissoana are described from laboratory-reared material. The morphology of the prezoea shares the characteristics described for other prezoeae of majid crabs, namely the occurrence of very well-developed processes on the antennule, antenna and telson. The morphological features of the zoea are in agreement with those described for other species of the subfamily Pisinae, except for the occurrence of a pair of dorso-lateral processes on abdominal segments 2-5. This feature is absent from all other described larvae of the family Majidae, except Dorhynchus thomsoni.</t>
  </si>
  <si>
    <t>245-251</t>
  </si>
  <si>
    <t>60001576;60007870</t>
  </si>
  <si>
    <t>57203749415;57194655359</t>
  </si>
  <si>
    <t>Guerao, Guillermo;Abell√≥, Pere</t>
  </si>
  <si>
    <t>CSIC - Instituto de Ciencias del Mar (ICM);Universitat de Barcelona</t>
  </si>
  <si>
    <t>60007870;60001576</t>
  </si>
  <si>
    <t>Guerao G.</t>
  </si>
  <si>
    <t>Morphology of the prezoea and first zoea of the deep-sea spider crab Anamathia rissoana (Brachyura, Majidae, Pisinae)</t>
  </si>
  <si>
    <t>2-s2.0-1042274997</t>
  </si>
  <si>
    <t>['scale length', 'ray theory', 'radio source', 'phase screen', 'output signal', 'observed data', 'ionospheric irregularity', 'inversion analysis', 'interferometer due', 'greatly larger', 'baseline length', 'astronomical observation', 'antenna tracking', 'always tracking', 'also derived']</t>
  </si>
  <si>
    <t>Ionospheric irregularity | Radio astronomy | TID</t>
  </si>
  <si>
    <t>Based on the observations of a meter-wave aperture synthesis radio telescope, as the scale length of ionospheric irregularity is greatly larger than the baseline length of interferometer, the phase error induced by the output signal of interferometer due to ionosphere is proportional to the baseline length and accordingly the expressions for extracting the information about ionosphere are derived. By using the ray theory and considering that the antenna is always tracking to the radio source in astronomical observation, the wave motion expression of traveling ionospheric disturbance observed in the total electron content is also derived, which is consistent with that obtained from the conception of thin-phase screen; then the Doppler velocity due to antenna tracking is introduced. Finally the inversion analysis for the horizontal phase velocity of TID from observed data is given.</t>
  </si>
  <si>
    <t>Science in China, Series E: Technological Sciences</t>
  </si>
  <si>
    <t>60014205;60014205;60014205</t>
  </si>
  <si>
    <t>8860397900;24451520800;57192504227</t>
  </si>
  <si>
    <t>Han, Wenjun;Zheng, Yijia;Zhang, Xizhen</t>
  </si>
  <si>
    <t>National Astronomical Observatories Chinese Academy of Sciences</t>
  </si>
  <si>
    <t>Han W.</t>
  </si>
  <si>
    <t>Measurement of ionospheric large-scale irregularity</t>
  </si>
  <si>
    <t>2-s2.0-1542787410</t>
  </si>
  <si>
    <t>['wave antenna', 'tiny millimeter', 'technique may', 'small height', 'semiconducting wafers', 'printed circuits', 'oxide superconductors', 'operation consists', 'nondestructive testing', 'dielectric constant', 'contactless mapping', 'conducting polymers', '100 œºm']</t>
  </si>
  <si>
    <t>We demonstrate a technique for contactless mapping of resistivity or dielectric constant of surfaces and films with a spatial resolution better than 100 Œºm. This technique may be used for the nondestructive testing of semiconducting wafers, conducting polymers, oxide superconductors, and printed circuits. The principle of operation consists of the scanning of a tiny millimeter-wave antenna at a very small height above an inhomogeneous conducting surface and measuring the intensity and phase of the reflected (transmitted) wave. We use a specially designed resonant slit antenna and achieve subwavelength spatial resolution of Œª/50. ¬© 1996 American Institute of Physics.</t>
  </si>
  <si>
    <t>1579-1581</t>
  </si>
  <si>
    <t>60007903;60007903</t>
  </si>
  <si>
    <t>7004092573;56021982000</t>
  </si>
  <si>
    <t>Golosovsky, Michael;Davidov, Dan</t>
  </si>
  <si>
    <t>Novel millimeter-wave near-field resistivity microscope</t>
  </si>
  <si>
    <t>S0003695196006110</t>
  </si>
  <si>
    <t>10.1063/1.116685</t>
  </si>
  <si>
    <t>2-s2.0-15844418761</t>
  </si>
  <si>
    <t>['two x', 'traveling standards', 'technology serving', 'reported uncertainties', 'polarization measurements', 'polarization characteristics', 'pilot laboratory', 'nominal gain', 'national institute', 'laboratories performed', 'international intercomparison', 'horn gain', 'gain measurements', 'frequency measurements', 'fixed frequency', '12 ghz', '1 db']</t>
  </si>
  <si>
    <t>An international intercomparison of horn gain and polarization measurements at X-band has recently been completed. There were seven participating laboratories with the National Institute of Standards and Technology serving as the pilot laboratory. Two X-band pyramidal standard gain horns with a nominal gain of 22 dB served as the traveling standards. Quantities measured included on-axis fixed frequency gain at 8, 10, and 12 GHz, swept frequency gain between 8-12 GHz and polarization characteristics at the three fixed frequencies. All laboratories performed the fixed frequency-gain measurements. The swept-frequency and polarization measurements were optional, with four laboratories performing swept-frequency measurements and three laboratories measuring polarization. The results of the gain measurements generally agreed within the reported uncertainties which were of the order of 0.1 dB or less. ¬© 1996 IEEE.</t>
  </si>
  <si>
    <t>1367-1374</t>
  </si>
  <si>
    <t>60023053;60011373;60023053;60011373;60011373;60011373;60011373;60023053;60011373;60011373;60011373;60011373;60023053;60011373</t>
  </si>
  <si>
    <t>7004384154;35389095700;6602372294;8291516800;14320716200;35966329600;54679834100;6602955282;6602500356;6504140394;7003566978;55581757800;6603862536;6603781097</t>
  </si>
  <si>
    <t>Stubenrauch, Carl F.;Newell, Allen C.;Repjar, Andrew G.;MacReynolds, Katie;Tamura, Douglas T.;Larsen, Flemming Holm;Lcmanczyk, J.;Behe, R.;Portier, G.;Zehren, J. C.;Hollmann, Heinrich;Hunter, John D.;Gentle, David G.;De Vreede, Jan P.M.</t>
  </si>
  <si>
    <t>United States;Denmark</t>
  </si>
  <si>
    <t>Gaithersburg;Lyngby</t>
  </si>
  <si>
    <t>National Institute of Standards and Technology;Danmarks Tekniske Universitet</t>
  </si>
  <si>
    <t>60023053;60011373</t>
  </si>
  <si>
    <t>Stubenrauch C.F.</t>
  </si>
  <si>
    <t>International intercomparison of horn gain at X-band</t>
  </si>
  <si>
    <t>S0018926X96075473</t>
  </si>
  <si>
    <t>10.1109/8.537331</t>
  </si>
  <si>
    <t>2-s2.0-16144366516</t>
  </si>
  <si>
    <t>['two groups', 'swc antennas', 'radiation patterns', 'parameter characteristics', 'numerical model', 'nec2 formed', 'model forms', 'measured impedances', 'input resistance', 'initial approximation', 'impedance convergency', 'graphs provide', 'geometric mean', 'four graphs', 'favorable comparison', 'convergency curves']</t>
  </si>
  <si>
    <t>A scries of comparisons are drawn between the measured impedances of skeletal wire conical (SWC) antennas and theoretical impedances obtained using the method of moments computer simulation software code (numerical electromagnetics code) NEC2 formed the basis for this study. The validity of the numerical model was established on the basis of a favorable comparison between these results; this model forms the basis for the comprehensive computational investigation of SWC antennas presented in this paper. First, a definition of impedance convergency is provided; it serves to classify SWC antennas into two groups: sparse or convergent, and convergency curves are presented. Thereafter, the geometric mean-input resistance, voltage standing wave ratio (VSWR) performance and radiation patterns of these SWC antennas are examined. Finally, four graphs are considered. Used in conjunction, these graphs provide an initial approximation of the performance/parameter characteristics of SWC antennas. ¬© 1996 IEEE.</t>
  </si>
  <si>
    <t>844-858</t>
  </si>
  <si>
    <t>60016218;60016218</t>
  </si>
  <si>
    <t>6506066241;7005409475</t>
  </si>
  <si>
    <t>Givati, Ofer;Fourie, Andre P.C.</t>
  </si>
  <si>
    <t>Johannesburg</t>
  </si>
  <si>
    <t>University of the Witwatersrand, Johannesburg</t>
  </si>
  <si>
    <t>Givati O.</t>
  </si>
  <si>
    <t>Analysis of skeletal wire conical antennas</t>
  </si>
  <si>
    <t>S0018926X96042822</t>
  </si>
  <si>
    <t>10.1109/8.509888</t>
  </si>
  <si>
    <t>2-s2.0-18644386809</t>
  </si>
  <si>
    <t>The systematics and external morphology of the southern African family Prototheoridae are reviewed. A single genus, Prototheora, is recognized, with the former genus Metatheora synonymized. Eleven species are recognized, including five new species: angolae, biserrata, drackensbergae, geniculata, and merga. In addition, two possibly new species represented only by female specimens are described but not named. A key to the species of Prototheora is provided, as well as a preliminary analysis of their relationships. The family is considered to be one of the most basal lineages in the Hepialoidea and can be partially destinguished from related families by several plesiomorphic characters including the retention of three segmented maxillary palpi (plesiomorphic within Hepialoidea), simple antenna, generalized leg structure with a complete set of tibial spurs (0-2-4), and a single row of abdominal spines on A3-7 of the pupa. Possible synapomorphies involve the lateral sclerotization of the suspensorium and the extreme development of a conjugal process from sternum IX of the female which may lock into a conjugal pouch usually formed by the male trulleum and juxta. The family occurs predominantly within two highly divergent, South African floristic zones, the Capensis, or Fynbos dominated Cape Flora, and the southern Afrompntane zone, characterized by mostly temperate, evergreen forests. Most species occur within the Capensis, and all but three (P. angolae from central Angola and P. drackensbergae and parachlora from Natal) are restricted to Cape Province, mostly in or south of the Cape Folded Belt mountain ranges. Their life history remains unknown. ¬© Entomologies scandinavica (Grp 3).</t>
  </si>
  <si>
    <t>Entomologica Scandinavica</t>
  </si>
  <si>
    <t>2-s2.0-21444431777</t>
  </si>
  <si>
    <t>Jinan Science and Technology Bureau</t>
  </si>
  <si>
    <t>['wire antennas', 'wire antenna', 'paper deals', 'numerical calculation', 'human head', 'fast convergent', 'energy absorption', 'em fields', 'dielectric spheroid', 'current distribution']</t>
  </si>
  <si>
    <t>This paper deals with the electromagnetic (EM) interaction between the multilayered spheroidal head model and wire antennas. The EM fields inside and outside the dielectric spheroid are expressed by using the Green's dyadic and the superposition of EM fields in terms of vector wave functions. The distortion of the current distribution of the wire antenna is studied. Based on the multilayered spheroidal model, the Method of Moments (MoM) is applied to calculate the current distribution induced by the scattered wave due to the presence of human head. The numerical calculation is fast convergent because of the energy absorption of the dielectric spheroid. The Specific Absorption Rates (SAR) inside the spheroidal head model due to the final current distributions are presented.</t>
  </si>
  <si>
    <t>61-75</t>
  </si>
  <si>
    <t>Domestic Animal Endocrinology</t>
  </si>
  <si>
    <t>60017161;60017161;60017161;60017161</t>
  </si>
  <si>
    <t>7102354337;7501449136;7102006113;35581072400</t>
  </si>
  <si>
    <t>Kang, X. K.;Li, L. W.;Leong, M. S.;Kooi, P. S.</t>
  </si>
  <si>
    <t>Kang X.</t>
  </si>
  <si>
    <t>A method of moments study of sar inside spheroidal human head and current distribution along handset wire antennas</t>
  </si>
  <si>
    <t>2-s2.0-21844434457</t>
  </si>
  <si>
    <t>Social Science Research Council</t>
  </si>
  <si>
    <t>['upper part', 'tissue temperature', 'tissue load', 'temperature measurements', 'spiral antennas', 'six antennas', 'signal sensitivity', 'receive antenna', 'radiometry technique', 'radiometric probes', 'penetration depth', 'noise ratio', 'microwave thermography', 'invasive monitoring', 'intended integration', 'frequency range', 'dcc apertures', 'approximately 2', 'antennas except', '5 ghz', '4 cm', '3 ghz']</t>
  </si>
  <si>
    <t>Microwave thermography is currently under investigation for its potential in non-invasive monitoring and control of tissue temperature during superficial microwave hyperthermia treatments. In this effort, six antennas were tested for their suitability as radiometric probes in terms of penetration depth, signal-to-noise ratio, and the sensitivity and accuracy of measured temperature signals over the frequency range from 1.2-3.5 GHz. Due to the intended integration of this radiometry technique with large area multi-aperture heat applicators such as Dual Concentric Conductor (DCC) arrays, the size of each receive antenna was limited to 4 cm. The performance of logarithmic and Archimedean spiral microstrip structures was compared to dielectric loaded waveguide antennas. Results showed adequate signal-to-noise ratio for all antennas at frequencies above 2.5 GHz and for all antennas except the electrically small waveguides over the entire frequency range. Overall, the signal sensitivity from 1 to 3 GHz was approximately 2-3 times higher for the three broadband spirals than the waveguides or DCC apertures, and similar at the upper part of the band. Under clinically relevant conditions of probing the tissue load through a 5 mm water bolus maintained at constant 40¬∞C, the spiral antennas all produced comparable accuracy of temperature measurements on the order of 0.15-0.2¬∞C for a uniform temperature load.</t>
  </si>
  <si>
    <t>111-134</t>
  </si>
  <si>
    <t>60021255;60023691</t>
  </si>
  <si>
    <t>7202843461;7005772755</t>
  </si>
  <si>
    <t>Jacobsen, S.;Stauffer, P.</t>
  </si>
  <si>
    <t>United States;Norway</t>
  </si>
  <si>
    <t>San Francisco;Tromso</t>
  </si>
  <si>
    <t>University of California, San Francisco;UiT The Arctic University of Norway</t>
  </si>
  <si>
    <t>60023691;60021255</t>
  </si>
  <si>
    <t>Jacobsen S.</t>
  </si>
  <si>
    <t>Performance evaluation of various antenna configurations for microwave thermography during superficial hyperthermia</t>
  </si>
  <si>
    <t>2-s2.0-21844449947</t>
  </si>
  <si>
    <t>University of Wales</t>
  </si>
  <si>
    <t>['side lobes', 'reported using', 'radiation patterns', 'iterative least', 'given number', 'excitation currents', 'elements equispaced', 'constant amount', 'alternative approach', 'algorithm returns']</t>
  </si>
  <si>
    <t>An alternative approach, based on an iterative least-squares optimization technique, for the design of antenna arrays exhibiting equal side lobes in their radiation patterns is presented. For a given number of elements equispaced by a constant amount, the algorithm returns the excitation currents under the condition that all side lobes are at the same level. The results show excellent agreement with those reported using other approaches.</t>
  </si>
  <si>
    <t>135-141</t>
  </si>
  <si>
    <t>Bataineh, M.</t>
  </si>
  <si>
    <t>Jordan</t>
  </si>
  <si>
    <t>Irbid</t>
  </si>
  <si>
    <t>Yarmouk University</t>
  </si>
  <si>
    <t>Bataineh M.</t>
  </si>
  <si>
    <t>An alternative approach for equating the side lobes of linear arrays</t>
  </si>
  <si>
    <t>2-s2.0-21844472520</t>
  </si>
  <si>
    <t>['western australia', 'successful operation', 'readout based', 'pump oscillator', 'phase noise', 'partly due', 'noise temperature', 'mode temperature', 'mode resonant', 'entrant cavity', 'currently operating', '20 œºk', '2 œºk', '2 ink', '185 dbc', '165 dbc']</t>
  </si>
  <si>
    <t>The two-mode resonant-mass gravitational wave (GW) antenna at the University of Western Australia (UWA) is currently operating with a noise temperature of about 2 inK. This low noise temperature is partly due to the successful operation of a readout based on 9.5 GHz superconducting re-entrant cavity. The amplitude and phase noise of the pump oscillator limit the sensitivity of the detector. Newly developed cryogenic microwave oscillators are now available with ultra-low noise levels of -165 dBc/Hz. With the advent of new noise suppression schemes this can be further reduced to -185 dBc/Hz. This type of pump oscillator can reduce the detector noise temperature to 20 ŒºK. Further improvements to the superconducting re-entrant cavity system are limited. We show by using an ultra-low loss Sapphire Dielectric Transducer the mode temperature can be reduced to about 2 ŒºK.</t>
  </si>
  <si>
    <t>2909-2910</t>
  </si>
  <si>
    <t>SUPPL. 5</t>
  </si>
  <si>
    <t>60031806;60031806;60031806</t>
  </si>
  <si>
    <t>35377760800;7201647955;22974326500</t>
  </si>
  <si>
    <t>Tobar, Michael E.;Ivanov, Eugene N.;Blair, David G.</t>
  </si>
  <si>
    <t>Tobar M.</t>
  </si>
  <si>
    <t>Future prospects for the University of Western Australia's cryogenic Resonant-mass gravitational wave detector</t>
  </si>
  <si>
    <t>10.1007/BF02570441</t>
  </si>
  <si>
    <t>2-s2.0-22044455474</t>
  </si>
  <si>
    <t>['wave detectors', 'wave detection', 'temperature sensor', 'temperature millimeter', 'radiation absorber', 'planar circuits', 'nb film', 'incident radiation', 'impedance matched', 'fabricate room', '15 %,']</t>
  </si>
  <si>
    <t>We have combined silicon micromachining technology with planar circuits to fabricate room-temperature niobium microbolometers for millimeter-wave detection. In this type of detector, a thin niobium film, with a dimension much smaller than the wavelength and fabricated on a 1 Œºm thick Si3N4 membrane, acts both as a radiation absorber and temperature sensor. Incident radiation is coupled into the microbolometer by a 0.37Œª dipole antenna of center frequency 95 GHz with a 3 dB bandwidth of 15%, which is impedance matched with the Nb film. An electrical noise equivalent power (NEP) of 4.5√ó10-10 W/‚àöHz has been achieved. This is comparable to the best commercial room-temperature millimeter-wave detectors. ¬© 1996 American Institute of Physics.</t>
  </si>
  <si>
    <t>2020-2022</t>
  </si>
  <si>
    <t>56349566100;24288157900;7403214762</t>
  </si>
  <si>
    <t>Rahman, Arifur;De Lange, Gert;Hu, Qing</t>
  </si>
  <si>
    <t>Rahman A.</t>
  </si>
  <si>
    <t>Micromachined room-temperature microbolometers for millimeter-wave detection</t>
  </si>
  <si>
    <t>S0003695196033141</t>
  </si>
  <si>
    <t>10.1063/1.115624</t>
  </si>
  <si>
    <t>2-s2.0-22244444170</t>
  </si>
  <si>
    <t>Problem of electromagnetic wave transmission through a controlled microwave reflecting surface is considered. A transmission frequency window is calculated under spacecraft entry conditions. Properties of an antenna that can be used for communication are noted. ¬© T√úBƒ∞TAK.</t>
  </si>
  <si>
    <t>Turkish Journal of Physics</t>
  </si>
  <si>
    <t>Koshevaya, S. V.</t>
  </si>
  <si>
    <t>Taras Shevchenko National University of Kyiv</t>
  </si>
  <si>
    <t>Koshevaya S.</t>
  </si>
  <si>
    <t>Passive communication with descending space object at the stage of landing</t>
  </si>
  <si>
    <t>2-s2.0-26844443184</t>
  </si>
  <si>
    <t>['satellite telecommunication', 'remote sensing', 'paper presents', 'key problems', 'effectively exploiting', 'diffraction using', 'different types', 'constructing antennas', 'complex processes', 'canonical problems', 'anisotropic structure']</t>
  </si>
  <si>
    <t>This paper presents an investigation of the canonical problems of diffraction using a wedge with different types of anisotropic or multilayered dielectric coatings; that are the key problems in constructing antennas for satellite telecommunication and remote sensing. Complex processes in anisotropic structure are investigated more effectively exploiting the conception of anisotropic impedance boundary conditions. ¬© T√úBƒ∞TAK.</t>
  </si>
  <si>
    <t>902-908</t>
  </si>
  <si>
    <t>Ljalinov, Mikhail A.</t>
  </si>
  <si>
    <t>Ljalinov M.A.</t>
  </si>
  <si>
    <t>Diffraction by a wedge coated with anisotropic or multilayered material</t>
  </si>
  <si>
    <t>2-s2.0-26844499644</t>
  </si>
  <si>
    <t>['high degree', 'front hemisphere']</t>
  </si>
  <si>
    <t>In our report we suggest some antennas with high degree of polarization uniformity radiating into the front hemisphere. Some results for their patterns are presented. ¬© T√úBƒ∞TAK.</t>
  </si>
  <si>
    <t>988-992</t>
  </si>
  <si>
    <t>60033394;60033394</t>
  </si>
  <si>
    <t>6602753480;7102754779</t>
  </si>
  <si>
    <t>Konyashenko, E. A.;Kim, V. F.</t>
  </si>
  <si>
    <t>Novosibirsk State Technical University</t>
  </si>
  <si>
    <t>Konyashenko E.</t>
  </si>
  <si>
    <t>Antennas with high degree of uniformity of polarization</t>
  </si>
  <si>
    <t>2-s2.0-26844517160</t>
  </si>
  <si>
    <t>['original method', 'main problem', 'increasing accuracy', 'electromagnetic field', 'compact polygone']</t>
  </si>
  <si>
    <t>The aim of this paper is to show the advantages and to discuss new methods of computer-aided antenna measuring under compact polygone conditions. Application of the compact polygone with lens collimator opens good prospects in this direction, but the electromagnetic field in the target zone becomes nonplanar. The main problem is calculation of "nonideality" of this field for increasing accuracy and relability of measuring in this case. An original method for reconstruction of true antenna pattern and several useful elaborations are suggested. ¬© T√úBƒ∞TAK.</t>
  </si>
  <si>
    <t>60088527;60088527;60088527;60088527</t>
  </si>
  <si>
    <t>8866691300;8866691000;7006659327;8866691200</t>
  </si>
  <si>
    <t>Akishin, B. A.;Choni, J. I.;Morozov, G. A.;Sedelnikov, J. E.</t>
  </si>
  <si>
    <t>Kazan</t>
  </si>
  <si>
    <t>Kazan National Research Technical University named after A. N. Tupolev -KAI</t>
  </si>
  <si>
    <t>Akishin B.</t>
  </si>
  <si>
    <t>The compact polygone for computer-aided measurements of microwave antennas</t>
  </si>
  <si>
    <t>2-s2.0-26844518551</t>
  </si>
  <si>
    <t>['power beamwidth', 'interperiodica publishing', 'array 1', '4 ¬∞.', '4 ghz']</t>
  </si>
  <si>
    <t>Results of investigation of a linear antenna array fed by a single-wire transmission line at 9.4 GHz are presented. The half-power beamwidth of the array 1.1 m in length was 4¬∞. ¬© 1996 MAHK Hayka/Interperiodica Publishing.</t>
  </si>
  <si>
    <t>702-703</t>
  </si>
  <si>
    <t>Instruments and Experimental Techniques</t>
  </si>
  <si>
    <t>101402843;60031116</t>
  </si>
  <si>
    <t>6506008415;7801432307</t>
  </si>
  <si>
    <t>Kismereshkin, V. P.;Lobova, G. N.</t>
  </si>
  <si>
    <t>Omsk;Omsk</t>
  </si>
  <si>
    <t>Dostoevsky Omsk State University;AO KB Irtysh</t>
  </si>
  <si>
    <t>60031116;101402843</t>
  </si>
  <si>
    <t>Kismereshkin V.</t>
  </si>
  <si>
    <t>Linear antenna array fed by a single-wire transmission line</t>
  </si>
  <si>
    <t>2-s2.0-27544471876</t>
  </si>
  <si>
    <t>['¬© 1996', 'spatial properties', 'protocol issues', 'paper examines', 'paper discusses', 'mobile communications', 'interference suppression', 'increasing capacity', 'global system', 'electrical engineers', 'dect ),', 'channel multiplexing', 'cellular infrastructure', 'adaptive antennas']</t>
  </si>
  <si>
    <t>Mobile communications has become extremely popular and the demand for higher cellular capacities has increased network congestion. Consequently many service providers are looking to improve efficiency within the cellular infrastructure. Adaptive antenna technology offers the possibility of increasing capacity by interference suppression. Implementation of adaptive antennas into current infrastructure cannot take place directly as the current channel allocation algorithms were not designed to consider the spatial properties of these antennas. This paper discusses how the protocol is dependent on two main criteria: are the arrays switched beam or adaptive antennas? will the network use reduced reuse or channel multiplexing to capitalise on the interference suppression? The paper examines the protocol issues for Global System for Mobile (GSM) and Digital Enhanced Cordless Telecommunications (DECT), and provides simple channel allocation modifications to enable the use of adaptive arrays within mobile communication systems. ¬© 1996 The Institution of Electrical Engineers.</t>
  </si>
  <si>
    <t>7102019988;7102509155</t>
  </si>
  <si>
    <t>Law, Alan;Lopes, Luis B.</t>
  </si>
  <si>
    <t>Law A.</t>
  </si>
  <si>
    <t>Protocol issues for the introduction of adaptive antennas into existing second generation systems: GSM and DECT</t>
  </si>
  <si>
    <t>2-s2.0-30844443694</t>
  </si>
  <si>
    <t>['√ ºsseldorf', '¬© 1996', 'trials made', 'trial setup', 'mannesmann mobilfunk', 'joint field', 'implementation principles', 'gsm testbed', 'electrical engineers']</t>
  </si>
  <si>
    <t>This paper describes Ericsson's GSM testbed for evaluation of adaptive antenna technology and joint field-trials made by Ericsson and Mannesmann Mobilfunk. The implementation principles and algorithms are briefly described together with the field-trial setup. The field-trials are carried out in D√ºsseldorf, Germany, by Mannesmann Mobilfunk and Ericsson. The paper also presents results from the field-tests. ¬© 1996 The Institution of Electrical Engineers.</t>
  </si>
  <si>
    <t>60000502;60000502;60000502;100353732;100353732;100353732</t>
  </si>
  <si>
    <t>7404215687;6701699813;7202167882;6506360660;55729536200;35909852900</t>
  </si>
  <si>
    <t>Anderson, S√∂ren;Forss√©n, Ulf;Karlsson, Jonas;Witzschel, Tom;Fischer, Peter;Krug, Andreas</t>
  </si>
  <si>
    <t>Stockholm;Dusseldorf</t>
  </si>
  <si>
    <t>Ericsson Radio Systems AB;Mannesmann Mobilfunk GmbH</t>
  </si>
  <si>
    <t>60000502;100353732</t>
  </si>
  <si>
    <t>Anderson S.</t>
  </si>
  <si>
    <t>Ericsson/Mannesmann GSM field-trials with adaptive antennas</t>
  </si>
  <si>
    <t>2-s2.0-30844466147</t>
  </si>
  <si>
    <t>['¬© 1996', 'whereas ds', 'suggestions ranging', 'proven technology', 'proprietary technologies', 'proprietary systems', 'offered traffic', 'mostly based', 'mixed users', 'main contenders', 'last years', 'fixed sectoring', 'electrical engineers', 'digital cordless', 'digital cellular', 'contribution results', 'cdma proposals', 'based dect', 'adaptive antennas', 'achievable gos']</t>
  </si>
  <si>
    <t>The concept of wireless-local-loop (WLL) has been attracting a lot of interest these last years which have seen an upsurge in suggestions ranging from analog and digital cellular, to digital cordless and to proprietary technologies. Although they may address different market populations, TDMA-based DECT and DS-CDMA technologies appear for the present as the main contenders. DECT is a European standard using a proven technology, with commercial products already on the market, whereas DS-CDMA proposals, mostly based on proprietary systems, are viewed by some as immature and non-proven. In this contribution results from the simulation of a DECT-based WLL system are presented and discussed. Most of the results will be presented in terms of achievable GOS. The latter will be in terms of BS antenna directivity, offered traffic with percentages of mixed users and number of transceivers at every BS site. The use of adaptive antennas will also be compared with fixed sectoring, i.e 3x120¬∞. ¬© 1996 The Institution of Electrical Engineers.</t>
  </si>
  <si>
    <t>60008524;60008524;60008524</t>
  </si>
  <si>
    <t>6507915286;6603087751;7202268164</t>
  </si>
  <si>
    <t>Abumahlula, M. A.;Doumi, T. L.;Gardiner, J. G.</t>
  </si>
  <si>
    <t>Abumahlula M.</t>
  </si>
  <si>
    <t>Adaptive antennas and mixed traffic in a DECT-WLL environment</t>
  </si>
  <si>
    <t>2-s2.0-30844471099</t>
  </si>
  <si>
    <t>['tracking disk', 'secondary processing', 'problem arises', 'onboard algorithms', 'obtain estimations', 'new objects', 'n points', 'measuring devices', 'measuring device', 'maximal number', 'mahk hayka', 'game problem']</t>
  </si>
  <si>
    <t>In the development of measuring devices with scanning, mechanically driven antennas and in the development of onboard algorithms for the secondary processing of information from these devices, the problem arises of the definition of the maximal number of objects that can be tracked by this measuring device. In this work, the game problem about the distribution and the circuit of n points in the tracking disk is stated and solved. This problem allows one to obtain estimations for the maximal number of stably tracked objects in the mode of the rejection of new objects. Copyright ¬© 1996 by MAHK Hayka/Interperiodica: Publishing.</t>
  </si>
  <si>
    <t>453-461</t>
  </si>
  <si>
    <t>Journal of Computer and Systems Sciences International</t>
  </si>
  <si>
    <t>101557417;101557417</t>
  </si>
  <si>
    <t>14044866800;7004762519</t>
  </si>
  <si>
    <t>Egorova, E. T.;Fedunov, B. E.</t>
  </si>
  <si>
    <t>State Scientific Research Institute for Automated Systems</t>
  </si>
  <si>
    <t>Egorova E.</t>
  </si>
  <si>
    <t>A minimax problem on the distribution and circuit of points in a disk and potential capabilities of measuring devices</t>
  </si>
  <si>
    <t>2-s2.0-33746206388</t>
  </si>
  <si>
    <t>['signals received', 'phase ambiguity', 'measuring distances', 'measured lengths', 'mahk ilayna', 'interperiodica publishing', 'four satellites', 'four antennae', 'angular coordinates', 'additive components']</t>
  </si>
  <si>
    <t>New techniques based on the use of signals of Global Navigation Satellite System (GNSS) are now used in addition to traditional gyro techniques. Algorithms for the calculation of the angular coordinates of an aircraft with the help of the differences of phases of signals received by four antennae from three of four satellites are considered in this article. The problem of the elimination of "phase ambiguity" in measuring distances is solved when measured lengths are known only up to additive components that are multiples of wavelength. Copyright ¬© 1996 by MAHK Ilayna/Interperiodica Publishing.</t>
  </si>
  <si>
    <t>647-656</t>
  </si>
  <si>
    <t>Babich, O. A.</t>
  </si>
  <si>
    <t>Zhukovskii Air Force Engineering Academy</t>
  </si>
  <si>
    <t>Babich O.</t>
  </si>
  <si>
    <t>Global navigation satellite system attitude d√©termination for airborne applications</t>
  </si>
  <si>
    <t>2-s2.0-33746207844</t>
  </si>
  <si>
    <t>['small number', 'simple implementation', 'series expansion', 'proposed algorithms', 'processing device', 'probability characteristics', 'orthogonal functions', 'noise background', 'mutual correlation', 'mak haya', 'known algorithms', 'interperiodica publishing', 'informative signal', 'commonly characterized', 'channel signals', 'channel noises', 'band signals', 'allows one']</t>
  </si>
  <si>
    <t>A method for the construction of noise-suppressing adaptive algorithms for digital processing multichannel signals, which allows one to take into account both the mutual correlation of readings of the channel noises and their probability characteristics, is proposed. The basis of the method is a representation of the transformation of channel signals by means of a series expansion with respect to a system of orthogonal functions. The coefficients of this series are optimal with respect to the method of the least squares estimation for a deviation of the process at the output of the processing device from the informative signal. A system of functions that performs a multidimensional nonlinear quantization of the channel signals is proposed. The results of a study of digital data processing wide-band signals against a noise background in a 20-element antenna grid are presented. The proposed algorithms are commonly characterized by simple implementation with a small number of multiplication type operations, and by the reasonable memory capacity required. They are as good as the known algorithms for efficiency and outperform them in a number of cases. Copyright ¬© 1996 by MAK Haya/Interperiodica Publishing.</t>
  </si>
  <si>
    <t>922-925</t>
  </si>
  <si>
    <t>123310037;123310037</t>
  </si>
  <si>
    <t>7004150123;14070988000</t>
  </si>
  <si>
    <t>Valeev, V. G.;Yazovskii, A. A.</t>
  </si>
  <si>
    <t>Ural'sk State Technical University</t>
  </si>
  <si>
    <t>Valeev V.</t>
  </si>
  <si>
    <t>Noise-suppressing digital processing of multichannel signals</t>
  </si>
  <si>
    <t>2-s2.0-33747379895</t>
  </si>
  <si>
    <t>['system incorporates', 'radio communication', 'positive properties', 'operative allocation', 'multichannel system', 'mak haya', 'interperiodica publishing', 'information transmission']</t>
  </si>
  <si>
    <t>A structure of a radio network providing stable radio communication between subscribers and consisting of standard retransmission centers constructed on the basis of a multichannel system of information transmission is described. The system incorporates all of the positive properties of radio relay communication lines: secrecy, wide-band, and operative allocation of channels. In addition, it provides communication among subscribers along several different directions by the use of a circular phased array antenna. A multilevel intelligent control system is used in the system of radio communication. Copyright ¬© 1996 by MAK Haya/Interperiodica Publishing.</t>
  </si>
  <si>
    <t>838-845</t>
  </si>
  <si>
    <t>60021331;60021331;60021331</t>
  </si>
  <si>
    <t>7801439510;14070942800;14046309200</t>
  </si>
  <si>
    <t>Valaev, G. N.;Voitsekyan, V. A.;Zakharov, V. N.</t>
  </si>
  <si>
    <t>Valaev G.</t>
  </si>
  <si>
    <t>Intelligent control in local radio network of information transmission</t>
  </si>
  <si>
    <t>2-s2.0-33747411279</t>
  </si>
  <si>
    <t>['three bearings', 'system generated', 'rod system', 'results obtained', 'reflecting properties', 'oscillation frequencies', 'oscillation forms', 'mechanical oscillations', 'mak haya', 'interperiodica publishing', 'dispersed field', 'direction diagram', 'continuous shell', 'composite two', 'calculated efficiently', 'antenna mirror']</t>
  </si>
  <si>
    <t>A mechanical system consisting of a spacecraft with a mirror is considered. The mirror is fixed to the apparatus by three bearings. The mirror is a composite two-layer rod system with an almost periodic structure covered by a wire-grid. The rod system of the antenna is replaced by a continuous shell. As a result, oscillation frequencies and oscillation forms of the considered mechanical system are calculated efficiently by the finite element method. The results obtained are used by a program that calculates a direction diagram of a dispersed field under deformations of the antenna mirror. The influence of mechanical oscillations of the system generated by rotations of a spacecraft on reflecting properties of the antenna are studied. Copyright ¬© 1996 by MAK Haya/Interperiodica Publishing.</t>
  </si>
  <si>
    <t>955-967</t>
  </si>
  <si>
    <t>60010862;60010862;60010862;60010862</t>
  </si>
  <si>
    <t>6602795931;55411711500;7801581223;6603596715</t>
  </si>
  <si>
    <t>Amosov, B. A.;Korneev, V. A.;Satovskaya, O. L.;Shamaev, A. S.</t>
  </si>
  <si>
    <t>Keldysh Institute of Applied Mathematics of Russian Academy of Sciences</t>
  </si>
  <si>
    <t>Amosov B.</t>
  </si>
  <si>
    <t>Study of the influence of dynamic characteristics of a large space antenna on its reflecting properties</t>
  </si>
  <si>
    <t>2-s2.0-33747415850</t>
  </si>
  <si>
    <t>['related issues', 'proposed algorithms', 'one determines', 'multiple inputs', 'model mismatch', 'equalizers whereas', 'equalizers directly', 'channels first', 'channel variations', 'addressed briefly', 'accomplished without']</t>
  </si>
  <si>
    <t>In this paper we study Ihe blind equalization problem of time-varying (TV) systems where the channel variations are too rapid to be tracked with conventional adaptive equalizers. We show that by using a finite Fourier basis expansion a TV antenna array system can be cast into a time-invariant multiinput multioutput (MIMO) framework. The multiple inputs are related through the bases thereby flowing blind equalization to be accomplished without the use of higher order statistics. Two deterministic blind equalization approaches are presented: One determines the channels first and then the equalizers whereas the other estimates the equalizers directly. Related issues such as order and model mismatch are addressed briefly. The proposed algorithms are illustrated using simulations. ¬© 1996 IEEE.</t>
  </si>
  <si>
    <t>60021918;60021918</t>
  </si>
  <si>
    <t>36100496000;36049280600</t>
  </si>
  <si>
    <t>Liu, Hui;Giannakis, Georgios B.</t>
  </si>
  <si>
    <t>Charlottesville</t>
  </si>
  <si>
    <t>University of Virginia</t>
  </si>
  <si>
    <t>Deterministic approaches for blind equalization of time-varying channels with antenna arrays</t>
  </si>
  <si>
    <t>SI053587X96071322</t>
  </si>
  <si>
    <t>2-s2.0-33747699707</t>
  </si>
  <si>
    <t>['upper bound', 'uniquely identified', 'time delays', 'spatial signatures', 'solution uniqueness', 'signal directions', 'secondary importance', 'rao bound', 'primary interest', 'performance relative', 'far greater', 'different cases', 'also included', 'also derived', 'also considered']</t>
  </si>
  <si>
    <t>This paper considers Ihe problem of estimating the parameters of known signals received asynchronously by an array of antennas. The parameters of primary interest are the time delays of the signals and their spatial signatures at the array. Estimates of the signal directions of arrival are also considered but are of secondary importance in this work. Maximum likelihood algorithms and more computationally efficient approximations are developed for both the case where all transmitted signals arc identical (the overlapping echo problem) and where they are all distinct. Conditions are also derived under which the standard matched filter approach yields consistent and statistically efficient parameter estimates. The issue of solution uniqueness is addressed and in particular an upper bound on the number of signals whose parameters may be uniquely identified is derived for a number of different cases. Typically the bound is far greater than the number of sensors and is limited only hy the number of data samples collected. Some representative simulation examples are also included to illustrate the algorithms' performance relative to the Cram√©r-Rao bound. ¬© 1996 IEEE.</t>
  </si>
  <si>
    <t>Lee Swindlehurst, A.</t>
  </si>
  <si>
    <t>Lee Swindlehurst A.</t>
  </si>
  <si>
    <t>Time delay and spatial signature estimation using known asynchronous signals</t>
  </si>
  <si>
    <t>2-s2.0-33747721409</t>
  </si>
  <si>
    <t>['uniform high', 'type integral', 'surface waves', 'substrate thicknesses', 'space waves', 'present formulation', 'practical interest', 'po approximation', 'patch antennas', 'numerical integration', 'leaky waves', 'large distance', 'frequency solution', 'finite substrates', 'expected limitations', 'effective tool', 'diffraction sommerfeld', 'diffraction phenomenon', 'diffracted contributions', 'dielectric constants', 'asymptotic expression', 'asymptotic evaluation', '2 wavelength']</t>
  </si>
  <si>
    <t>A uniform high-frequency solution is presented for the diffraction of a horizontal electric dipole located upon a truncated, semi-infinite grounded dielectric slab. This solution is achieved by an asymptotic evaluation of a diffraction Sommerfeld-type integral, which is derived by using a physical optics formulation. The final uniform result is given in terms of a geometrical optics contribution and ray-diffracted contributions from space waves, surface waves, and leaky waves. Although this asymptotic expression is derived by assuming a large distance between the source and the edge, comparisons with a numerical integration have shown very good accuracy also for a distance about 0.2 wavelength. This solution provides physical insight into the diffraction phenomenon and an effective tool for predicting the effects of finite substrates in patch antennas. Indeed, within the expected limitations of the PO approximation, the present formulation is applicable to most of the substrate thicknesses and dielectric constants of practical interest in patch antennas. ¬©1996 IEEE.</t>
  </si>
  <si>
    <t>863-873</t>
  </si>
  <si>
    <t>60021859;60021859;60021859</t>
  </si>
  <si>
    <t>7005998607;7004298831;57192912748</t>
  </si>
  <si>
    <t>Maci, Stefano;Borselli, Leonardo;Rossi, Lorenzo</t>
  </si>
  <si>
    <t>Diffraction at the edge of a truncated grounded dielectric slab</t>
  </si>
  <si>
    <t>S008926X96042846</t>
  </si>
  <si>
    <t>10.1109/8.509890</t>
  </si>
  <si>
    <t>2-s2.0-33747867769</t>
  </si>
  <si>
    <t>A computationally efficient method for analyzing printed wire-loop antennas on grounded dielectric substrates which uses curved piece isc sinusoidal subdomain current basis and test functions spanning two segments in a moment-method solution to Pocklington's equation is presented. Results for loop-input impedances are convergent, and these, together with efficiencies, compare favorably with computations using entire domain and linear subdomain basis and test functions. ¬© 1996 IEEE.</t>
  </si>
  <si>
    <t>Functions, Test</t>
  </si>
  <si>
    <t>Functions T.</t>
  </si>
  <si>
    <t>Moment-method analysis of printed circular wire-loop antenna using curved piecewise</t>
  </si>
  <si>
    <t>S0018926X96070111</t>
  </si>
  <si>
    <t>2-s2.0-33747897742</t>
  </si>
  <si>
    <t>The Valensole HF sky wave radar, used since 1960 for remote sensing of geophysical media, has recently been upgraded by installation of a multireceiver system used with linear receiving arrays. The antenna elements are combined in subarrays and each of them is connected to a receiver. A new radar controller has been designed to allow for the automatic control of individual antenna elements. The purpose of this paper is to present this installation and the scientific goals which led us to build it To illustrate the improved remote sensing capabilities of the multireceiver configuration, as compared to a single receiver system, we describe new results recently obtained in seastate remote sensing applications and in ionospheric studies. This system has been built at a relatively low cost as allowed by a university budget. ¬© 1996 IEEE.</t>
  </si>
  <si>
    <t>60001970;60004773;60030553;60001422</t>
  </si>
  <si>
    <t>Rennes;Toulouse;Paris;Paris</t>
  </si>
  <si>
    <t>Universite de Rennes 1;CNRM Centre National de Recherches M√©t√©orologiques;Institut de Physique du Globe de Paris;Sorbonne Universite</t>
  </si>
  <si>
    <t>60030553;60004773;60001970;60001422</t>
  </si>
  <si>
    <t>A new multibeam receiving equipment for the valensole skywave HF radar: description and applications</t>
  </si>
  <si>
    <t>S0196289296028604</t>
  </si>
  <si>
    <t>2-s2.0-33747936063</t>
  </si>
  <si>
    <t>['similar characteristics', 'phase distributions', 'permit patterns', 'one plane']</t>
  </si>
  <si>
    <t>Antennas with an aperture phase distribution described by functions representing stepped or continuous linear surfaces are considered. It is shown that by the use of a similar phase distribution, an antenna with a prescribed radiation pattern in one plane is easy to synthesize. Linear-phase distributions are given which permit patterns, with similar characteristics, to form in the two principal planes, simultaneously. ¬© 1996 IEEE.</t>
  </si>
  <si>
    <t>874-878</t>
  </si>
  <si>
    <t>100862605;100862605</t>
  </si>
  <si>
    <t>6506974568;6504822144</t>
  </si>
  <si>
    <t>Povolotsky, Felix K.;Sydorova, Tatiana P.</t>
  </si>
  <si>
    <t>Scientific Research Institute Altair</t>
  </si>
  <si>
    <t>Povolotsky F.</t>
  </si>
  <si>
    <t>Linear-phase aperture distribution antennas</t>
  </si>
  <si>
    <t>S0018926X96042858</t>
  </si>
  <si>
    <t>10.1109/8.509891</t>
  </si>
  <si>
    <t>2-s2.0-33747986993</t>
  </si>
  <si>
    <t>7005566736;7102969209</t>
  </si>
  <si>
    <t>Marvin, A. C.;Dawson, L.</t>
  </si>
  <si>
    <t>Marvin A.</t>
  </si>
  <si>
    <t>Experience of correlating measurements in the frequency range 1MHz to 30MHz</t>
  </si>
  <si>
    <t>2-s2.0-45849154756</t>
  </si>
  <si>
    <t>['waveguide transition', 'therefore necessary', 'several devices', 'power combining', 'minimum loss', 'high efficiency', 'direct output', 'avoid degrading']</t>
  </si>
  <si>
    <t>The RF power levels required for a number of applications are far in excess of what is available from a single FET device. It is therefore necessary to combine the power of several devices to achieve the desired power level. Power combining for the output stages needs to be accomplished with minimum loss to avoid degrading the overall conversion efficiency of the amplifier A dual ridged microstrip to waveguide transition was designed to combine the outputs of two packaged power FETs. The combiner interfaces directly with the power devices without the need for adapters, uses extremely low loss ridgeguide, and has a rectangular waveguide output that is desirable for direct output to an antenna or further power combining. A module with Fujitsu power FETs operating at 7.4 GHz demonstrates the compactness and high efficiency of the ridged waveguide combiner.</t>
  </si>
  <si>
    <t>Cotton, F. J.</t>
  </si>
  <si>
    <t>Cotton F.</t>
  </si>
  <si>
    <t>C band SSPA using a dual ridged waveguide combiner</t>
  </si>
  <si>
    <t>2-s2.0-6144290285</t>
  </si>
  <si>
    <t>['screened rooms', 'paper aims', 'oats ).', 'main factors']</t>
  </si>
  <si>
    <t>This paper aims at presenting the main factors which contribute to uncertainties in measurements in screened rooms and in open-area test sites (OATS).</t>
  </si>
  <si>
    <t>60015138;60015138</t>
  </si>
  <si>
    <t>6503862555;6507638641</t>
  </si>
  <si>
    <t>Chrisiopoulos, C.;Argyri, I.</t>
  </si>
  <si>
    <t>Chrisiopoulos C.</t>
  </si>
  <si>
    <t>Measurement uncertainties in screened rooms and in open area test sites - A tutorial introduction</t>
  </si>
  <si>
    <t>2-s2.0-6144291021</t>
  </si>
  <si>
    <t>['upon conventions', 'unlike communication', 'starship radiation', 'spectral signatures', 'spectral signature', 'ships considered', 'rocket nozzle', 'radiation emitted', 'propulsion systems', 'power level', 'photon rockets', 'paper examines', 'oriented towards', 'natural sources', 'mutually agreed', 'much greater', 'matter rockets', 'many orders', 'magsail emission', 'magnitude greater', 'magnetic sails', 'magnetic sail', 'ionospheric cut', 'interstellar propulsion', 'interstellar medium', 'interstellar distances', 'governed stringently', 'given approximately', 'fusion rockets', 'fusion devices', 'fission rockets', 'either accelerate', 'detection would', 'detectable form', 'creating drag', 'could easily', 'characteristic starship', 'bremstrahlung radiation', 'better opportunities']</t>
  </si>
  <si>
    <t>This paper examines the possibility of detecting extraterrestrial civilisations by searching for the spectral signatures of their interstellar transportation systems. The advantage of this approach is that characteristic power levels associated with interstellar transportation systems are many orders of magnitude greater than those required for communication, so the signal strength may be much greater. Furthermore, unlike communication which is governed by a fairly arbitrary selection of technology and mutually agreed-upon conventions, interstellar transportation systems are governed stringently by the laws of physics. For the present analysis methods of interstellar propulsion are considered, the principles of which are fairly well understood. These are anti-matter rockets, fusion rockets, fission rockets, all of which can be used to either accelerate or decelerate a spacecraft, and magnetic sails, which can be used to decelerate a spacecraft by creating drag against the interstellar medium. The types of radiation emitted by each of these propulsion systems is described, and speeds and accelerations levels characteristic of the various propulsion systems are estimated. It is shown that for the power level of ships considered, the high energy gamma radiation emitted by the anti-matter, fusion and fission propulsion system would be undetectable at interstellar distances. Better opportunities for detection would be bremstrahlung radiation from the plasma confinement systems of fusion devices, which might be detectable at distances of about one light year, and visible light emitted from the radiators of anti-matter driven photon rocket, which might be detectable by the Hubble Space Telescope at a distance of several hundred light years, provided the rocket nozzle is oriented towards the Earth. The most detectable form of starship radiation, however, was found to be the low frequency radio emissions of cyclotron radiation caused by interaction of the interstellar medium with a magnetic sail. The frequency of such radiation is given approximately by f=120(v/c)kHz, where v is the starship's velocity. Because the frequency of this radiation is lower than the Earth's ionospheric cut-off, an antenna with a 6 km effective diameter could detect the magsail emission of a characteristic starship at distances of up to several thousand light years. Both photon rockets and magnetic sails would emit a signal that could easily be distinguished from natural sources. It is concluded that the detection of extraterrestrial civilisations via the spectral signature of their spacecraft is possible in principle.</t>
  </si>
  <si>
    <t>297-302</t>
  </si>
  <si>
    <t>0007084X</t>
  </si>
  <si>
    <t>JBIS - Journal of the British Interplanetary Society</t>
  </si>
  <si>
    <t>Zubrin, Robert</t>
  </si>
  <si>
    <t>Zubrin R.</t>
  </si>
  <si>
    <t>Detection of extraterrestrial civilisations via the spectral signature of advanced interstellar spacecraft</t>
  </si>
  <si>
    <t>2-s2.0-70449746832</t>
  </si>
  <si>
    <t>['reducing antennas', 'reduced significantly', 'radiation properties', 'radar cross', 'measured results', 'maintained basically', 'main reflector', 'fss subreflector', 'effective approach', 'easily applied']</t>
  </si>
  <si>
    <t>Antenna scattering | Frequency selective surface | Reflector antenna</t>
  </si>
  <si>
    <t>It is an effective approach for reducing antennas' scattering to use frequency selective surface (FSS) as main reflector or subreflector. The measured results are given and discussed. In comparison with ordinary metallic reflector antenna, the FSS reflector antenna's radiation properties are maintained basically but its radar cross-section (RCS) is reduced significantly. FSS subreflector can be more easily applied to practice, but has a little higher RCS level than that of FSS main reflector.</t>
  </si>
  <si>
    <t>Journal of Systems Engineering and Electronics</t>
  </si>
  <si>
    <t>60005465;60005465</t>
  </si>
  <si>
    <t>35762943800;7103091093</t>
  </si>
  <si>
    <t>Feng, Lin;Ruan, Yingzheng</t>
  </si>
  <si>
    <t>Feng L.</t>
  </si>
  <si>
    <t>Application of FSS to reduction of antennas' RCS</t>
  </si>
  <si>
    <t>2-s2.0-77949929471</t>
  </si>
  <si>
    <t>['tile rf', 'magnetic field', 'antennas terminates', 'algaas heterojunction', '600 mhz', '5 k']</t>
  </si>
  <si>
    <t>Tile rf-transmission between two antennas coupling capacitively to a 2-dimensional electron gas at a GaAs- AlGaAs heterojunction is investigated as a function of magnetic field &lt; 6 T and frequency &lt; 600 MHz at a temperature T ~ 1.5 K. It is found that the coupling between the antennas terminates at the frequency of an edge magnetoplasma resonance, both on and outside the Quantum Hall plateaus.</t>
  </si>
  <si>
    <t>2459-2460</t>
  </si>
  <si>
    <t>60032882;60032882-101020432;60032882;60032882;60032882</t>
  </si>
  <si>
    <t>6602147220;7003392899;6701388583;7006707847;7003537366</t>
  </si>
  <si>
    <t>Valkering, A. M.C.;Sommerfeld, P. K.H.;van de Ven, R. A.M.;van der Heijden, R. W.;Blom, F. A.P.</t>
  </si>
  <si>
    <t>Eindhoven;Krefeld</t>
  </si>
  <si>
    <t>Technische Universiteit Eindhoven;Philips Microelectronic Modules</t>
  </si>
  <si>
    <t>60032882;101020432</t>
  </si>
  <si>
    <t>Valkering A.</t>
  </si>
  <si>
    <t>Magnetic field dependence of the high-frequency capacitive response of a 2-dimensional electron gas in the Quantum Hall regime</t>
  </si>
  <si>
    <t>10.1007/BF02570216</t>
  </si>
  <si>
    <t>2-s2.0-77958184423</t>
  </si>
  <si>
    <t>['strike accident', 'radar shadow', 'never fly']</t>
  </si>
  <si>
    <t>Avoiding a terrain-strike accident is simple and easy: Never fly into a radar shadow.</t>
  </si>
  <si>
    <t>Trammell, Archie</t>
  </si>
  <si>
    <t>Trammell A.</t>
  </si>
  <si>
    <t>Mountain peaks are where you see them</t>
  </si>
  <si>
    <t>2-s2.0-9444247626</t>
  </si>
  <si>
    <t>['whip antennas', 'parallel plate', 'parabolic plate', 'inverted l', 'helical whip', 'four times', 'findings show', 'field strength', 'conventional whip', 'concise review']</t>
  </si>
  <si>
    <t>HF antennas | Jamming antennas | Small antennas | Vehicular antennas</t>
  </si>
  <si>
    <t>A concise review of the theoretical and experimental findings resulting from a study of small-height HF vertically polarized ground-wave jamming antennas in the form of conventional whip, helical whip, condenser (parallel plate, parabolic plate, and conical) and inverted L is given. These findings show that, for a given power input, the inverted-L and the conical condenser antennas can produce about the same ground-ware-field strength as whip antennas of twice and four times their height, respectively. ¬© 1996 John Wiley &amp; Sons, Inc.</t>
  </si>
  <si>
    <t>60102558;101828722</t>
  </si>
  <si>
    <t>7006637880;7003929775</t>
  </si>
  <si>
    <t>Knop, Charles M.;Frazer, Russell</t>
  </si>
  <si>
    <t>Joliet;</t>
  </si>
  <si>
    <t>Andrew Corporation;VHFS</t>
  </si>
  <si>
    <t>Knop C.</t>
  </si>
  <si>
    <t>A study of small-height HF jamming antennas for vehicular use</t>
  </si>
  <si>
    <t>10.1002/(SICI)1098-2760(19961205)13:5&lt;267::AID-MOP7&gt;3.0.CO;2-E</t>
  </si>
  <si>
    <t>2-s2.0-0030571361</t>
  </si>
  <si>
    <t>['return loss', 'radiation pattern', 'polygonal approximation', 'opened microstrip', 'domain method', 'curved boundaries', 'complicated shape']</t>
  </si>
  <si>
    <t>Finite-difference-time-domain method | Horn antennas</t>
  </si>
  <si>
    <t>The finite-difference-time-domain method is applied to study the return loss and radiation pattern of an E-plane sectoral horn excited by an opened microstrip. This antenna has a complicated shape that is modeled with the use of a polygonal approximation in curved boundaries and perfectly matched layers. ¬© 1996 John Wiley &amp; Sons, Inc.</t>
  </si>
  <si>
    <t>7003954653;7102070588;6701818517</t>
  </si>
  <si>
    <t>Reig, Candid;Navarro, Enrique A.;Such, Vicente</t>
  </si>
  <si>
    <t>Reig C.</t>
  </si>
  <si>
    <t>FDTD analysis of an E-sectoral horn excited by an opened microstrip</t>
  </si>
  <si>
    <t>10.1002/(sici)1098-2760(19961205)13:5&lt;294::aid-mop14&gt;3.0.co;2-7</t>
  </si>
  <si>
    <t>2-s2.0-0030571368</t>
  </si>
  <si>
    <t>['multiband behaviour', 'matched frequencies', 'like antenna', 'length distribution', 'fractal tree', 'fractal structure', 'fractal shape', 'experimental results', 'electrochemical deposition', 'antenna presents']</t>
  </si>
  <si>
    <t>Antennas | Electrochemistry | Fractals</t>
  </si>
  <si>
    <t>Experimental results on a fractal tree-like antenna are reported. The fractal structure is generated by electrochemical deposition. The antenna presents a multiband behaviour with a denser band distribution than the previously reported Sierpinski fractal antenna. The matched frequencies are related to the length distribution over the fractal shape.</t>
  </si>
  <si>
    <t>2298-2299</t>
  </si>
  <si>
    <t>60007592;60001576;60001576;60007592;60001576;60007592</t>
  </si>
  <si>
    <t>7006058796;56260594100;7003386289;56883021900;6602574766;6701438680</t>
  </si>
  <si>
    <t>Puente, C.;Claret, J.;Sagu√©s, F.;Romeu, J.;L√≥pez-Salvans, M. Q.;Pous, R.</t>
  </si>
  <si>
    <t>Universitat Polit√®cnica de Catalunya;Universitat de Barcelona</t>
  </si>
  <si>
    <t>60007592;60001576</t>
  </si>
  <si>
    <t>Multiband properties of a fractal tree antenna generated by electrochemical deposition</t>
  </si>
  <si>
    <t>10.1049/el:19961579</t>
  </si>
  <si>
    <t>2-s2.0-0030571396</t>
  </si>
  <si>
    <t>['several experiments', 'novel technique', 'line band', 'impedance bandwidth', 'axial ratio', 'authors present', 'aspect ratio']</t>
  </si>
  <si>
    <t>Antenna feeds | Band-pass filters | Microstrip antennas</t>
  </si>
  <si>
    <t>The authors present a novel technique for obtaining circularly polarised (CP) dual frequency operation by using two spur-line band-stop filters within the perimeter of a microstrip patch antenna with optimum feed point location and aspect ratio. This circularly polarised dual frequency operation can be obtained without increasing either the size or the thickness of the patch. Furthermore, through several experiments the authors also demonstrate that the location of the feed point establishes and controls a trade-off between axial ratio and impedance bandwidth.</t>
  </si>
  <si>
    <t>2296-2298</t>
  </si>
  <si>
    <t>60011476;60011520;60011476;60011476;60011520</t>
  </si>
  <si>
    <t>7003359258;56097572800;57210183362;6701922105;35551096000</t>
  </si>
  <si>
    <t>S√°nchez-Hern√°ndez, D.;Passiopoulos, G.;Ferrando, M.;De Los Reyes, E.;Robertson, I. D.</t>
  </si>
  <si>
    <t>United Kingdom;Spain</t>
  </si>
  <si>
    <t>London;Valencia</t>
  </si>
  <si>
    <t>King's College London;Universitat Polit√®cnica de Val√®ncia</t>
  </si>
  <si>
    <t>60011520;60011476</t>
  </si>
  <si>
    <t>S√°nchez-Hern√°ndez D.</t>
  </si>
  <si>
    <t>Dual-band circularly polarised microstrip antennas with a single feed</t>
  </si>
  <si>
    <t>10.1049/el:19961586</t>
  </si>
  <si>
    <t>2-s2.0-0030571397</t>
  </si>
  <si>
    <t>['superconducting antenna', 'silver one', 'mgo substrate', 'laser ablation', 'experimental performance', '80 k', '38 ghz', '2 db']</t>
  </si>
  <si>
    <t>Ka band | Superconducting microstrip antenna | YBa Cu O , MgO 2 3 7</t>
  </si>
  <si>
    <t>We have designed and fabricated a superconducting microstrip antenna operating at 38 GHz after we patterned a YBa2Cu3O7 thin film epitaxially grown on (100) MgO substrate by laser ablation. The experimental performance of this superconducting antenna was measured in a home-made vacuum setup and compared to a similar silver antenna. Measurements show efficiency improvement of the superconducting antenna over the silver one of 1.2 dB at 80 K. ¬© 1996 John Wiley &amp; Sons, Inc.</t>
  </si>
  <si>
    <t>255-259</t>
  </si>
  <si>
    <t>60030553;60030553;60030553;60030553;60030553;60030553</t>
  </si>
  <si>
    <t>6603182258;7004142829;56268040700;6603795399;7006272544;55964959900</t>
  </si>
  <si>
    <t>Castel, X.;Floch, J. M.;Guilloux-Viry, M.;Mahdjoubi, K.;Terret, C.;Perrin, A.</t>
  </si>
  <si>
    <t>Castel X.</t>
  </si>
  <si>
    <t>Experimental results on a 38-GHz high-temperature superconducting microstrip antenna</t>
  </si>
  <si>
    <t>10.1002/(sici)1098-2760(19961205)13:5&lt;255::aid-mop4&gt;3.0.co;2-f</t>
  </si>
  <si>
    <t>2-s2.0-0030571426</t>
  </si>
  <si>
    <t>['theoretically formulated', 'radiation pattern', 'patch antenna', 'ideal monopole', 'first time', 'field region', 'experimentally investigated', 'dra operating', 'coaxial probe', 'assuming magnetic']</t>
  </si>
  <si>
    <t>Dielectric resonator antenna | HE  mode 21Œ¥ | Radiation pattern</t>
  </si>
  <si>
    <t>The radiation from a cylindrical dielectric resonator antenna (DRA) excited at the HE21Œ¥ mode by a coaxial probe is theoretically formulated and experimentally investigated. Assuming magnetic-wall boundary conditions, equations for the electric field components in the far-field region are derived for the first time. The dependence of the radiation pattern and directivity on the dimensions of the cylinder are discussed. The gain of the DRA operating at the HE21Œ¥ mode is 30% greater than that of an ideal monopole, and the bandwidth is about four times greater than the bandwidth of a patch antenna. ¬© 1996 John Wiley &amp; Sons, Inc.</t>
  </si>
  <si>
    <t>248-251</t>
  </si>
  <si>
    <t>Drossos, George;Wu, Zhipeng;Davis, Lionel E.</t>
  </si>
  <si>
    <t>Radiation characteristics of a cylindrical dielectric resonator antenna operating at HE&lt;inf&gt;21Œ¥&lt;/inf&gt;</t>
  </si>
  <si>
    <t>10.1002/(SICI)1098-2760(19961205)13:5&lt;248::AID-MOP2&gt;3.0.CO;2-G</t>
  </si>
  <si>
    <t>2-s2.0-0030571450</t>
  </si>
  <si>
    <t>['vinylidene intermediate', 'vibrational spectrum', 'triplet ethylidene', 'trapped excitons', 'slightly modified', 'produced either', 'present evidence', 'photon capture', 'nacl substrate', 'main antenna', 'ir spectra', 'gas phase', 'full monolayer', 'ethene onto', 'ethene molecules', 'coverage range', 'condensed phase']</t>
  </si>
  <si>
    <t>IR spectra, thermodynamics and photochemistry of ethene, C2H4, physisorbed onto NaCl(100) cuboids of a sublimed polycrystalline film have been examined. The heat of adsorption of ethene onto the NaCl film ranges -10 ¬± 3 &lt; ŒîadsH &lt; -17 ¬± 3 kJ mol-1 over a coverage range of 0.5 &lt; Œò &lt; 1.0. The vibrational spectrum of the adsorbed ethene resembles that of condensed phase and matrix isolated ethene where intensities and frequencies are only slightly modified from the gas phase. The ethene, adsorbed at less than a full monolayer on the crystallites, is then subjected to 184.9 nm light whereupon it photodissociates almost exclusively into acetylene and H2. Further, it is not the ethene molecules, but the NaCl substrate which appears to be the main antenna of photon capture. We present evidence that suggests that the excitation is stored as self-trapped excitons (STEs) in the NaCl. This energy is then passed to the adsorbed ethene via triplet-triplet energy transfer. It is proposed that the acetylene is produced either through a triplet ethylidene or vinylidene intermediate.</t>
  </si>
  <si>
    <t>4853-4861</t>
  </si>
  <si>
    <t>60021121-60011754;60021121-60029526;60021121</t>
  </si>
  <si>
    <t>14061379200;14324455200;7005232422</t>
  </si>
  <si>
    <t>Willian, Kyle;Berg, Otto;Ewing, George E.</t>
  </si>
  <si>
    <t>Riverside;Bloomington;Auburn</t>
  </si>
  <si>
    <t>University of California, Riverside;Indiana University Bloomington;Auburn University</t>
  </si>
  <si>
    <t>60029526;60021121;60011754</t>
  </si>
  <si>
    <t>Willian K.</t>
  </si>
  <si>
    <t>Adsorption and photochemistry of ethene on NaCl crystallites</t>
  </si>
  <si>
    <t>2-s2.0-33845495696</t>
  </si>
  <si>
    <t>['ventral part', 'structural integrity', 'staining surrounded', 'staining matures', 'pupal development', 'olfactory pathways', 'olfactory neuropiles', 'neuronal networks', 'mainly associated', 'larval stages', 'kenyon cells', 'important role', 'hemimetabolous locust', 'glial cells', 'frozen sections', 'especially intense', 'carbohydrate n', 'branching sites', 'axonal projections', 'antennal lobe']</t>
  </si>
  <si>
    <t>antennal lobe | extracellular matrix | mushroom body | olfactory system | repo</t>
  </si>
  <si>
    <t>To investigate how glial cells structure the neuropile of olfactory pathways in the brains of honeybees and locusts, we used a lectin as a carbohydrate specific molecular label. On frozen sections, Datura stramoniurn lectin (DSL) stained extracellular material which is mainly associated with glial cells. Preadsorption of the DSL with the carbohydrate N, N'- diacetylchitobiose blocked the staining. The location of glial cells was detected by an antiserum against the glial-specific nuclear repo-protein. Lectin-staining surrounded the neuropile of the antennal lobe, axonal projections of olfactory relay neurons, and the mushroom body neuropile. Within the mushroom body neuropile of the bee, DSL-staining was especially intense at the branching sites of the Kenyon cell axons and in the ventral part of the Œ±-lobe. The dissection of the various cellular contributions to the lectin-staining in dissociated cell cultures suggested that certain glial cells, but also neuronal somata of the antennal lobe and Kenyon cells of the mushroom bodies express the label. The expression of lectin-staining matures during the pupal development of the bee, whereas in larval stages of the hemimetabolous locust, the staining pattern appears already completed. Since carbohydrate recognition is thought to play an important role in the formation of neuronal networks, the glial derived extracellular material may contribute to the morphogenesis and structural integrity of the olfactory neuropiles.</t>
  </si>
  <si>
    <t>175-187</t>
  </si>
  <si>
    <t>60030718;60008042;60030718</t>
  </si>
  <si>
    <t>6507742579;7102988204;7006119207</t>
  </si>
  <si>
    <t>H√§hnlein, Ingrid;H√§rtig, Wolfgang;Bicker, Gerd</t>
  </si>
  <si>
    <t>Berlin;Leipzig</t>
  </si>
  <si>
    <t>Freie Universit√§t Berlin;Universit√§t Leipzig</t>
  </si>
  <si>
    <t>60030718;60008042</t>
  </si>
  <si>
    <t>H√§hnlein I.</t>
  </si>
  <si>
    <t>Datura stramonium lectin staining of glial associated extracellular material in insect brains</t>
  </si>
  <si>
    <t>10.1002/(SICI)1096-9861(19961209)376:2&lt;175::AID-CNE1&gt;3.0.CO;2-0</t>
  </si>
  <si>
    <t>2-s2.0-0029852864</t>
  </si>
  <si>
    <t>['resonant slot', 'resonant frequencies', 'mixers coupled', 'broadband self']</t>
  </si>
  <si>
    <t>Resonant slot and dipole antennas coupled to low-temperature-grown GaAs photomixers have been fabricated and tested at terahertz operating frequencies. Enhanced output power is seen from the resonant structures compared to mixers coupled to broadband self-complementary spiral antennas. Driving point impedances as high as 300 Œ© are attained at the resonant frequencies. These devices will be useful as fixed frequency local oscillators for submillimeter heterodyne receivers. ¬© 1996 American Institute of Physics.</t>
  </si>
  <si>
    <t>3632-3634</t>
  </si>
  <si>
    <t>60022195;60022195;60022195;60022195;60022195;60022195</t>
  </si>
  <si>
    <t>7101984059;57223745182;7103268009;6602297101;6505903525;6602083408</t>
  </si>
  <si>
    <t>McIntosh, K. A.;Brown, E. R.;Nichols, K. B.;McMahon, O. B.;DiNatale, W. F.;Lyszczarz, T. M.</t>
  </si>
  <si>
    <t>McIntosh K.A.</t>
  </si>
  <si>
    <t>Terahertz measurements of resonant planar antennas coupled to low-temperature-grown GaAs photomixers</t>
  </si>
  <si>
    <t>10.1063/1.117006</t>
  </si>
  <si>
    <t>2-s2.0-0030577304</t>
  </si>
  <si>
    <t>['yield suggested', 'vitro manipulations', 'typical chlorophyll', 'total lhcii', 'six histidines', 'significant loss', 'separate native', 'recombinant protein', 'recombinant lhcii', 'purification indicating', 'planta might', 'mediated monomerization', 'lhcii carrying', 'harvesting chlorophyll', 'gln accumulated', 'form two', 'dimensional crystals', 'diffracted electrons', 'detergent without', 'c terminus', 'binding site', 'binding protein', 'b ratio']</t>
  </si>
  <si>
    <t>histidine tag | light-harvesting complex | two-dimensional crystals</t>
  </si>
  <si>
    <t>A chimeric Lhcb gene encoding light-harvesting chlorophyll a/b-binding protein (LHCII) was expressed in transgenic tobacco plants. To separate native from recombinant LHCII, the protein was extended by six histidines at its C terminus. Recombinant LHCII was isolated by detergent-mediated monomerization of pure trimers followed by affinity-chromatography on Ni2+- NTA-agarose (NTA is nitrilotriacetic acid). Elution with imidazole yielded recombinant monomers that formed trimers readily after dilution of the detergent without further in vitro manipulations. LHCII subunits showed the typical chlorophyll a/b ratio at all steps of purification indicating no significant loss of pigments. Transgenic tobacco overexpressed amounts of recombinant protein that corresponded to about 0.7% of total LHCII. This yield suggested that expression in planta might be an alternative to the expression of eukaryotic membrane proteins in yeast. Recombinant LHCII was able to form two-dimensional crystals after addition of digalactolipids, which diffracted electrons to 3.6-√Ö resolution. LHCII carrying a replacement of Arg-21 with Gln accumulated to only 0.004% of total thylakoid proteins. This mutant was monomeric in the photosynthetic membrane probably due to the deletion of the phosphatidylglycerol binding site and was degraded by the plastidic proteolytic system. Exchange of Asn-183 with Leu impaired LHCII biogenesis in a similar way presumably due to the lack of a chlorophyll a binding site.</t>
  </si>
  <si>
    <t>14966-14971</t>
  </si>
  <si>
    <t>6603403683;7006010107</t>
  </si>
  <si>
    <t>Flachmann, Ralf;K√ºhlbrandt, Werner</t>
  </si>
  <si>
    <t>Flachmann R.</t>
  </si>
  <si>
    <t>Crystallization and identification of an assembly defect of recombinant antenna complexes produced in transgenic tobacco plants</t>
  </si>
  <si>
    <t>10.1073/pnas.93.25.14966</t>
  </si>
  <si>
    <t>2-s2.0-0029858001</t>
  </si>
  <si>
    <t>['type control', 'telomeric position', 'silenced loci', 'reduces transcription', 'mosaic inactivation', 'many aspects', 'insertional mutation', 'increased transcription', 'histone acetylation', 'general correlation', 'gene corresponds', 'enhances pev', 'enhance pev', 'effect variegation', 'dominant mutations', 'conserved role', 'chromosome inactivation', 'centromeric heterochromatin']</t>
  </si>
  <si>
    <t>BOTH position-effect variegation (PEV) in Drosophila and telomeric position-effect in yeast (TPE) result from the mosaic inactivation of genes relocated next to a block of centromeric heterochromatin or next to telomeres. In many aspects, these phenomena are analogous to other epigenetic silencing mechanisms, such as the control of homeotic gene clusters, X- chromosome inactivation and imprinting in mammals, and mating-type control in yeast. Dominant mutations that suppress or enhance PEV are thought to encode either chromatin proteins or factors that directly affect chromatin structure. We have identified an insertional mutation in Drosophila that enhances PEV and reduces transcription of the gene in the eye-antenna imaginal disc. The gene corresponds to that encoding the transcriptional regulator RPD3 in yeast, and to a human histone deacetylase. In yeast, RRD3- deletion strains show enhanced TPE, suggesting a conserved role of the histone deacetylase RPD3 in counteracting genomic silencing. This function of RPD3, which is in contrast to the general correlation between histone acetylation and increased transcription, might be due to a specialized chromatin structure at silenced loci.</t>
  </si>
  <si>
    <t>589-591</t>
  </si>
  <si>
    <t>60004718;60002746;60004718;60004718;60014059;60002746;60004718</t>
  </si>
  <si>
    <t>6507847664;6508123305;6603284975;7004326169;7103259153;7102602655;7004269027</t>
  </si>
  <si>
    <t>De Rubertis, Francesco;Kadosht, David;Henchoz, Sandra;Pauli, Daniel;Reuter, Gunter;Struhl, Kevin;Spierer, Pierre</t>
  </si>
  <si>
    <t>Germany;Switzerland;United States</t>
  </si>
  <si>
    <t>Halle;Geneva;Boston</t>
  </si>
  <si>
    <t>Martin-Universit√§t Halle-Wittenberg;Universit√© de Gen√®ve;Harvard Medical School</t>
  </si>
  <si>
    <t>60014059;60004718;60002746</t>
  </si>
  <si>
    <t>De Rubertis F.</t>
  </si>
  <si>
    <t>The histone deacetylase RPD3 counteracts genomic silencing in Drosophila and yeast</t>
  </si>
  <si>
    <t>10.1038/384589a0</t>
  </si>
  <si>
    <t>2-s2.0-0029805633</t>
  </si>
  <si>
    <t>['theoretical simulations', 'metallic crystals', 'layer geometry', 'good agreement', '80 %),', '1740 ).']</t>
  </si>
  <si>
    <t>We have investigated metallic photonic crystals built around a layer-by-layer geometry. Two different crystal structures (face-centered-tetragonal and tetragonal) were built and their properties were compared. We obtained rejection rates of 7-8 dB per layer from both metallic crystals. Defect modes created by removing rods resulted in high peak transmission (80%), and high quality factors (1740). Our measurements were in good agreement with theoretical simulations. ¬© 1996 American Institute of Physics.</t>
  </si>
  <si>
    <t>3797-3799</t>
  </si>
  <si>
    <t>60014808;60014808;60008023;60008023;60008023;60008023</t>
  </si>
  <si>
    <t>7005956635;6603954305;7006137179;7003341982;7006628963;7403581673</t>
  </si>
  <si>
    <t>√ñzbay, E.;Temelkuran, B.;Sigalas, M.;Tuttle, G.;Soukoulis, C. M.;Ho, K. M.</t>
  </si>
  <si>
    <t>Turkey;United States</t>
  </si>
  <si>
    <t>Ankara;Ames</t>
  </si>
  <si>
    <t>Bilkent √úniversitesi;Ames Laboratory</t>
  </si>
  <si>
    <t>60014808;60008023</t>
  </si>
  <si>
    <t>√ñzbay E.</t>
  </si>
  <si>
    <t>Defect structures in metallic photonic crystals</t>
  </si>
  <si>
    <t>10.1063/1.117002</t>
  </si>
  <si>
    <t>2-s2.0-0030381130</t>
  </si>
  <si>
    <t>['redox state', 'protein phosphorylation', 'protein function', 'major mechanism', 'lhc family', 'exposed domain', 'electron carriers', 'cp29 subunit', 'conformational changes', 'cold stress', 'ation site', 'ated sequence', '8481 ).']</t>
  </si>
  <si>
    <t>Chlorophyll | Cold stress | Light-harvesting complex | Photosynthesis</t>
  </si>
  <si>
    <t>Protein phosphorylation is a major mechanism in the regulation of protein function. In chloroplast thylakoids several photosystem II subunits, including the major antenna light-harvesting complex II and several core complex components, are reversibly phosphorylated depending on the redox state of the electron carriers. A previously unknown reversible phosphorylation event has recently been described on the CP29 subunit which leads to conformational changes and protection from cold stress (Bergantino, E., Dainese, P., Cerovic, Z., Sechi, S. and Bassi, R. (1995) J. Biol. Chem. 270, 8474-8481). In this study, we have identified the phosphory]ation site on the N-terminal, stroma-exposed domain, showing that it is located in a sequence not homologous to the other members of the Lhc family. The phosphory]ated sequence is unique in chloroplast membranes since it meets the requirements for CK2 (casein kinase II) kinases. The possibility that this phosphorylation is involved in a signal transduction pathway is discussed.</t>
  </si>
  <si>
    <t>245-250</t>
  </si>
  <si>
    <t>60032256;60032256;60000481;60032256</t>
  </si>
  <si>
    <t>6602078370;7005812451;6602693037;35553979700</t>
  </si>
  <si>
    <t>Testi, Maria Grazia;Croce, Roberta;Polverino-De Laureto, Patrizia;Bassi, Roberto</t>
  </si>
  <si>
    <t>Verona;Padua</t>
  </si>
  <si>
    <t>Universit√† degli Studi di Verona;Universit√† degli Studi di Padova</t>
  </si>
  <si>
    <t>60032256;60000481</t>
  </si>
  <si>
    <t>Testi M.</t>
  </si>
  <si>
    <t>A CK2 site is reversibly phosphorylated in the photosystem II subunit CP29</t>
  </si>
  <si>
    <t>S0014579396013336</t>
  </si>
  <si>
    <t>10.1016/S0014-5793(96)01333-6</t>
  </si>
  <si>
    <t>2-s2.0-0030590883</t>
  </si>
  <si>
    <t>['whip antenna', 'experimental data', 'domain method']</t>
  </si>
  <si>
    <t>Cellular phones | Exposure assessment | FDTD method</t>
  </si>
  <si>
    <t>In this article a model of a cellular phone equipped with a whip antenna is presented. The model, developed with reference to the finite-difference-time-domain method, is validated by comparing the H field emitted from the phone with experimental data. ¬© 1996 John Wiley &amp; Sons, Inc.</t>
  </si>
  <si>
    <t>60032350;60032350</t>
  </si>
  <si>
    <t>7003948945;6603887757</t>
  </si>
  <si>
    <t>Cavagnaro, Marta;Pisa, Stefano</t>
  </si>
  <si>
    <t>Cavagnaro M.</t>
  </si>
  <si>
    <t>Simulation of cellular phone antennas by using inductive lumped elements in the 3D-FDTD algorithm</t>
  </si>
  <si>
    <t>10.1002/(sici)1098-2760(19961220)13:6&lt;324::aid-mop5&gt;3.0.co;2-n</t>
  </si>
  <si>
    <t>2-s2.0-0030398534</t>
  </si>
  <si>
    <t>['single elements', 'results computed', 'radiation characteristics', 'moment method', 'magnetic dipole', 'input impedance', 'great reduction', 'good convergence', 'computer time', 'analytical way']</t>
  </si>
  <si>
    <t>Input impedance | Magnetic dipole | Moment method | Radar cross section</t>
  </si>
  <si>
    <t>A very efficient yet rigorous analysis of a magnetic dipole is presented. It is based on the well-known moment method (MM) and can be used for the analysis of single elements and arrays as well. The input impedance and the radiation characteristics of the antenna have been calculated. An analytical way to evaluate the infinite integrals involved with the moment method has been found, resulting in a great reduction of computer time. The results computed by using the presented theory show very good convergence. ¬© 1996 John Wiley &amp; Sons, Inc.</t>
  </si>
  <si>
    <t>60012630;60012630;60159855</t>
  </si>
  <si>
    <t>7006242275;7005054440;6602371741</t>
  </si>
  <si>
    <t>Vegni, Lucio;Toscano, Alessandro;Bonefaƒçiƒá, Davor</t>
  </si>
  <si>
    <t>Croatia;Italy</t>
  </si>
  <si>
    <t>Zagreb;Rome</t>
  </si>
  <si>
    <t>University of Zagreb, Faculty of Electrical Engineering and Computing;Universit√† degli Studi Roma Tre</t>
  </si>
  <si>
    <t>60159855;60012630</t>
  </si>
  <si>
    <t>Vegni L.</t>
  </si>
  <si>
    <t>Efficient moment-method analysis of a magnetic dipole</t>
  </si>
  <si>
    <t>10.1002/(SICI)1098-2760(19961220)13:6&lt;335::AID-MOP8&gt;3.0.CO;2-M</t>
  </si>
  <si>
    <t>2-s2.0-0030412060</t>
  </si>
  <si>
    <t>['thick substrates', 'surface wave', 'produce closed', 'line model', 'form expressions', 'expressions take', 'experimental results', 'equivalent resistances', 'dielectric losses', 'computed results', 'cavity model']</t>
  </si>
  <si>
    <t>Input impedance | Input resonant resistance | Rectangular microstrip antennas | Thick patch antennas</t>
  </si>
  <si>
    <t>Several formulas based on the cavity model and the transmission-line model are combined to produce closed-form expressions for calculating the input resonant resistance of probe-fed rectangular microstrip antenna elements with thick substrates. These expressions take into account the patch and substrate physical properties and the effect of surface wave, radiation, conductor, and dielectric losses with their equivalent resistances. Experimental results are compared with computed results to demonstrate the accuracy and versatility of this expressions. ¬© 1996 John Wiley &amp; Sons, Inc.</t>
  </si>
  <si>
    <t>363-369</t>
  </si>
  <si>
    <t>An efficient technique for the computation of the input resistance of rectangular microstrip antenna elements with thick substrates</t>
  </si>
  <si>
    <t>10.1002/(SICI)1098-2760(19961220)13:6&lt;363::AID-MOP14&gt;3.0.CO;2-4</t>
  </si>
  <si>
    <t>2-s2.0-0030422462</t>
  </si>
  <si>
    <t>['system g', 'minimum number', 'leo ).', 'et cetera', 'array elements', 'also useful', 'also developed']</t>
  </si>
  <si>
    <t>Communications | Phase array antennas | Satellite tracking</t>
  </si>
  <si>
    <t>A ground receiving phased array antenna system is described for tracking and communication with satellites in low earth orbit (LEO). Different active array antenna architectures and the minimum number of array elements for meeting the system G / T requirement are evaluated and compared. A general noise temperature model is also developed for evaluating any phased arrey antenna system. Moreover, this model is also useful for the design and planning of other receiving antenna systems on automobiles, ships, aircraft, satellites, et cetera. ¬© 1996 John Wiley &amp; Sons, Inc.</t>
  </si>
  <si>
    <t>Wu, T. K.</t>
  </si>
  <si>
    <t>Wu T.K.</t>
  </si>
  <si>
    <t>Receive-only phased array antenna for tracking and communication with Leo satellites</t>
  </si>
  <si>
    <t>10.1002/(sici)1098-2760(19961220)13:6&lt;321::aid-mop4&gt;3.0.co;2-n</t>
  </si>
  <si>
    <t>2-s2.0-4243136283</t>
  </si>
  <si>
    <t>['unified approach', 'radiation pattern', 'moment method', 'method solution', 'method matrix', 'making use', 'main problem', 'large matrix', 'input impedance', 'computational time', 'array elements']</t>
  </si>
  <si>
    <t>Microstrip antennas | Moment method | Phased arrays</t>
  </si>
  <si>
    <t>In this article the analysis of finite phased arrays of arbitrary shaped linear microstrip antennas is presented in detail. The analysis is based on solving the electric field integral equation with the moment method to find the current distribution along the array elements, the input impedance of the array elements, and the radiation pattern of the array. The main problem in the moment-method solution is the large matrix. In this article a unified approach is presented to reduce both the computational time and the storage to a minimum by making use of the similarities of the elements of the moment-method matrix. ¬© 1996 John Wiley &amp; Sons, Inc.</t>
  </si>
  <si>
    <t>345-350</t>
  </si>
  <si>
    <t>60005916;60005916;60005916</t>
  </si>
  <si>
    <t>6506741092;6602633457;6602262715</t>
  </si>
  <si>
    <t>Attyia, Ahmed M.;El-Diwany, Essam A.;El-Hefnawi, Fatma M.</t>
  </si>
  <si>
    <t>Attyia A.M.</t>
  </si>
  <si>
    <t>Analysis of finite phased arrays of arbitrary-shaped linear microstrip antennas</t>
  </si>
  <si>
    <t>10.1002/(sici)1098-2760(19961220)13:6&lt;345::aid-mop10&gt;3.0.co;2-2</t>
  </si>
  <si>
    <t>2-s2.0-4243201839</t>
  </si>
  <si>
    <t>['wave interferometer', 'two pendulum', 'reciprocal deflection', 'local normal', 'discussed according', '5 hz']</t>
  </si>
  <si>
    <t>Differential tiltmeter | Global geodynamics | Gravitational wave antenna | Gravity gradiometer | Long base laser interferometer</t>
  </si>
  <si>
    <t>In the low frequency region 10-4-10-5 Hz a long base gravitational-wave interferometer is considered as a differential tiltmeter insensitive to perturbations of the local normal to the land. The effect of variations of the reciprocal deflection of two pendulum-mirrors is estimated for three conceivable scenarios of the earth core movements. The possibility of measurement of this effect is discussed according to the noise background estimate typical for modern gravitational antenna projects.</t>
  </si>
  <si>
    <t>421-429</t>
  </si>
  <si>
    <t>Rudenko, V. N.</t>
  </si>
  <si>
    <t>Rudenko V.N.</t>
  </si>
  <si>
    <t>Gravitational free mass antenna as an angular gravity gradiometer</t>
  </si>
  <si>
    <t>S0375960196007761</t>
  </si>
  <si>
    <t>10.1016/S0375-9601(96)00776-1</t>
  </si>
  <si>
    <t>2-s2.0-0004912598</t>
  </si>
  <si>
    <t>['prochlorophyte chl', 'photosystem ii', 'iron starvation', 'harvesting systems', 'harvesting proteins', 'evolved independently', 'cyanobacterial chl', 'closely related', 'c light', 'b protein', 'antenna protein']</t>
  </si>
  <si>
    <t>The prochlorophytes are oxygenic prokaryotes differing from other cyanobacteria by the presence of a light-harvesting system containing both chlorophylls (Chls) a and b and by the absence of phycobilins. We demonstrate here that the Chl a/b binding proteins from all three known prochlorophyte genera are closely related to IsiA, a cyanobacterial Chl a-binding protein induced by iron starvation, and to CP43, a constitutively expressed Chl a antenna protein of photosystem II. The prochlorophyte Chl a/b protein (pcb) genes do not belong to the extended gene family encoding eukaryotic Chl a/b and Chl a/c light-harvesting proteins. Although higher plants and prochlorophytes share common pigment complements, their light-harvesting systems have evolved independently.</t>
  </si>
  <si>
    <t>15244-15248</t>
  </si>
  <si>
    <t>60006221;60010365-60026803;60026803;60015481;60015481;60020547;60020547;60019544;60019544;60025709;60010365</t>
  </si>
  <si>
    <t>57203054937;6603448285;7003482684;55993243700;36066918700;7404724512;34770847600;7005379828;6602367482;7003911527;7401825069</t>
  </si>
  <si>
    <t>La Roche, J.;Van Der Staay, G. W.M.;Partensky, F.;Ducret, A.;Aebersold, R.;Li, R.;Golden, S. S.;Hiller, R. G.;Wrench, P. M.;Larkum, A. W.D.;Green, B. R.</t>
  </si>
  <si>
    <t>France;Australia;United States;Australia;United States;Canada;United States</t>
  </si>
  <si>
    <t>Roscoff;Sydney;College Station;North Ryde;Seattle;Vancouver;Upton</t>
  </si>
  <si>
    <t>Station Biologique de Roscoff;The University of Sydney;Texas A&amp;M University;Macquarie University;University of Washington;The University of British Columbia;Brookhaven National Laboratory</t>
  </si>
  <si>
    <t>60026803;60025709;60020547;60019544;60015481;60010365;60006221</t>
  </si>
  <si>
    <t>La Roche J.</t>
  </si>
  <si>
    <t>Independent evolution of the prochlorophyte and green plant chlorophyll a/b light-harvesting proteins</t>
  </si>
  <si>
    <t>10.1073/pnas.93.26.15244</t>
  </si>
  <si>
    <t>2-s2.0-0000461094</t>
  </si>
  <si>
    <t>['wire surface', 'wire antenna', 'vertical air', 'strong turbulence', 'space charges', 'separately defined', 'satisfactory approximation', 'reduced height', 'proportionality relation', 'nondisplacement current', 'nondisplacement components', 'model behind', 'low turbulence', 'horizontal long', 'exactly proportional', 'electrode effect', 'effective area', 'earth current', 'displacement current', 'different behavior', 'current collected', 'correctly defined', 'conductivity close', 'conduction components', 'collected current', 'calibration coefficient', 'calculated assuming', 'antenna helps', 'antenna collecting']</t>
  </si>
  <si>
    <t>The effective area of an antenna collecting the vertical air-Earth current is a coefficient of proportionality between the collected current and the air-Earth current density. The effective area can be correctly defined only if the model behind the proportionality relation is adequate. The current collected by a horizontal long-wire antenna is not exactly proportional to the vertical air-Earth Maxwell current density because of the different behavior of the displacement and conduction components of the current. Thus, two different effective areas are separately defined for the displacement and nondisplacement components. First, the dynamic effective area characterizes rapid variations of the displacement current. It is calculated assuming that the air does not contain any space charges and that the electric current flow lines match the electric field lines. Second, the static effective area characterizes the nondisplacement current, and it is calculated by taking into account the facts that the conductivity close to the wire surface is unipolar, that the wind-determined horizontal ion trajectories do not match the electric field lines, and that there are space charges due to the electrode effect of the wire and of the ground. Traditionally, the atmospheric electric vertical current density measurements have been interpreted by using the dynamic effective area as a calibration coefficient. This turns out to be a satisfactory approximation in the case of strong turbulence when the near-ground space charge layer is high and the static effective area approaches the dynamic effective area. In the limit of low turbulence the traditional interpretation results in errors of several tens percent. A reduced height of the antenna helps to keep the static effective area close to the dynamic effective area and to suppress the errors.</t>
  </si>
  <si>
    <t>29671-29677</t>
  </si>
  <si>
    <t>60068856;60003858;60003858;60033178</t>
  </si>
  <si>
    <t>6701453955;7003957736;7102867692;7102245025</t>
  </si>
  <si>
    <t>Tammet, H.;Israelsson, S.;Knudsen, E.;Tuomi, T. J.</t>
  </si>
  <si>
    <t>Estonia;Finland;Sweden</t>
  </si>
  <si>
    <t>Tartu;Helsinki;Uppsala</t>
  </si>
  <si>
    <t>Tartu √úlikool;Finnish Meteorological Institute;Uppsala Universitet</t>
  </si>
  <si>
    <t>60068856;60033178;60003858</t>
  </si>
  <si>
    <t>Tammet H.</t>
  </si>
  <si>
    <t>Effective area of a horizontal long-wire antenna collecting the atmospheric electric vertical current</t>
  </si>
  <si>
    <t>10.1029/96jd02131</t>
  </si>
  <si>
    <t>2-s2.0-5344250944</t>
  </si>
  <si>
    <t>['unusually fucose', 'type structures', 'study provides', 'specific glycosylation', 'sialylated n', 'recently demonstrated', 'previously known', 'may serve', 'major complex', 'low immunogenicity', 'immunosuppressive activity', 'immunologically indistinguishable', 'human reproduction', 'human glycoproteins', 'gds glycans', 'gds ).', 'gda -,', 'first evidence', 'established sperm', 'derived glycoprotein', 'biantennary glycans']</t>
  </si>
  <si>
    <t>We have recently demonstrated that a human amniotic fluid-derived glycoprotein, glycodelin-A (GdA; previously known as PP14 or PAEP), potently inhibits gamete binding in an established sperm-egg binding system and expresses immunosuppressive activities directed against a variety of different immune cell types. GdA has high mannose-, hybrid-, and complex- type biantennary oligosaccharides including structures with fucosylated or sialylated N,N'-diacetyllactosediamine (GalNAcŒ≤1-4GlcNAc) sequences, which are rare in other human glycoproteins. We now report the characterization of glycodelin-S (GdS). This is a human seminal plasma glycoprotein that is immunologically indistinguishable from GdA-, but unlike the latter, does not inhibit human sperm-zona pellucida binding under hemizona assay conditions. Analysis of the N-glycans of GdS by mass spectrometry revealed that all glycoforms of GdS are different from those of GdA. GdS glycans are unusually fucose-rich, and the major complex-type structures are biantennary glycans with Lewis(x) (GalŒ≤1-4(FucŒ±1-3)GlcNAc) and Lewis(x) (FucŒ±1-2GalŒ≤1-4 (FucŒ±1-3)GlcNAc) antennae. It is probable that these highly fucosylated epitopes contribute to the immunosuppressive activity of human seminal plasma and to the low immunogenicity of sperm. This study provides the first evidence for gender-specific glycosylation that may serve to regulate key processes involved in human reproduction.</t>
  </si>
  <si>
    <t>32159-32167</t>
  </si>
  <si>
    <t>60015150;60015150;60015150;60015150;60016987;60016987;60015057;60015057;60016987;60015057</t>
  </si>
  <si>
    <t>7401534652;7103412653;7004476498;7005321077;7003612125;7006574669;7102989044;7003640545;35475165300;7402874991</t>
  </si>
  <si>
    <t>Morris, Howard R.;Dell, Anne;Easton, Richard L.;Panico, Maria;Koistinen, Hannu;Koistinen, Riitta;Oehninger, Sergio;Patankar, Manish S.;Seppala, Markku;Clark, Gary F.</t>
  </si>
  <si>
    <t>Finland;United Kingdom;United States</t>
  </si>
  <si>
    <t>Helsinki;London;Norfolk</t>
  </si>
  <si>
    <t>Helsinki University Hospital;Imperial College London;Eastern Virginia Medical School</t>
  </si>
  <si>
    <t>60016987;60015150;60015057</t>
  </si>
  <si>
    <t>Morris H.R.</t>
  </si>
  <si>
    <t>Gender-specific glycosylation of human glycodelin affects its contraceptive activity</t>
  </si>
  <si>
    <t>10.1074/jbc.271.50.32159</t>
  </si>
  <si>
    <t>2-s2.0-10544251443</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</si>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</sst>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2">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0" fontId="4" fillId="0" borderId="0" xfId="0" applyFont="1"/>
    <xf numFmtId="18" fontId="0" fillId="0" borderId="0" xfId="0" applyNumberFormat="1"/>
    <xf numFmtId="0" fontId="0" fillId="7" borderId="0" xfId="0" applyFill="1"/>
    <xf numFmtId="0" fontId="6" fillId="0" borderId="1" xfId="3" applyFont="1" applyFill="1"/>
    <xf numFmtId="0" fontId="7" fillId="0" borderId="2" xfId="0" applyFont="1" applyBorder="1" applyAlignment="1">
      <alignment horizontal="center" vertical="top"/>
    </xf>
    <xf numFmtId="0" fontId="5" fillId="0" borderId="0" xfId="0" applyFont="1"/>
    <xf numFmtId="2" fontId="8" fillId="0" borderId="0" xfId="1" applyNumberFormat="1" applyFont="1" applyFill="1"/>
    <xf numFmtId="2" fontId="5" fillId="0" borderId="0" xfId="0" applyNumberFormat="1" applyFont="1"/>
    <xf numFmtId="0" fontId="7" fillId="0" borderId="0" xfId="0" applyFont="1" applyAlignment="1">
      <alignment horizontal="center" vertical="top"/>
    </xf>
    <xf numFmtId="0" fontId="9" fillId="0" borderId="0" xfId="2" applyFont="1" applyFill="1" applyBorder="1" applyAlignment="1">
      <alignment horizontal="center" vertical="top"/>
    </xf>
    <xf numFmtId="164" fontId="5"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C3C3C-6130-9341-A891-A988EBDCBFC0}">
  <dimension ref="A1:AW691"/>
  <sheetViews>
    <sheetView tabSelected="1" topLeftCell="AK1" workbookViewId="0">
      <selection activeCell="AN2" sqref="AN2"/>
    </sheetView>
  </sheetViews>
  <sheetFormatPr baseColWidth="10" defaultRowHeight="16" x14ac:dyDescent="0.2"/>
  <sheetData>
    <row r="1" spans="1:49" s="13" customFormat="1" x14ac:dyDescent="0.2">
      <c r="A1" s="16"/>
      <c r="B1" s="16" t="s">
        <v>8294</v>
      </c>
      <c r="C1" s="16" t="s">
        <v>8293</v>
      </c>
      <c r="D1" s="16" t="s">
        <v>8292</v>
      </c>
      <c r="E1" s="16" t="s">
        <v>8291</v>
      </c>
      <c r="F1" s="16" t="s">
        <v>8290</v>
      </c>
      <c r="G1" s="16" t="s">
        <v>8289</v>
      </c>
      <c r="H1" s="16" t="s">
        <v>8288</v>
      </c>
      <c r="I1" s="16" t="s">
        <v>8287</v>
      </c>
      <c r="J1" s="16" t="s">
        <v>8286</v>
      </c>
      <c r="K1" s="16" t="s">
        <v>8285</v>
      </c>
      <c r="L1" s="16" t="s">
        <v>8284</v>
      </c>
      <c r="M1" s="16" t="s">
        <v>8283</v>
      </c>
      <c r="N1" s="16" t="s">
        <v>8282</v>
      </c>
      <c r="O1" s="16" t="s">
        <v>8281</v>
      </c>
      <c r="P1" s="16" t="s">
        <v>8280</v>
      </c>
      <c r="Q1" s="16" t="s">
        <v>8279</v>
      </c>
      <c r="R1" s="21" t="s">
        <v>8278</v>
      </c>
      <c r="S1" s="16" t="s">
        <v>8277</v>
      </c>
      <c r="T1" s="16" t="s">
        <v>8277</v>
      </c>
      <c r="U1" s="16" t="s">
        <v>8276</v>
      </c>
      <c r="V1" s="21" t="s">
        <v>8275</v>
      </c>
      <c r="W1" s="16" t="s">
        <v>8274</v>
      </c>
      <c r="X1" s="15" t="s">
        <v>8273</v>
      </c>
      <c r="Y1" s="20" t="s">
        <v>8272</v>
      </c>
      <c r="Z1" s="19" t="s">
        <v>8257</v>
      </c>
      <c r="AA1" s="16" t="s">
        <v>8271</v>
      </c>
      <c r="AB1" s="16" t="s">
        <v>8270</v>
      </c>
      <c r="AC1" s="16" t="s">
        <v>8269</v>
      </c>
      <c r="AD1" s="16" t="s">
        <v>8268</v>
      </c>
      <c r="AE1" s="16" t="s">
        <v>8267</v>
      </c>
      <c r="AF1" s="16" t="s">
        <v>8266</v>
      </c>
      <c r="AG1" s="16" t="s">
        <v>8265</v>
      </c>
      <c r="AH1" s="16" t="s">
        <v>8264</v>
      </c>
      <c r="AI1" s="16" t="s">
        <v>8263</v>
      </c>
      <c r="AJ1" s="16" t="s">
        <v>8262</v>
      </c>
      <c r="AK1" s="15" t="s">
        <v>8261</v>
      </c>
      <c r="AL1" s="16" t="s">
        <v>8260</v>
      </c>
      <c r="AM1" s="18" t="s">
        <v>8259</v>
      </c>
      <c r="AN1" s="17" t="s">
        <v>8258</v>
      </c>
      <c r="AO1" s="17" t="s">
        <v>8257</v>
      </c>
      <c r="AP1" s="16" t="s">
        <v>8256</v>
      </c>
      <c r="AQ1" s="16" t="s">
        <v>8255</v>
      </c>
      <c r="AR1" s="16" t="s">
        <v>8254</v>
      </c>
      <c r="AS1" s="16" t="s">
        <v>8253</v>
      </c>
      <c r="AT1" s="15" t="s">
        <v>8252</v>
      </c>
      <c r="AU1" s="14" t="s">
        <v>8251</v>
      </c>
      <c r="AV1" s="14" t="s">
        <v>8250</v>
      </c>
      <c r="AW1" s="14" t="s">
        <v>8249</v>
      </c>
    </row>
    <row r="2" spans="1:49" x14ac:dyDescent="0.2">
      <c r="A2">
        <v>0</v>
      </c>
      <c r="B2" t="s">
        <v>8248</v>
      </c>
      <c r="C2" t="s">
        <v>8247</v>
      </c>
      <c r="E2">
        <v>8943270</v>
      </c>
      <c r="F2" t="s">
        <v>8246</v>
      </c>
      <c r="G2" t="s">
        <v>6</v>
      </c>
      <c r="H2" t="s">
        <v>5</v>
      </c>
      <c r="I2" t="s">
        <v>8245</v>
      </c>
      <c r="J2" t="s">
        <v>8244</v>
      </c>
      <c r="K2" t="s">
        <v>8243</v>
      </c>
      <c r="L2" t="s">
        <v>8242</v>
      </c>
      <c r="M2" t="s">
        <v>8241</v>
      </c>
      <c r="N2">
        <v>10</v>
      </c>
      <c r="O2" t="s">
        <v>8240</v>
      </c>
      <c r="P2" t="s">
        <v>8239</v>
      </c>
      <c r="Q2" t="s">
        <v>8238</v>
      </c>
      <c r="R2" s="7">
        <v>35429</v>
      </c>
      <c r="S2" s="8">
        <f t="shared" ref="S2:S65" si="0">YEAR(R2)</f>
        <v>1996</v>
      </c>
      <c r="T2" s="8">
        <v>1996</v>
      </c>
      <c r="U2" s="8">
        <f t="shared" ref="U2:U65" si="1">2022-T2</f>
        <v>26</v>
      </c>
      <c r="V2" s="7">
        <v>1996</v>
      </c>
      <c r="W2" t="s">
        <v>590</v>
      </c>
      <c r="X2" s="2">
        <v>2.3610000000000002</v>
      </c>
      <c r="Y2" s="6">
        <f t="shared" ref="Y2:Y65" si="2">(X2-$Z$3)/($Z$2-$Z$3)</f>
        <v>6.3025546568431179E-2</v>
      </c>
      <c r="Z2">
        <v>37.460999999999999</v>
      </c>
      <c r="AA2">
        <v>219258</v>
      </c>
      <c r="AB2">
        <v>17592</v>
      </c>
      <c r="AD2" t="s">
        <v>1</v>
      </c>
      <c r="AE2">
        <v>271</v>
      </c>
      <c r="AF2">
        <v>50</v>
      </c>
      <c r="AH2" t="s">
        <v>8237</v>
      </c>
      <c r="AI2" t="s">
        <v>8236</v>
      </c>
      <c r="AK2" t="s">
        <v>8235</v>
      </c>
      <c r="AL2">
        <v>137</v>
      </c>
      <c r="AM2" s="5">
        <f t="shared" ref="AM2:AM65" si="3">AL2/U2</f>
        <v>5.2692307692307692</v>
      </c>
      <c r="AN2" s="4">
        <f t="shared" ref="AN2:AN65" si="4">(AM2-$AO$3)/($AO$2-$AO$3)</f>
        <v>7.9806600064078297E-3</v>
      </c>
      <c r="AO2" s="3">
        <v>660.25</v>
      </c>
      <c r="AP2">
        <v>1</v>
      </c>
      <c r="AR2" t="s">
        <v>0</v>
      </c>
      <c r="AT2" s="2">
        <v>5.157</v>
      </c>
      <c r="AU2" s="1">
        <f t="shared" ref="AU2:AU65" si="5">(Y2*0.7+AN2*0.3)*100</f>
        <v>4.6512080599824177</v>
      </c>
      <c r="AV2" s="1">
        <f t="shared" ref="AV2:AV65" si="6">(Y2*0.5+AN2*0.5)*100</f>
        <v>3.5503103287419506</v>
      </c>
      <c r="AW2" s="1">
        <f t="shared" ref="AW2:AW65" si="7">(Y2*0.3+AN2*0.7)*100</f>
        <v>2.4494125975014831</v>
      </c>
    </row>
    <row r="3" spans="1:49" x14ac:dyDescent="0.2">
      <c r="A3">
        <v>1</v>
      </c>
      <c r="B3" t="s">
        <v>8234</v>
      </c>
      <c r="C3" t="s">
        <v>8233</v>
      </c>
      <c r="F3" t="s">
        <v>8232</v>
      </c>
      <c r="G3" t="s">
        <v>6</v>
      </c>
      <c r="H3" t="s">
        <v>5</v>
      </c>
      <c r="I3" t="s">
        <v>8231</v>
      </c>
      <c r="J3" t="s">
        <v>8230</v>
      </c>
      <c r="K3" t="s">
        <v>8229</v>
      </c>
      <c r="L3" t="s">
        <v>8228</v>
      </c>
      <c r="M3" t="s">
        <v>8227</v>
      </c>
      <c r="N3">
        <v>4</v>
      </c>
      <c r="O3" t="s">
        <v>8226</v>
      </c>
      <c r="P3" t="s">
        <v>8225</v>
      </c>
      <c r="Q3" t="s">
        <v>8224</v>
      </c>
      <c r="R3" s="7">
        <v>35426</v>
      </c>
      <c r="S3" s="8">
        <f t="shared" si="0"/>
        <v>1996</v>
      </c>
      <c r="T3" s="8">
        <v>1996</v>
      </c>
      <c r="U3" s="8">
        <f t="shared" si="1"/>
        <v>26</v>
      </c>
      <c r="V3" s="7">
        <v>35426</v>
      </c>
      <c r="W3" t="s">
        <v>3500</v>
      </c>
      <c r="X3" s="2">
        <v>1.67</v>
      </c>
      <c r="Y3" s="6">
        <f t="shared" si="2"/>
        <v>4.4579696217399427E-2</v>
      </c>
      <c r="Z3">
        <v>0</v>
      </c>
      <c r="AA3">
        <v>1480227</v>
      </c>
      <c r="AB3">
        <v>28428</v>
      </c>
      <c r="AD3" t="s">
        <v>1</v>
      </c>
      <c r="AE3">
        <v>101</v>
      </c>
      <c r="AF3">
        <v>23</v>
      </c>
      <c r="AH3" t="s">
        <v>8223</v>
      </c>
      <c r="AI3" t="s">
        <v>8222</v>
      </c>
      <c r="AK3" t="s">
        <v>8221</v>
      </c>
      <c r="AL3">
        <v>19</v>
      </c>
      <c r="AM3" s="5">
        <f t="shared" si="3"/>
        <v>0.73076923076923073</v>
      </c>
      <c r="AN3" s="4">
        <f t="shared" si="4"/>
        <v>1.1068068622025456E-3</v>
      </c>
      <c r="AO3" s="3">
        <v>0</v>
      </c>
      <c r="AP3">
        <v>0</v>
      </c>
      <c r="AR3" t="s">
        <v>0</v>
      </c>
      <c r="AT3" s="2" t="s">
        <v>9</v>
      </c>
      <c r="AU3" s="1">
        <f t="shared" si="5"/>
        <v>3.1537829410840357</v>
      </c>
      <c r="AV3" s="1">
        <f t="shared" si="6"/>
        <v>2.2843251539800988</v>
      </c>
      <c r="AW3" s="1">
        <f t="shared" si="7"/>
        <v>1.4148673668761611</v>
      </c>
    </row>
    <row r="4" spans="1:49" x14ac:dyDescent="0.2">
      <c r="A4">
        <v>2</v>
      </c>
      <c r="B4" t="s">
        <v>8220</v>
      </c>
      <c r="C4" t="s">
        <v>8219</v>
      </c>
      <c r="E4">
        <v>8986795</v>
      </c>
      <c r="F4" t="s">
        <v>8218</v>
      </c>
      <c r="G4" t="s">
        <v>6</v>
      </c>
      <c r="H4" t="s">
        <v>5</v>
      </c>
      <c r="I4" t="s">
        <v>8217</v>
      </c>
      <c r="J4" t="s">
        <v>8216</v>
      </c>
      <c r="K4" t="s">
        <v>8215</v>
      </c>
      <c r="L4" t="s">
        <v>8214</v>
      </c>
      <c r="M4" t="s">
        <v>8213</v>
      </c>
      <c r="N4">
        <v>11</v>
      </c>
      <c r="O4" t="s">
        <v>8212</v>
      </c>
      <c r="P4" t="s">
        <v>8211</v>
      </c>
      <c r="Q4" t="s">
        <v>8210</v>
      </c>
      <c r="R4" s="7">
        <v>35423</v>
      </c>
      <c r="S4" s="8">
        <f t="shared" si="0"/>
        <v>1996</v>
      </c>
      <c r="T4" s="8">
        <v>1996</v>
      </c>
      <c r="U4" s="8">
        <f t="shared" si="1"/>
        <v>26</v>
      </c>
      <c r="V4" s="7">
        <v>35423</v>
      </c>
      <c r="W4" t="s">
        <v>740</v>
      </c>
      <c r="X4" s="2">
        <v>5.0110000000000001</v>
      </c>
      <c r="Y4" s="6">
        <f t="shared" si="2"/>
        <v>0.13376578308107098</v>
      </c>
      <c r="AA4">
        <v>278424</v>
      </c>
      <c r="AB4">
        <v>21121</v>
      </c>
      <c r="AD4" t="s">
        <v>1</v>
      </c>
      <c r="AE4">
        <v>93</v>
      </c>
      <c r="AF4">
        <v>26</v>
      </c>
      <c r="AH4" t="s">
        <v>8209</v>
      </c>
      <c r="AI4" t="s">
        <v>8208</v>
      </c>
      <c r="AK4" t="s">
        <v>8207</v>
      </c>
      <c r="AL4">
        <v>166</v>
      </c>
      <c r="AM4" s="5">
        <f t="shared" si="3"/>
        <v>6.384615384615385</v>
      </c>
      <c r="AN4" s="4">
        <f t="shared" si="4"/>
        <v>9.6699967960853991E-3</v>
      </c>
      <c r="AO4" s="3"/>
      <c r="AP4">
        <v>1</v>
      </c>
      <c r="AR4" t="s">
        <v>0</v>
      </c>
      <c r="AT4" s="2" t="s">
        <v>9</v>
      </c>
      <c r="AU4" s="1">
        <f t="shared" si="5"/>
        <v>9.6537047195575312</v>
      </c>
      <c r="AV4" s="1">
        <f t="shared" si="6"/>
        <v>7.1717889938578194</v>
      </c>
      <c r="AW4" s="1">
        <f t="shared" si="7"/>
        <v>4.6898732681581077</v>
      </c>
    </row>
    <row r="5" spans="1:49" x14ac:dyDescent="0.2">
      <c r="A5">
        <v>3</v>
      </c>
      <c r="B5" t="s">
        <v>8206</v>
      </c>
      <c r="C5" t="s">
        <v>8205</v>
      </c>
      <c r="D5" t="s">
        <v>8204</v>
      </c>
      <c r="F5" t="s">
        <v>8203</v>
      </c>
      <c r="G5" t="s">
        <v>6</v>
      </c>
      <c r="H5" t="s">
        <v>5</v>
      </c>
      <c r="I5" t="s">
        <v>8202</v>
      </c>
      <c r="J5">
        <v>60007457</v>
      </c>
      <c r="K5" t="s">
        <v>178</v>
      </c>
      <c r="L5" t="s">
        <v>98</v>
      </c>
      <c r="M5" t="s">
        <v>97</v>
      </c>
      <c r="N5">
        <v>1</v>
      </c>
      <c r="O5" t="s">
        <v>8201</v>
      </c>
      <c r="P5">
        <v>7101836147</v>
      </c>
      <c r="Q5">
        <v>60007457</v>
      </c>
      <c r="R5" s="7">
        <v>35422</v>
      </c>
      <c r="S5" s="8">
        <f t="shared" si="0"/>
        <v>1996</v>
      </c>
      <c r="T5" s="8">
        <v>1996</v>
      </c>
      <c r="U5" s="8">
        <f t="shared" si="1"/>
        <v>26</v>
      </c>
      <c r="V5" s="7">
        <v>35422</v>
      </c>
      <c r="W5" t="s">
        <v>626</v>
      </c>
      <c r="X5" s="2">
        <v>0.499</v>
      </c>
      <c r="Y5" s="6">
        <f t="shared" si="2"/>
        <v>1.332052000747444E-2</v>
      </c>
      <c r="AA5">
        <v>3759601</v>
      </c>
      <c r="AB5">
        <v>29464</v>
      </c>
      <c r="AD5" t="s">
        <v>1</v>
      </c>
      <c r="AE5">
        <v>223</v>
      </c>
      <c r="AF5">
        <v>6</v>
      </c>
      <c r="AH5" t="s">
        <v>8200</v>
      </c>
      <c r="AI5" t="s">
        <v>8199</v>
      </c>
      <c r="AJ5" t="s">
        <v>8198</v>
      </c>
      <c r="AK5" t="s">
        <v>8197</v>
      </c>
      <c r="AL5">
        <v>16</v>
      </c>
      <c r="AM5" s="5">
        <f t="shared" si="3"/>
        <v>0.61538461538461542</v>
      </c>
      <c r="AN5" s="4">
        <f t="shared" si="4"/>
        <v>9.320478839600385E-4</v>
      </c>
      <c r="AO5" s="3"/>
      <c r="AP5">
        <v>0</v>
      </c>
      <c r="AR5" t="s">
        <v>0</v>
      </c>
      <c r="AT5" s="2" t="s">
        <v>9</v>
      </c>
      <c r="AU5" s="1">
        <f t="shared" si="5"/>
        <v>0.96039783704201187</v>
      </c>
      <c r="AV5" s="1">
        <f t="shared" si="6"/>
        <v>0.712628394571724</v>
      </c>
      <c r="AW5" s="1">
        <f t="shared" si="7"/>
        <v>0.46485895210143591</v>
      </c>
    </row>
    <row r="6" spans="1:49" x14ac:dyDescent="0.2">
      <c r="A6">
        <v>4</v>
      </c>
      <c r="B6" t="s">
        <v>8196</v>
      </c>
      <c r="C6" t="s">
        <v>8195</v>
      </c>
      <c r="F6" t="s">
        <v>8194</v>
      </c>
      <c r="G6" t="s">
        <v>6</v>
      </c>
      <c r="H6" t="s">
        <v>5</v>
      </c>
      <c r="I6" t="s">
        <v>8193</v>
      </c>
      <c r="J6">
        <v>60005916</v>
      </c>
      <c r="K6" t="s">
        <v>308</v>
      </c>
      <c r="L6" t="s">
        <v>307</v>
      </c>
      <c r="M6" t="s">
        <v>306</v>
      </c>
      <c r="N6">
        <v>3</v>
      </c>
      <c r="O6" t="s">
        <v>8192</v>
      </c>
      <c r="P6" t="s">
        <v>8191</v>
      </c>
      <c r="Q6" t="s">
        <v>8190</v>
      </c>
      <c r="R6" s="7">
        <v>35419</v>
      </c>
      <c r="S6" s="8">
        <f t="shared" si="0"/>
        <v>1996</v>
      </c>
      <c r="T6" s="8">
        <v>1996</v>
      </c>
      <c r="U6" s="8">
        <f t="shared" si="1"/>
        <v>26</v>
      </c>
      <c r="V6" s="7">
        <v>35419</v>
      </c>
      <c r="W6" t="s">
        <v>109</v>
      </c>
      <c r="X6" s="2">
        <v>0.30399999999999999</v>
      </c>
      <c r="Y6" s="6">
        <f t="shared" si="2"/>
        <v>8.115106377299057E-3</v>
      </c>
      <c r="AA6">
        <v>8952477</v>
      </c>
      <c r="AB6">
        <v>12250</v>
      </c>
      <c r="AD6" t="s">
        <v>1</v>
      </c>
      <c r="AE6">
        <v>13</v>
      </c>
      <c r="AF6">
        <v>6</v>
      </c>
      <c r="AH6" t="s">
        <v>8189</v>
      </c>
      <c r="AI6" t="s">
        <v>8188</v>
      </c>
      <c r="AJ6" t="s">
        <v>8187</v>
      </c>
      <c r="AK6" t="s">
        <v>8186</v>
      </c>
      <c r="AL6">
        <v>0</v>
      </c>
      <c r="AM6" s="5">
        <f t="shared" si="3"/>
        <v>0</v>
      </c>
      <c r="AN6" s="4">
        <f t="shared" si="4"/>
        <v>0</v>
      </c>
      <c r="AO6" s="3"/>
      <c r="AP6">
        <v>0</v>
      </c>
      <c r="AR6" t="s">
        <v>0</v>
      </c>
      <c r="AT6" s="2" t="s">
        <v>9</v>
      </c>
      <c r="AU6" s="1">
        <f t="shared" si="5"/>
        <v>0.56805744641093392</v>
      </c>
      <c r="AV6" s="1">
        <f t="shared" si="6"/>
        <v>0.40575531886495286</v>
      </c>
      <c r="AW6" s="1">
        <f t="shared" si="7"/>
        <v>0.24345319131897172</v>
      </c>
    </row>
    <row r="7" spans="1:49" x14ac:dyDescent="0.2">
      <c r="A7">
        <v>5</v>
      </c>
      <c r="B7" t="s">
        <v>8185</v>
      </c>
      <c r="C7" t="s">
        <v>8184</v>
      </c>
      <c r="F7" t="s">
        <v>8183</v>
      </c>
      <c r="G7" t="s">
        <v>6</v>
      </c>
      <c r="H7" t="s">
        <v>5</v>
      </c>
      <c r="I7" t="s">
        <v>8182</v>
      </c>
      <c r="J7">
        <v>60025209</v>
      </c>
      <c r="K7" t="s">
        <v>512</v>
      </c>
      <c r="L7" t="s">
        <v>112</v>
      </c>
      <c r="M7" t="s">
        <v>2</v>
      </c>
      <c r="N7">
        <v>1</v>
      </c>
      <c r="O7" t="s">
        <v>8181</v>
      </c>
      <c r="P7">
        <v>7404814748</v>
      </c>
      <c r="Q7">
        <v>60025209</v>
      </c>
      <c r="R7" s="7">
        <v>35419</v>
      </c>
      <c r="S7" s="8">
        <f t="shared" si="0"/>
        <v>1996</v>
      </c>
      <c r="T7" s="8">
        <v>1996</v>
      </c>
      <c r="U7" s="8">
        <f t="shared" si="1"/>
        <v>26</v>
      </c>
      <c r="V7" s="7">
        <v>35419</v>
      </c>
      <c r="W7" t="s">
        <v>109</v>
      </c>
      <c r="X7" s="2">
        <v>0.30399999999999999</v>
      </c>
      <c r="Y7" s="6">
        <f t="shared" si="2"/>
        <v>8.115106377299057E-3</v>
      </c>
      <c r="AA7">
        <v>8952477</v>
      </c>
      <c r="AB7">
        <v>12250</v>
      </c>
      <c r="AD7" t="s">
        <v>1</v>
      </c>
      <c r="AE7">
        <v>13</v>
      </c>
      <c r="AF7">
        <v>6</v>
      </c>
      <c r="AH7" t="s">
        <v>701</v>
      </c>
      <c r="AI7" t="s">
        <v>8180</v>
      </c>
      <c r="AJ7" t="s">
        <v>8179</v>
      </c>
      <c r="AK7" t="s">
        <v>8178</v>
      </c>
      <c r="AL7">
        <v>1</v>
      </c>
      <c r="AM7" s="5">
        <f t="shared" si="3"/>
        <v>3.8461538461538464E-2</v>
      </c>
      <c r="AN7" s="4">
        <f t="shared" si="4"/>
        <v>5.8252992747502406E-5</v>
      </c>
      <c r="AO7" s="3"/>
      <c r="AP7">
        <v>0</v>
      </c>
      <c r="AR7" t="s">
        <v>0</v>
      </c>
      <c r="AT7" s="2" t="s">
        <v>9</v>
      </c>
      <c r="AU7" s="1">
        <f t="shared" si="5"/>
        <v>0.56980503619335909</v>
      </c>
      <c r="AV7" s="1">
        <f t="shared" si="6"/>
        <v>0.40866796850232795</v>
      </c>
      <c r="AW7" s="1">
        <f t="shared" si="7"/>
        <v>0.24753090081129689</v>
      </c>
    </row>
    <row r="8" spans="1:49" x14ac:dyDescent="0.2">
      <c r="A8">
        <v>6</v>
      </c>
      <c r="B8" t="s">
        <v>8177</v>
      </c>
      <c r="C8" t="s">
        <v>8176</v>
      </c>
      <c r="F8" t="s">
        <v>8175</v>
      </c>
      <c r="G8" t="s">
        <v>6</v>
      </c>
      <c r="H8" t="s">
        <v>5</v>
      </c>
      <c r="I8" t="s">
        <v>311</v>
      </c>
      <c r="J8">
        <v>60003480</v>
      </c>
      <c r="K8" t="s">
        <v>310</v>
      </c>
      <c r="L8" t="s">
        <v>110</v>
      </c>
      <c r="M8" t="s">
        <v>7</v>
      </c>
      <c r="N8">
        <v>1</v>
      </c>
      <c r="O8" t="s">
        <v>309</v>
      </c>
      <c r="P8">
        <v>7006159446</v>
      </c>
      <c r="Q8">
        <v>60003480</v>
      </c>
      <c r="R8" s="7">
        <v>35419</v>
      </c>
      <c r="S8" s="8">
        <f t="shared" si="0"/>
        <v>1996</v>
      </c>
      <c r="T8" s="8">
        <v>1996</v>
      </c>
      <c r="U8" s="8">
        <f t="shared" si="1"/>
        <v>26</v>
      </c>
      <c r="V8" s="7">
        <v>35419</v>
      </c>
      <c r="W8" t="s">
        <v>109</v>
      </c>
      <c r="X8" s="2">
        <v>0.30399999999999999</v>
      </c>
      <c r="Y8" s="6">
        <f t="shared" si="2"/>
        <v>8.115106377299057E-3</v>
      </c>
      <c r="AA8">
        <v>8952477</v>
      </c>
      <c r="AB8">
        <v>12250</v>
      </c>
      <c r="AD8" t="s">
        <v>1</v>
      </c>
      <c r="AE8">
        <v>13</v>
      </c>
      <c r="AF8">
        <v>6</v>
      </c>
      <c r="AH8" t="s">
        <v>8174</v>
      </c>
      <c r="AI8" t="s">
        <v>8173</v>
      </c>
      <c r="AJ8" t="s">
        <v>8172</v>
      </c>
      <c r="AK8" t="s">
        <v>8171</v>
      </c>
      <c r="AL8">
        <v>17</v>
      </c>
      <c r="AM8" s="5">
        <f t="shared" si="3"/>
        <v>0.65384615384615385</v>
      </c>
      <c r="AN8" s="4">
        <f t="shared" si="4"/>
        <v>9.9030087670754093E-4</v>
      </c>
      <c r="AO8" s="3"/>
      <c r="AP8">
        <v>0</v>
      </c>
      <c r="AR8" t="s">
        <v>0</v>
      </c>
      <c r="AT8" s="2" t="s">
        <v>9</v>
      </c>
      <c r="AU8" s="1">
        <f t="shared" si="5"/>
        <v>0.5977664727121601</v>
      </c>
      <c r="AV8" s="1">
        <f t="shared" si="6"/>
        <v>0.45527036270032989</v>
      </c>
      <c r="AW8" s="1">
        <f t="shared" si="7"/>
        <v>0.31277425268849957</v>
      </c>
    </row>
    <row r="9" spans="1:49" x14ac:dyDescent="0.2">
      <c r="A9">
        <v>7</v>
      </c>
      <c r="B9" t="s">
        <v>8170</v>
      </c>
      <c r="C9" t="s">
        <v>8169</v>
      </c>
      <c r="F9" t="s">
        <v>8168</v>
      </c>
      <c r="G9" t="s">
        <v>6</v>
      </c>
      <c r="H9" t="s">
        <v>5</v>
      </c>
      <c r="I9" t="s">
        <v>8167</v>
      </c>
      <c r="J9" t="s">
        <v>8166</v>
      </c>
      <c r="K9" t="s">
        <v>8165</v>
      </c>
      <c r="L9" t="s">
        <v>8164</v>
      </c>
      <c r="M9" t="s">
        <v>8163</v>
      </c>
      <c r="N9">
        <v>3</v>
      </c>
      <c r="O9" t="s">
        <v>8162</v>
      </c>
      <c r="P9" t="s">
        <v>8161</v>
      </c>
      <c r="Q9" t="s">
        <v>8160</v>
      </c>
      <c r="R9" s="7">
        <v>35419</v>
      </c>
      <c r="S9" s="8">
        <f t="shared" si="0"/>
        <v>1996</v>
      </c>
      <c r="T9" s="8">
        <v>1996</v>
      </c>
      <c r="U9" s="8">
        <f t="shared" si="1"/>
        <v>26</v>
      </c>
      <c r="V9" s="7">
        <v>35419</v>
      </c>
      <c r="W9" t="s">
        <v>109</v>
      </c>
      <c r="X9" s="2">
        <v>0.30399999999999999</v>
      </c>
      <c r="Y9" s="6">
        <f t="shared" si="2"/>
        <v>8.115106377299057E-3</v>
      </c>
      <c r="AA9">
        <v>8952477</v>
      </c>
      <c r="AB9">
        <v>12250</v>
      </c>
      <c r="AD9" t="s">
        <v>1</v>
      </c>
      <c r="AE9">
        <v>13</v>
      </c>
      <c r="AF9">
        <v>6</v>
      </c>
      <c r="AH9" t="s">
        <v>379</v>
      </c>
      <c r="AI9" t="s">
        <v>8159</v>
      </c>
      <c r="AJ9" t="s">
        <v>8158</v>
      </c>
      <c r="AK9" t="s">
        <v>8157</v>
      </c>
      <c r="AL9">
        <v>2</v>
      </c>
      <c r="AM9" s="5">
        <f t="shared" si="3"/>
        <v>7.6923076923076927E-2</v>
      </c>
      <c r="AN9" s="4">
        <f t="shared" si="4"/>
        <v>1.1650598549500481E-4</v>
      </c>
      <c r="AO9" s="3"/>
      <c r="AP9">
        <v>0</v>
      </c>
      <c r="AR9" t="s">
        <v>0</v>
      </c>
      <c r="AT9" s="2" t="s">
        <v>9</v>
      </c>
      <c r="AU9" s="1">
        <f t="shared" si="5"/>
        <v>0.57155262597578405</v>
      </c>
      <c r="AV9" s="1">
        <f t="shared" si="6"/>
        <v>0.41158061813970309</v>
      </c>
      <c r="AW9" s="1">
        <f t="shared" si="7"/>
        <v>0.25160861030362203</v>
      </c>
    </row>
    <row r="10" spans="1:49" x14ac:dyDescent="0.2">
      <c r="A10">
        <v>8</v>
      </c>
      <c r="B10" t="s">
        <v>8156</v>
      </c>
      <c r="C10" t="s">
        <v>8155</v>
      </c>
      <c r="F10" t="s">
        <v>8154</v>
      </c>
      <c r="G10" t="s">
        <v>6</v>
      </c>
      <c r="H10" t="s">
        <v>5</v>
      </c>
      <c r="I10" t="s">
        <v>8153</v>
      </c>
      <c r="J10">
        <v>60032350</v>
      </c>
      <c r="K10" t="s">
        <v>350</v>
      </c>
      <c r="L10" t="s">
        <v>349</v>
      </c>
      <c r="M10" t="s">
        <v>42</v>
      </c>
      <c r="N10">
        <v>2</v>
      </c>
      <c r="O10" t="s">
        <v>8152</v>
      </c>
      <c r="P10" t="s">
        <v>8151</v>
      </c>
      <c r="Q10" t="s">
        <v>8150</v>
      </c>
      <c r="R10" s="7">
        <v>35419</v>
      </c>
      <c r="S10" s="8">
        <f t="shared" si="0"/>
        <v>1996</v>
      </c>
      <c r="T10" s="8">
        <v>1996</v>
      </c>
      <c r="U10" s="8">
        <f t="shared" si="1"/>
        <v>26</v>
      </c>
      <c r="V10" s="7">
        <v>35419</v>
      </c>
      <c r="W10" t="s">
        <v>109</v>
      </c>
      <c r="X10" s="2">
        <v>0.30399999999999999</v>
      </c>
      <c r="Y10" s="6">
        <f t="shared" si="2"/>
        <v>8.115106377299057E-3</v>
      </c>
      <c r="AA10">
        <v>8952477</v>
      </c>
      <c r="AB10">
        <v>12250</v>
      </c>
      <c r="AD10" t="s">
        <v>1</v>
      </c>
      <c r="AE10">
        <v>13</v>
      </c>
      <c r="AF10">
        <v>6</v>
      </c>
      <c r="AH10" t="s">
        <v>206</v>
      </c>
      <c r="AI10" t="s">
        <v>8149</v>
      </c>
      <c r="AJ10" t="s">
        <v>8148</v>
      </c>
      <c r="AK10" t="s">
        <v>8147</v>
      </c>
      <c r="AL10">
        <v>4</v>
      </c>
      <c r="AM10" s="5">
        <f t="shared" si="3"/>
        <v>0.15384615384615385</v>
      </c>
      <c r="AN10" s="4">
        <f t="shared" si="4"/>
        <v>2.3301197099000962E-4</v>
      </c>
      <c r="AO10" s="3"/>
      <c r="AP10">
        <v>0</v>
      </c>
      <c r="AR10" t="s">
        <v>0</v>
      </c>
      <c r="AT10" s="2" t="s">
        <v>9</v>
      </c>
      <c r="AU10" s="1">
        <f t="shared" si="5"/>
        <v>0.57504780554063428</v>
      </c>
      <c r="AV10" s="1">
        <f t="shared" si="6"/>
        <v>0.41740591741445332</v>
      </c>
      <c r="AW10" s="1">
        <f t="shared" si="7"/>
        <v>0.25976402928827236</v>
      </c>
    </row>
    <row r="11" spans="1:49" x14ac:dyDescent="0.2">
      <c r="A11">
        <v>9</v>
      </c>
      <c r="B11" t="s">
        <v>8146</v>
      </c>
      <c r="C11" t="s">
        <v>8145</v>
      </c>
      <c r="D11" t="s">
        <v>8144</v>
      </c>
      <c r="E11">
        <v>8985155</v>
      </c>
      <c r="F11" t="s">
        <v>8143</v>
      </c>
      <c r="G11" t="s">
        <v>6</v>
      </c>
      <c r="H11" t="s">
        <v>5</v>
      </c>
      <c r="I11" t="s">
        <v>8142</v>
      </c>
      <c r="J11" t="s">
        <v>8141</v>
      </c>
      <c r="K11" t="s">
        <v>8140</v>
      </c>
      <c r="L11" t="s">
        <v>8139</v>
      </c>
      <c r="M11" t="s">
        <v>90</v>
      </c>
      <c r="N11">
        <v>4</v>
      </c>
      <c r="O11" t="s">
        <v>8138</v>
      </c>
      <c r="P11" t="s">
        <v>8137</v>
      </c>
      <c r="Q11" t="s">
        <v>8136</v>
      </c>
      <c r="R11" s="7">
        <v>35415</v>
      </c>
      <c r="S11" s="8">
        <f t="shared" si="0"/>
        <v>1996</v>
      </c>
      <c r="T11" s="8">
        <v>1996</v>
      </c>
      <c r="U11" s="8">
        <f t="shared" si="1"/>
        <v>26</v>
      </c>
      <c r="V11" s="7">
        <v>35415</v>
      </c>
      <c r="W11" t="s">
        <v>683</v>
      </c>
      <c r="X11" s="2">
        <v>1.593</v>
      </c>
      <c r="Y11" s="6">
        <f t="shared" si="2"/>
        <v>4.2524225194201973E-2</v>
      </c>
      <c r="AA11">
        <v>145793</v>
      </c>
      <c r="AB11">
        <v>17481</v>
      </c>
      <c r="AD11" t="s">
        <v>1</v>
      </c>
      <c r="AE11">
        <v>399</v>
      </c>
      <c r="AF11">
        <v>3</v>
      </c>
      <c r="AH11" t="s">
        <v>8135</v>
      </c>
      <c r="AI11" t="s">
        <v>8134</v>
      </c>
      <c r="AJ11" t="s">
        <v>8133</v>
      </c>
      <c r="AK11" t="s">
        <v>8132</v>
      </c>
      <c r="AL11">
        <v>41</v>
      </c>
      <c r="AM11" s="5">
        <f t="shared" si="3"/>
        <v>1.5769230769230769</v>
      </c>
      <c r="AN11" s="4">
        <f t="shared" si="4"/>
        <v>2.3883727026475982E-3</v>
      </c>
      <c r="AO11" s="3"/>
      <c r="AP11">
        <v>1</v>
      </c>
      <c r="AR11" t="s">
        <v>0</v>
      </c>
      <c r="AT11" s="2">
        <v>4.1239999999999997</v>
      </c>
      <c r="AU11" s="1">
        <f t="shared" si="5"/>
        <v>3.0483469446735656</v>
      </c>
      <c r="AV11" s="1">
        <f t="shared" si="6"/>
        <v>2.2456298948424784</v>
      </c>
      <c r="AW11" s="1">
        <f t="shared" si="7"/>
        <v>1.4429128450113911</v>
      </c>
    </row>
    <row r="12" spans="1:49" x14ac:dyDescent="0.2">
      <c r="A12">
        <v>10</v>
      </c>
      <c r="B12" t="s">
        <v>8131</v>
      </c>
      <c r="C12" t="s">
        <v>8130</v>
      </c>
      <c r="F12" t="s">
        <v>8129</v>
      </c>
      <c r="G12" t="s">
        <v>6</v>
      </c>
      <c r="H12" t="s">
        <v>5</v>
      </c>
      <c r="I12" t="s">
        <v>8128</v>
      </c>
      <c r="J12" t="s">
        <v>8127</v>
      </c>
      <c r="K12" t="s">
        <v>8126</v>
      </c>
      <c r="L12" t="s">
        <v>8125</v>
      </c>
      <c r="M12" t="s">
        <v>8124</v>
      </c>
      <c r="N12">
        <v>6</v>
      </c>
      <c r="O12" t="s">
        <v>8123</v>
      </c>
      <c r="P12" t="s">
        <v>8122</v>
      </c>
      <c r="Q12" t="s">
        <v>8121</v>
      </c>
      <c r="R12" s="7">
        <v>35415</v>
      </c>
      <c r="S12" s="8">
        <f t="shared" si="0"/>
        <v>1996</v>
      </c>
      <c r="T12" s="8">
        <v>1996</v>
      </c>
      <c r="U12" s="8">
        <f t="shared" si="1"/>
        <v>26</v>
      </c>
      <c r="V12" s="7">
        <v>35415</v>
      </c>
      <c r="W12" t="s">
        <v>1132</v>
      </c>
      <c r="X12" s="2">
        <v>1.1819999999999999</v>
      </c>
      <c r="Y12" s="6">
        <f t="shared" si="2"/>
        <v>3.1552814927524625E-2</v>
      </c>
      <c r="AA12">
        <v>36951</v>
      </c>
      <c r="AB12">
        <v>27030</v>
      </c>
      <c r="AD12" t="s">
        <v>1</v>
      </c>
      <c r="AE12">
        <v>69</v>
      </c>
      <c r="AF12">
        <v>25</v>
      </c>
      <c r="AH12" t="s">
        <v>8120</v>
      </c>
      <c r="AI12" t="s">
        <v>8119</v>
      </c>
      <c r="AK12" t="s">
        <v>8118</v>
      </c>
      <c r="AL12">
        <v>91</v>
      </c>
      <c r="AM12" s="5">
        <f t="shared" si="3"/>
        <v>3.5</v>
      </c>
      <c r="AN12" s="4">
        <f t="shared" si="4"/>
        <v>5.301022340022719E-3</v>
      </c>
      <c r="AO12" s="3"/>
      <c r="AP12">
        <v>0</v>
      </c>
      <c r="AR12" t="s">
        <v>0</v>
      </c>
      <c r="AT12" s="2">
        <v>3.7909999999999999</v>
      </c>
      <c r="AU12" s="1">
        <f t="shared" si="5"/>
        <v>2.3677277151274052</v>
      </c>
      <c r="AV12" s="1">
        <f t="shared" si="6"/>
        <v>1.8426918633773672</v>
      </c>
      <c r="AW12" s="1">
        <f t="shared" si="7"/>
        <v>1.317656011627329</v>
      </c>
    </row>
    <row r="13" spans="1:49" x14ac:dyDescent="0.2">
      <c r="A13">
        <v>11</v>
      </c>
      <c r="B13" t="s">
        <v>8117</v>
      </c>
      <c r="C13" t="s">
        <v>8116</v>
      </c>
      <c r="E13">
        <v>8955276</v>
      </c>
      <c r="F13" t="s">
        <v>8115</v>
      </c>
      <c r="G13" t="s">
        <v>6</v>
      </c>
      <c r="H13" t="s">
        <v>5</v>
      </c>
      <c r="I13" t="s">
        <v>8114</v>
      </c>
      <c r="J13" t="s">
        <v>8113</v>
      </c>
      <c r="K13" t="s">
        <v>8112</v>
      </c>
      <c r="L13" t="s">
        <v>8111</v>
      </c>
      <c r="M13" t="s">
        <v>8110</v>
      </c>
      <c r="N13">
        <v>7</v>
      </c>
      <c r="O13" t="s">
        <v>8109</v>
      </c>
      <c r="P13" t="s">
        <v>8108</v>
      </c>
      <c r="Q13" t="s">
        <v>8107</v>
      </c>
      <c r="R13" s="7">
        <v>35411</v>
      </c>
      <c r="S13" s="8">
        <f t="shared" si="0"/>
        <v>1996</v>
      </c>
      <c r="T13" s="8">
        <v>1996</v>
      </c>
      <c r="U13" s="8">
        <f t="shared" si="1"/>
        <v>26</v>
      </c>
      <c r="V13" s="7">
        <v>35411</v>
      </c>
      <c r="W13" t="s">
        <v>1143</v>
      </c>
      <c r="X13" s="2">
        <v>15.993</v>
      </c>
      <c r="Y13" s="6">
        <f t="shared" si="2"/>
        <v>0.42692400096099947</v>
      </c>
      <c r="AA13">
        <v>280836</v>
      </c>
      <c r="AB13">
        <v>21206</v>
      </c>
      <c r="AD13" t="s">
        <v>1</v>
      </c>
      <c r="AE13">
        <v>384</v>
      </c>
      <c r="AF13">
        <v>6609</v>
      </c>
      <c r="AH13" t="s">
        <v>8106</v>
      </c>
      <c r="AI13" t="s">
        <v>8105</v>
      </c>
      <c r="AK13" t="s">
        <v>8104</v>
      </c>
      <c r="AL13">
        <v>190</v>
      </c>
      <c r="AM13" s="5">
        <f t="shared" si="3"/>
        <v>7.3076923076923075</v>
      </c>
      <c r="AN13" s="4">
        <f t="shared" si="4"/>
        <v>1.1068068622025456E-2</v>
      </c>
      <c r="AO13" s="3"/>
      <c r="AP13">
        <v>0</v>
      </c>
      <c r="AR13" t="s">
        <v>0</v>
      </c>
      <c r="AT13" s="2">
        <v>49.962000000000003</v>
      </c>
      <c r="AU13" s="1">
        <f t="shared" si="5"/>
        <v>30.216722125930723</v>
      </c>
      <c r="AV13" s="1">
        <f t="shared" si="6"/>
        <v>21.899603479151246</v>
      </c>
      <c r="AW13" s="1">
        <f t="shared" si="7"/>
        <v>13.582484832371765</v>
      </c>
    </row>
    <row r="14" spans="1:49" x14ac:dyDescent="0.2">
      <c r="A14">
        <v>12</v>
      </c>
      <c r="B14" t="s">
        <v>8103</v>
      </c>
      <c r="C14" t="s">
        <v>8102</v>
      </c>
      <c r="E14">
        <v>8962165</v>
      </c>
      <c r="F14" t="s">
        <v>8101</v>
      </c>
      <c r="G14" t="s">
        <v>6</v>
      </c>
      <c r="H14" t="s">
        <v>5</v>
      </c>
      <c r="I14" t="s">
        <v>8100</v>
      </c>
      <c r="J14">
        <v>60007257</v>
      </c>
      <c r="K14" t="s">
        <v>686</v>
      </c>
      <c r="L14" t="s">
        <v>685</v>
      </c>
      <c r="M14" t="s">
        <v>30</v>
      </c>
      <c r="N14">
        <v>2</v>
      </c>
      <c r="O14" t="s">
        <v>8099</v>
      </c>
      <c r="P14" t="s">
        <v>8098</v>
      </c>
      <c r="Q14" t="s">
        <v>684</v>
      </c>
      <c r="R14" s="7">
        <v>35409</v>
      </c>
      <c r="S14" s="8">
        <f t="shared" si="0"/>
        <v>1996</v>
      </c>
      <c r="T14" s="8">
        <v>1996</v>
      </c>
      <c r="U14" s="8">
        <f t="shared" si="1"/>
        <v>26</v>
      </c>
      <c r="V14" s="7">
        <v>35409</v>
      </c>
      <c r="W14" t="s">
        <v>740</v>
      </c>
      <c r="X14" s="2">
        <v>5.0110000000000001</v>
      </c>
      <c r="Y14" s="6">
        <f t="shared" si="2"/>
        <v>0.13376578308107098</v>
      </c>
      <c r="AA14">
        <v>278424</v>
      </c>
      <c r="AB14">
        <v>21121</v>
      </c>
      <c r="AD14" t="s">
        <v>1</v>
      </c>
      <c r="AE14">
        <v>93</v>
      </c>
      <c r="AF14">
        <v>25</v>
      </c>
      <c r="AH14" t="s">
        <v>8097</v>
      </c>
      <c r="AI14" t="s">
        <v>8096</v>
      </c>
      <c r="AJ14" t="s">
        <v>8095</v>
      </c>
      <c r="AK14" t="s">
        <v>8094</v>
      </c>
      <c r="AL14">
        <v>27</v>
      </c>
      <c r="AM14" s="5">
        <f t="shared" si="3"/>
        <v>1.0384615384615385</v>
      </c>
      <c r="AN14" s="4">
        <f t="shared" si="4"/>
        <v>1.572830804182565E-3</v>
      </c>
      <c r="AO14" s="3"/>
      <c r="AP14">
        <v>1</v>
      </c>
      <c r="AR14" t="s">
        <v>0</v>
      </c>
      <c r="AT14" s="2" t="s">
        <v>9</v>
      </c>
      <c r="AU14" s="1">
        <f t="shared" si="5"/>
        <v>9.4107897398004461</v>
      </c>
      <c r="AV14" s="1">
        <f t="shared" si="6"/>
        <v>6.766930694262677</v>
      </c>
      <c r="AW14" s="1">
        <f t="shared" si="7"/>
        <v>4.1230716487249088</v>
      </c>
    </row>
    <row r="15" spans="1:49" x14ac:dyDescent="0.2">
      <c r="A15">
        <v>13</v>
      </c>
      <c r="B15" t="s">
        <v>8093</v>
      </c>
      <c r="C15" t="s">
        <v>8092</v>
      </c>
      <c r="F15" t="s">
        <v>8091</v>
      </c>
      <c r="G15" t="s">
        <v>6</v>
      </c>
      <c r="H15" t="s">
        <v>5</v>
      </c>
      <c r="I15" t="s">
        <v>8090</v>
      </c>
      <c r="J15">
        <v>60022195</v>
      </c>
      <c r="K15" t="s">
        <v>4200</v>
      </c>
      <c r="L15" t="s">
        <v>93</v>
      </c>
      <c r="M15" t="s">
        <v>2</v>
      </c>
      <c r="N15">
        <v>6</v>
      </c>
      <c r="O15" t="s">
        <v>8089</v>
      </c>
      <c r="P15" t="s">
        <v>8088</v>
      </c>
      <c r="Q15" t="s">
        <v>8087</v>
      </c>
      <c r="R15" s="7">
        <v>35408</v>
      </c>
      <c r="S15" s="8">
        <f t="shared" si="0"/>
        <v>1996</v>
      </c>
      <c r="T15" s="8">
        <v>1996</v>
      </c>
      <c r="U15" s="8">
        <f t="shared" si="1"/>
        <v>26</v>
      </c>
      <c r="V15" s="7">
        <v>35408</v>
      </c>
      <c r="W15" t="s">
        <v>1132</v>
      </c>
      <c r="X15" s="2">
        <v>1.1819999999999999</v>
      </c>
      <c r="Y15" s="6">
        <f t="shared" si="2"/>
        <v>3.1552814927524625E-2</v>
      </c>
      <c r="AA15">
        <v>36951</v>
      </c>
      <c r="AB15">
        <v>27030</v>
      </c>
      <c r="AD15" t="s">
        <v>1</v>
      </c>
      <c r="AE15">
        <v>69</v>
      </c>
      <c r="AF15">
        <v>24</v>
      </c>
      <c r="AH15" t="s">
        <v>8086</v>
      </c>
      <c r="AI15" t="s">
        <v>8085</v>
      </c>
      <c r="AK15" t="s">
        <v>8084</v>
      </c>
      <c r="AL15">
        <v>46</v>
      </c>
      <c r="AM15" s="5">
        <f t="shared" si="3"/>
        <v>1.7692307692307692</v>
      </c>
      <c r="AN15" s="4">
        <f t="shared" si="4"/>
        <v>2.6796376663851106E-3</v>
      </c>
      <c r="AO15" s="3"/>
      <c r="AP15">
        <v>0</v>
      </c>
      <c r="AR15" t="s">
        <v>0</v>
      </c>
      <c r="AT15" s="2">
        <v>3.7909999999999999</v>
      </c>
      <c r="AU15" s="1">
        <f t="shared" si="5"/>
        <v>2.2890861749182769</v>
      </c>
      <c r="AV15" s="1">
        <f t="shared" si="6"/>
        <v>1.7116226296954868</v>
      </c>
      <c r="AW15" s="1">
        <f t="shared" si="7"/>
        <v>1.1341590844726965</v>
      </c>
    </row>
    <row r="16" spans="1:49" x14ac:dyDescent="0.2">
      <c r="A16">
        <v>14</v>
      </c>
      <c r="B16" t="s">
        <v>8083</v>
      </c>
      <c r="C16" t="s">
        <v>8082</v>
      </c>
      <c r="E16">
        <v>8951635</v>
      </c>
      <c r="F16" t="s">
        <v>8081</v>
      </c>
      <c r="G16" t="s">
        <v>6</v>
      </c>
      <c r="H16" t="s">
        <v>5</v>
      </c>
      <c r="I16" t="s">
        <v>8080</v>
      </c>
      <c r="J16" t="s">
        <v>8079</v>
      </c>
      <c r="K16" t="s">
        <v>8078</v>
      </c>
      <c r="L16" t="s">
        <v>8077</v>
      </c>
      <c r="M16" t="s">
        <v>18</v>
      </c>
      <c r="N16">
        <v>3</v>
      </c>
      <c r="O16" t="s">
        <v>8076</v>
      </c>
      <c r="P16" t="s">
        <v>8075</v>
      </c>
      <c r="Q16" t="s">
        <v>8074</v>
      </c>
      <c r="R16" s="7">
        <v>35408</v>
      </c>
      <c r="S16" s="8">
        <f t="shared" si="0"/>
        <v>1996</v>
      </c>
      <c r="T16" s="8">
        <v>1996</v>
      </c>
      <c r="U16" s="8">
        <f t="shared" si="1"/>
        <v>26</v>
      </c>
      <c r="V16" s="7">
        <v>35408</v>
      </c>
      <c r="W16" t="s">
        <v>625</v>
      </c>
      <c r="X16" s="2">
        <v>1.855</v>
      </c>
      <c r="Y16" s="6">
        <f t="shared" si="2"/>
        <v>4.9518165558847867E-2</v>
      </c>
      <c r="AA16">
        <v>219967</v>
      </c>
      <c r="AB16">
        <v>16689</v>
      </c>
      <c r="AD16" t="s">
        <v>1</v>
      </c>
      <c r="AE16">
        <v>376</v>
      </c>
      <c r="AF16">
        <v>2</v>
      </c>
      <c r="AH16" t="s">
        <v>8073</v>
      </c>
      <c r="AI16" t="s">
        <v>8072</v>
      </c>
      <c r="AJ16" t="s">
        <v>8071</v>
      </c>
      <c r="AK16" t="s">
        <v>8070</v>
      </c>
      <c r="AL16">
        <v>20</v>
      </c>
      <c r="AM16" s="5">
        <f t="shared" si="3"/>
        <v>0.76923076923076927</v>
      </c>
      <c r="AN16" s="4">
        <f t="shared" si="4"/>
        <v>1.1650598549500482E-3</v>
      </c>
      <c r="AO16" s="3"/>
      <c r="AP16">
        <v>0</v>
      </c>
      <c r="AR16" t="s">
        <v>0</v>
      </c>
      <c r="AT16" s="2">
        <v>3.2149999999999999</v>
      </c>
      <c r="AU16" s="1">
        <f t="shared" si="5"/>
        <v>3.5012233847678522</v>
      </c>
      <c r="AV16" s="1">
        <f t="shared" si="6"/>
        <v>2.5341612706898959</v>
      </c>
      <c r="AW16" s="1">
        <f t="shared" si="7"/>
        <v>1.5670991566119392</v>
      </c>
    </row>
    <row r="17" spans="1:49" x14ac:dyDescent="0.2">
      <c r="A17">
        <v>15</v>
      </c>
      <c r="B17" t="s">
        <v>8069</v>
      </c>
      <c r="F17" t="s">
        <v>8068</v>
      </c>
      <c r="G17" t="s">
        <v>6</v>
      </c>
      <c r="H17" t="s">
        <v>5</v>
      </c>
      <c r="I17" t="s">
        <v>8067</v>
      </c>
      <c r="J17" t="s">
        <v>8066</v>
      </c>
      <c r="K17" t="s">
        <v>8065</v>
      </c>
      <c r="L17" t="s">
        <v>8064</v>
      </c>
      <c r="M17" t="s">
        <v>126</v>
      </c>
      <c r="N17">
        <v>3</v>
      </c>
      <c r="O17" t="s">
        <v>8063</v>
      </c>
      <c r="P17" t="s">
        <v>8062</v>
      </c>
      <c r="Q17" t="s">
        <v>8061</v>
      </c>
      <c r="R17" s="7">
        <v>35406</v>
      </c>
      <c r="S17" s="8">
        <f t="shared" si="0"/>
        <v>1996</v>
      </c>
      <c r="T17" s="8">
        <v>1996</v>
      </c>
      <c r="U17" s="8">
        <f t="shared" si="1"/>
        <v>26</v>
      </c>
      <c r="V17" s="7">
        <v>35406</v>
      </c>
      <c r="W17" t="s">
        <v>665</v>
      </c>
      <c r="X17" s="2" t="s">
        <v>9</v>
      </c>
      <c r="Y17" s="6" t="e">
        <f t="shared" si="2"/>
        <v>#VALUE!</v>
      </c>
      <c r="AA17">
        <v>9565000</v>
      </c>
      <c r="AB17">
        <v>4800156101</v>
      </c>
      <c r="AD17" t="s">
        <v>1</v>
      </c>
      <c r="AF17">
        <v>23</v>
      </c>
      <c r="AH17" t="s">
        <v>8060</v>
      </c>
      <c r="AI17" t="s">
        <v>8059</v>
      </c>
      <c r="AK17" t="s">
        <v>8058</v>
      </c>
      <c r="AL17">
        <v>5</v>
      </c>
      <c r="AM17" s="5">
        <f t="shared" si="3"/>
        <v>0.19230769230769232</v>
      </c>
      <c r="AN17" s="4">
        <f t="shared" si="4"/>
        <v>2.9126496373751206E-4</v>
      </c>
      <c r="AO17" s="3"/>
      <c r="AP17">
        <v>0</v>
      </c>
      <c r="AR17" t="s">
        <v>0</v>
      </c>
      <c r="AT17" s="2" t="s">
        <v>9</v>
      </c>
      <c r="AU17" s="1" t="e">
        <f t="shared" si="5"/>
        <v>#VALUE!</v>
      </c>
      <c r="AV17" s="1" t="e">
        <f t="shared" si="6"/>
        <v>#VALUE!</v>
      </c>
      <c r="AW17" s="1" t="e">
        <f t="shared" si="7"/>
        <v>#VALUE!</v>
      </c>
    </row>
    <row r="18" spans="1:49" x14ac:dyDescent="0.2">
      <c r="A18">
        <v>16</v>
      </c>
      <c r="B18" t="s">
        <v>8057</v>
      </c>
      <c r="C18" t="s">
        <v>8056</v>
      </c>
      <c r="F18" t="s">
        <v>8055</v>
      </c>
      <c r="G18" t="s">
        <v>6</v>
      </c>
      <c r="H18" t="s">
        <v>5</v>
      </c>
      <c r="I18" t="s">
        <v>501</v>
      </c>
      <c r="J18">
        <v>60003771</v>
      </c>
      <c r="K18" t="s">
        <v>500</v>
      </c>
      <c r="L18" t="s">
        <v>499</v>
      </c>
      <c r="M18" t="s">
        <v>19</v>
      </c>
      <c r="N18">
        <v>3</v>
      </c>
      <c r="O18" t="s">
        <v>8054</v>
      </c>
      <c r="P18" t="s">
        <v>497</v>
      </c>
      <c r="Q18" t="s">
        <v>496</v>
      </c>
      <c r="R18" s="7">
        <v>35404</v>
      </c>
      <c r="S18" s="8">
        <f t="shared" si="0"/>
        <v>1996</v>
      </c>
      <c r="T18" s="8">
        <v>1996</v>
      </c>
      <c r="U18" s="8">
        <f t="shared" si="1"/>
        <v>26</v>
      </c>
      <c r="V18" s="7">
        <v>35404</v>
      </c>
      <c r="W18" t="s">
        <v>109</v>
      </c>
      <c r="X18" s="2">
        <v>0.30399999999999999</v>
      </c>
      <c r="Y18" s="6">
        <f t="shared" si="2"/>
        <v>8.115106377299057E-3</v>
      </c>
      <c r="AA18">
        <v>8952477</v>
      </c>
      <c r="AB18">
        <v>12250</v>
      </c>
      <c r="AD18" t="s">
        <v>1</v>
      </c>
      <c r="AE18">
        <v>13</v>
      </c>
      <c r="AF18">
        <v>5</v>
      </c>
      <c r="AH18" t="s">
        <v>8053</v>
      </c>
      <c r="AI18" t="s">
        <v>8052</v>
      </c>
      <c r="AJ18" t="s">
        <v>8051</v>
      </c>
      <c r="AK18" t="s">
        <v>8050</v>
      </c>
      <c r="AL18">
        <v>1</v>
      </c>
      <c r="AM18" s="5">
        <f t="shared" si="3"/>
        <v>3.8461538461538464E-2</v>
      </c>
      <c r="AN18" s="4">
        <f t="shared" si="4"/>
        <v>5.8252992747502406E-5</v>
      </c>
      <c r="AO18" s="3"/>
      <c r="AP18">
        <v>0</v>
      </c>
      <c r="AR18" t="s">
        <v>0</v>
      </c>
      <c r="AT18" s="2" t="s">
        <v>9</v>
      </c>
      <c r="AU18" s="1">
        <f t="shared" si="5"/>
        <v>0.56980503619335909</v>
      </c>
      <c r="AV18" s="1">
        <f t="shared" si="6"/>
        <v>0.40866796850232795</v>
      </c>
      <c r="AW18" s="1">
        <f t="shared" si="7"/>
        <v>0.24753090081129689</v>
      </c>
    </row>
    <row r="19" spans="1:49" x14ac:dyDescent="0.2">
      <c r="A19">
        <v>17</v>
      </c>
      <c r="B19" t="s">
        <v>8049</v>
      </c>
      <c r="C19" t="s">
        <v>8048</v>
      </c>
      <c r="F19" t="s">
        <v>8047</v>
      </c>
      <c r="G19" t="s">
        <v>6</v>
      </c>
      <c r="H19" t="s">
        <v>5</v>
      </c>
      <c r="I19" t="s">
        <v>8046</v>
      </c>
      <c r="J19">
        <v>60030553</v>
      </c>
      <c r="K19" t="s">
        <v>50</v>
      </c>
      <c r="L19" t="s">
        <v>49</v>
      </c>
      <c r="M19" t="s">
        <v>25</v>
      </c>
      <c r="N19">
        <v>6</v>
      </c>
      <c r="O19" t="s">
        <v>8045</v>
      </c>
      <c r="P19" t="s">
        <v>8044</v>
      </c>
      <c r="Q19" t="s">
        <v>8043</v>
      </c>
      <c r="R19" s="7">
        <v>35404</v>
      </c>
      <c r="S19" s="8">
        <f t="shared" si="0"/>
        <v>1996</v>
      </c>
      <c r="T19" s="8">
        <v>1996</v>
      </c>
      <c r="U19" s="8">
        <f t="shared" si="1"/>
        <v>26</v>
      </c>
      <c r="V19" s="7">
        <v>35404</v>
      </c>
      <c r="W19" t="s">
        <v>109</v>
      </c>
      <c r="X19" s="2">
        <v>0.30399999999999999</v>
      </c>
      <c r="Y19" s="6">
        <f t="shared" si="2"/>
        <v>8.115106377299057E-3</v>
      </c>
      <c r="AA19">
        <v>8952477</v>
      </c>
      <c r="AB19">
        <v>12250</v>
      </c>
      <c r="AD19" t="s">
        <v>1</v>
      </c>
      <c r="AE19">
        <v>13</v>
      </c>
      <c r="AF19">
        <v>5</v>
      </c>
      <c r="AH19" t="s">
        <v>8042</v>
      </c>
      <c r="AI19" t="s">
        <v>8041</v>
      </c>
      <c r="AJ19" t="s">
        <v>8040</v>
      </c>
      <c r="AK19" t="s">
        <v>8039</v>
      </c>
      <c r="AL19">
        <v>2</v>
      </c>
      <c r="AM19" s="5">
        <f t="shared" si="3"/>
        <v>7.6923076923076927E-2</v>
      </c>
      <c r="AN19" s="4">
        <f t="shared" si="4"/>
        <v>1.1650598549500481E-4</v>
      </c>
      <c r="AO19" s="3"/>
      <c r="AP19">
        <v>0</v>
      </c>
      <c r="AR19" t="s">
        <v>0</v>
      </c>
      <c r="AT19" s="2" t="s">
        <v>9</v>
      </c>
      <c r="AU19" s="1">
        <f t="shared" si="5"/>
        <v>0.57155262597578405</v>
      </c>
      <c r="AV19" s="1">
        <f t="shared" si="6"/>
        <v>0.41158061813970309</v>
      </c>
      <c r="AW19" s="1">
        <f t="shared" si="7"/>
        <v>0.25160861030362203</v>
      </c>
    </row>
    <row r="20" spans="1:49" x14ac:dyDescent="0.2">
      <c r="A20">
        <v>18</v>
      </c>
      <c r="B20" t="s">
        <v>8038</v>
      </c>
      <c r="C20" t="s">
        <v>8037</v>
      </c>
      <c r="F20" t="s">
        <v>8036</v>
      </c>
      <c r="G20" t="s">
        <v>6</v>
      </c>
      <c r="H20" t="s">
        <v>5</v>
      </c>
      <c r="I20" t="s">
        <v>8035</v>
      </c>
      <c r="J20" t="s">
        <v>8034</v>
      </c>
      <c r="K20" t="s">
        <v>8033</v>
      </c>
      <c r="L20" t="s">
        <v>8032</v>
      </c>
      <c r="M20" t="s">
        <v>8031</v>
      </c>
      <c r="N20">
        <v>5</v>
      </c>
      <c r="O20" t="s">
        <v>8030</v>
      </c>
      <c r="P20" t="s">
        <v>8029</v>
      </c>
      <c r="Q20" t="s">
        <v>8028</v>
      </c>
      <c r="R20" s="7">
        <v>35404</v>
      </c>
      <c r="S20" s="8">
        <f t="shared" si="0"/>
        <v>1996</v>
      </c>
      <c r="T20" s="8">
        <v>1996</v>
      </c>
      <c r="U20" s="8">
        <f t="shared" si="1"/>
        <v>26</v>
      </c>
      <c r="V20" s="7">
        <v>35404</v>
      </c>
      <c r="W20" t="s">
        <v>358</v>
      </c>
      <c r="X20" s="2">
        <v>0.375</v>
      </c>
      <c r="Y20" s="6">
        <f t="shared" si="2"/>
        <v>1.0010410827260351E-2</v>
      </c>
      <c r="AA20">
        <v>135194</v>
      </c>
      <c r="AB20">
        <v>24918</v>
      </c>
      <c r="AD20" t="s">
        <v>1</v>
      </c>
      <c r="AE20">
        <v>32</v>
      </c>
      <c r="AF20">
        <v>25</v>
      </c>
      <c r="AH20" t="s">
        <v>8027</v>
      </c>
      <c r="AI20" t="s">
        <v>8026</v>
      </c>
      <c r="AJ20" t="s">
        <v>8025</v>
      </c>
      <c r="AK20" t="s">
        <v>8024</v>
      </c>
      <c r="AL20">
        <v>14</v>
      </c>
      <c r="AM20" s="5">
        <f t="shared" si="3"/>
        <v>0.53846153846153844</v>
      </c>
      <c r="AN20" s="4">
        <f t="shared" si="4"/>
        <v>8.1554189846503363E-4</v>
      </c>
      <c r="AO20" s="3"/>
      <c r="AP20">
        <v>0</v>
      </c>
      <c r="AR20" t="s">
        <v>0</v>
      </c>
      <c r="AT20" s="2">
        <v>1.3140000000000001</v>
      </c>
      <c r="AU20" s="1">
        <f t="shared" si="5"/>
        <v>0.72519501486217552</v>
      </c>
      <c r="AV20" s="1">
        <f t="shared" si="6"/>
        <v>0.54129763628626926</v>
      </c>
      <c r="AW20" s="1">
        <f t="shared" si="7"/>
        <v>0.35740025771036288</v>
      </c>
    </row>
    <row r="21" spans="1:49" x14ac:dyDescent="0.2">
      <c r="A21">
        <v>19</v>
      </c>
      <c r="B21" t="s">
        <v>8023</v>
      </c>
      <c r="C21" t="s">
        <v>8022</v>
      </c>
      <c r="F21" t="s">
        <v>8021</v>
      </c>
      <c r="G21" t="s">
        <v>6</v>
      </c>
      <c r="H21" t="s">
        <v>5</v>
      </c>
      <c r="I21" t="s">
        <v>451</v>
      </c>
      <c r="J21" t="s">
        <v>8020</v>
      </c>
      <c r="K21" t="s">
        <v>8019</v>
      </c>
      <c r="L21" t="s">
        <v>2171</v>
      </c>
      <c r="M21" t="s">
        <v>216</v>
      </c>
      <c r="N21">
        <v>6</v>
      </c>
      <c r="O21" t="s">
        <v>8018</v>
      </c>
      <c r="P21" t="s">
        <v>8017</v>
      </c>
      <c r="Q21" t="s">
        <v>8016</v>
      </c>
      <c r="R21" s="7">
        <v>35404</v>
      </c>
      <c r="S21" s="8">
        <f t="shared" si="0"/>
        <v>1996</v>
      </c>
      <c r="T21" s="8">
        <v>1996</v>
      </c>
      <c r="U21" s="8">
        <f t="shared" si="1"/>
        <v>26</v>
      </c>
      <c r="V21" s="7">
        <v>35404</v>
      </c>
      <c r="W21" t="s">
        <v>358</v>
      </c>
      <c r="X21" s="2">
        <v>0.375</v>
      </c>
      <c r="Y21" s="6">
        <f t="shared" si="2"/>
        <v>1.0010410827260351E-2</v>
      </c>
      <c r="AA21">
        <v>135194</v>
      </c>
      <c r="AB21">
        <v>24918</v>
      </c>
      <c r="AD21" t="s">
        <v>1</v>
      </c>
      <c r="AE21">
        <v>32</v>
      </c>
      <c r="AF21">
        <v>25</v>
      </c>
      <c r="AH21" t="s">
        <v>8015</v>
      </c>
      <c r="AI21" t="s">
        <v>8014</v>
      </c>
      <c r="AJ21" t="s">
        <v>8013</v>
      </c>
      <c r="AK21" t="s">
        <v>8012</v>
      </c>
      <c r="AL21">
        <v>45</v>
      </c>
      <c r="AM21" s="5">
        <f t="shared" si="3"/>
        <v>1.7307692307692308</v>
      </c>
      <c r="AN21" s="4">
        <f t="shared" si="4"/>
        <v>2.6213846736376084E-3</v>
      </c>
      <c r="AO21" s="3"/>
      <c r="AP21">
        <v>0</v>
      </c>
      <c r="AR21" t="s">
        <v>0</v>
      </c>
      <c r="AT21" s="2">
        <v>1.3140000000000001</v>
      </c>
      <c r="AU21" s="1">
        <f t="shared" si="5"/>
        <v>0.77937029811735281</v>
      </c>
      <c r="AV21" s="1">
        <f t="shared" si="6"/>
        <v>0.63158977504489799</v>
      </c>
      <c r="AW21" s="1">
        <f t="shared" si="7"/>
        <v>0.48380925197244307</v>
      </c>
    </row>
    <row r="22" spans="1:49" x14ac:dyDescent="0.2">
      <c r="A22">
        <v>20</v>
      </c>
      <c r="B22" t="s">
        <v>8011</v>
      </c>
      <c r="C22" t="s">
        <v>8010</v>
      </c>
      <c r="F22" t="s">
        <v>8009</v>
      </c>
      <c r="G22" t="s">
        <v>6</v>
      </c>
      <c r="H22" t="s">
        <v>5</v>
      </c>
      <c r="I22" t="s">
        <v>8008</v>
      </c>
      <c r="N22">
        <v>3</v>
      </c>
      <c r="O22" t="s">
        <v>8007</v>
      </c>
      <c r="P22" t="s">
        <v>8006</v>
      </c>
      <c r="Q22" t="s">
        <v>75</v>
      </c>
      <c r="R22" s="7">
        <v>35404</v>
      </c>
      <c r="S22" s="8">
        <f t="shared" si="0"/>
        <v>1996</v>
      </c>
      <c r="T22" s="8">
        <v>1996</v>
      </c>
      <c r="U22" s="8">
        <f t="shared" si="1"/>
        <v>26</v>
      </c>
      <c r="V22" s="7">
        <v>35404</v>
      </c>
      <c r="W22" t="s">
        <v>109</v>
      </c>
      <c r="X22" s="2">
        <v>0.30399999999999999</v>
      </c>
      <c r="Y22" s="6">
        <f t="shared" si="2"/>
        <v>8.115106377299057E-3</v>
      </c>
      <c r="AA22">
        <v>8952477</v>
      </c>
      <c r="AB22">
        <v>12250</v>
      </c>
      <c r="AD22" t="s">
        <v>1</v>
      </c>
      <c r="AE22">
        <v>13</v>
      </c>
      <c r="AF22">
        <v>5</v>
      </c>
      <c r="AH22" t="s">
        <v>56</v>
      </c>
      <c r="AI22" t="s">
        <v>8005</v>
      </c>
      <c r="AJ22" t="s">
        <v>8004</v>
      </c>
      <c r="AK22" t="s">
        <v>8003</v>
      </c>
      <c r="AL22">
        <v>3</v>
      </c>
      <c r="AM22" s="5">
        <f t="shared" si="3"/>
        <v>0.11538461538461539</v>
      </c>
      <c r="AN22" s="4">
        <f t="shared" si="4"/>
        <v>1.7475897824250722E-4</v>
      </c>
      <c r="AO22" s="3"/>
      <c r="AP22">
        <v>0</v>
      </c>
      <c r="AR22" t="s">
        <v>0</v>
      </c>
      <c r="AT22" s="2" t="s">
        <v>9</v>
      </c>
      <c r="AU22" s="1">
        <f t="shared" si="5"/>
        <v>0.57330021575820911</v>
      </c>
      <c r="AV22" s="1">
        <f t="shared" si="6"/>
        <v>0.41449326777707818</v>
      </c>
      <c r="AW22" s="1">
        <f t="shared" si="7"/>
        <v>0.25568631979594719</v>
      </c>
    </row>
    <row r="23" spans="1:49" x14ac:dyDescent="0.2">
      <c r="A23">
        <v>21</v>
      </c>
      <c r="B23" t="s">
        <v>8002</v>
      </c>
      <c r="C23" t="s">
        <v>8001</v>
      </c>
      <c r="F23" t="s">
        <v>8000</v>
      </c>
      <c r="G23" t="s">
        <v>6</v>
      </c>
      <c r="H23" t="s">
        <v>5</v>
      </c>
      <c r="I23" t="s">
        <v>7999</v>
      </c>
      <c r="J23" t="s">
        <v>7994</v>
      </c>
      <c r="K23" t="s">
        <v>7998</v>
      </c>
      <c r="L23" t="s">
        <v>7997</v>
      </c>
      <c r="M23" t="s">
        <v>13</v>
      </c>
      <c r="N23">
        <v>2</v>
      </c>
      <c r="O23" t="s">
        <v>7996</v>
      </c>
      <c r="P23" t="s">
        <v>7995</v>
      </c>
      <c r="Q23" t="s">
        <v>7994</v>
      </c>
      <c r="R23" s="7">
        <v>35404</v>
      </c>
      <c r="S23" s="8">
        <f t="shared" si="0"/>
        <v>1996</v>
      </c>
      <c r="T23" s="8">
        <v>1996</v>
      </c>
      <c r="U23" s="8">
        <f t="shared" si="1"/>
        <v>26</v>
      </c>
      <c r="V23" s="7">
        <v>35404</v>
      </c>
      <c r="W23" t="s">
        <v>109</v>
      </c>
      <c r="X23" s="2">
        <v>0.30399999999999999</v>
      </c>
      <c r="Y23" s="6">
        <f t="shared" si="2"/>
        <v>8.115106377299057E-3</v>
      </c>
      <c r="AA23">
        <v>8952477</v>
      </c>
      <c r="AB23">
        <v>12250</v>
      </c>
      <c r="AD23" t="s">
        <v>1</v>
      </c>
      <c r="AE23">
        <v>13</v>
      </c>
      <c r="AF23">
        <v>5</v>
      </c>
      <c r="AH23" t="s">
        <v>87</v>
      </c>
      <c r="AI23" t="s">
        <v>7993</v>
      </c>
      <c r="AJ23" t="s">
        <v>7992</v>
      </c>
      <c r="AK23" t="s">
        <v>7991</v>
      </c>
      <c r="AL23">
        <v>4</v>
      </c>
      <c r="AM23" s="5">
        <f t="shared" si="3"/>
        <v>0.15384615384615385</v>
      </c>
      <c r="AN23" s="4">
        <f t="shared" si="4"/>
        <v>2.3301197099000962E-4</v>
      </c>
      <c r="AO23" s="3"/>
      <c r="AP23">
        <v>0</v>
      </c>
      <c r="AR23" t="s">
        <v>0</v>
      </c>
      <c r="AT23" s="2" t="s">
        <v>9</v>
      </c>
      <c r="AU23" s="1">
        <f t="shared" si="5"/>
        <v>0.57504780554063428</v>
      </c>
      <c r="AV23" s="1">
        <f t="shared" si="6"/>
        <v>0.41740591741445332</v>
      </c>
      <c r="AW23" s="1">
        <f t="shared" si="7"/>
        <v>0.25976402928827236</v>
      </c>
    </row>
    <row r="24" spans="1:49" x14ac:dyDescent="0.2">
      <c r="A24">
        <v>22</v>
      </c>
      <c r="B24" t="s">
        <v>7990</v>
      </c>
      <c r="F24" t="s">
        <v>7989</v>
      </c>
      <c r="G24" t="s">
        <v>6</v>
      </c>
      <c r="H24" t="s">
        <v>5</v>
      </c>
      <c r="I24" t="s">
        <v>7988</v>
      </c>
      <c r="N24">
        <v>1</v>
      </c>
      <c r="O24" t="s">
        <v>7987</v>
      </c>
      <c r="P24">
        <v>6505998167</v>
      </c>
      <c r="R24" s="7">
        <v>35400</v>
      </c>
      <c r="S24" s="8">
        <f t="shared" si="0"/>
        <v>1996</v>
      </c>
      <c r="T24" s="8">
        <v>1996</v>
      </c>
      <c r="U24" s="8">
        <f t="shared" si="1"/>
        <v>26</v>
      </c>
      <c r="V24" s="7">
        <v>1996</v>
      </c>
      <c r="W24" t="s">
        <v>690</v>
      </c>
      <c r="X24" s="2" t="s">
        <v>9</v>
      </c>
      <c r="Y24" s="6" t="e">
        <f t="shared" si="2"/>
        <v>#VALUE!</v>
      </c>
      <c r="AA24">
        <v>1914642</v>
      </c>
      <c r="AB24">
        <v>63875</v>
      </c>
      <c r="AD24" t="s">
        <v>1</v>
      </c>
      <c r="AE24">
        <v>78</v>
      </c>
      <c r="AF24">
        <v>3</v>
      </c>
      <c r="AH24">
        <v>58</v>
      </c>
      <c r="AI24" t="s">
        <v>7986</v>
      </c>
      <c r="AK24" t="s">
        <v>7985</v>
      </c>
      <c r="AL24">
        <v>0</v>
      </c>
      <c r="AM24" s="5">
        <f t="shared" si="3"/>
        <v>0</v>
      </c>
      <c r="AN24" s="4">
        <f t="shared" si="4"/>
        <v>0</v>
      </c>
      <c r="AO24" s="3"/>
      <c r="AP24">
        <v>0</v>
      </c>
      <c r="AR24" t="s">
        <v>0</v>
      </c>
      <c r="AT24" s="2" t="s">
        <v>9</v>
      </c>
      <c r="AU24" s="1" t="e">
        <f t="shared" si="5"/>
        <v>#VALUE!</v>
      </c>
      <c r="AV24" s="1" t="e">
        <f t="shared" si="6"/>
        <v>#VALUE!</v>
      </c>
      <c r="AW24" s="1" t="e">
        <f t="shared" si="7"/>
        <v>#VALUE!</v>
      </c>
    </row>
    <row r="25" spans="1:49" x14ac:dyDescent="0.2">
      <c r="A25">
        <v>23</v>
      </c>
      <c r="B25" t="s">
        <v>7984</v>
      </c>
      <c r="C25" t="s">
        <v>7983</v>
      </c>
      <c r="F25" t="s">
        <v>7982</v>
      </c>
      <c r="G25" t="s">
        <v>6</v>
      </c>
      <c r="H25" t="s">
        <v>5</v>
      </c>
      <c r="I25" t="s">
        <v>7981</v>
      </c>
      <c r="J25" t="s">
        <v>7980</v>
      </c>
      <c r="K25" t="s">
        <v>7979</v>
      </c>
      <c r="L25" t="s">
        <v>7978</v>
      </c>
      <c r="M25" t="s">
        <v>355</v>
      </c>
      <c r="N25">
        <v>5</v>
      </c>
      <c r="O25" t="s">
        <v>7977</v>
      </c>
      <c r="P25" t="s">
        <v>7976</v>
      </c>
      <c r="Q25" t="s">
        <v>7975</v>
      </c>
      <c r="R25" s="7">
        <v>35400</v>
      </c>
      <c r="S25" s="8">
        <f t="shared" si="0"/>
        <v>1996</v>
      </c>
      <c r="T25" s="8">
        <v>1996</v>
      </c>
      <c r="U25" s="8">
        <f t="shared" si="1"/>
        <v>26</v>
      </c>
      <c r="V25" s="7">
        <v>1996</v>
      </c>
      <c r="W25" t="s">
        <v>458</v>
      </c>
      <c r="X25" s="2" t="s">
        <v>9</v>
      </c>
      <c r="Y25" s="6" t="e">
        <f t="shared" si="2"/>
        <v>#VALUE!</v>
      </c>
      <c r="AA25">
        <v>114626</v>
      </c>
      <c r="AB25">
        <v>27480</v>
      </c>
      <c r="AC25">
        <v>15729486</v>
      </c>
      <c r="AD25" t="s">
        <v>1</v>
      </c>
      <c r="AE25">
        <v>46</v>
      </c>
      <c r="AF25" t="s">
        <v>7743</v>
      </c>
      <c r="AH25" t="s">
        <v>7974</v>
      </c>
      <c r="AI25" t="s">
        <v>7973</v>
      </c>
      <c r="AK25" t="s">
        <v>7972</v>
      </c>
      <c r="AL25">
        <v>0</v>
      </c>
      <c r="AM25" s="5">
        <f t="shared" si="3"/>
        <v>0</v>
      </c>
      <c r="AN25" s="4">
        <f t="shared" si="4"/>
        <v>0</v>
      </c>
      <c r="AO25" s="3"/>
      <c r="AP25">
        <v>0</v>
      </c>
      <c r="AR25" t="s">
        <v>0</v>
      </c>
      <c r="AT25" s="2" t="s">
        <v>9</v>
      </c>
      <c r="AU25" s="1" t="e">
        <f t="shared" si="5"/>
        <v>#VALUE!</v>
      </c>
      <c r="AV25" s="1" t="e">
        <f t="shared" si="6"/>
        <v>#VALUE!</v>
      </c>
      <c r="AW25" s="1" t="e">
        <f t="shared" si="7"/>
        <v>#VALUE!</v>
      </c>
    </row>
    <row r="26" spans="1:49" x14ac:dyDescent="0.2">
      <c r="A26">
        <v>24</v>
      </c>
      <c r="B26" t="s">
        <v>7971</v>
      </c>
      <c r="F26" t="s">
        <v>7970</v>
      </c>
      <c r="G26" t="s">
        <v>6</v>
      </c>
      <c r="H26" t="s">
        <v>5</v>
      </c>
      <c r="I26" t="s">
        <v>7969</v>
      </c>
      <c r="J26">
        <v>60005465</v>
      </c>
      <c r="K26" t="s">
        <v>300</v>
      </c>
      <c r="L26" t="s">
        <v>299</v>
      </c>
      <c r="M26" t="s">
        <v>35</v>
      </c>
      <c r="N26">
        <v>2</v>
      </c>
      <c r="O26" t="s">
        <v>7968</v>
      </c>
      <c r="P26" t="s">
        <v>7967</v>
      </c>
      <c r="Q26" t="s">
        <v>7966</v>
      </c>
      <c r="R26" s="7">
        <v>35400</v>
      </c>
      <c r="S26" s="8">
        <f t="shared" si="0"/>
        <v>1996</v>
      </c>
      <c r="T26" s="8">
        <v>1996</v>
      </c>
      <c r="U26" s="8">
        <f t="shared" si="1"/>
        <v>26</v>
      </c>
      <c r="V26" s="7">
        <v>1996</v>
      </c>
      <c r="W26" t="s">
        <v>7965</v>
      </c>
      <c r="X26" s="2">
        <v>0.30099999999999999</v>
      </c>
      <c r="Y26" s="6">
        <f t="shared" si="2"/>
        <v>8.0350230906809754E-3</v>
      </c>
      <c r="AA26">
        <v>10044132</v>
      </c>
      <c r="AB26">
        <v>58655</v>
      </c>
      <c r="AD26" t="s">
        <v>1</v>
      </c>
      <c r="AE26">
        <v>7</v>
      </c>
      <c r="AF26">
        <v>1</v>
      </c>
      <c r="AH26" t="s">
        <v>151</v>
      </c>
      <c r="AI26" t="s">
        <v>7964</v>
      </c>
      <c r="AJ26" t="s">
        <v>7963</v>
      </c>
      <c r="AK26" t="s">
        <v>7962</v>
      </c>
      <c r="AL26">
        <v>1</v>
      </c>
      <c r="AM26" s="5">
        <f t="shared" si="3"/>
        <v>3.8461538461538464E-2</v>
      </c>
      <c r="AN26" s="4">
        <f t="shared" si="4"/>
        <v>5.8252992747502406E-5</v>
      </c>
      <c r="AO26" s="3"/>
      <c r="AP26">
        <v>0</v>
      </c>
      <c r="AR26" t="s">
        <v>0</v>
      </c>
      <c r="AT26" s="2">
        <v>1.1859999999999999</v>
      </c>
      <c r="AU26" s="1">
        <f t="shared" si="5"/>
        <v>0.56419920613009333</v>
      </c>
      <c r="AV26" s="1">
        <f t="shared" si="6"/>
        <v>0.40466380417142389</v>
      </c>
      <c r="AW26" s="1">
        <f t="shared" si="7"/>
        <v>0.24512840221275445</v>
      </c>
    </row>
    <row r="27" spans="1:49" x14ac:dyDescent="0.2">
      <c r="A27">
        <v>25</v>
      </c>
      <c r="B27" t="s">
        <v>7961</v>
      </c>
      <c r="F27" t="s">
        <v>7960</v>
      </c>
      <c r="G27" t="s">
        <v>6</v>
      </c>
      <c r="H27" t="s">
        <v>5</v>
      </c>
      <c r="I27" t="s">
        <v>7959</v>
      </c>
      <c r="J27">
        <v>60002959</v>
      </c>
      <c r="K27" t="s">
        <v>508</v>
      </c>
      <c r="L27" t="s">
        <v>507</v>
      </c>
      <c r="M27" t="s">
        <v>2</v>
      </c>
      <c r="N27">
        <v>1</v>
      </c>
      <c r="O27" t="s">
        <v>7958</v>
      </c>
      <c r="P27">
        <v>6603885012</v>
      </c>
      <c r="Q27">
        <v>60002959</v>
      </c>
      <c r="R27" s="7">
        <v>35400</v>
      </c>
      <c r="S27" s="8">
        <f t="shared" si="0"/>
        <v>1996</v>
      </c>
      <c r="T27" s="8">
        <v>1996</v>
      </c>
      <c r="U27" s="8">
        <f t="shared" si="1"/>
        <v>26</v>
      </c>
      <c r="V27" s="7">
        <v>1996</v>
      </c>
      <c r="W27" t="s">
        <v>7957</v>
      </c>
      <c r="X27" s="2">
        <v>0.40799999999999997</v>
      </c>
      <c r="Y27" s="6">
        <f t="shared" si="2"/>
        <v>1.0891326980059261E-2</v>
      </c>
      <c r="AA27" t="s">
        <v>7956</v>
      </c>
      <c r="AB27">
        <v>13750</v>
      </c>
      <c r="AD27" t="s">
        <v>1</v>
      </c>
      <c r="AE27">
        <v>49</v>
      </c>
      <c r="AF27">
        <v>8</v>
      </c>
      <c r="AH27" t="s">
        <v>7955</v>
      </c>
      <c r="AI27" t="s">
        <v>7954</v>
      </c>
      <c r="AK27" t="s">
        <v>7953</v>
      </c>
      <c r="AL27">
        <v>3</v>
      </c>
      <c r="AM27" s="5">
        <f t="shared" si="3"/>
        <v>0.11538461538461539</v>
      </c>
      <c r="AN27" s="4">
        <f t="shared" si="4"/>
        <v>1.7475897824250722E-4</v>
      </c>
      <c r="AO27" s="3"/>
      <c r="AP27">
        <v>0</v>
      </c>
      <c r="AR27" t="s">
        <v>0</v>
      </c>
      <c r="AT27" s="2" t="s">
        <v>9</v>
      </c>
      <c r="AU27" s="1">
        <f t="shared" si="5"/>
        <v>0.76763565795142341</v>
      </c>
      <c r="AV27" s="1">
        <f t="shared" si="6"/>
        <v>0.55330429791508839</v>
      </c>
      <c r="AW27" s="1">
        <f t="shared" si="7"/>
        <v>0.33897293787875332</v>
      </c>
    </row>
    <row r="28" spans="1:49" x14ac:dyDescent="0.2">
      <c r="A28">
        <v>26</v>
      </c>
      <c r="B28" t="s">
        <v>7952</v>
      </c>
      <c r="F28" t="s">
        <v>7951</v>
      </c>
      <c r="G28" t="s">
        <v>6</v>
      </c>
      <c r="H28" t="s">
        <v>5</v>
      </c>
      <c r="I28" t="s">
        <v>7950</v>
      </c>
      <c r="J28">
        <v>60015138</v>
      </c>
      <c r="K28" t="s">
        <v>229</v>
      </c>
      <c r="L28" t="s">
        <v>228</v>
      </c>
      <c r="M28" t="s">
        <v>19</v>
      </c>
      <c r="N28">
        <v>2</v>
      </c>
      <c r="O28" t="s">
        <v>7949</v>
      </c>
      <c r="P28" t="s">
        <v>7948</v>
      </c>
      <c r="Q28" t="s">
        <v>7947</v>
      </c>
      <c r="R28" s="7">
        <v>35400</v>
      </c>
      <c r="S28" s="8">
        <f t="shared" si="0"/>
        <v>1996</v>
      </c>
      <c r="T28" s="8">
        <v>1996</v>
      </c>
      <c r="U28" s="8">
        <f t="shared" si="1"/>
        <v>26</v>
      </c>
      <c r="V28" s="7">
        <v>1996</v>
      </c>
      <c r="W28" t="s">
        <v>408</v>
      </c>
      <c r="X28" s="2">
        <v>0.1</v>
      </c>
      <c r="Y28" s="6">
        <f t="shared" si="2"/>
        <v>2.6694428872694269E-3</v>
      </c>
      <c r="AA28">
        <v>9633308</v>
      </c>
      <c r="AB28">
        <v>17917</v>
      </c>
      <c r="AD28" t="s">
        <v>1</v>
      </c>
      <c r="AF28">
        <v>53</v>
      </c>
      <c r="AI28" t="s">
        <v>7946</v>
      </c>
      <c r="AK28" t="s">
        <v>7945</v>
      </c>
      <c r="AL28">
        <v>1</v>
      </c>
      <c r="AM28" s="5">
        <f t="shared" si="3"/>
        <v>3.8461538461538464E-2</v>
      </c>
      <c r="AN28" s="4">
        <f t="shared" si="4"/>
        <v>5.8252992747502406E-5</v>
      </c>
      <c r="AO28" s="3"/>
      <c r="AP28">
        <v>0</v>
      </c>
      <c r="AR28" t="s">
        <v>0</v>
      </c>
      <c r="AT28" s="2" t="s">
        <v>9</v>
      </c>
      <c r="AU28" s="1">
        <f t="shared" si="5"/>
        <v>0.18860859189128495</v>
      </c>
      <c r="AV28" s="1">
        <f t="shared" si="6"/>
        <v>0.13638479400084647</v>
      </c>
      <c r="AW28" s="1">
        <f t="shared" si="7"/>
        <v>8.4160996110407962E-2</v>
      </c>
    </row>
    <row r="29" spans="1:49" x14ac:dyDescent="0.2">
      <c r="A29">
        <v>27</v>
      </c>
      <c r="B29" t="s">
        <v>7944</v>
      </c>
      <c r="F29" t="s">
        <v>7943</v>
      </c>
      <c r="G29" t="s">
        <v>6</v>
      </c>
      <c r="H29" t="s">
        <v>5</v>
      </c>
      <c r="I29" t="s">
        <v>7942</v>
      </c>
      <c r="J29">
        <v>60086242</v>
      </c>
      <c r="K29" t="s">
        <v>412</v>
      </c>
      <c r="L29" t="s">
        <v>411</v>
      </c>
      <c r="M29" t="s">
        <v>30</v>
      </c>
      <c r="N29">
        <v>1</v>
      </c>
      <c r="O29" t="s">
        <v>7941</v>
      </c>
      <c r="P29">
        <v>57197342889</v>
      </c>
      <c r="Q29">
        <v>60086242</v>
      </c>
      <c r="R29" s="7">
        <v>35400</v>
      </c>
      <c r="S29" s="8">
        <f t="shared" si="0"/>
        <v>1996</v>
      </c>
      <c r="T29" s="8">
        <v>1996</v>
      </c>
      <c r="U29" s="8">
        <f t="shared" si="1"/>
        <v>26</v>
      </c>
      <c r="V29" s="7">
        <v>1996</v>
      </c>
      <c r="W29" t="s">
        <v>408</v>
      </c>
      <c r="X29" s="2">
        <v>0.1</v>
      </c>
      <c r="Y29" s="6">
        <f t="shared" si="2"/>
        <v>2.6694428872694269E-3</v>
      </c>
      <c r="AA29">
        <v>9633308</v>
      </c>
      <c r="AB29">
        <v>17917</v>
      </c>
      <c r="AD29" t="s">
        <v>1</v>
      </c>
      <c r="AF29">
        <v>13</v>
      </c>
      <c r="AI29" t="s">
        <v>7940</v>
      </c>
      <c r="AK29" t="s">
        <v>7939</v>
      </c>
      <c r="AL29">
        <v>0</v>
      </c>
      <c r="AM29" s="5">
        <f t="shared" si="3"/>
        <v>0</v>
      </c>
      <c r="AN29" s="4">
        <f t="shared" si="4"/>
        <v>0</v>
      </c>
      <c r="AO29" s="3"/>
      <c r="AP29">
        <v>0</v>
      </c>
      <c r="AR29" t="s">
        <v>0</v>
      </c>
      <c r="AT29" s="2" t="s">
        <v>9</v>
      </c>
      <c r="AU29" s="1">
        <f t="shared" si="5"/>
        <v>0.18686100210885986</v>
      </c>
      <c r="AV29" s="1">
        <f t="shared" si="6"/>
        <v>0.13347214436347135</v>
      </c>
      <c r="AW29" s="1">
        <f t="shared" si="7"/>
        <v>8.0083286618082811E-2</v>
      </c>
    </row>
    <row r="30" spans="1:49" x14ac:dyDescent="0.2">
      <c r="A30">
        <v>28</v>
      </c>
      <c r="B30" t="s">
        <v>7938</v>
      </c>
      <c r="F30" t="s">
        <v>7937</v>
      </c>
      <c r="G30" t="s">
        <v>6</v>
      </c>
      <c r="H30" t="s">
        <v>5</v>
      </c>
      <c r="I30" t="s">
        <v>7936</v>
      </c>
      <c r="J30">
        <v>60016418</v>
      </c>
      <c r="K30" t="s">
        <v>354</v>
      </c>
      <c r="L30" t="s">
        <v>353</v>
      </c>
      <c r="M30" t="s">
        <v>19</v>
      </c>
      <c r="N30">
        <v>2</v>
      </c>
      <c r="O30" t="s">
        <v>7935</v>
      </c>
      <c r="P30" t="s">
        <v>7934</v>
      </c>
      <c r="Q30" t="s">
        <v>352</v>
      </c>
      <c r="R30" s="7">
        <v>35400</v>
      </c>
      <c r="S30" s="8">
        <f t="shared" si="0"/>
        <v>1996</v>
      </c>
      <c r="T30" s="8">
        <v>1996</v>
      </c>
      <c r="U30" s="8">
        <f t="shared" si="1"/>
        <v>26</v>
      </c>
      <c r="V30" s="7">
        <v>1996</v>
      </c>
      <c r="W30" t="s">
        <v>408</v>
      </c>
      <c r="X30" s="2">
        <v>0.1</v>
      </c>
      <c r="Y30" s="6">
        <f t="shared" si="2"/>
        <v>2.6694428872694269E-3</v>
      </c>
      <c r="AA30">
        <v>9633308</v>
      </c>
      <c r="AB30">
        <v>17917</v>
      </c>
      <c r="AD30" t="s">
        <v>1</v>
      </c>
      <c r="AF30">
        <v>53</v>
      </c>
      <c r="AL30">
        <v>0</v>
      </c>
      <c r="AM30" s="5">
        <f t="shared" si="3"/>
        <v>0</v>
      </c>
      <c r="AN30" s="4">
        <f t="shared" si="4"/>
        <v>0</v>
      </c>
      <c r="AO30" s="3"/>
      <c r="AP30">
        <v>0</v>
      </c>
      <c r="AR30" t="s">
        <v>0</v>
      </c>
      <c r="AT30" s="2" t="s">
        <v>9</v>
      </c>
      <c r="AU30" s="1">
        <f t="shared" si="5"/>
        <v>0.18686100210885986</v>
      </c>
      <c r="AV30" s="1">
        <f t="shared" si="6"/>
        <v>0.13347214436347135</v>
      </c>
      <c r="AW30" s="1">
        <f t="shared" si="7"/>
        <v>8.0083286618082811E-2</v>
      </c>
    </row>
    <row r="31" spans="1:49" x14ac:dyDescent="0.2">
      <c r="A31">
        <v>29</v>
      </c>
      <c r="B31" t="s">
        <v>7933</v>
      </c>
      <c r="C31" t="s">
        <v>7932</v>
      </c>
      <c r="D31" t="s">
        <v>7931</v>
      </c>
      <c r="F31" t="s">
        <v>7930</v>
      </c>
      <c r="G31" t="s">
        <v>6</v>
      </c>
      <c r="H31" t="s">
        <v>5</v>
      </c>
      <c r="I31" t="s">
        <v>7929</v>
      </c>
      <c r="J31">
        <v>100862605</v>
      </c>
      <c r="K31" t="s">
        <v>7928</v>
      </c>
      <c r="L31" t="s">
        <v>98</v>
      </c>
      <c r="M31" t="s">
        <v>97</v>
      </c>
      <c r="N31">
        <v>2</v>
      </c>
      <c r="O31" t="s">
        <v>7927</v>
      </c>
      <c r="P31" t="s">
        <v>7926</v>
      </c>
      <c r="Q31" t="s">
        <v>7925</v>
      </c>
      <c r="R31" s="7">
        <v>35400</v>
      </c>
      <c r="S31" s="8">
        <f t="shared" si="0"/>
        <v>1996</v>
      </c>
      <c r="T31" s="8">
        <v>1996</v>
      </c>
      <c r="U31" s="8">
        <f t="shared" si="1"/>
        <v>26</v>
      </c>
      <c r="V31" s="7">
        <v>1996</v>
      </c>
      <c r="W31" t="s">
        <v>150</v>
      </c>
      <c r="X31" s="2">
        <v>1.6519999999999999</v>
      </c>
      <c r="Y31" s="6">
        <f t="shared" si="2"/>
        <v>4.409919649769093E-2</v>
      </c>
      <c r="AA31" t="s">
        <v>149</v>
      </c>
      <c r="AB31">
        <v>17337</v>
      </c>
      <c r="AD31" t="s">
        <v>1</v>
      </c>
      <c r="AE31">
        <v>44</v>
      </c>
      <c r="AF31" t="s">
        <v>3550</v>
      </c>
      <c r="AH31" t="s">
        <v>7924</v>
      </c>
      <c r="AI31" t="s">
        <v>7923</v>
      </c>
      <c r="AK31" t="s">
        <v>7922</v>
      </c>
      <c r="AL31">
        <v>1</v>
      </c>
      <c r="AM31" s="5">
        <f t="shared" si="3"/>
        <v>3.8461538461538464E-2</v>
      </c>
      <c r="AN31" s="4">
        <f t="shared" si="4"/>
        <v>5.8252992747502406E-5</v>
      </c>
      <c r="AO31" s="3"/>
      <c r="AP31">
        <v>0</v>
      </c>
      <c r="AR31" t="s">
        <v>0</v>
      </c>
      <c r="AT31" s="2" t="s">
        <v>9</v>
      </c>
      <c r="AU31" s="1">
        <f t="shared" si="5"/>
        <v>3.0886913446207904</v>
      </c>
      <c r="AV31" s="1">
        <f t="shared" si="6"/>
        <v>2.2078724745219218</v>
      </c>
      <c r="AW31" s="1">
        <f t="shared" si="7"/>
        <v>1.327053604423053</v>
      </c>
    </row>
    <row r="32" spans="1:49" x14ac:dyDescent="0.2">
      <c r="A32">
        <v>30</v>
      </c>
      <c r="B32" t="s">
        <v>7921</v>
      </c>
      <c r="D32" t="s">
        <v>7920</v>
      </c>
      <c r="F32" t="s">
        <v>7919</v>
      </c>
      <c r="G32" t="s">
        <v>6</v>
      </c>
      <c r="H32" t="s">
        <v>5</v>
      </c>
      <c r="I32" t="s">
        <v>714</v>
      </c>
      <c r="J32" t="s">
        <v>7918</v>
      </c>
      <c r="K32" t="s">
        <v>7917</v>
      </c>
      <c r="L32" t="s">
        <v>7916</v>
      </c>
      <c r="M32" t="s">
        <v>741</v>
      </c>
      <c r="N32">
        <v>4</v>
      </c>
      <c r="O32" t="s">
        <v>713</v>
      </c>
      <c r="P32" t="s">
        <v>712</v>
      </c>
      <c r="Q32" t="s">
        <v>7915</v>
      </c>
      <c r="R32" s="7">
        <v>35400</v>
      </c>
      <c r="S32" s="8">
        <f t="shared" si="0"/>
        <v>1996</v>
      </c>
      <c r="T32" s="8">
        <v>1996</v>
      </c>
      <c r="U32" s="8">
        <f t="shared" si="1"/>
        <v>26</v>
      </c>
      <c r="V32" s="7">
        <v>1996</v>
      </c>
      <c r="W32" t="s">
        <v>711</v>
      </c>
      <c r="X32" s="2">
        <v>2.141</v>
      </c>
      <c r="Y32" s="6">
        <f t="shared" si="2"/>
        <v>5.7152772216438434E-2</v>
      </c>
      <c r="AA32">
        <v>1962892</v>
      </c>
      <c r="AB32">
        <v>17360</v>
      </c>
      <c r="AD32" t="s">
        <v>1</v>
      </c>
      <c r="AE32">
        <v>34</v>
      </c>
      <c r="AF32">
        <v>3</v>
      </c>
      <c r="AH32">
        <v>708719</v>
      </c>
      <c r="AI32" t="s">
        <v>7914</v>
      </c>
      <c r="AK32" t="s">
        <v>710</v>
      </c>
      <c r="AL32">
        <v>1</v>
      </c>
      <c r="AM32" s="5">
        <f t="shared" si="3"/>
        <v>3.8461538461538464E-2</v>
      </c>
      <c r="AN32" s="4">
        <f t="shared" si="4"/>
        <v>5.8252992747502406E-5</v>
      </c>
      <c r="AO32" s="3"/>
      <c r="AP32">
        <v>0</v>
      </c>
      <c r="AR32" t="s">
        <v>0</v>
      </c>
      <c r="AT32" s="2" t="s">
        <v>9</v>
      </c>
      <c r="AU32" s="1">
        <f t="shared" si="5"/>
        <v>4.0024416449331151</v>
      </c>
      <c r="AV32" s="1">
        <f t="shared" si="6"/>
        <v>2.8605512604592969</v>
      </c>
      <c r="AW32" s="1">
        <f t="shared" si="7"/>
        <v>1.7186608759854782</v>
      </c>
    </row>
    <row r="33" spans="1:49" x14ac:dyDescent="0.2">
      <c r="A33">
        <v>31</v>
      </c>
      <c r="B33" t="s">
        <v>7913</v>
      </c>
      <c r="C33" t="s">
        <v>1974</v>
      </c>
      <c r="D33" t="s">
        <v>7912</v>
      </c>
      <c r="F33" t="s">
        <v>7911</v>
      </c>
      <c r="G33" t="s">
        <v>6</v>
      </c>
      <c r="H33" t="s">
        <v>5</v>
      </c>
      <c r="I33" t="s">
        <v>7910</v>
      </c>
      <c r="J33">
        <v>60001881</v>
      </c>
      <c r="K33" t="s">
        <v>368</v>
      </c>
      <c r="L33" t="s">
        <v>367</v>
      </c>
      <c r="M33" t="s">
        <v>19</v>
      </c>
      <c r="N33">
        <v>1</v>
      </c>
      <c r="O33" t="s">
        <v>7909</v>
      </c>
      <c r="P33">
        <v>54679459400</v>
      </c>
      <c r="Q33">
        <v>60001881</v>
      </c>
      <c r="R33" s="7">
        <v>35400</v>
      </c>
      <c r="S33" s="8">
        <f t="shared" si="0"/>
        <v>1996</v>
      </c>
      <c r="T33" s="8">
        <v>1996</v>
      </c>
      <c r="U33" s="8">
        <f t="shared" si="1"/>
        <v>26</v>
      </c>
      <c r="V33" s="7">
        <v>1996</v>
      </c>
      <c r="W33" t="s">
        <v>150</v>
      </c>
      <c r="X33" s="2">
        <v>1.6519999999999999</v>
      </c>
      <c r="Y33" s="6">
        <f t="shared" si="2"/>
        <v>4.409919649769093E-2</v>
      </c>
      <c r="AA33" t="s">
        <v>149</v>
      </c>
      <c r="AB33">
        <v>17337</v>
      </c>
      <c r="AD33" t="s">
        <v>1</v>
      </c>
      <c r="AE33">
        <v>44</v>
      </c>
      <c r="AF33">
        <v>9</v>
      </c>
      <c r="AH33" t="s">
        <v>1969</v>
      </c>
      <c r="AI33" t="s">
        <v>7908</v>
      </c>
      <c r="AK33" t="s">
        <v>1967</v>
      </c>
      <c r="AL33">
        <v>0</v>
      </c>
      <c r="AM33" s="5">
        <f t="shared" si="3"/>
        <v>0</v>
      </c>
      <c r="AN33" s="4">
        <f t="shared" si="4"/>
        <v>0</v>
      </c>
      <c r="AO33" s="3"/>
      <c r="AP33">
        <v>0</v>
      </c>
      <c r="AR33" t="s">
        <v>0</v>
      </c>
      <c r="AT33" s="2" t="s">
        <v>9</v>
      </c>
      <c r="AU33" s="1">
        <f t="shared" si="5"/>
        <v>3.0869437548383649</v>
      </c>
      <c r="AV33" s="1">
        <f t="shared" si="6"/>
        <v>2.2049598248845466</v>
      </c>
      <c r="AW33" s="1">
        <f t="shared" si="7"/>
        <v>1.3229758949307278</v>
      </c>
    </row>
    <row r="34" spans="1:49" x14ac:dyDescent="0.2">
      <c r="A34">
        <v>32</v>
      </c>
      <c r="B34" t="s">
        <v>7907</v>
      </c>
      <c r="C34" t="s">
        <v>7906</v>
      </c>
      <c r="D34" t="s">
        <v>7905</v>
      </c>
      <c r="F34" t="s">
        <v>7904</v>
      </c>
      <c r="G34" t="s">
        <v>6</v>
      </c>
      <c r="H34" t="s">
        <v>5</v>
      </c>
      <c r="I34" t="s">
        <v>380</v>
      </c>
      <c r="J34">
        <v>60021859</v>
      </c>
      <c r="K34" t="s">
        <v>321</v>
      </c>
      <c r="L34" t="s">
        <v>43</v>
      </c>
      <c r="M34" t="s">
        <v>42</v>
      </c>
      <c r="N34">
        <v>3</v>
      </c>
      <c r="O34" t="s">
        <v>7903</v>
      </c>
      <c r="P34" t="s">
        <v>7902</v>
      </c>
      <c r="Q34" t="s">
        <v>7901</v>
      </c>
      <c r="R34" s="7">
        <v>35400</v>
      </c>
      <c r="S34" s="8">
        <f t="shared" si="0"/>
        <v>1996</v>
      </c>
      <c r="T34" s="8">
        <v>1996</v>
      </c>
      <c r="U34" s="8">
        <f t="shared" si="1"/>
        <v>26</v>
      </c>
      <c r="V34" s="7">
        <v>1996</v>
      </c>
      <c r="W34" t="s">
        <v>150</v>
      </c>
      <c r="X34" s="2">
        <v>1.6519999999999999</v>
      </c>
      <c r="Y34" s="6">
        <f t="shared" si="2"/>
        <v>4.409919649769093E-2</v>
      </c>
      <c r="AA34" t="s">
        <v>149</v>
      </c>
      <c r="AB34">
        <v>17337</v>
      </c>
      <c r="AD34" t="s">
        <v>1</v>
      </c>
      <c r="AE34">
        <v>44</v>
      </c>
      <c r="AF34" t="s">
        <v>3550</v>
      </c>
      <c r="AH34" t="s">
        <v>7900</v>
      </c>
      <c r="AI34" t="s">
        <v>7899</v>
      </c>
      <c r="AK34" t="s">
        <v>7898</v>
      </c>
      <c r="AL34">
        <v>51</v>
      </c>
      <c r="AM34" s="5">
        <f t="shared" si="3"/>
        <v>1.9615384615384615</v>
      </c>
      <c r="AN34" s="4">
        <f t="shared" si="4"/>
        <v>2.9709026301226226E-3</v>
      </c>
      <c r="AO34" s="3"/>
      <c r="AP34">
        <v>0</v>
      </c>
      <c r="AR34" t="s">
        <v>0</v>
      </c>
      <c r="AT34" s="2" t="s">
        <v>9</v>
      </c>
      <c r="AU34" s="1">
        <f t="shared" si="5"/>
        <v>3.1760708337420436</v>
      </c>
      <c r="AV34" s="1">
        <f t="shared" si="6"/>
        <v>2.3535049563906778</v>
      </c>
      <c r="AW34" s="1">
        <f t="shared" si="7"/>
        <v>1.5309390790393114</v>
      </c>
    </row>
    <row r="35" spans="1:49" x14ac:dyDescent="0.2">
      <c r="A35">
        <v>33</v>
      </c>
      <c r="B35" t="s">
        <v>7897</v>
      </c>
      <c r="D35" t="s">
        <v>7890</v>
      </c>
      <c r="F35" t="s">
        <v>7896</v>
      </c>
      <c r="G35" t="s">
        <v>6</v>
      </c>
      <c r="H35" t="s">
        <v>5</v>
      </c>
      <c r="I35" t="s">
        <v>7895</v>
      </c>
      <c r="J35">
        <v>60006832</v>
      </c>
      <c r="K35" t="s">
        <v>4527</v>
      </c>
      <c r="L35" t="s">
        <v>4526</v>
      </c>
      <c r="M35" t="s">
        <v>2</v>
      </c>
      <c r="N35">
        <v>1</v>
      </c>
      <c r="O35" t="s">
        <v>7894</v>
      </c>
      <c r="P35">
        <v>55665154800</v>
      </c>
      <c r="Q35">
        <v>60006832</v>
      </c>
      <c r="R35" s="7">
        <v>35400</v>
      </c>
      <c r="S35" s="8">
        <f t="shared" si="0"/>
        <v>1996</v>
      </c>
      <c r="T35" s="8">
        <v>1996</v>
      </c>
      <c r="U35" s="8">
        <f t="shared" si="1"/>
        <v>26</v>
      </c>
      <c r="V35" s="7">
        <v>1996</v>
      </c>
      <c r="W35" t="s">
        <v>694</v>
      </c>
      <c r="X35" s="2">
        <v>1.6379999999999999</v>
      </c>
      <c r="Y35" s="6">
        <f t="shared" si="2"/>
        <v>4.3725474493473214E-2</v>
      </c>
      <c r="AA35" t="s">
        <v>693</v>
      </c>
      <c r="AB35">
        <v>17391</v>
      </c>
      <c r="AD35" t="s">
        <v>1</v>
      </c>
      <c r="AE35">
        <v>44</v>
      </c>
      <c r="AF35">
        <v>10</v>
      </c>
      <c r="AH35">
        <v>2659</v>
      </c>
      <c r="AI35" t="s">
        <v>7893</v>
      </c>
      <c r="AK35" t="s">
        <v>7892</v>
      </c>
      <c r="AL35">
        <v>0</v>
      </c>
      <c r="AM35" s="5">
        <f t="shared" si="3"/>
        <v>0</v>
      </c>
      <c r="AN35" s="4">
        <f t="shared" si="4"/>
        <v>0</v>
      </c>
      <c r="AO35" s="3"/>
      <c r="AP35">
        <v>0</v>
      </c>
      <c r="AR35" t="s">
        <v>0</v>
      </c>
      <c r="AT35" s="2">
        <v>4.931</v>
      </c>
      <c r="AU35" s="1">
        <f t="shared" si="5"/>
        <v>3.0607832145431249</v>
      </c>
      <c r="AV35" s="1">
        <f t="shared" si="6"/>
        <v>2.1862737246736605</v>
      </c>
      <c r="AW35" s="1">
        <f t="shared" si="7"/>
        <v>1.3117642348041965</v>
      </c>
    </row>
    <row r="36" spans="1:49" x14ac:dyDescent="0.2">
      <c r="A36">
        <v>34</v>
      </c>
      <c r="B36" t="s">
        <v>7891</v>
      </c>
      <c r="D36" t="s">
        <v>7890</v>
      </c>
      <c r="F36" t="s">
        <v>7889</v>
      </c>
      <c r="G36" t="s">
        <v>6</v>
      </c>
      <c r="H36" t="s">
        <v>5</v>
      </c>
      <c r="I36" t="s">
        <v>327</v>
      </c>
      <c r="J36">
        <v>60021918</v>
      </c>
      <c r="K36" t="s">
        <v>7888</v>
      </c>
      <c r="L36" t="s">
        <v>7887</v>
      </c>
      <c r="M36" t="s">
        <v>2</v>
      </c>
      <c r="N36">
        <v>2</v>
      </c>
      <c r="O36" t="s">
        <v>7886</v>
      </c>
      <c r="P36" t="s">
        <v>7885</v>
      </c>
      <c r="Q36" t="s">
        <v>7884</v>
      </c>
      <c r="R36" s="7">
        <v>35400</v>
      </c>
      <c r="S36" s="8">
        <f t="shared" si="0"/>
        <v>1996</v>
      </c>
      <c r="T36" s="8">
        <v>1996</v>
      </c>
      <c r="U36" s="8">
        <f t="shared" si="1"/>
        <v>26</v>
      </c>
      <c r="V36" s="7">
        <v>1996</v>
      </c>
      <c r="W36" t="s">
        <v>694</v>
      </c>
      <c r="X36" s="2">
        <v>1.6379999999999999</v>
      </c>
      <c r="Y36" s="6">
        <f t="shared" si="2"/>
        <v>4.3725474493473214E-2</v>
      </c>
      <c r="AA36" t="s">
        <v>693</v>
      </c>
      <c r="AB36">
        <v>17391</v>
      </c>
      <c r="AD36" t="s">
        <v>1</v>
      </c>
      <c r="AE36">
        <v>44</v>
      </c>
      <c r="AF36">
        <v>10</v>
      </c>
      <c r="AH36">
        <v>2658</v>
      </c>
      <c r="AI36" t="s">
        <v>7883</v>
      </c>
      <c r="AK36" t="s">
        <v>7882</v>
      </c>
      <c r="AL36">
        <v>0</v>
      </c>
      <c r="AM36" s="5">
        <f t="shared" si="3"/>
        <v>0</v>
      </c>
      <c r="AN36" s="4">
        <f t="shared" si="4"/>
        <v>0</v>
      </c>
      <c r="AO36" s="3"/>
      <c r="AP36">
        <v>0</v>
      </c>
      <c r="AR36" t="s">
        <v>0</v>
      </c>
      <c r="AT36" s="2">
        <v>4.931</v>
      </c>
      <c r="AU36" s="1">
        <f t="shared" si="5"/>
        <v>3.0607832145431249</v>
      </c>
      <c r="AV36" s="1">
        <f t="shared" si="6"/>
        <v>2.1862737246736605</v>
      </c>
      <c r="AW36" s="1">
        <f t="shared" si="7"/>
        <v>1.3117642348041965</v>
      </c>
    </row>
    <row r="37" spans="1:49" x14ac:dyDescent="0.2">
      <c r="A37">
        <v>35</v>
      </c>
      <c r="B37" t="s">
        <v>7881</v>
      </c>
      <c r="F37" t="s">
        <v>7880</v>
      </c>
      <c r="G37" t="s">
        <v>6</v>
      </c>
      <c r="H37" t="s">
        <v>5</v>
      </c>
      <c r="I37" t="s">
        <v>7879</v>
      </c>
      <c r="J37">
        <v>60010862</v>
      </c>
      <c r="K37" t="s">
        <v>7878</v>
      </c>
      <c r="L37" t="s">
        <v>98</v>
      </c>
      <c r="M37" t="s">
        <v>97</v>
      </c>
      <c r="N37">
        <v>4</v>
      </c>
      <c r="O37" t="s">
        <v>7877</v>
      </c>
      <c r="P37" t="s">
        <v>7876</v>
      </c>
      <c r="Q37" t="s">
        <v>7875</v>
      </c>
      <c r="R37" s="7">
        <v>35400</v>
      </c>
      <c r="S37" s="8">
        <f t="shared" si="0"/>
        <v>1996</v>
      </c>
      <c r="T37" s="8">
        <v>1996</v>
      </c>
      <c r="U37" s="8">
        <f t="shared" si="1"/>
        <v>26</v>
      </c>
      <c r="V37" s="7">
        <v>1996</v>
      </c>
      <c r="W37" t="s">
        <v>7837</v>
      </c>
      <c r="X37" s="2">
        <v>0.33300000000000002</v>
      </c>
      <c r="Y37" s="6">
        <f t="shared" si="2"/>
        <v>8.8892448146071917E-3</v>
      </c>
      <c r="AA37">
        <v>10642307</v>
      </c>
      <c r="AB37">
        <v>12961</v>
      </c>
      <c r="AD37" t="s">
        <v>1</v>
      </c>
      <c r="AE37">
        <v>35</v>
      </c>
      <c r="AF37">
        <v>6</v>
      </c>
      <c r="AH37" t="s">
        <v>7874</v>
      </c>
      <c r="AI37" t="s">
        <v>7873</v>
      </c>
      <c r="AK37" t="s">
        <v>7872</v>
      </c>
      <c r="AL37">
        <v>0</v>
      </c>
      <c r="AM37" s="5">
        <f t="shared" si="3"/>
        <v>0</v>
      </c>
      <c r="AN37" s="4">
        <f t="shared" si="4"/>
        <v>0</v>
      </c>
      <c r="AO37" s="3"/>
      <c r="AP37">
        <v>0</v>
      </c>
      <c r="AR37" t="s">
        <v>0</v>
      </c>
      <c r="AT37" s="2" t="s">
        <v>9</v>
      </c>
      <c r="AU37" s="1">
        <f t="shared" si="5"/>
        <v>0.62224713702250345</v>
      </c>
      <c r="AV37" s="1">
        <f t="shared" si="6"/>
        <v>0.44446224073035956</v>
      </c>
      <c r="AW37" s="1">
        <f t="shared" si="7"/>
        <v>0.26667734443821572</v>
      </c>
    </row>
    <row r="38" spans="1:49" x14ac:dyDescent="0.2">
      <c r="A38">
        <v>36</v>
      </c>
      <c r="B38" t="s">
        <v>7871</v>
      </c>
      <c r="F38" t="s">
        <v>7870</v>
      </c>
      <c r="G38" t="s">
        <v>6</v>
      </c>
      <c r="H38" t="s">
        <v>5</v>
      </c>
      <c r="I38" t="s">
        <v>7869</v>
      </c>
      <c r="J38">
        <v>60021331</v>
      </c>
      <c r="K38" t="s">
        <v>494</v>
      </c>
      <c r="L38" t="s">
        <v>98</v>
      </c>
      <c r="M38" t="s">
        <v>97</v>
      </c>
      <c r="N38">
        <v>3</v>
      </c>
      <c r="O38" t="s">
        <v>7868</v>
      </c>
      <c r="P38" t="s">
        <v>7867</v>
      </c>
      <c r="Q38" t="s">
        <v>7866</v>
      </c>
      <c r="R38" s="7">
        <v>35400</v>
      </c>
      <c r="S38" s="8">
        <f t="shared" si="0"/>
        <v>1996</v>
      </c>
      <c r="T38" s="8">
        <v>1996</v>
      </c>
      <c r="U38" s="8">
        <f t="shared" si="1"/>
        <v>26</v>
      </c>
      <c r="V38" s="7">
        <v>1996</v>
      </c>
      <c r="W38" t="s">
        <v>7837</v>
      </c>
      <c r="X38" s="2">
        <v>0.33300000000000002</v>
      </c>
      <c r="Y38" s="6">
        <f t="shared" si="2"/>
        <v>8.8892448146071917E-3</v>
      </c>
      <c r="AA38">
        <v>10642307</v>
      </c>
      <c r="AB38">
        <v>12961</v>
      </c>
      <c r="AD38" t="s">
        <v>1</v>
      </c>
      <c r="AE38">
        <v>35</v>
      </c>
      <c r="AF38">
        <v>5</v>
      </c>
      <c r="AH38" t="s">
        <v>7865</v>
      </c>
      <c r="AI38" t="s">
        <v>7864</v>
      </c>
      <c r="AK38" t="s">
        <v>7863</v>
      </c>
      <c r="AL38">
        <v>0</v>
      </c>
      <c r="AM38" s="5">
        <f t="shared" si="3"/>
        <v>0</v>
      </c>
      <c r="AN38" s="4">
        <f t="shared" si="4"/>
        <v>0</v>
      </c>
      <c r="AO38" s="3"/>
      <c r="AP38">
        <v>0</v>
      </c>
      <c r="AR38" t="s">
        <v>0</v>
      </c>
      <c r="AT38" s="2" t="s">
        <v>9</v>
      </c>
      <c r="AU38" s="1">
        <f t="shared" si="5"/>
        <v>0.62224713702250345</v>
      </c>
      <c r="AV38" s="1">
        <f t="shared" si="6"/>
        <v>0.44446224073035956</v>
      </c>
      <c r="AW38" s="1">
        <f t="shared" si="7"/>
        <v>0.26667734443821572</v>
      </c>
    </row>
    <row r="39" spans="1:49" x14ac:dyDescent="0.2">
      <c r="A39">
        <v>37</v>
      </c>
      <c r="B39" t="s">
        <v>7862</v>
      </c>
      <c r="F39" t="s">
        <v>7861</v>
      </c>
      <c r="G39" t="s">
        <v>6</v>
      </c>
      <c r="H39" t="s">
        <v>5</v>
      </c>
      <c r="I39" t="s">
        <v>7860</v>
      </c>
      <c r="J39">
        <v>123310037</v>
      </c>
      <c r="K39" t="s">
        <v>7859</v>
      </c>
      <c r="L39" t="s">
        <v>531</v>
      </c>
      <c r="M39" t="s">
        <v>97</v>
      </c>
      <c r="N39">
        <v>2</v>
      </c>
      <c r="O39" t="s">
        <v>7858</v>
      </c>
      <c r="P39" t="s">
        <v>7857</v>
      </c>
      <c r="Q39" t="s">
        <v>7856</v>
      </c>
      <c r="R39" s="7">
        <v>35400</v>
      </c>
      <c r="S39" s="8">
        <f t="shared" si="0"/>
        <v>1996</v>
      </c>
      <c r="T39" s="8">
        <v>1996</v>
      </c>
      <c r="U39" s="8">
        <f t="shared" si="1"/>
        <v>26</v>
      </c>
      <c r="V39" s="7">
        <v>1996</v>
      </c>
      <c r="W39" t="s">
        <v>7837</v>
      </c>
      <c r="X39" s="2">
        <v>0.33300000000000002</v>
      </c>
      <c r="Y39" s="6">
        <f t="shared" si="2"/>
        <v>8.8892448146071917E-3</v>
      </c>
      <c r="AA39">
        <v>10642307</v>
      </c>
      <c r="AB39">
        <v>12961</v>
      </c>
      <c r="AD39" t="s">
        <v>1</v>
      </c>
      <c r="AE39">
        <v>35</v>
      </c>
      <c r="AF39">
        <v>6</v>
      </c>
      <c r="AH39" t="s">
        <v>7855</v>
      </c>
      <c r="AI39" t="s">
        <v>7854</v>
      </c>
      <c r="AK39" t="s">
        <v>7853</v>
      </c>
      <c r="AL39">
        <v>0</v>
      </c>
      <c r="AM39" s="5">
        <f t="shared" si="3"/>
        <v>0</v>
      </c>
      <c r="AN39" s="4">
        <f t="shared" si="4"/>
        <v>0</v>
      </c>
      <c r="AO39" s="3"/>
      <c r="AP39">
        <v>0</v>
      </c>
      <c r="AR39" t="s">
        <v>0</v>
      </c>
      <c r="AT39" s="2" t="s">
        <v>9</v>
      </c>
      <c r="AU39" s="1">
        <f t="shared" si="5"/>
        <v>0.62224713702250345</v>
      </c>
      <c r="AV39" s="1">
        <f t="shared" si="6"/>
        <v>0.44446224073035956</v>
      </c>
      <c r="AW39" s="1">
        <f t="shared" si="7"/>
        <v>0.26667734443821572</v>
      </c>
    </row>
    <row r="40" spans="1:49" x14ac:dyDescent="0.2">
      <c r="A40">
        <v>38</v>
      </c>
      <c r="B40" t="s">
        <v>7852</v>
      </c>
      <c r="F40" t="s">
        <v>7851</v>
      </c>
      <c r="G40" t="s">
        <v>6</v>
      </c>
      <c r="H40" t="s">
        <v>5</v>
      </c>
      <c r="I40" t="s">
        <v>7850</v>
      </c>
      <c r="J40">
        <v>100310667</v>
      </c>
      <c r="K40" t="s">
        <v>7849</v>
      </c>
      <c r="L40" t="s">
        <v>98</v>
      </c>
      <c r="M40" t="s">
        <v>97</v>
      </c>
      <c r="N40">
        <v>1</v>
      </c>
      <c r="O40" t="s">
        <v>7848</v>
      </c>
      <c r="P40">
        <v>57204262425</v>
      </c>
      <c r="Q40">
        <v>100310667</v>
      </c>
      <c r="R40" s="7">
        <v>35400</v>
      </c>
      <c r="S40" s="8">
        <f t="shared" si="0"/>
        <v>1996</v>
      </c>
      <c r="T40" s="8">
        <v>1996</v>
      </c>
      <c r="U40" s="8">
        <f t="shared" si="1"/>
        <v>26</v>
      </c>
      <c r="V40" s="7">
        <v>1996</v>
      </c>
      <c r="W40" t="s">
        <v>7837</v>
      </c>
      <c r="X40" s="2">
        <v>0.33300000000000002</v>
      </c>
      <c r="Y40" s="6">
        <f t="shared" si="2"/>
        <v>8.8892448146071917E-3</v>
      </c>
      <c r="AA40">
        <v>10642307</v>
      </c>
      <c r="AB40">
        <v>12961</v>
      </c>
      <c r="AD40" t="s">
        <v>1</v>
      </c>
      <c r="AE40">
        <v>35</v>
      </c>
      <c r="AF40">
        <v>4</v>
      </c>
      <c r="AH40" t="s">
        <v>7847</v>
      </c>
      <c r="AI40" t="s">
        <v>7846</v>
      </c>
      <c r="AK40" t="s">
        <v>7845</v>
      </c>
      <c r="AL40">
        <v>0</v>
      </c>
      <c r="AM40" s="5">
        <f t="shared" si="3"/>
        <v>0</v>
      </c>
      <c r="AN40" s="4">
        <f t="shared" si="4"/>
        <v>0</v>
      </c>
      <c r="AO40" s="3"/>
      <c r="AP40">
        <v>0</v>
      </c>
      <c r="AR40" t="s">
        <v>0</v>
      </c>
      <c r="AT40" s="2" t="s">
        <v>9</v>
      </c>
      <c r="AU40" s="1">
        <f t="shared" si="5"/>
        <v>0.62224713702250345</v>
      </c>
      <c r="AV40" s="1">
        <f t="shared" si="6"/>
        <v>0.44446224073035956</v>
      </c>
      <c r="AW40" s="1">
        <f t="shared" si="7"/>
        <v>0.26667734443821572</v>
      </c>
    </row>
    <row r="41" spans="1:49" x14ac:dyDescent="0.2">
      <c r="A41">
        <v>39</v>
      </c>
      <c r="B41" t="s">
        <v>7844</v>
      </c>
      <c r="F41" t="s">
        <v>7843</v>
      </c>
      <c r="G41" t="s">
        <v>6</v>
      </c>
      <c r="H41" t="s">
        <v>5</v>
      </c>
      <c r="I41" t="s">
        <v>7842</v>
      </c>
      <c r="J41">
        <v>101557417</v>
      </c>
      <c r="K41" t="s">
        <v>7841</v>
      </c>
      <c r="L41" t="s">
        <v>98</v>
      </c>
      <c r="M41" t="s">
        <v>97</v>
      </c>
      <c r="N41">
        <v>2</v>
      </c>
      <c r="O41" t="s">
        <v>7840</v>
      </c>
      <c r="P41" t="s">
        <v>7839</v>
      </c>
      <c r="Q41" t="s">
        <v>7838</v>
      </c>
      <c r="R41" s="7">
        <v>35400</v>
      </c>
      <c r="S41" s="8">
        <f t="shared" si="0"/>
        <v>1996</v>
      </c>
      <c r="T41" s="8">
        <v>1996</v>
      </c>
      <c r="U41" s="8">
        <f t="shared" si="1"/>
        <v>26</v>
      </c>
      <c r="V41" s="7">
        <v>1996</v>
      </c>
      <c r="W41" t="s">
        <v>7837</v>
      </c>
      <c r="X41" s="2">
        <v>0.33300000000000002</v>
      </c>
      <c r="Y41" s="6">
        <f t="shared" si="2"/>
        <v>8.8892448146071917E-3</v>
      </c>
      <c r="AA41">
        <v>10642307</v>
      </c>
      <c r="AB41">
        <v>12961</v>
      </c>
      <c r="AD41" t="s">
        <v>1</v>
      </c>
      <c r="AE41">
        <v>35</v>
      </c>
      <c r="AF41">
        <v>3</v>
      </c>
      <c r="AH41" t="s">
        <v>7836</v>
      </c>
      <c r="AI41" t="s">
        <v>7835</v>
      </c>
      <c r="AK41" t="s">
        <v>7834</v>
      </c>
      <c r="AL41">
        <v>0</v>
      </c>
      <c r="AM41" s="5">
        <f t="shared" si="3"/>
        <v>0</v>
      </c>
      <c r="AN41" s="4">
        <f t="shared" si="4"/>
        <v>0</v>
      </c>
      <c r="AO41" s="3"/>
      <c r="AP41">
        <v>0</v>
      </c>
      <c r="AR41" t="s">
        <v>0</v>
      </c>
      <c r="AT41" s="2" t="s">
        <v>9</v>
      </c>
      <c r="AU41" s="1">
        <f t="shared" si="5"/>
        <v>0.62224713702250345</v>
      </c>
      <c r="AV41" s="1">
        <f t="shared" si="6"/>
        <v>0.44446224073035956</v>
      </c>
      <c r="AW41" s="1">
        <f t="shared" si="7"/>
        <v>0.26667734443821572</v>
      </c>
    </row>
    <row r="42" spans="1:49" x14ac:dyDescent="0.2">
      <c r="A42">
        <v>40</v>
      </c>
      <c r="B42" t="s">
        <v>7833</v>
      </c>
      <c r="F42" t="s">
        <v>7832</v>
      </c>
      <c r="G42" t="s">
        <v>6</v>
      </c>
      <c r="H42" t="s">
        <v>5</v>
      </c>
      <c r="I42" t="s">
        <v>7831</v>
      </c>
      <c r="J42">
        <v>60008524</v>
      </c>
      <c r="K42" t="s">
        <v>475</v>
      </c>
      <c r="L42" t="s">
        <v>474</v>
      </c>
      <c r="M42" t="s">
        <v>19</v>
      </c>
      <c r="N42">
        <v>3</v>
      </c>
      <c r="O42" t="s">
        <v>7830</v>
      </c>
      <c r="P42" t="s">
        <v>7829</v>
      </c>
      <c r="Q42" t="s">
        <v>7828</v>
      </c>
      <c r="R42" s="7">
        <v>35400</v>
      </c>
      <c r="S42" s="8">
        <f t="shared" si="0"/>
        <v>1996</v>
      </c>
      <c r="T42" s="8">
        <v>1996</v>
      </c>
      <c r="U42" s="8">
        <f t="shared" si="1"/>
        <v>26</v>
      </c>
      <c r="V42" s="7">
        <v>1996</v>
      </c>
      <c r="W42" t="s">
        <v>408</v>
      </c>
      <c r="X42" s="2">
        <v>0.1</v>
      </c>
      <c r="Y42" s="6">
        <f t="shared" si="2"/>
        <v>2.6694428872694269E-3</v>
      </c>
      <c r="AA42">
        <v>9633308</v>
      </c>
      <c r="AB42">
        <v>17917</v>
      </c>
      <c r="AD42" t="s">
        <v>1</v>
      </c>
      <c r="AF42">
        <v>234</v>
      </c>
      <c r="AI42" t="s">
        <v>7827</v>
      </c>
      <c r="AK42" t="s">
        <v>7826</v>
      </c>
      <c r="AL42">
        <v>0</v>
      </c>
      <c r="AM42" s="5">
        <f t="shared" si="3"/>
        <v>0</v>
      </c>
      <c r="AN42" s="4">
        <f t="shared" si="4"/>
        <v>0</v>
      </c>
      <c r="AO42" s="3"/>
      <c r="AP42">
        <v>0</v>
      </c>
      <c r="AR42" t="s">
        <v>0</v>
      </c>
      <c r="AT42" s="2" t="s">
        <v>9</v>
      </c>
      <c r="AU42" s="1">
        <f t="shared" si="5"/>
        <v>0.18686100210885986</v>
      </c>
      <c r="AV42" s="1">
        <f t="shared" si="6"/>
        <v>0.13347214436347135</v>
      </c>
      <c r="AW42" s="1">
        <f t="shared" si="7"/>
        <v>8.0083286618082811E-2</v>
      </c>
    </row>
    <row r="43" spans="1:49" x14ac:dyDescent="0.2">
      <c r="A43">
        <v>41</v>
      </c>
      <c r="B43" t="s">
        <v>7825</v>
      </c>
      <c r="F43" t="s">
        <v>7824</v>
      </c>
      <c r="G43" t="s">
        <v>6</v>
      </c>
      <c r="H43" t="s">
        <v>5</v>
      </c>
      <c r="I43" t="s">
        <v>7823</v>
      </c>
      <c r="J43" t="s">
        <v>7822</v>
      </c>
      <c r="K43" t="s">
        <v>7821</v>
      </c>
      <c r="L43" t="s">
        <v>7820</v>
      </c>
      <c r="M43" t="s">
        <v>174</v>
      </c>
      <c r="N43">
        <v>6</v>
      </c>
      <c r="O43" t="s">
        <v>7819</v>
      </c>
      <c r="P43" t="s">
        <v>7818</v>
      </c>
      <c r="Q43" t="s">
        <v>7817</v>
      </c>
      <c r="R43" s="7">
        <v>35400</v>
      </c>
      <c r="S43" s="8">
        <f t="shared" si="0"/>
        <v>1996</v>
      </c>
      <c r="T43" s="8">
        <v>1996</v>
      </c>
      <c r="U43" s="8">
        <f t="shared" si="1"/>
        <v>26</v>
      </c>
      <c r="V43" s="7">
        <v>1996</v>
      </c>
      <c r="W43" t="s">
        <v>408</v>
      </c>
      <c r="X43" s="2">
        <v>0.1</v>
      </c>
      <c r="Y43" s="6">
        <f t="shared" si="2"/>
        <v>2.6694428872694269E-3</v>
      </c>
      <c r="AA43">
        <v>9633308</v>
      </c>
      <c r="AB43">
        <v>17917</v>
      </c>
      <c r="AD43" t="s">
        <v>1</v>
      </c>
      <c r="AF43">
        <v>234</v>
      </c>
      <c r="AI43" t="s">
        <v>7816</v>
      </c>
      <c r="AK43" t="s">
        <v>7815</v>
      </c>
      <c r="AL43">
        <v>1</v>
      </c>
      <c r="AM43" s="5">
        <f t="shared" si="3"/>
        <v>3.8461538461538464E-2</v>
      </c>
      <c r="AN43" s="4">
        <f t="shared" si="4"/>
        <v>5.8252992747502406E-5</v>
      </c>
      <c r="AO43" s="3"/>
      <c r="AP43">
        <v>0</v>
      </c>
      <c r="AR43" t="s">
        <v>0</v>
      </c>
      <c r="AT43" s="2" t="s">
        <v>9</v>
      </c>
      <c r="AU43" s="1">
        <f t="shared" si="5"/>
        <v>0.18860859189128495</v>
      </c>
      <c r="AV43" s="1">
        <f t="shared" si="6"/>
        <v>0.13638479400084647</v>
      </c>
      <c r="AW43" s="1">
        <f t="shared" si="7"/>
        <v>8.4160996110407962E-2</v>
      </c>
    </row>
    <row r="44" spans="1:49" x14ac:dyDescent="0.2">
      <c r="A44">
        <v>42</v>
      </c>
      <c r="B44" t="s">
        <v>7814</v>
      </c>
      <c r="F44" t="s">
        <v>7813</v>
      </c>
      <c r="G44" t="s">
        <v>6</v>
      </c>
      <c r="H44" t="s">
        <v>5</v>
      </c>
      <c r="I44" t="s">
        <v>7812</v>
      </c>
      <c r="N44">
        <v>2</v>
      </c>
      <c r="O44" t="s">
        <v>7811</v>
      </c>
      <c r="P44" t="s">
        <v>7810</v>
      </c>
      <c r="Q44" t="s">
        <v>460</v>
      </c>
      <c r="R44" s="7">
        <v>35400</v>
      </c>
      <c r="S44" s="8">
        <f t="shared" si="0"/>
        <v>1996</v>
      </c>
      <c r="T44" s="8">
        <v>1996</v>
      </c>
      <c r="U44" s="8">
        <f t="shared" si="1"/>
        <v>26</v>
      </c>
      <c r="V44" s="7">
        <v>1996</v>
      </c>
      <c r="W44" t="s">
        <v>408</v>
      </c>
      <c r="X44" s="2">
        <v>0.1</v>
      </c>
      <c r="Y44" s="6">
        <f t="shared" si="2"/>
        <v>2.6694428872694269E-3</v>
      </c>
      <c r="AA44">
        <v>9633308</v>
      </c>
      <c r="AB44">
        <v>17917</v>
      </c>
      <c r="AD44" t="s">
        <v>1</v>
      </c>
      <c r="AF44">
        <v>234</v>
      </c>
      <c r="AI44" t="s">
        <v>7809</v>
      </c>
      <c r="AK44" t="s">
        <v>7808</v>
      </c>
      <c r="AL44">
        <v>0</v>
      </c>
      <c r="AM44" s="5">
        <f t="shared" si="3"/>
        <v>0</v>
      </c>
      <c r="AN44" s="4">
        <f t="shared" si="4"/>
        <v>0</v>
      </c>
      <c r="AO44" s="3"/>
      <c r="AP44">
        <v>0</v>
      </c>
      <c r="AR44" t="s">
        <v>0</v>
      </c>
      <c r="AT44" s="2" t="s">
        <v>9</v>
      </c>
      <c r="AU44" s="1">
        <f t="shared" si="5"/>
        <v>0.18686100210885986</v>
      </c>
      <c r="AV44" s="1">
        <f t="shared" si="6"/>
        <v>0.13347214436347135</v>
      </c>
      <c r="AW44" s="1">
        <f t="shared" si="7"/>
        <v>8.0083286618082811E-2</v>
      </c>
    </row>
    <row r="45" spans="1:49" x14ac:dyDescent="0.2">
      <c r="A45">
        <v>43</v>
      </c>
      <c r="B45" t="s">
        <v>7807</v>
      </c>
      <c r="F45" t="s">
        <v>7806</v>
      </c>
      <c r="G45" t="s">
        <v>6</v>
      </c>
      <c r="H45" t="s">
        <v>5</v>
      </c>
      <c r="I45" t="s">
        <v>7805</v>
      </c>
      <c r="J45" t="s">
        <v>7804</v>
      </c>
      <c r="K45" t="s">
        <v>7803</v>
      </c>
      <c r="L45" t="s">
        <v>7802</v>
      </c>
      <c r="M45" t="s">
        <v>445</v>
      </c>
      <c r="N45">
        <v>2</v>
      </c>
      <c r="O45" t="s">
        <v>7801</v>
      </c>
      <c r="P45" t="s">
        <v>7800</v>
      </c>
      <c r="Q45" t="s">
        <v>7799</v>
      </c>
      <c r="R45" s="7">
        <v>35400</v>
      </c>
      <c r="S45" s="8">
        <f t="shared" si="0"/>
        <v>1996</v>
      </c>
      <c r="T45" s="8">
        <v>1996</v>
      </c>
      <c r="U45" s="8">
        <f t="shared" si="1"/>
        <v>26</v>
      </c>
      <c r="V45" s="7">
        <v>1996</v>
      </c>
      <c r="W45" t="s">
        <v>7798</v>
      </c>
      <c r="X45" s="2">
        <v>0.32500000000000001</v>
      </c>
      <c r="Y45" s="6">
        <f t="shared" si="2"/>
        <v>8.6756893836256385E-3</v>
      </c>
      <c r="AA45">
        <v>204412</v>
      </c>
      <c r="AB45">
        <v>15467</v>
      </c>
      <c r="AD45" t="s">
        <v>1</v>
      </c>
      <c r="AE45">
        <v>39</v>
      </c>
      <c r="AF45">
        <v>5</v>
      </c>
      <c r="AH45" t="s">
        <v>7797</v>
      </c>
      <c r="AI45" t="s">
        <v>7796</v>
      </c>
      <c r="AK45" t="s">
        <v>7795</v>
      </c>
      <c r="AL45">
        <v>0</v>
      </c>
      <c r="AM45" s="5">
        <f t="shared" si="3"/>
        <v>0</v>
      </c>
      <c r="AN45" s="4">
        <f t="shared" si="4"/>
        <v>0</v>
      </c>
      <c r="AO45" s="3"/>
      <c r="AP45">
        <v>0</v>
      </c>
      <c r="AR45" t="s">
        <v>0</v>
      </c>
      <c r="AT45" s="2" t="s">
        <v>9</v>
      </c>
      <c r="AU45" s="1">
        <f t="shared" si="5"/>
        <v>0.60729825685379468</v>
      </c>
      <c r="AV45" s="1">
        <f t="shared" si="6"/>
        <v>0.43378446918128194</v>
      </c>
      <c r="AW45" s="1">
        <f t="shared" si="7"/>
        <v>0.26027068150876914</v>
      </c>
    </row>
    <row r="46" spans="1:49" x14ac:dyDescent="0.2">
      <c r="A46">
        <v>44</v>
      </c>
      <c r="B46" t="s">
        <v>7794</v>
      </c>
      <c r="F46" t="s">
        <v>7793</v>
      </c>
      <c r="G46" t="s">
        <v>6</v>
      </c>
      <c r="H46" t="s">
        <v>5</v>
      </c>
      <c r="I46" t="s">
        <v>7792</v>
      </c>
      <c r="J46">
        <v>60088527</v>
      </c>
      <c r="K46" t="s">
        <v>7791</v>
      </c>
      <c r="L46" t="s">
        <v>7790</v>
      </c>
      <c r="M46" t="s">
        <v>97</v>
      </c>
      <c r="N46">
        <v>4</v>
      </c>
      <c r="O46" t="s">
        <v>7789</v>
      </c>
      <c r="P46" t="s">
        <v>7788</v>
      </c>
      <c r="Q46" t="s">
        <v>7787</v>
      </c>
      <c r="R46" s="7">
        <v>35400</v>
      </c>
      <c r="S46" s="8">
        <f t="shared" si="0"/>
        <v>1996</v>
      </c>
      <c r="T46" s="8">
        <v>1996</v>
      </c>
      <c r="U46" s="8">
        <f t="shared" si="1"/>
        <v>26</v>
      </c>
      <c r="V46" s="7">
        <v>1996</v>
      </c>
      <c r="W46" t="s">
        <v>7762</v>
      </c>
      <c r="X46" s="2">
        <v>0.16900000000000001</v>
      </c>
      <c r="Y46" s="6">
        <f t="shared" si="2"/>
        <v>4.5113584794853317E-3</v>
      </c>
      <c r="AA46">
        <v>13000101</v>
      </c>
      <c r="AB46">
        <v>12389</v>
      </c>
      <c r="AD46" t="s">
        <v>1</v>
      </c>
      <c r="AE46">
        <v>20</v>
      </c>
      <c r="AF46">
        <v>8</v>
      </c>
      <c r="AH46" t="s">
        <v>70</v>
      </c>
      <c r="AI46" t="s">
        <v>7786</v>
      </c>
      <c r="AK46" t="s">
        <v>7785</v>
      </c>
      <c r="AL46">
        <v>1</v>
      </c>
      <c r="AM46" s="5">
        <f t="shared" si="3"/>
        <v>3.8461538461538464E-2</v>
      </c>
      <c r="AN46" s="4">
        <f t="shared" si="4"/>
        <v>5.8252992747502406E-5</v>
      </c>
      <c r="AO46" s="3"/>
      <c r="AP46">
        <v>0</v>
      </c>
      <c r="AR46" t="s">
        <v>0</v>
      </c>
      <c r="AT46" s="2" t="s">
        <v>9</v>
      </c>
      <c r="AU46" s="1">
        <f t="shared" si="5"/>
        <v>0.31754268334639824</v>
      </c>
      <c r="AV46" s="1">
        <f t="shared" si="6"/>
        <v>0.2284805736116417</v>
      </c>
      <c r="AW46" s="1">
        <f t="shared" si="7"/>
        <v>0.13941846387688511</v>
      </c>
    </row>
    <row r="47" spans="1:49" x14ac:dyDescent="0.2">
      <c r="A47">
        <v>45</v>
      </c>
      <c r="B47" t="s">
        <v>7784</v>
      </c>
      <c r="F47" t="s">
        <v>7783</v>
      </c>
      <c r="G47" t="s">
        <v>6</v>
      </c>
      <c r="H47" t="s">
        <v>5</v>
      </c>
      <c r="I47" t="s">
        <v>7782</v>
      </c>
      <c r="J47">
        <v>60033394</v>
      </c>
      <c r="K47" t="s">
        <v>7781</v>
      </c>
      <c r="L47" t="s">
        <v>7568</v>
      </c>
      <c r="M47" t="s">
        <v>97</v>
      </c>
      <c r="N47">
        <v>2</v>
      </c>
      <c r="O47" t="s">
        <v>7780</v>
      </c>
      <c r="P47" t="s">
        <v>7779</v>
      </c>
      <c r="Q47" t="s">
        <v>7778</v>
      </c>
      <c r="R47" s="7">
        <v>35400</v>
      </c>
      <c r="S47" s="8">
        <f t="shared" si="0"/>
        <v>1996</v>
      </c>
      <c r="T47" s="8">
        <v>1996</v>
      </c>
      <c r="U47" s="8">
        <f t="shared" si="1"/>
        <v>26</v>
      </c>
      <c r="V47" s="7">
        <v>1996</v>
      </c>
      <c r="W47" t="s">
        <v>7762</v>
      </c>
      <c r="X47" s="2">
        <v>0.16900000000000001</v>
      </c>
      <c r="Y47" s="6">
        <f t="shared" si="2"/>
        <v>4.5113584794853317E-3</v>
      </c>
      <c r="AA47">
        <v>13000101</v>
      </c>
      <c r="AB47">
        <v>12389</v>
      </c>
      <c r="AD47" t="s">
        <v>1</v>
      </c>
      <c r="AE47">
        <v>20</v>
      </c>
      <c r="AF47">
        <v>8</v>
      </c>
      <c r="AH47" t="s">
        <v>7777</v>
      </c>
      <c r="AI47" t="s">
        <v>7776</v>
      </c>
      <c r="AK47" t="s">
        <v>7775</v>
      </c>
      <c r="AL47">
        <v>0</v>
      </c>
      <c r="AM47" s="5">
        <f t="shared" si="3"/>
        <v>0</v>
      </c>
      <c r="AN47" s="4">
        <f t="shared" si="4"/>
        <v>0</v>
      </c>
      <c r="AO47" s="3"/>
      <c r="AP47">
        <v>0</v>
      </c>
      <c r="AR47" t="s">
        <v>0</v>
      </c>
      <c r="AT47" s="2" t="s">
        <v>9</v>
      </c>
      <c r="AU47" s="1">
        <f t="shared" si="5"/>
        <v>0.31579509356397317</v>
      </c>
      <c r="AV47" s="1">
        <f t="shared" si="6"/>
        <v>0.22556792397426659</v>
      </c>
      <c r="AW47" s="1">
        <f t="shared" si="7"/>
        <v>0.13534075438455995</v>
      </c>
    </row>
    <row r="48" spans="1:49" x14ac:dyDescent="0.2">
      <c r="A48">
        <v>46</v>
      </c>
      <c r="B48" t="s">
        <v>7774</v>
      </c>
      <c r="F48" t="s">
        <v>7773</v>
      </c>
      <c r="G48" t="s">
        <v>6</v>
      </c>
      <c r="H48" t="s">
        <v>5</v>
      </c>
      <c r="I48" t="s">
        <v>7772</v>
      </c>
      <c r="J48">
        <v>60031888</v>
      </c>
      <c r="K48" t="s">
        <v>2053</v>
      </c>
      <c r="L48" t="s">
        <v>2052</v>
      </c>
      <c r="M48" t="s">
        <v>97</v>
      </c>
      <c r="N48">
        <v>1</v>
      </c>
      <c r="O48" t="s">
        <v>7771</v>
      </c>
      <c r="P48">
        <v>6701753717</v>
      </c>
      <c r="Q48">
        <v>60031888</v>
      </c>
      <c r="R48" s="7">
        <v>35400</v>
      </c>
      <c r="S48" s="8">
        <f t="shared" si="0"/>
        <v>1996</v>
      </c>
      <c r="T48" s="8">
        <v>1996</v>
      </c>
      <c r="U48" s="8">
        <f t="shared" si="1"/>
        <v>26</v>
      </c>
      <c r="V48" s="7">
        <v>1996</v>
      </c>
      <c r="W48" t="s">
        <v>7762</v>
      </c>
      <c r="X48" s="2">
        <v>0.16900000000000001</v>
      </c>
      <c r="Y48" s="6">
        <f t="shared" si="2"/>
        <v>4.5113584794853317E-3</v>
      </c>
      <c r="AA48">
        <v>13000101</v>
      </c>
      <c r="AB48">
        <v>12389</v>
      </c>
      <c r="AD48" t="s">
        <v>1</v>
      </c>
      <c r="AE48">
        <v>20</v>
      </c>
      <c r="AF48">
        <v>8</v>
      </c>
      <c r="AH48" t="s">
        <v>7770</v>
      </c>
      <c r="AI48" t="s">
        <v>7769</v>
      </c>
      <c r="AK48" t="s">
        <v>7768</v>
      </c>
      <c r="AL48">
        <v>0</v>
      </c>
      <c r="AM48" s="5">
        <f t="shared" si="3"/>
        <v>0</v>
      </c>
      <c r="AN48" s="4">
        <f t="shared" si="4"/>
        <v>0</v>
      </c>
      <c r="AO48" s="3"/>
      <c r="AP48">
        <v>0</v>
      </c>
      <c r="AR48" t="s">
        <v>0</v>
      </c>
      <c r="AT48" s="2" t="s">
        <v>9</v>
      </c>
      <c r="AU48" s="1">
        <f t="shared" si="5"/>
        <v>0.31579509356397317</v>
      </c>
      <c r="AV48" s="1">
        <f t="shared" si="6"/>
        <v>0.22556792397426659</v>
      </c>
      <c r="AW48" s="1">
        <f t="shared" si="7"/>
        <v>0.13534075438455995</v>
      </c>
    </row>
    <row r="49" spans="1:49" x14ac:dyDescent="0.2">
      <c r="A49">
        <v>47</v>
      </c>
      <c r="B49" t="s">
        <v>7767</v>
      </c>
      <c r="F49" t="s">
        <v>7766</v>
      </c>
      <c r="G49" t="s">
        <v>6</v>
      </c>
      <c r="H49" t="s">
        <v>5</v>
      </c>
      <c r="I49" t="s">
        <v>7765</v>
      </c>
      <c r="J49">
        <v>60023137</v>
      </c>
      <c r="K49" t="s">
        <v>7764</v>
      </c>
      <c r="L49" t="s">
        <v>647</v>
      </c>
      <c r="M49" t="s">
        <v>289</v>
      </c>
      <c r="N49">
        <v>1</v>
      </c>
      <c r="O49" t="s">
        <v>7763</v>
      </c>
      <c r="P49">
        <v>7006611133</v>
      </c>
      <c r="Q49">
        <v>60023137</v>
      </c>
      <c r="R49" s="7">
        <v>35400</v>
      </c>
      <c r="S49" s="8">
        <f t="shared" si="0"/>
        <v>1996</v>
      </c>
      <c r="T49" s="8">
        <v>1996</v>
      </c>
      <c r="U49" s="8">
        <f t="shared" si="1"/>
        <v>26</v>
      </c>
      <c r="V49" s="7">
        <v>1996</v>
      </c>
      <c r="W49" t="s">
        <v>7762</v>
      </c>
      <c r="X49" s="2">
        <v>0.16900000000000001</v>
      </c>
      <c r="Y49" s="6">
        <f t="shared" si="2"/>
        <v>4.5113584794853317E-3</v>
      </c>
      <c r="AA49">
        <v>13000101</v>
      </c>
      <c r="AB49">
        <v>12389</v>
      </c>
      <c r="AD49" t="s">
        <v>1</v>
      </c>
      <c r="AE49">
        <v>20</v>
      </c>
      <c r="AF49">
        <v>8</v>
      </c>
      <c r="AH49" t="s">
        <v>736</v>
      </c>
      <c r="AI49" t="s">
        <v>7761</v>
      </c>
      <c r="AK49" t="s">
        <v>595</v>
      </c>
      <c r="AL49">
        <v>0</v>
      </c>
      <c r="AM49" s="5">
        <f t="shared" si="3"/>
        <v>0</v>
      </c>
      <c r="AN49" s="4">
        <f t="shared" si="4"/>
        <v>0</v>
      </c>
      <c r="AO49" s="3"/>
      <c r="AP49">
        <v>0</v>
      </c>
      <c r="AR49" t="s">
        <v>0</v>
      </c>
      <c r="AT49" s="2" t="s">
        <v>9</v>
      </c>
      <c r="AU49" s="1">
        <f t="shared" si="5"/>
        <v>0.31579509356397317</v>
      </c>
      <c r="AV49" s="1">
        <f t="shared" si="6"/>
        <v>0.22556792397426659</v>
      </c>
      <c r="AW49" s="1">
        <f t="shared" si="7"/>
        <v>0.13534075438455995</v>
      </c>
    </row>
    <row r="50" spans="1:49" x14ac:dyDescent="0.2">
      <c r="A50">
        <v>48</v>
      </c>
      <c r="B50" t="s">
        <v>7760</v>
      </c>
      <c r="C50" t="s">
        <v>7759</v>
      </c>
      <c r="D50" t="s">
        <v>7758</v>
      </c>
      <c r="F50" t="s">
        <v>7757</v>
      </c>
      <c r="G50" t="s">
        <v>6</v>
      </c>
      <c r="H50" t="s">
        <v>5</v>
      </c>
      <c r="I50" t="s">
        <v>7756</v>
      </c>
      <c r="J50">
        <v>60022195</v>
      </c>
      <c r="K50" t="s">
        <v>4200</v>
      </c>
      <c r="L50" t="s">
        <v>93</v>
      </c>
      <c r="M50" t="s">
        <v>2</v>
      </c>
      <c r="N50">
        <v>3</v>
      </c>
      <c r="O50" t="s">
        <v>7755</v>
      </c>
      <c r="P50" t="s">
        <v>7754</v>
      </c>
      <c r="Q50" t="s">
        <v>6577</v>
      </c>
      <c r="R50" s="7">
        <v>35400</v>
      </c>
      <c r="S50" s="8">
        <f t="shared" si="0"/>
        <v>1996</v>
      </c>
      <c r="T50" s="8">
        <v>1996</v>
      </c>
      <c r="U50" s="8">
        <f t="shared" si="1"/>
        <v>26</v>
      </c>
      <c r="V50" s="7">
        <v>1996</v>
      </c>
      <c r="W50" t="s">
        <v>1132</v>
      </c>
      <c r="X50" s="2">
        <v>1.1819999999999999</v>
      </c>
      <c r="Y50" s="6">
        <f t="shared" si="2"/>
        <v>3.1552814927524625E-2</v>
      </c>
      <c r="AA50">
        <v>36951</v>
      </c>
      <c r="AB50">
        <v>27030</v>
      </c>
      <c r="AD50" t="s">
        <v>1</v>
      </c>
      <c r="AE50">
        <v>68</v>
      </c>
      <c r="AF50">
        <v>14</v>
      </c>
      <c r="AH50" t="s">
        <v>7753</v>
      </c>
      <c r="AI50" t="s">
        <v>7752</v>
      </c>
      <c r="AK50" t="s">
        <v>7751</v>
      </c>
      <c r="AL50">
        <v>12</v>
      </c>
      <c r="AM50" s="5">
        <f t="shared" si="3"/>
        <v>0.46153846153846156</v>
      </c>
      <c r="AN50" s="4">
        <f t="shared" si="4"/>
        <v>6.9903591297002887E-4</v>
      </c>
      <c r="AO50" s="3"/>
      <c r="AP50">
        <v>0</v>
      </c>
      <c r="AR50" t="s">
        <v>0</v>
      </c>
      <c r="AT50" s="2">
        <v>3.7909999999999999</v>
      </c>
      <c r="AU50" s="1">
        <f t="shared" si="5"/>
        <v>2.2296681223158243</v>
      </c>
      <c r="AV50" s="1">
        <f t="shared" si="6"/>
        <v>1.6125925420247327</v>
      </c>
      <c r="AW50" s="1">
        <f t="shared" si="7"/>
        <v>0.99551696173364079</v>
      </c>
    </row>
    <row r="51" spans="1:49" x14ac:dyDescent="0.2">
      <c r="A51">
        <v>49</v>
      </c>
      <c r="B51" t="s">
        <v>7750</v>
      </c>
      <c r="C51" t="s">
        <v>7749</v>
      </c>
      <c r="F51" t="s">
        <v>7748</v>
      </c>
      <c r="G51" t="s">
        <v>6</v>
      </c>
      <c r="H51" t="s">
        <v>5</v>
      </c>
      <c r="I51" t="s">
        <v>7747</v>
      </c>
      <c r="J51">
        <v>60031806</v>
      </c>
      <c r="K51" t="s">
        <v>481</v>
      </c>
      <c r="L51" t="s">
        <v>480</v>
      </c>
      <c r="M51" t="s">
        <v>7</v>
      </c>
      <c r="N51">
        <v>3</v>
      </c>
      <c r="O51" t="s">
        <v>7746</v>
      </c>
      <c r="P51" t="s">
        <v>7745</v>
      </c>
      <c r="Q51" t="s">
        <v>7744</v>
      </c>
      <c r="R51" s="7">
        <v>35400</v>
      </c>
      <c r="S51" s="8">
        <f t="shared" si="0"/>
        <v>1996</v>
      </c>
      <c r="T51" s="8">
        <v>1996</v>
      </c>
      <c r="U51" s="8">
        <f t="shared" si="1"/>
        <v>26</v>
      </c>
      <c r="V51" s="7">
        <v>1996</v>
      </c>
      <c r="W51" t="s">
        <v>458</v>
      </c>
      <c r="X51" s="2" t="s">
        <v>9</v>
      </c>
      <c r="Y51" s="6" t="e">
        <f t="shared" si="2"/>
        <v>#VALUE!</v>
      </c>
      <c r="AA51">
        <v>114626</v>
      </c>
      <c r="AB51">
        <v>27480</v>
      </c>
      <c r="AC51">
        <v>15729486</v>
      </c>
      <c r="AD51" t="s">
        <v>1</v>
      </c>
      <c r="AE51">
        <v>46</v>
      </c>
      <c r="AF51" t="s">
        <v>7743</v>
      </c>
      <c r="AH51" t="s">
        <v>7742</v>
      </c>
      <c r="AI51" t="s">
        <v>7741</v>
      </c>
      <c r="AK51" t="s">
        <v>7740</v>
      </c>
      <c r="AL51">
        <v>2</v>
      </c>
      <c r="AM51" s="5">
        <f t="shared" si="3"/>
        <v>7.6923076923076927E-2</v>
      </c>
      <c r="AN51" s="4">
        <f t="shared" si="4"/>
        <v>1.1650598549500481E-4</v>
      </c>
      <c r="AO51" s="3"/>
      <c r="AP51">
        <v>0</v>
      </c>
      <c r="AR51" t="s">
        <v>0</v>
      </c>
      <c r="AT51" s="2" t="s">
        <v>9</v>
      </c>
      <c r="AU51" s="1" t="e">
        <f t="shared" si="5"/>
        <v>#VALUE!</v>
      </c>
      <c r="AV51" s="1" t="e">
        <f t="shared" si="6"/>
        <v>#VALUE!</v>
      </c>
      <c r="AW51" s="1" t="e">
        <f t="shared" si="7"/>
        <v>#VALUE!</v>
      </c>
    </row>
    <row r="52" spans="1:49" x14ac:dyDescent="0.2">
      <c r="A52">
        <v>50</v>
      </c>
      <c r="B52" t="s">
        <v>7739</v>
      </c>
      <c r="F52" t="s">
        <v>7738</v>
      </c>
      <c r="G52" t="s">
        <v>6</v>
      </c>
      <c r="H52" t="s">
        <v>5</v>
      </c>
      <c r="I52" t="s">
        <v>7737</v>
      </c>
      <c r="J52">
        <v>60044065</v>
      </c>
      <c r="K52" t="s">
        <v>7736</v>
      </c>
      <c r="L52" t="s">
        <v>7735</v>
      </c>
      <c r="M52" t="s">
        <v>7734</v>
      </c>
      <c r="N52">
        <v>1</v>
      </c>
      <c r="O52" t="s">
        <v>7733</v>
      </c>
      <c r="P52">
        <v>6602085043</v>
      </c>
      <c r="Q52">
        <v>60044065</v>
      </c>
      <c r="R52" s="7">
        <v>35400</v>
      </c>
      <c r="S52" s="8">
        <f t="shared" si="0"/>
        <v>1996</v>
      </c>
      <c r="T52" s="8">
        <v>1996</v>
      </c>
      <c r="U52" s="8">
        <f t="shared" si="1"/>
        <v>26</v>
      </c>
      <c r="V52" s="7">
        <v>1996</v>
      </c>
      <c r="W52" t="s">
        <v>7708</v>
      </c>
      <c r="X52" s="2">
        <v>0.61799999999999999</v>
      </c>
      <c r="Y52" s="6">
        <f t="shared" si="2"/>
        <v>1.6497157043325057E-2</v>
      </c>
      <c r="AA52">
        <v>7397240</v>
      </c>
      <c r="AB52">
        <v>17755</v>
      </c>
      <c r="AD52" t="s">
        <v>1</v>
      </c>
      <c r="AE52">
        <v>13</v>
      </c>
      <c r="AF52">
        <v>1</v>
      </c>
      <c r="AH52" t="s">
        <v>7732</v>
      </c>
      <c r="AI52" t="s">
        <v>7731</v>
      </c>
      <c r="AK52" t="s">
        <v>7730</v>
      </c>
      <c r="AL52">
        <v>0</v>
      </c>
      <c r="AM52" s="5">
        <f t="shared" si="3"/>
        <v>0</v>
      </c>
      <c r="AN52" s="4">
        <f t="shared" si="4"/>
        <v>0</v>
      </c>
      <c r="AO52" s="3"/>
      <c r="AP52">
        <v>0</v>
      </c>
      <c r="AQ52" t="s">
        <v>7729</v>
      </c>
      <c r="AR52" t="s">
        <v>0</v>
      </c>
      <c r="AS52" t="s">
        <v>7729</v>
      </c>
      <c r="AT52" s="2">
        <v>2.29</v>
      </c>
      <c r="AU52" s="1">
        <f t="shared" si="5"/>
        <v>1.1548009930327539</v>
      </c>
      <c r="AV52" s="1">
        <f t="shared" si="6"/>
        <v>0.82485785216625285</v>
      </c>
      <c r="AW52" s="1">
        <f t="shared" si="7"/>
        <v>0.49491471129975168</v>
      </c>
    </row>
    <row r="53" spans="1:49" x14ac:dyDescent="0.2">
      <c r="A53">
        <v>51</v>
      </c>
      <c r="B53" t="s">
        <v>7728</v>
      </c>
      <c r="F53" t="s">
        <v>7727</v>
      </c>
      <c r="G53" t="s">
        <v>6</v>
      </c>
      <c r="H53" t="s">
        <v>5</v>
      </c>
      <c r="I53" t="s">
        <v>7726</v>
      </c>
      <c r="J53" t="s">
        <v>7725</v>
      </c>
      <c r="K53" t="s">
        <v>7724</v>
      </c>
      <c r="L53" t="s">
        <v>7723</v>
      </c>
      <c r="M53" t="s">
        <v>7722</v>
      </c>
      <c r="N53">
        <v>2</v>
      </c>
      <c r="O53" t="s">
        <v>7721</v>
      </c>
      <c r="P53" t="s">
        <v>7720</v>
      </c>
      <c r="Q53" t="s">
        <v>7719</v>
      </c>
      <c r="R53" s="7">
        <v>35400</v>
      </c>
      <c r="S53" s="8">
        <f t="shared" si="0"/>
        <v>1996</v>
      </c>
      <c r="T53" s="8">
        <v>1996</v>
      </c>
      <c r="U53" s="8">
        <f t="shared" si="1"/>
        <v>26</v>
      </c>
      <c r="V53" s="7">
        <v>1996</v>
      </c>
      <c r="W53" t="s">
        <v>7708</v>
      </c>
      <c r="X53" s="2">
        <v>0.61799999999999999</v>
      </c>
      <c r="Y53" s="6">
        <f t="shared" si="2"/>
        <v>1.6497157043325057E-2</v>
      </c>
      <c r="AA53">
        <v>7397240</v>
      </c>
      <c r="AB53">
        <v>17755</v>
      </c>
      <c r="AD53" t="s">
        <v>1</v>
      </c>
      <c r="AE53">
        <v>13</v>
      </c>
      <c r="AF53">
        <v>1</v>
      </c>
      <c r="AH53" t="s">
        <v>7718</v>
      </c>
      <c r="AI53" t="s">
        <v>7717</v>
      </c>
      <c r="AK53" t="s">
        <v>7716</v>
      </c>
      <c r="AL53">
        <v>0</v>
      </c>
      <c r="AM53" s="5">
        <f t="shared" si="3"/>
        <v>0</v>
      </c>
      <c r="AN53" s="4">
        <f t="shared" si="4"/>
        <v>0</v>
      </c>
      <c r="AO53" s="3"/>
      <c r="AP53">
        <v>0</v>
      </c>
      <c r="AQ53" t="s">
        <v>7715</v>
      </c>
      <c r="AR53" t="s">
        <v>0</v>
      </c>
      <c r="AS53" t="s">
        <v>7715</v>
      </c>
      <c r="AT53" s="2">
        <v>2.29</v>
      </c>
      <c r="AU53" s="1">
        <f t="shared" si="5"/>
        <v>1.1548009930327539</v>
      </c>
      <c r="AV53" s="1">
        <f t="shared" si="6"/>
        <v>0.82485785216625285</v>
      </c>
      <c r="AW53" s="1">
        <f t="shared" si="7"/>
        <v>0.49491471129975168</v>
      </c>
    </row>
    <row r="54" spans="1:49" x14ac:dyDescent="0.2">
      <c r="A54">
        <v>52</v>
      </c>
      <c r="B54" t="s">
        <v>7714</v>
      </c>
      <c r="F54" t="s">
        <v>7713</v>
      </c>
      <c r="G54" t="s">
        <v>6</v>
      </c>
      <c r="H54" t="s">
        <v>5</v>
      </c>
      <c r="I54" t="s">
        <v>7712</v>
      </c>
      <c r="J54">
        <v>60017161</v>
      </c>
      <c r="K54" t="s">
        <v>2843</v>
      </c>
      <c r="L54" t="s">
        <v>469</v>
      </c>
      <c r="M54" t="s">
        <v>468</v>
      </c>
      <c r="N54">
        <v>4</v>
      </c>
      <c r="O54" t="s">
        <v>7711</v>
      </c>
      <c r="P54" t="s">
        <v>7710</v>
      </c>
      <c r="Q54" t="s">
        <v>7709</v>
      </c>
      <c r="R54" s="7">
        <v>35400</v>
      </c>
      <c r="S54" s="8">
        <f t="shared" si="0"/>
        <v>1996</v>
      </c>
      <c r="T54" s="8">
        <v>1996</v>
      </c>
      <c r="U54" s="8">
        <f t="shared" si="1"/>
        <v>26</v>
      </c>
      <c r="V54" s="7">
        <v>1996</v>
      </c>
      <c r="W54" t="s">
        <v>7708</v>
      </c>
      <c r="X54" s="2">
        <v>0.61799999999999999</v>
      </c>
      <c r="Y54" s="6">
        <f t="shared" si="2"/>
        <v>1.6497157043325057E-2</v>
      </c>
      <c r="AA54">
        <v>7397240</v>
      </c>
      <c r="AB54">
        <v>17755</v>
      </c>
      <c r="AD54" t="s">
        <v>1</v>
      </c>
      <c r="AE54">
        <v>13</v>
      </c>
      <c r="AF54">
        <v>1</v>
      </c>
      <c r="AH54" t="s">
        <v>7707</v>
      </c>
      <c r="AI54" t="s">
        <v>7706</v>
      </c>
      <c r="AK54" t="s">
        <v>7705</v>
      </c>
      <c r="AL54">
        <v>0</v>
      </c>
      <c r="AM54" s="5">
        <f t="shared" si="3"/>
        <v>0</v>
      </c>
      <c r="AN54" s="4">
        <f t="shared" si="4"/>
        <v>0</v>
      </c>
      <c r="AO54" s="3"/>
      <c r="AP54">
        <v>0</v>
      </c>
      <c r="AQ54" t="s">
        <v>7704</v>
      </c>
      <c r="AR54" t="s">
        <v>0</v>
      </c>
      <c r="AS54" t="s">
        <v>7704</v>
      </c>
      <c r="AT54" s="2">
        <v>2.29</v>
      </c>
      <c r="AU54" s="1">
        <f t="shared" si="5"/>
        <v>1.1548009930327539</v>
      </c>
      <c r="AV54" s="1">
        <f t="shared" si="6"/>
        <v>0.82485785216625285</v>
      </c>
      <c r="AW54" s="1">
        <f t="shared" si="7"/>
        <v>0.49491471129975168</v>
      </c>
    </row>
    <row r="55" spans="1:49" x14ac:dyDescent="0.2">
      <c r="A55">
        <v>53</v>
      </c>
      <c r="B55" t="s">
        <v>7703</v>
      </c>
      <c r="F55" t="s">
        <v>489</v>
      </c>
      <c r="G55" t="s">
        <v>6</v>
      </c>
      <c r="H55" t="s">
        <v>5</v>
      </c>
      <c r="I55" t="s">
        <v>488</v>
      </c>
      <c r="J55">
        <v>60007670</v>
      </c>
      <c r="K55" t="s">
        <v>487</v>
      </c>
      <c r="L55" t="s">
        <v>106</v>
      </c>
      <c r="M55" t="s">
        <v>2</v>
      </c>
      <c r="N55">
        <v>1</v>
      </c>
      <c r="O55" t="s">
        <v>486</v>
      </c>
      <c r="P55">
        <v>55463187600</v>
      </c>
      <c r="Q55">
        <v>60007670</v>
      </c>
      <c r="R55" s="7">
        <v>35400</v>
      </c>
      <c r="S55" s="8">
        <f t="shared" si="0"/>
        <v>1996</v>
      </c>
      <c r="T55" s="8">
        <v>1996</v>
      </c>
      <c r="U55" s="8">
        <f t="shared" si="1"/>
        <v>26</v>
      </c>
      <c r="V55" s="7">
        <v>1996</v>
      </c>
      <c r="W55" t="s">
        <v>7702</v>
      </c>
      <c r="X55" s="2" t="s">
        <v>9</v>
      </c>
      <c r="Y55" s="6" t="e">
        <f t="shared" si="2"/>
        <v>#VALUE!</v>
      </c>
      <c r="AA55">
        <v>138711</v>
      </c>
      <c r="AB55">
        <v>36672</v>
      </c>
      <c r="AD55" t="s">
        <v>1</v>
      </c>
      <c r="AE55">
        <v>27</v>
      </c>
      <c r="AF55">
        <v>4</v>
      </c>
      <c r="AH55" t="s">
        <v>485</v>
      </c>
      <c r="AI55" t="s">
        <v>7701</v>
      </c>
      <c r="AK55" t="s">
        <v>484</v>
      </c>
      <c r="AL55">
        <v>12</v>
      </c>
      <c r="AM55" s="5">
        <f t="shared" si="3"/>
        <v>0.46153846153846156</v>
      </c>
      <c r="AN55" s="4">
        <f t="shared" si="4"/>
        <v>6.9903591297002887E-4</v>
      </c>
      <c r="AO55" s="3"/>
      <c r="AP55">
        <v>0</v>
      </c>
      <c r="AR55" t="s">
        <v>0</v>
      </c>
      <c r="AT55" s="2" t="s">
        <v>9</v>
      </c>
      <c r="AU55" s="1" t="e">
        <f t="shared" si="5"/>
        <v>#VALUE!</v>
      </c>
      <c r="AV55" s="1" t="e">
        <f t="shared" si="6"/>
        <v>#VALUE!</v>
      </c>
      <c r="AW55" s="1" t="e">
        <f t="shared" si="7"/>
        <v>#VALUE!</v>
      </c>
    </row>
    <row r="56" spans="1:49" x14ac:dyDescent="0.2">
      <c r="A56">
        <v>54</v>
      </c>
      <c r="B56" t="s">
        <v>7700</v>
      </c>
      <c r="C56" t="s">
        <v>7699</v>
      </c>
      <c r="D56" t="s">
        <v>7698</v>
      </c>
      <c r="F56" t="s">
        <v>7697</v>
      </c>
      <c r="G56" t="s">
        <v>6</v>
      </c>
      <c r="H56" t="s">
        <v>5</v>
      </c>
      <c r="I56" t="s">
        <v>7696</v>
      </c>
      <c r="J56">
        <v>60016218</v>
      </c>
      <c r="K56" t="s">
        <v>7695</v>
      </c>
      <c r="L56" t="s">
        <v>7694</v>
      </c>
      <c r="M56" t="s">
        <v>2063</v>
      </c>
      <c r="N56">
        <v>2</v>
      </c>
      <c r="O56" t="s">
        <v>7693</v>
      </c>
      <c r="P56" t="s">
        <v>7692</v>
      </c>
      <c r="Q56" t="s">
        <v>7691</v>
      </c>
      <c r="R56" s="7">
        <v>35400</v>
      </c>
      <c r="S56" s="8">
        <f t="shared" si="0"/>
        <v>1996</v>
      </c>
      <c r="T56" s="8">
        <v>1996</v>
      </c>
      <c r="U56" s="8">
        <f t="shared" si="1"/>
        <v>26</v>
      </c>
      <c r="V56" s="7">
        <v>1996</v>
      </c>
      <c r="W56" t="s">
        <v>150</v>
      </c>
      <c r="X56" s="2">
        <v>1.6519999999999999</v>
      </c>
      <c r="Y56" s="6">
        <f t="shared" si="2"/>
        <v>4.409919649769093E-2</v>
      </c>
      <c r="AA56" t="s">
        <v>149</v>
      </c>
      <c r="AB56">
        <v>17337</v>
      </c>
      <c r="AD56" t="s">
        <v>1</v>
      </c>
      <c r="AE56">
        <v>44</v>
      </c>
      <c r="AF56" t="s">
        <v>3550</v>
      </c>
      <c r="AH56" t="s">
        <v>7690</v>
      </c>
      <c r="AI56" t="s">
        <v>7689</v>
      </c>
      <c r="AK56" t="s">
        <v>7688</v>
      </c>
      <c r="AL56">
        <v>10</v>
      </c>
      <c r="AM56" s="5">
        <f t="shared" si="3"/>
        <v>0.38461538461538464</v>
      </c>
      <c r="AN56" s="4">
        <f t="shared" si="4"/>
        <v>5.8252992747502411E-4</v>
      </c>
      <c r="AO56" s="3"/>
      <c r="AP56">
        <v>0</v>
      </c>
      <c r="AR56" t="s">
        <v>0</v>
      </c>
      <c r="AT56" s="2" t="s">
        <v>9</v>
      </c>
      <c r="AU56" s="1">
        <f t="shared" si="5"/>
        <v>3.104419652662616</v>
      </c>
      <c r="AV56" s="1">
        <f t="shared" si="6"/>
        <v>2.2340863212582978</v>
      </c>
      <c r="AW56" s="1">
        <f t="shared" si="7"/>
        <v>1.3637529898539795</v>
      </c>
    </row>
    <row r="57" spans="1:49" x14ac:dyDescent="0.2">
      <c r="A57">
        <v>55</v>
      </c>
      <c r="B57" t="s">
        <v>7687</v>
      </c>
      <c r="C57" t="s">
        <v>7686</v>
      </c>
      <c r="D57" t="s">
        <v>7685</v>
      </c>
      <c r="F57" t="s">
        <v>7684</v>
      </c>
      <c r="G57" t="s">
        <v>6</v>
      </c>
      <c r="H57" t="s">
        <v>5</v>
      </c>
      <c r="I57" t="s">
        <v>7683</v>
      </c>
      <c r="J57" t="s">
        <v>7682</v>
      </c>
      <c r="K57" t="s">
        <v>7681</v>
      </c>
      <c r="L57" t="s">
        <v>7680</v>
      </c>
      <c r="M57" t="s">
        <v>7679</v>
      </c>
      <c r="N57">
        <v>14</v>
      </c>
      <c r="O57" t="s">
        <v>7678</v>
      </c>
      <c r="P57" t="s">
        <v>7677</v>
      </c>
      <c r="Q57" t="s">
        <v>7676</v>
      </c>
      <c r="R57" s="7">
        <v>35400</v>
      </c>
      <c r="S57" s="8">
        <f t="shared" si="0"/>
        <v>1996</v>
      </c>
      <c r="T57" s="8">
        <v>1996</v>
      </c>
      <c r="U57" s="8">
        <f t="shared" si="1"/>
        <v>26</v>
      </c>
      <c r="V57" s="7">
        <v>1996</v>
      </c>
      <c r="W57" t="s">
        <v>150</v>
      </c>
      <c r="X57" s="2">
        <v>1.6519999999999999</v>
      </c>
      <c r="Y57" s="6">
        <f t="shared" si="2"/>
        <v>4.409919649769093E-2</v>
      </c>
      <c r="AA57" t="s">
        <v>149</v>
      </c>
      <c r="AB57">
        <v>17337</v>
      </c>
      <c r="AD57" t="s">
        <v>1</v>
      </c>
      <c r="AE57">
        <v>44</v>
      </c>
      <c r="AF57">
        <v>10</v>
      </c>
      <c r="AH57" t="s">
        <v>7675</v>
      </c>
      <c r="AI57" t="s">
        <v>7674</v>
      </c>
      <c r="AK57" t="s">
        <v>7673</v>
      </c>
      <c r="AL57">
        <v>19</v>
      </c>
      <c r="AM57" s="5">
        <f t="shared" si="3"/>
        <v>0.73076923076923073</v>
      </c>
      <c r="AN57" s="4">
        <f t="shared" si="4"/>
        <v>1.1068068622025456E-3</v>
      </c>
      <c r="AO57" s="3"/>
      <c r="AP57">
        <v>0</v>
      </c>
      <c r="AR57" t="s">
        <v>0</v>
      </c>
      <c r="AT57" s="2" t="s">
        <v>9</v>
      </c>
      <c r="AU57" s="1">
        <f t="shared" si="5"/>
        <v>3.1201479607044416</v>
      </c>
      <c r="AV57" s="1">
        <f t="shared" si="6"/>
        <v>2.2603001679946737</v>
      </c>
      <c r="AW57" s="1">
        <f t="shared" si="7"/>
        <v>1.4004523752849061</v>
      </c>
    </row>
    <row r="58" spans="1:49" x14ac:dyDescent="0.2">
      <c r="A58">
        <v>56</v>
      </c>
      <c r="B58" t="s">
        <v>7672</v>
      </c>
      <c r="C58" t="s">
        <v>7671</v>
      </c>
      <c r="D58" t="s">
        <v>7670</v>
      </c>
      <c r="F58" t="s">
        <v>7669</v>
      </c>
      <c r="G58" t="s">
        <v>6</v>
      </c>
      <c r="H58" t="s">
        <v>5</v>
      </c>
      <c r="I58" t="s">
        <v>5425</v>
      </c>
      <c r="J58">
        <v>60007903</v>
      </c>
      <c r="K58" t="s">
        <v>5424</v>
      </c>
      <c r="L58" t="s">
        <v>5423</v>
      </c>
      <c r="M58" t="s">
        <v>191</v>
      </c>
      <c r="N58">
        <v>2</v>
      </c>
      <c r="O58" t="s">
        <v>7668</v>
      </c>
      <c r="P58" t="s">
        <v>7667</v>
      </c>
      <c r="Q58" t="s">
        <v>7666</v>
      </c>
      <c r="R58" s="7">
        <v>35400</v>
      </c>
      <c r="S58" s="8">
        <f t="shared" si="0"/>
        <v>1996</v>
      </c>
      <c r="T58" s="8">
        <v>1996</v>
      </c>
      <c r="U58" s="8">
        <f t="shared" si="1"/>
        <v>26</v>
      </c>
      <c r="V58" s="7">
        <v>1996</v>
      </c>
      <c r="W58" t="s">
        <v>1132</v>
      </c>
      <c r="X58" s="2">
        <v>1.1819999999999999</v>
      </c>
      <c r="Y58" s="6">
        <f t="shared" si="2"/>
        <v>3.1552814927524625E-2</v>
      </c>
      <c r="AA58">
        <v>36951</v>
      </c>
      <c r="AB58">
        <v>27030</v>
      </c>
      <c r="AD58" t="s">
        <v>1</v>
      </c>
      <c r="AE58">
        <v>68</v>
      </c>
      <c r="AF58">
        <v>11</v>
      </c>
      <c r="AH58" t="s">
        <v>7665</v>
      </c>
      <c r="AI58" t="s">
        <v>7664</v>
      </c>
      <c r="AK58" t="s">
        <v>7663</v>
      </c>
      <c r="AL58">
        <v>85</v>
      </c>
      <c r="AM58" s="5">
        <f t="shared" si="3"/>
        <v>3.2692307692307692</v>
      </c>
      <c r="AN58" s="4">
        <f t="shared" si="4"/>
        <v>4.951504383537704E-3</v>
      </c>
      <c r="AO58" s="3"/>
      <c r="AP58">
        <v>0</v>
      </c>
      <c r="AR58" t="s">
        <v>0</v>
      </c>
      <c r="AT58" s="2">
        <v>3.7909999999999999</v>
      </c>
      <c r="AU58" s="1">
        <f t="shared" si="5"/>
        <v>2.3572421764328548</v>
      </c>
      <c r="AV58" s="1">
        <f t="shared" si="6"/>
        <v>1.8252159655531164</v>
      </c>
      <c r="AW58" s="1">
        <f t="shared" si="7"/>
        <v>1.2931897546733782</v>
      </c>
    </row>
    <row r="59" spans="1:49" x14ac:dyDescent="0.2">
      <c r="A59">
        <v>57</v>
      </c>
      <c r="B59" t="s">
        <v>7662</v>
      </c>
      <c r="F59" t="s">
        <v>7661</v>
      </c>
      <c r="G59" t="s">
        <v>6</v>
      </c>
      <c r="H59" t="s">
        <v>5</v>
      </c>
      <c r="I59" t="s">
        <v>7660</v>
      </c>
      <c r="J59">
        <v>60014205</v>
      </c>
      <c r="K59" t="s">
        <v>7659</v>
      </c>
      <c r="L59" t="s">
        <v>36</v>
      </c>
      <c r="M59" t="s">
        <v>35</v>
      </c>
      <c r="N59">
        <v>3</v>
      </c>
      <c r="O59" t="s">
        <v>7658</v>
      </c>
      <c r="P59" t="s">
        <v>7657</v>
      </c>
      <c r="Q59" t="s">
        <v>7656</v>
      </c>
      <c r="R59" s="7">
        <v>35400</v>
      </c>
      <c r="S59" s="8">
        <f t="shared" si="0"/>
        <v>1996</v>
      </c>
      <c r="T59" s="8">
        <v>1996</v>
      </c>
      <c r="U59" s="8">
        <f t="shared" si="1"/>
        <v>26</v>
      </c>
      <c r="V59" s="7">
        <v>1996</v>
      </c>
      <c r="W59" t="s">
        <v>7655</v>
      </c>
      <c r="X59" s="2" t="s">
        <v>9</v>
      </c>
      <c r="Y59" s="6" t="e">
        <f t="shared" si="2"/>
        <v>#VALUE!</v>
      </c>
      <c r="AA59">
        <v>10069321</v>
      </c>
      <c r="AB59">
        <v>14020</v>
      </c>
      <c r="AD59" t="s">
        <v>1</v>
      </c>
      <c r="AE59">
        <v>39</v>
      </c>
      <c r="AF59">
        <v>5</v>
      </c>
      <c r="AI59" t="s">
        <v>7654</v>
      </c>
      <c r="AJ59" t="s">
        <v>7653</v>
      </c>
      <c r="AK59" t="s">
        <v>7652</v>
      </c>
      <c r="AL59">
        <v>0</v>
      </c>
      <c r="AM59" s="5">
        <f t="shared" si="3"/>
        <v>0</v>
      </c>
      <c r="AN59" s="4">
        <f t="shared" si="4"/>
        <v>0</v>
      </c>
      <c r="AO59" s="3"/>
      <c r="AP59">
        <v>0</v>
      </c>
      <c r="AR59" t="s">
        <v>0</v>
      </c>
      <c r="AT59" s="2" t="s">
        <v>9</v>
      </c>
      <c r="AU59" s="1" t="e">
        <f t="shared" si="5"/>
        <v>#VALUE!</v>
      </c>
      <c r="AV59" s="1" t="e">
        <f t="shared" si="6"/>
        <v>#VALUE!</v>
      </c>
      <c r="AW59" s="1" t="e">
        <f t="shared" si="7"/>
        <v>#VALUE!</v>
      </c>
    </row>
    <row r="60" spans="1:49" x14ac:dyDescent="0.2">
      <c r="A60">
        <v>58</v>
      </c>
      <c r="B60" t="s">
        <v>7651</v>
      </c>
      <c r="F60" t="s">
        <v>7650</v>
      </c>
      <c r="G60" t="s">
        <v>6</v>
      </c>
      <c r="H60" t="s">
        <v>5</v>
      </c>
      <c r="I60" t="s">
        <v>7649</v>
      </c>
      <c r="J60" t="s">
        <v>7648</v>
      </c>
      <c r="K60" t="s">
        <v>7647</v>
      </c>
      <c r="L60" t="s">
        <v>2171</v>
      </c>
      <c r="M60" t="s">
        <v>216</v>
      </c>
      <c r="N60">
        <v>2</v>
      </c>
      <c r="O60" t="s">
        <v>7646</v>
      </c>
      <c r="P60" t="s">
        <v>7645</v>
      </c>
      <c r="Q60" t="s">
        <v>7644</v>
      </c>
      <c r="R60" s="7">
        <v>35400</v>
      </c>
      <c r="S60" s="8">
        <f t="shared" si="0"/>
        <v>1996</v>
      </c>
      <c r="T60" s="8">
        <v>1996</v>
      </c>
      <c r="U60" s="8">
        <f t="shared" si="1"/>
        <v>26</v>
      </c>
      <c r="V60" s="7">
        <v>1996</v>
      </c>
      <c r="W60" t="s">
        <v>3531</v>
      </c>
      <c r="X60" s="2">
        <v>0.51</v>
      </c>
      <c r="Y60" s="6">
        <f t="shared" si="2"/>
        <v>1.3614158725074078E-2</v>
      </c>
      <c r="AA60">
        <v>2148358</v>
      </c>
      <c r="AB60">
        <v>28430</v>
      </c>
      <c r="AD60" t="s">
        <v>1</v>
      </c>
      <c r="AE60">
        <v>60</v>
      </c>
      <c r="AF60" s="9">
        <v>44257</v>
      </c>
      <c r="AH60" t="s">
        <v>7643</v>
      </c>
      <c r="AI60" t="s">
        <v>7642</v>
      </c>
      <c r="AJ60" t="s">
        <v>7641</v>
      </c>
      <c r="AK60" t="s">
        <v>7640</v>
      </c>
      <c r="AL60">
        <v>12</v>
      </c>
      <c r="AM60" s="5">
        <f t="shared" si="3"/>
        <v>0.46153846153846156</v>
      </c>
      <c r="AN60" s="4">
        <f t="shared" si="4"/>
        <v>6.9903591297002887E-4</v>
      </c>
      <c r="AO60" s="3"/>
      <c r="AP60">
        <v>0</v>
      </c>
      <c r="AR60" t="s">
        <v>0</v>
      </c>
      <c r="AT60" s="2">
        <v>1.5760000000000001</v>
      </c>
      <c r="AU60" s="1">
        <f t="shared" si="5"/>
        <v>0.97396218814428637</v>
      </c>
      <c r="AV60" s="1">
        <f t="shared" si="6"/>
        <v>0.71565973190220533</v>
      </c>
      <c r="AW60" s="1">
        <f t="shared" si="7"/>
        <v>0.45735727566012441</v>
      </c>
    </row>
    <row r="61" spans="1:49" x14ac:dyDescent="0.2">
      <c r="A61">
        <v>59</v>
      </c>
      <c r="B61" t="s">
        <v>7639</v>
      </c>
      <c r="F61" t="s">
        <v>7638</v>
      </c>
      <c r="G61" t="s">
        <v>6</v>
      </c>
      <c r="H61" t="s">
        <v>5</v>
      </c>
      <c r="I61" t="s">
        <v>7637</v>
      </c>
      <c r="J61">
        <v>60121115</v>
      </c>
      <c r="K61" t="s">
        <v>420</v>
      </c>
      <c r="L61" t="s">
        <v>93</v>
      </c>
      <c r="M61" t="s">
        <v>19</v>
      </c>
      <c r="N61">
        <v>1</v>
      </c>
      <c r="O61" t="s">
        <v>7636</v>
      </c>
      <c r="P61">
        <v>6602372308</v>
      </c>
      <c r="Q61">
        <v>60121115</v>
      </c>
      <c r="R61" s="7">
        <v>35400</v>
      </c>
      <c r="S61" s="8">
        <f t="shared" si="0"/>
        <v>1996</v>
      </c>
      <c r="T61" s="8">
        <v>1996</v>
      </c>
      <c r="U61" s="8">
        <f t="shared" si="1"/>
        <v>26</v>
      </c>
      <c r="V61" s="7">
        <v>1996</v>
      </c>
      <c r="W61" t="s">
        <v>7635</v>
      </c>
      <c r="X61" s="2">
        <v>0.255</v>
      </c>
      <c r="Y61" s="6">
        <f t="shared" si="2"/>
        <v>6.8070793625370392E-3</v>
      </c>
      <c r="AA61">
        <v>9144935</v>
      </c>
      <c r="AB61">
        <v>29837</v>
      </c>
      <c r="AD61" t="s">
        <v>1</v>
      </c>
      <c r="AE61">
        <v>8</v>
      </c>
      <c r="AF61">
        <v>6</v>
      </c>
      <c r="AH61" t="s">
        <v>7634</v>
      </c>
      <c r="AI61" t="s">
        <v>7633</v>
      </c>
      <c r="AJ61" t="s">
        <v>7632</v>
      </c>
      <c r="AK61" t="s">
        <v>7631</v>
      </c>
      <c r="AL61">
        <v>2</v>
      </c>
      <c r="AM61" s="5">
        <f t="shared" si="3"/>
        <v>7.6923076923076927E-2</v>
      </c>
      <c r="AN61" s="4">
        <f t="shared" si="4"/>
        <v>1.1650598549500481E-4</v>
      </c>
      <c r="AO61" s="3"/>
      <c r="AP61">
        <v>0</v>
      </c>
      <c r="AR61" t="s">
        <v>0</v>
      </c>
      <c r="AT61" s="2">
        <v>0.75900000000000001</v>
      </c>
      <c r="AU61" s="1">
        <f t="shared" si="5"/>
        <v>0.47999073494244288</v>
      </c>
      <c r="AV61" s="1">
        <f t="shared" si="6"/>
        <v>0.34617926740160221</v>
      </c>
      <c r="AW61" s="1">
        <f t="shared" si="7"/>
        <v>0.21236779986076151</v>
      </c>
    </row>
    <row r="62" spans="1:49" x14ac:dyDescent="0.2">
      <c r="A62">
        <v>60</v>
      </c>
      <c r="B62" t="s">
        <v>7630</v>
      </c>
      <c r="F62" t="s">
        <v>7629</v>
      </c>
      <c r="G62" t="s">
        <v>6</v>
      </c>
      <c r="H62" t="s">
        <v>5</v>
      </c>
      <c r="I62" t="s">
        <v>7628</v>
      </c>
      <c r="J62">
        <v>60000762</v>
      </c>
      <c r="K62" t="s">
        <v>7627</v>
      </c>
      <c r="L62" t="s">
        <v>171</v>
      </c>
      <c r="M62" t="s">
        <v>30</v>
      </c>
      <c r="N62">
        <v>4</v>
      </c>
      <c r="O62" t="s">
        <v>7626</v>
      </c>
      <c r="P62" t="s">
        <v>7625</v>
      </c>
      <c r="Q62" t="s">
        <v>7624</v>
      </c>
      <c r="R62" s="7">
        <v>35400</v>
      </c>
      <c r="S62" s="8">
        <f t="shared" si="0"/>
        <v>1996</v>
      </c>
      <c r="T62" s="8">
        <v>1996</v>
      </c>
      <c r="U62" s="8">
        <f t="shared" si="1"/>
        <v>26</v>
      </c>
      <c r="V62" s="7">
        <v>1996</v>
      </c>
      <c r="W62" t="s">
        <v>7623</v>
      </c>
      <c r="X62" s="2" t="s">
        <v>9</v>
      </c>
      <c r="Y62" s="6" t="e">
        <f t="shared" si="2"/>
        <v>#VALUE!</v>
      </c>
      <c r="AA62">
        <v>10256008</v>
      </c>
      <c r="AB62">
        <v>58702</v>
      </c>
      <c r="AD62" t="s">
        <v>1</v>
      </c>
      <c r="AE62">
        <v>23</v>
      </c>
      <c r="AF62" s="9">
        <v>44228</v>
      </c>
      <c r="AH62" t="s">
        <v>7622</v>
      </c>
      <c r="AI62" t="s">
        <v>7621</v>
      </c>
      <c r="AJ62" t="s">
        <v>7620</v>
      </c>
      <c r="AK62" t="s">
        <v>7619</v>
      </c>
      <c r="AL62">
        <v>3</v>
      </c>
      <c r="AM62" s="5">
        <f t="shared" si="3"/>
        <v>0.11538461538461539</v>
      </c>
      <c r="AN62" s="4">
        <f t="shared" si="4"/>
        <v>1.7475897824250722E-4</v>
      </c>
      <c r="AO62" s="3"/>
      <c r="AP62">
        <v>0</v>
      </c>
      <c r="AR62" t="s">
        <v>0</v>
      </c>
      <c r="AT62" s="2" t="s">
        <v>9</v>
      </c>
      <c r="AU62" s="1" t="e">
        <f t="shared" si="5"/>
        <v>#VALUE!</v>
      </c>
      <c r="AV62" s="1" t="e">
        <f t="shared" si="6"/>
        <v>#VALUE!</v>
      </c>
      <c r="AW62" s="1" t="e">
        <f t="shared" si="7"/>
        <v>#VALUE!</v>
      </c>
    </row>
    <row r="63" spans="1:49" x14ac:dyDescent="0.2">
      <c r="A63">
        <v>61</v>
      </c>
      <c r="B63" t="s">
        <v>7618</v>
      </c>
      <c r="C63" t="s">
        <v>7617</v>
      </c>
      <c r="D63" t="s">
        <v>7616</v>
      </c>
      <c r="F63" t="s">
        <v>7615</v>
      </c>
      <c r="G63" t="s">
        <v>6</v>
      </c>
      <c r="H63" t="s">
        <v>5</v>
      </c>
      <c r="I63" t="s">
        <v>7614</v>
      </c>
      <c r="J63">
        <v>60011001</v>
      </c>
      <c r="K63" t="s">
        <v>7613</v>
      </c>
      <c r="L63" t="s">
        <v>147</v>
      </c>
      <c r="M63" t="s">
        <v>44</v>
      </c>
      <c r="N63">
        <v>2</v>
      </c>
      <c r="O63" t="s">
        <v>7612</v>
      </c>
      <c r="P63" t="s">
        <v>7611</v>
      </c>
      <c r="Q63" t="s">
        <v>7610</v>
      </c>
      <c r="R63" s="7">
        <v>35400</v>
      </c>
      <c r="S63" s="8">
        <f t="shared" si="0"/>
        <v>1996</v>
      </c>
      <c r="T63" s="8">
        <v>1996</v>
      </c>
      <c r="U63" s="8">
        <f t="shared" si="1"/>
        <v>26</v>
      </c>
      <c r="V63" s="7">
        <v>1996</v>
      </c>
      <c r="W63" t="s">
        <v>1132</v>
      </c>
      <c r="X63" s="2">
        <v>1.1819999999999999</v>
      </c>
      <c r="Y63" s="6">
        <f t="shared" si="2"/>
        <v>3.1552814927524625E-2</v>
      </c>
      <c r="AA63">
        <v>36951</v>
      </c>
      <c r="AB63">
        <v>27030</v>
      </c>
      <c r="AD63" t="s">
        <v>1</v>
      </c>
      <c r="AE63">
        <v>68</v>
      </c>
      <c r="AF63">
        <v>11</v>
      </c>
      <c r="AH63" t="s">
        <v>7609</v>
      </c>
      <c r="AI63" t="s">
        <v>7608</v>
      </c>
      <c r="AK63" t="s">
        <v>7607</v>
      </c>
      <c r="AL63">
        <v>6</v>
      </c>
      <c r="AM63" s="5">
        <f t="shared" si="3"/>
        <v>0.23076923076923078</v>
      </c>
      <c r="AN63" s="4">
        <f t="shared" si="4"/>
        <v>3.4951795648501444E-4</v>
      </c>
      <c r="AO63" s="3"/>
      <c r="AP63">
        <v>0</v>
      </c>
      <c r="AR63" t="s">
        <v>0</v>
      </c>
      <c r="AT63" s="2">
        <v>3.7909999999999999</v>
      </c>
      <c r="AU63" s="1">
        <f t="shared" si="5"/>
        <v>2.219182583621274</v>
      </c>
      <c r="AV63" s="1">
        <f t="shared" si="6"/>
        <v>1.595116644200482</v>
      </c>
      <c r="AW63" s="1">
        <f t="shared" si="7"/>
        <v>0.97105070477968991</v>
      </c>
    </row>
    <row r="64" spans="1:49" x14ac:dyDescent="0.2">
      <c r="A64">
        <v>62</v>
      </c>
      <c r="B64" t="s">
        <v>7606</v>
      </c>
      <c r="C64" t="s">
        <v>7605</v>
      </c>
      <c r="D64" t="s">
        <v>7604</v>
      </c>
      <c r="F64" t="s">
        <v>7603</v>
      </c>
      <c r="G64" t="s">
        <v>6</v>
      </c>
      <c r="H64" t="s">
        <v>5</v>
      </c>
      <c r="I64" t="s">
        <v>7602</v>
      </c>
      <c r="J64">
        <v>60022195</v>
      </c>
      <c r="K64" t="s">
        <v>4200</v>
      </c>
      <c r="L64" t="s">
        <v>93</v>
      </c>
      <c r="M64" t="s">
        <v>2</v>
      </c>
      <c r="N64">
        <v>3</v>
      </c>
      <c r="O64" t="s">
        <v>7601</v>
      </c>
      <c r="P64" t="s">
        <v>7600</v>
      </c>
      <c r="Q64" t="s">
        <v>6577</v>
      </c>
      <c r="R64" s="7">
        <v>35400</v>
      </c>
      <c r="S64" s="8">
        <f t="shared" si="0"/>
        <v>1996</v>
      </c>
      <c r="T64" s="8">
        <v>1996</v>
      </c>
      <c r="U64" s="8">
        <f t="shared" si="1"/>
        <v>26</v>
      </c>
      <c r="V64" s="7">
        <v>1996</v>
      </c>
      <c r="W64" t="s">
        <v>1132</v>
      </c>
      <c r="X64" s="2">
        <v>1.1819999999999999</v>
      </c>
      <c r="Y64" s="6">
        <f t="shared" si="2"/>
        <v>3.1552814927524625E-2</v>
      </c>
      <c r="AA64">
        <v>36951</v>
      </c>
      <c r="AB64">
        <v>27030</v>
      </c>
      <c r="AD64" t="s">
        <v>1</v>
      </c>
      <c r="AE64">
        <v>68</v>
      </c>
      <c r="AF64">
        <v>13</v>
      </c>
      <c r="AH64" t="s">
        <v>7599</v>
      </c>
      <c r="AI64" t="s">
        <v>7598</v>
      </c>
      <c r="AK64" t="s">
        <v>7597</v>
      </c>
      <c r="AL64">
        <v>4</v>
      </c>
      <c r="AM64" s="5">
        <f t="shared" si="3"/>
        <v>0.15384615384615385</v>
      </c>
      <c r="AN64" s="4">
        <f t="shared" si="4"/>
        <v>2.3301197099000962E-4</v>
      </c>
      <c r="AO64" s="3"/>
      <c r="AP64">
        <v>0</v>
      </c>
      <c r="AR64" t="s">
        <v>0</v>
      </c>
      <c r="AT64" s="2">
        <v>3.7909999999999999</v>
      </c>
      <c r="AU64" s="1">
        <f t="shared" si="5"/>
        <v>2.2156874040564238</v>
      </c>
      <c r="AV64" s="1">
        <f t="shared" si="6"/>
        <v>1.5892913449257318</v>
      </c>
      <c r="AW64" s="1">
        <f t="shared" si="7"/>
        <v>0.96289528579503947</v>
      </c>
    </row>
    <row r="65" spans="1:49" x14ac:dyDescent="0.2">
      <c r="A65">
        <v>63</v>
      </c>
      <c r="B65" t="s">
        <v>7596</v>
      </c>
      <c r="C65" t="s">
        <v>7595</v>
      </c>
      <c r="D65" t="s">
        <v>7594</v>
      </c>
      <c r="F65" t="s">
        <v>7593</v>
      </c>
      <c r="G65" t="s">
        <v>6</v>
      </c>
      <c r="H65" t="s">
        <v>5</v>
      </c>
      <c r="I65" t="s">
        <v>347</v>
      </c>
      <c r="J65">
        <v>60025534</v>
      </c>
      <c r="K65" t="s">
        <v>346</v>
      </c>
      <c r="L65" t="s">
        <v>345</v>
      </c>
      <c r="M65" t="s">
        <v>2</v>
      </c>
      <c r="N65">
        <v>4</v>
      </c>
      <c r="O65" t="s">
        <v>7592</v>
      </c>
      <c r="P65" t="s">
        <v>7591</v>
      </c>
      <c r="Q65" t="s">
        <v>7590</v>
      </c>
      <c r="R65" s="7">
        <v>35400</v>
      </c>
      <c r="S65" s="8">
        <f t="shared" si="0"/>
        <v>1996</v>
      </c>
      <c r="T65" s="8">
        <v>1996</v>
      </c>
      <c r="U65" s="8">
        <f t="shared" si="1"/>
        <v>26</v>
      </c>
      <c r="V65" s="7">
        <v>1996</v>
      </c>
      <c r="W65" t="s">
        <v>1132</v>
      </c>
      <c r="X65" s="2">
        <v>1.1819999999999999</v>
      </c>
      <c r="Y65" s="6">
        <f t="shared" si="2"/>
        <v>3.1552814927524625E-2</v>
      </c>
      <c r="AA65">
        <v>36951</v>
      </c>
      <c r="AB65">
        <v>27030</v>
      </c>
      <c r="AD65" t="s">
        <v>1</v>
      </c>
      <c r="AE65">
        <v>68</v>
      </c>
      <c r="AF65">
        <v>23</v>
      </c>
      <c r="AH65" t="s">
        <v>7589</v>
      </c>
      <c r="AI65" t="s">
        <v>7588</v>
      </c>
      <c r="AK65" t="s">
        <v>7587</v>
      </c>
      <c r="AL65">
        <v>46</v>
      </c>
      <c r="AM65" s="5">
        <f t="shared" si="3"/>
        <v>1.7692307692307692</v>
      </c>
      <c r="AN65" s="4">
        <f t="shared" si="4"/>
        <v>2.6796376663851106E-3</v>
      </c>
      <c r="AO65" s="3"/>
      <c r="AP65">
        <v>0</v>
      </c>
      <c r="AR65" t="s">
        <v>0</v>
      </c>
      <c r="AT65" s="2">
        <v>3.7909999999999999</v>
      </c>
      <c r="AU65" s="1">
        <f t="shared" si="5"/>
        <v>2.2890861749182769</v>
      </c>
      <c r="AV65" s="1">
        <f t="shared" si="6"/>
        <v>1.7116226296954868</v>
      </c>
      <c r="AW65" s="1">
        <f t="shared" si="7"/>
        <v>1.1341590844726965</v>
      </c>
    </row>
    <row r="66" spans="1:49" x14ac:dyDescent="0.2">
      <c r="A66">
        <v>64</v>
      </c>
      <c r="B66" t="s">
        <v>7586</v>
      </c>
      <c r="C66" t="s">
        <v>7585</v>
      </c>
      <c r="D66" t="s">
        <v>7584</v>
      </c>
      <c r="E66">
        <v>8953555</v>
      </c>
      <c r="F66" t="s">
        <v>7583</v>
      </c>
      <c r="G66" t="s">
        <v>6</v>
      </c>
      <c r="H66" t="s">
        <v>5</v>
      </c>
      <c r="I66" t="s">
        <v>7582</v>
      </c>
      <c r="J66">
        <v>60033021</v>
      </c>
      <c r="K66" t="s">
        <v>7581</v>
      </c>
      <c r="L66" t="s">
        <v>162</v>
      </c>
      <c r="M66" t="s">
        <v>2</v>
      </c>
      <c r="N66">
        <v>5</v>
      </c>
      <c r="O66" t="s">
        <v>7580</v>
      </c>
      <c r="P66" t="s">
        <v>7579</v>
      </c>
      <c r="Q66" t="s">
        <v>7578</v>
      </c>
      <c r="R66" s="7">
        <v>35400</v>
      </c>
      <c r="S66" s="8">
        <f t="shared" ref="S66:S129" si="8">YEAR(R66)</f>
        <v>1996</v>
      </c>
      <c r="T66" s="8">
        <v>1996</v>
      </c>
      <c r="U66" s="8">
        <f t="shared" ref="U66:U129" si="9">2022-T66</f>
        <v>26</v>
      </c>
      <c r="V66" s="7">
        <v>35400</v>
      </c>
      <c r="W66" t="s">
        <v>7577</v>
      </c>
      <c r="X66" s="2">
        <v>0.56899999999999995</v>
      </c>
      <c r="Y66" s="6">
        <f t="shared" ref="Y66:Y129" si="10">(X66-$Z$3)/($Z$2-$Z$3)</f>
        <v>1.5189130028563038E-2</v>
      </c>
      <c r="AA66">
        <v>13504533</v>
      </c>
      <c r="AB66">
        <v>17817</v>
      </c>
      <c r="AD66" t="s">
        <v>1</v>
      </c>
      <c r="AE66">
        <v>18</v>
      </c>
      <c r="AF66">
        <v>8</v>
      </c>
      <c r="AH66" t="s">
        <v>7576</v>
      </c>
      <c r="AI66" t="s">
        <v>7575</v>
      </c>
      <c r="AJ66" t="s">
        <v>7574</v>
      </c>
      <c r="AK66" t="s">
        <v>7573</v>
      </c>
      <c r="AL66">
        <v>11</v>
      </c>
      <c r="AM66" s="5">
        <f t="shared" ref="AM66:AM129" si="11">AL66/U66</f>
        <v>0.42307692307692307</v>
      </c>
      <c r="AN66" s="4">
        <f t="shared" ref="AN66:AN129" si="12">(AM66-$AO$3)/($AO$2-$AO$3)</f>
        <v>6.4078292022252644E-4</v>
      </c>
      <c r="AO66" s="3"/>
      <c r="AP66">
        <v>0</v>
      </c>
      <c r="AQ66" t="s">
        <v>24</v>
      </c>
      <c r="AR66" t="s">
        <v>0</v>
      </c>
      <c r="AS66" t="s">
        <v>23</v>
      </c>
      <c r="AT66" s="2" t="s">
        <v>9</v>
      </c>
      <c r="AU66" s="1">
        <f t="shared" ref="AU66:AU129" si="13">(Y66*0.7+AN66*0.3)*100</f>
        <v>1.0824625896060884</v>
      </c>
      <c r="AV66" s="1">
        <f t="shared" ref="AV66:AV129" si="14">(Y66*0.5+AN66*0.5)*100</f>
        <v>0.79149564743927825</v>
      </c>
      <c r="AW66" s="1">
        <f t="shared" ref="AW66:AW129" si="15">(Y66*0.3+AN66*0.7)*100</f>
        <v>0.50052870527246796</v>
      </c>
    </row>
    <row r="67" spans="1:49" x14ac:dyDescent="0.2">
      <c r="A67">
        <v>65</v>
      </c>
      <c r="B67" t="s">
        <v>7572</v>
      </c>
      <c r="F67" t="s">
        <v>7571</v>
      </c>
      <c r="G67" t="s">
        <v>6</v>
      </c>
      <c r="H67" t="s">
        <v>5</v>
      </c>
      <c r="I67" t="s">
        <v>7570</v>
      </c>
      <c r="J67">
        <v>60075769</v>
      </c>
      <c r="K67" t="s">
        <v>7569</v>
      </c>
      <c r="L67" t="s">
        <v>7568</v>
      </c>
      <c r="M67" t="s">
        <v>97</v>
      </c>
      <c r="N67">
        <v>2</v>
      </c>
      <c r="O67" t="s">
        <v>7567</v>
      </c>
      <c r="P67" t="s">
        <v>7566</v>
      </c>
      <c r="Q67" t="s">
        <v>7565</v>
      </c>
      <c r="R67" s="7">
        <v>35400</v>
      </c>
      <c r="S67" s="8">
        <f t="shared" si="8"/>
        <v>1996</v>
      </c>
      <c r="T67" s="8">
        <v>1996</v>
      </c>
      <c r="U67" s="8">
        <f t="shared" si="9"/>
        <v>26</v>
      </c>
      <c r="V67" s="7">
        <v>1996</v>
      </c>
      <c r="W67" t="s">
        <v>7533</v>
      </c>
      <c r="X67" s="2">
        <v>0.377</v>
      </c>
      <c r="Y67" s="6">
        <f t="shared" si="10"/>
        <v>1.006379968500574E-2</v>
      </c>
      <c r="AA67" t="s">
        <v>7532</v>
      </c>
      <c r="AB67">
        <v>12225</v>
      </c>
      <c r="AD67" t="s">
        <v>1</v>
      </c>
      <c r="AE67">
        <v>6</v>
      </c>
      <c r="AF67">
        <v>2</v>
      </c>
      <c r="AH67" t="s">
        <v>7564</v>
      </c>
      <c r="AI67" t="s">
        <v>7563</v>
      </c>
      <c r="AK67" t="s">
        <v>7562</v>
      </c>
      <c r="AL67">
        <v>0</v>
      </c>
      <c r="AM67" s="5">
        <f t="shared" si="11"/>
        <v>0</v>
      </c>
      <c r="AN67" s="4">
        <f t="shared" si="12"/>
        <v>0</v>
      </c>
      <c r="AO67" s="3"/>
      <c r="AP67">
        <v>0</v>
      </c>
      <c r="AR67" t="s">
        <v>0</v>
      </c>
      <c r="AT67" s="2">
        <v>1.3660000000000001</v>
      </c>
      <c r="AU67" s="1">
        <f t="shared" si="13"/>
        <v>0.70446597795040167</v>
      </c>
      <c r="AV67" s="1">
        <f t="shared" si="14"/>
        <v>0.50318998425028694</v>
      </c>
      <c r="AW67" s="1">
        <f t="shared" si="15"/>
        <v>0.30191399055017221</v>
      </c>
    </row>
    <row r="68" spans="1:49" x14ac:dyDescent="0.2">
      <c r="A68">
        <v>66</v>
      </c>
      <c r="B68" t="s">
        <v>7561</v>
      </c>
      <c r="F68" t="s">
        <v>7560</v>
      </c>
      <c r="G68" t="s">
        <v>6</v>
      </c>
      <c r="H68" t="s">
        <v>5</v>
      </c>
      <c r="I68" t="s">
        <v>7559</v>
      </c>
      <c r="J68">
        <v>60001576</v>
      </c>
      <c r="K68" t="s">
        <v>1309</v>
      </c>
      <c r="L68" t="s">
        <v>449</v>
      </c>
      <c r="M68" t="s">
        <v>179</v>
      </c>
      <c r="N68">
        <v>1</v>
      </c>
      <c r="O68" t="s">
        <v>7558</v>
      </c>
      <c r="P68">
        <v>35607588100</v>
      </c>
      <c r="Q68">
        <v>60001576</v>
      </c>
      <c r="R68" s="7">
        <v>35400</v>
      </c>
      <c r="S68" s="8">
        <f t="shared" si="8"/>
        <v>1996</v>
      </c>
      <c r="T68" s="8">
        <v>1996</v>
      </c>
      <c r="U68" s="8">
        <f t="shared" si="9"/>
        <v>26</v>
      </c>
      <c r="V68" s="7">
        <v>1996</v>
      </c>
      <c r="W68" t="s">
        <v>7533</v>
      </c>
      <c r="X68" s="2">
        <v>0.377</v>
      </c>
      <c r="Y68" s="6">
        <f t="shared" si="10"/>
        <v>1.006379968500574E-2</v>
      </c>
      <c r="AA68" t="s">
        <v>7532</v>
      </c>
      <c r="AB68">
        <v>12225</v>
      </c>
      <c r="AD68" t="s">
        <v>1</v>
      </c>
      <c r="AE68">
        <v>6</v>
      </c>
      <c r="AF68">
        <v>2</v>
      </c>
      <c r="AH68" t="s">
        <v>7557</v>
      </c>
      <c r="AI68" t="s">
        <v>7556</v>
      </c>
      <c r="AK68" t="s">
        <v>7555</v>
      </c>
      <c r="AL68">
        <v>0</v>
      </c>
      <c r="AM68" s="5">
        <f t="shared" si="11"/>
        <v>0</v>
      </c>
      <c r="AN68" s="4">
        <f t="shared" si="12"/>
        <v>0</v>
      </c>
      <c r="AO68" s="3"/>
      <c r="AP68">
        <v>0</v>
      </c>
      <c r="AR68" t="s">
        <v>0</v>
      </c>
      <c r="AT68" s="2">
        <v>1.3660000000000001</v>
      </c>
      <c r="AU68" s="1">
        <f t="shared" si="13"/>
        <v>0.70446597795040167</v>
      </c>
      <c r="AV68" s="1">
        <f t="shared" si="14"/>
        <v>0.50318998425028694</v>
      </c>
      <c r="AW68" s="1">
        <f t="shared" si="15"/>
        <v>0.30191399055017221</v>
      </c>
    </row>
    <row r="69" spans="1:49" x14ac:dyDescent="0.2">
      <c r="A69">
        <v>67</v>
      </c>
      <c r="B69" t="s">
        <v>7554</v>
      </c>
      <c r="F69" t="s">
        <v>7553</v>
      </c>
      <c r="G69" t="s">
        <v>6</v>
      </c>
      <c r="H69" t="s">
        <v>5</v>
      </c>
      <c r="I69" t="s">
        <v>7552</v>
      </c>
      <c r="J69" t="s">
        <v>7551</v>
      </c>
      <c r="K69" t="s">
        <v>7550</v>
      </c>
      <c r="L69" t="s">
        <v>7549</v>
      </c>
      <c r="M69" t="s">
        <v>7548</v>
      </c>
      <c r="N69">
        <v>2</v>
      </c>
      <c r="O69" t="s">
        <v>7547</v>
      </c>
      <c r="P69" t="s">
        <v>7546</v>
      </c>
      <c r="Q69" t="s">
        <v>7545</v>
      </c>
      <c r="R69" s="7">
        <v>35400</v>
      </c>
      <c r="S69" s="8">
        <f t="shared" si="8"/>
        <v>1996</v>
      </c>
      <c r="T69" s="8">
        <v>1996</v>
      </c>
      <c r="U69" s="8">
        <f t="shared" si="9"/>
        <v>26</v>
      </c>
      <c r="V69" s="7">
        <v>1996</v>
      </c>
      <c r="W69" t="s">
        <v>7544</v>
      </c>
      <c r="X69" s="2">
        <v>0.27800000000000002</v>
      </c>
      <c r="Y69" s="6">
        <f t="shared" si="10"/>
        <v>7.4210512266090073E-3</v>
      </c>
      <c r="AA69">
        <v>12178837</v>
      </c>
      <c r="AB69">
        <v>24077</v>
      </c>
      <c r="AD69" t="s">
        <v>1</v>
      </c>
      <c r="AE69">
        <v>42</v>
      </c>
      <c r="AF69">
        <v>1</v>
      </c>
      <c r="AH69" t="s">
        <v>7543</v>
      </c>
      <c r="AI69" t="s">
        <v>7542</v>
      </c>
      <c r="AJ69" t="s">
        <v>7541</v>
      </c>
      <c r="AK69" t="s">
        <v>7540</v>
      </c>
      <c r="AL69">
        <v>4</v>
      </c>
      <c r="AM69" s="5">
        <f t="shared" si="11"/>
        <v>0.15384615384615385</v>
      </c>
      <c r="AN69" s="4">
        <f t="shared" si="12"/>
        <v>2.3301197099000962E-4</v>
      </c>
      <c r="AO69" s="3"/>
      <c r="AP69">
        <v>0</v>
      </c>
      <c r="AR69" t="s">
        <v>0</v>
      </c>
      <c r="AT69" s="2" t="s">
        <v>9</v>
      </c>
      <c r="AU69" s="1">
        <f t="shared" si="13"/>
        <v>0.52646394499233073</v>
      </c>
      <c r="AV69" s="1">
        <f t="shared" si="14"/>
        <v>0.38270315987995085</v>
      </c>
      <c r="AW69" s="1">
        <f t="shared" si="15"/>
        <v>0.23894237476757085</v>
      </c>
    </row>
    <row r="70" spans="1:49" x14ac:dyDescent="0.2">
      <c r="A70">
        <v>68</v>
      </c>
      <c r="B70" t="s">
        <v>7539</v>
      </c>
      <c r="F70" t="s">
        <v>7538</v>
      </c>
      <c r="G70" t="s">
        <v>6</v>
      </c>
      <c r="H70" t="s">
        <v>5</v>
      </c>
      <c r="I70" t="s">
        <v>7537</v>
      </c>
      <c r="J70">
        <v>60009114</v>
      </c>
      <c r="K70" t="s">
        <v>718</v>
      </c>
      <c r="L70" t="s">
        <v>98</v>
      </c>
      <c r="M70" t="s">
        <v>97</v>
      </c>
      <c r="N70">
        <v>5</v>
      </c>
      <c r="O70" t="s">
        <v>7536</v>
      </c>
      <c r="P70" t="s">
        <v>7535</v>
      </c>
      <c r="Q70" t="s">
        <v>7534</v>
      </c>
      <c r="R70" s="7">
        <v>35400</v>
      </c>
      <c r="S70" s="8">
        <f t="shared" si="8"/>
        <v>1996</v>
      </c>
      <c r="T70" s="8">
        <v>1996</v>
      </c>
      <c r="U70" s="8">
        <f t="shared" si="9"/>
        <v>26</v>
      </c>
      <c r="V70" s="7">
        <v>1996</v>
      </c>
      <c r="W70" t="s">
        <v>7533</v>
      </c>
      <c r="X70" s="2">
        <v>0.377</v>
      </c>
      <c r="Y70" s="6">
        <f t="shared" si="10"/>
        <v>1.006379968500574E-2</v>
      </c>
      <c r="AA70" t="s">
        <v>7532</v>
      </c>
      <c r="AB70">
        <v>12225</v>
      </c>
      <c r="AD70" t="s">
        <v>1</v>
      </c>
      <c r="AE70">
        <v>6</v>
      </c>
      <c r="AF70">
        <v>4</v>
      </c>
      <c r="AH70" t="s">
        <v>7531</v>
      </c>
      <c r="AI70" t="s">
        <v>7530</v>
      </c>
      <c r="AK70" t="s">
        <v>7529</v>
      </c>
      <c r="AL70">
        <v>26</v>
      </c>
      <c r="AM70" s="5">
        <f t="shared" si="11"/>
        <v>1</v>
      </c>
      <c r="AN70" s="4">
        <f t="shared" si="12"/>
        <v>1.5145778114350624E-3</v>
      </c>
      <c r="AO70" s="3"/>
      <c r="AP70">
        <v>0</v>
      </c>
      <c r="AR70" t="s">
        <v>0</v>
      </c>
      <c r="AT70" s="2">
        <v>1.3660000000000001</v>
      </c>
      <c r="AU70" s="1">
        <f t="shared" si="13"/>
        <v>0.74990331229345353</v>
      </c>
      <c r="AV70" s="1">
        <f t="shared" si="14"/>
        <v>0.57891887482204007</v>
      </c>
      <c r="AW70" s="1">
        <f t="shared" si="15"/>
        <v>0.40793443735062651</v>
      </c>
    </row>
    <row r="71" spans="1:49" x14ac:dyDescent="0.2">
      <c r="A71">
        <v>69</v>
      </c>
      <c r="B71" t="s">
        <v>7528</v>
      </c>
      <c r="F71" t="s">
        <v>7527</v>
      </c>
      <c r="G71" t="s">
        <v>6</v>
      </c>
      <c r="H71" t="s">
        <v>5</v>
      </c>
      <c r="I71" t="s">
        <v>7526</v>
      </c>
      <c r="J71">
        <v>60009731</v>
      </c>
      <c r="K71" t="s">
        <v>190</v>
      </c>
      <c r="L71" t="s">
        <v>189</v>
      </c>
      <c r="M71" t="s">
        <v>30</v>
      </c>
      <c r="N71">
        <v>2</v>
      </c>
      <c r="O71" t="s">
        <v>7525</v>
      </c>
      <c r="P71" t="s">
        <v>7524</v>
      </c>
      <c r="Q71" t="s">
        <v>188</v>
      </c>
      <c r="R71" s="7">
        <v>35400</v>
      </c>
      <c r="S71" s="8">
        <f t="shared" si="8"/>
        <v>1996</v>
      </c>
      <c r="T71" s="8">
        <v>1996</v>
      </c>
      <c r="U71" s="8">
        <f t="shared" si="9"/>
        <v>26</v>
      </c>
      <c r="V71" s="7">
        <v>1996</v>
      </c>
      <c r="W71" t="s">
        <v>7523</v>
      </c>
      <c r="X71" s="2">
        <v>0.26900000000000002</v>
      </c>
      <c r="Y71" s="6">
        <f t="shared" si="10"/>
        <v>7.1808013667547591E-3</v>
      </c>
      <c r="AA71" t="s">
        <v>7522</v>
      </c>
      <c r="AB71">
        <v>13669</v>
      </c>
      <c r="AD71" t="s">
        <v>1</v>
      </c>
      <c r="AE71">
        <v>109</v>
      </c>
      <c r="AF71">
        <v>3</v>
      </c>
      <c r="AH71" t="s">
        <v>7521</v>
      </c>
      <c r="AI71" t="s">
        <v>7520</v>
      </c>
      <c r="AK71" t="s">
        <v>7519</v>
      </c>
      <c r="AL71">
        <v>12</v>
      </c>
      <c r="AM71" s="5">
        <f t="shared" si="11"/>
        <v>0.46153846153846156</v>
      </c>
      <c r="AN71" s="4">
        <f t="shared" si="12"/>
        <v>6.9903591297002887E-4</v>
      </c>
      <c r="AO71" s="3"/>
      <c r="AP71">
        <v>0</v>
      </c>
      <c r="AR71" t="s">
        <v>0</v>
      </c>
      <c r="AT71" s="2" t="s">
        <v>9</v>
      </c>
      <c r="AU71" s="1">
        <f t="shared" si="13"/>
        <v>0.52362717306193396</v>
      </c>
      <c r="AV71" s="1">
        <f t="shared" si="14"/>
        <v>0.39399186398623937</v>
      </c>
      <c r="AW71" s="1">
        <f t="shared" si="15"/>
        <v>0.26435655491054477</v>
      </c>
    </row>
    <row r="72" spans="1:49" x14ac:dyDescent="0.2">
      <c r="A72">
        <v>70</v>
      </c>
      <c r="B72" t="s">
        <v>7518</v>
      </c>
      <c r="C72" t="s">
        <v>7517</v>
      </c>
      <c r="D72" t="s">
        <v>7516</v>
      </c>
      <c r="F72" t="s">
        <v>7515</v>
      </c>
      <c r="G72" t="s">
        <v>6</v>
      </c>
      <c r="H72" t="s">
        <v>5</v>
      </c>
      <c r="I72" t="s">
        <v>7514</v>
      </c>
      <c r="J72" t="s">
        <v>7513</v>
      </c>
      <c r="K72" t="s">
        <v>7512</v>
      </c>
      <c r="L72" t="s">
        <v>7511</v>
      </c>
      <c r="M72" t="s">
        <v>18</v>
      </c>
      <c r="N72">
        <v>5</v>
      </c>
      <c r="O72" t="s">
        <v>7510</v>
      </c>
      <c r="P72" t="s">
        <v>7509</v>
      </c>
      <c r="Q72" t="s">
        <v>7508</v>
      </c>
      <c r="R72" s="7">
        <v>35400</v>
      </c>
      <c r="S72" s="8">
        <f t="shared" si="8"/>
        <v>1996</v>
      </c>
      <c r="T72" s="8">
        <v>1996</v>
      </c>
      <c r="U72" s="8">
        <f t="shared" si="9"/>
        <v>26</v>
      </c>
      <c r="V72" s="7">
        <v>35400</v>
      </c>
      <c r="W72" t="s">
        <v>199</v>
      </c>
      <c r="X72" s="2">
        <v>0.9</v>
      </c>
      <c r="Y72" s="6">
        <f t="shared" si="10"/>
        <v>2.4024985985424845E-2</v>
      </c>
      <c r="AA72">
        <v>10111344</v>
      </c>
      <c r="AB72">
        <v>17622</v>
      </c>
      <c r="AD72" t="s">
        <v>1</v>
      </c>
      <c r="AE72">
        <v>36</v>
      </c>
      <c r="AF72">
        <v>3</v>
      </c>
      <c r="AH72" t="s">
        <v>7507</v>
      </c>
      <c r="AI72" t="s">
        <v>7506</v>
      </c>
      <c r="AJ72" t="s">
        <v>7505</v>
      </c>
      <c r="AK72" t="s">
        <v>7504</v>
      </c>
      <c r="AL72">
        <v>27</v>
      </c>
      <c r="AM72" s="5">
        <f t="shared" si="11"/>
        <v>1.0384615384615385</v>
      </c>
      <c r="AN72" s="4">
        <f t="shared" si="12"/>
        <v>1.572830804182565E-3</v>
      </c>
      <c r="AO72" s="3"/>
      <c r="AP72">
        <v>0</v>
      </c>
      <c r="AR72" t="s">
        <v>0</v>
      </c>
      <c r="AT72" s="2" t="s">
        <v>9</v>
      </c>
      <c r="AU72" s="1">
        <f t="shared" si="13"/>
        <v>1.728933943105216</v>
      </c>
      <c r="AV72" s="1">
        <f t="shared" si="14"/>
        <v>1.2798908394803705</v>
      </c>
      <c r="AW72" s="1">
        <f t="shared" si="15"/>
        <v>0.83084773585552496</v>
      </c>
    </row>
    <row r="73" spans="1:49" x14ac:dyDescent="0.2">
      <c r="A73">
        <v>71</v>
      </c>
      <c r="B73" t="s">
        <v>7503</v>
      </c>
      <c r="C73" t="s">
        <v>7502</v>
      </c>
      <c r="E73">
        <v>9003325</v>
      </c>
      <c r="F73" t="s">
        <v>7501</v>
      </c>
      <c r="G73" t="s">
        <v>6</v>
      </c>
      <c r="H73" t="s">
        <v>5</v>
      </c>
      <c r="I73" t="s">
        <v>7500</v>
      </c>
      <c r="J73" t="s">
        <v>7499</v>
      </c>
      <c r="K73" t="s">
        <v>7498</v>
      </c>
      <c r="L73" t="s">
        <v>7497</v>
      </c>
      <c r="M73" t="s">
        <v>107</v>
      </c>
      <c r="N73">
        <v>3</v>
      </c>
      <c r="O73" t="s">
        <v>7496</v>
      </c>
      <c r="P73" t="s">
        <v>7495</v>
      </c>
      <c r="Q73" t="s">
        <v>7494</v>
      </c>
      <c r="R73" s="7">
        <v>35400</v>
      </c>
      <c r="S73" s="8">
        <f t="shared" si="8"/>
        <v>1996</v>
      </c>
      <c r="T73" s="8">
        <v>1996</v>
      </c>
      <c r="U73" s="8">
        <f t="shared" si="9"/>
        <v>26</v>
      </c>
      <c r="V73" s="7">
        <v>1996</v>
      </c>
      <c r="W73" t="s">
        <v>7493</v>
      </c>
      <c r="X73" s="2" t="s">
        <v>9</v>
      </c>
      <c r="Y73" s="6" t="e">
        <f t="shared" si="10"/>
        <v>#VALUE!</v>
      </c>
      <c r="AA73">
        <v>268925</v>
      </c>
      <c r="AB73">
        <v>32876</v>
      </c>
      <c r="AD73" t="s">
        <v>1</v>
      </c>
      <c r="AE73">
        <v>253</v>
      </c>
      <c r="AF73">
        <v>3</v>
      </c>
      <c r="AH73" t="s">
        <v>7492</v>
      </c>
      <c r="AI73" t="s">
        <v>7491</v>
      </c>
      <c r="AJ73" t="s">
        <v>7490</v>
      </c>
      <c r="AK73" t="s">
        <v>7489</v>
      </c>
      <c r="AL73">
        <v>46</v>
      </c>
      <c r="AM73" s="5">
        <f t="shared" si="11"/>
        <v>1.7692307692307692</v>
      </c>
      <c r="AN73" s="4">
        <f t="shared" si="12"/>
        <v>2.6796376663851106E-3</v>
      </c>
      <c r="AO73" s="3"/>
      <c r="AP73">
        <v>0</v>
      </c>
      <c r="AR73" t="s">
        <v>0</v>
      </c>
      <c r="AT73" s="2" t="s">
        <v>9</v>
      </c>
      <c r="AU73" s="1" t="e">
        <f t="shared" si="13"/>
        <v>#VALUE!</v>
      </c>
      <c r="AV73" s="1" t="e">
        <f t="shared" si="14"/>
        <v>#VALUE!</v>
      </c>
      <c r="AW73" s="1" t="e">
        <f t="shared" si="15"/>
        <v>#VALUE!</v>
      </c>
    </row>
    <row r="74" spans="1:49" x14ac:dyDescent="0.2">
      <c r="A74">
        <v>72</v>
      </c>
      <c r="B74" t="s">
        <v>7488</v>
      </c>
      <c r="F74" t="s">
        <v>7487</v>
      </c>
      <c r="G74" t="s">
        <v>6</v>
      </c>
      <c r="H74" t="s">
        <v>5</v>
      </c>
      <c r="I74" t="s">
        <v>7486</v>
      </c>
      <c r="J74" t="s">
        <v>7480</v>
      </c>
      <c r="K74" t="s">
        <v>7485</v>
      </c>
      <c r="L74" t="s">
        <v>7484</v>
      </c>
      <c r="M74" t="s">
        <v>7483</v>
      </c>
      <c r="N74">
        <v>2</v>
      </c>
      <c r="O74" t="s">
        <v>7482</v>
      </c>
      <c r="P74" t="s">
        <v>7481</v>
      </c>
      <c r="Q74" t="s">
        <v>7480</v>
      </c>
      <c r="R74" s="7">
        <v>35400</v>
      </c>
      <c r="S74" s="8">
        <f t="shared" si="8"/>
        <v>1996</v>
      </c>
      <c r="T74" s="8">
        <v>1996</v>
      </c>
      <c r="U74" s="8">
        <f t="shared" si="9"/>
        <v>26</v>
      </c>
      <c r="V74" s="7">
        <v>1996</v>
      </c>
      <c r="W74" t="s">
        <v>7479</v>
      </c>
      <c r="X74" s="2">
        <v>1.157</v>
      </c>
      <c r="Y74" s="6">
        <f t="shared" si="10"/>
        <v>3.088545420570727E-2</v>
      </c>
      <c r="AA74">
        <v>15237</v>
      </c>
      <c r="AB74">
        <v>26624</v>
      </c>
      <c r="AD74" t="s">
        <v>1</v>
      </c>
      <c r="AE74">
        <v>42</v>
      </c>
      <c r="AF74">
        <v>4</v>
      </c>
      <c r="AH74" t="s">
        <v>7478</v>
      </c>
      <c r="AI74" t="s">
        <v>7477</v>
      </c>
      <c r="AK74" t="s">
        <v>7476</v>
      </c>
      <c r="AL74">
        <v>0</v>
      </c>
      <c r="AM74" s="5">
        <f t="shared" si="11"/>
        <v>0</v>
      </c>
      <c r="AN74" s="4">
        <f t="shared" si="12"/>
        <v>0</v>
      </c>
      <c r="AO74" s="3"/>
      <c r="AP74">
        <v>0</v>
      </c>
      <c r="AR74" t="s">
        <v>0</v>
      </c>
      <c r="AT74" s="2">
        <v>2.4769999999999999</v>
      </c>
      <c r="AU74" s="1">
        <f t="shared" si="13"/>
        <v>2.1619817943995088</v>
      </c>
      <c r="AV74" s="1">
        <f t="shared" si="14"/>
        <v>1.5442727102853635</v>
      </c>
      <c r="AW74" s="1">
        <f t="shared" si="15"/>
        <v>0.92656362617121801</v>
      </c>
    </row>
    <row r="75" spans="1:49" x14ac:dyDescent="0.2">
      <c r="A75">
        <v>73</v>
      </c>
      <c r="B75" t="s">
        <v>7475</v>
      </c>
      <c r="F75" t="s">
        <v>7474</v>
      </c>
      <c r="G75" t="s">
        <v>6</v>
      </c>
      <c r="H75" t="s">
        <v>5</v>
      </c>
      <c r="I75" t="s">
        <v>7473</v>
      </c>
      <c r="J75">
        <v>60028229</v>
      </c>
      <c r="K75" t="s">
        <v>7472</v>
      </c>
      <c r="L75" t="s">
        <v>7471</v>
      </c>
      <c r="M75" t="s">
        <v>30</v>
      </c>
      <c r="N75">
        <v>1</v>
      </c>
      <c r="O75" t="s">
        <v>7470</v>
      </c>
      <c r="P75">
        <v>57206156792</v>
      </c>
      <c r="Q75">
        <v>60028229</v>
      </c>
      <c r="R75" s="7">
        <v>35400</v>
      </c>
      <c r="S75" s="8">
        <f t="shared" si="8"/>
        <v>1996</v>
      </c>
      <c r="T75" s="8">
        <v>1996</v>
      </c>
      <c r="U75" s="8">
        <f t="shared" si="9"/>
        <v>26</v>
      </c>
      <c r="V75" s="7">
        <v>1996</v>
      </c>
      <c r="W75" t="s">
        <v>7469</v>
      </c>
      <c r="X75" s="2" t="s">
        <v>9</v>
      </c>
      <c r="Y75" s="6" t="e">
        <f t="shared" si="10"/>
        <v>#VALUE!</v>
      </c>
      <c r="AA75">
        <v>58173</v>
      </c>
      <c r="AB75">
        <v>32202</v>
      </c>
      <c r="AD75" t="s">
        <v>1</v>
      </c>
      <c r="AE75">
        <v>69</v>
      </c>
      <c r="AF75">
        <v>1</v>
      </c>
      <c r="AH75" t="s">
        <v>7468</v>
      </c>
      <c r="AI75" t="s">
        <v>7467</v>
      </c>
      <c r="AK75" t="s">
        <v>7466</v>
      </c>
      <c r="AL75">
        <v>6</v>
      </c>
      <c r="AM75" s="5">
        <f t="shared" si="11"/>
        <v>0.23076923076923078</v>
      </c>
      <c r="AN75" s="4">
        <f t="shared" si="12"/>
        <v>3.4951795648501444E-4</v>
      </c>
      <c r="AO75" s="3"/>
      <c r="AP75">
        <v>0</v>
      </c>
      <c r="AR75" t="s">
        <v>0</v>
      </c>
      <c r="AT75" s="2" t="s">
        <v>9</v>
      </c>
      <c r="AU75" s="1" t="e">
        <f t="shared" si="13"/>
        <v>#VALUE!</v>
      </c>
      <c r="AV75" s="1" t="e">
        <f t="shared" si="14"/>
        <v>#VALUE!</v>
      </c>
      <c r="AW75" s="1" t="e">
        <f t="shared" si="15"/>
        <v>#VALUE!</v>
      </c>
    </row>
    <row r="76" spans="1:49" x14ac:dyDescent="0.2">
      <c r="A76">
        <v>74</v>
      </c>
      <c r="B76" t="s">
        <v>7465</v>
      </c>
      <c r="C76" t="s">
        <v>7464</v>
      </c>
      <c r="E76">
        <v>9023985</v>
      </c>
      <c r="F76" t="s">
        <v>7463</v>
      </c>
      <c r="G76" t="s">
        <v>6</v>
      </c>
      <c r="H76" t="s">
        <v>5</v>
      </c>
      <c r="I76" t="s">
        <v>7462</v>
      </c>
      <c r="J76" t="s">
        <v>7461</v>
      </c>
      <c r="K76" t="s">
        <v>7460</v>
      </c>
      <c r="L76" t="s">
        <v>7459</v>
      </c>
      <c r="M76" t="s">
        <v>550</v>
      </c>
      <c r="N76">
        <v>3</v>
      </c>
      <c r="O76" t="s">
        <v>7458</v>
      </c>
      <c r="P76" t="s">
        <v>7457</v>
      </c>
      <c r="Q76" t="s">
        <v>7456</v>
      </c>
      <c r="R76" s="7">
        <v>35400</v>
      </c>
      <c r="S76" s="8">
        <f t="shared" si="8"/>
        <v>1996</v>
      </c>
      <c r="T76" s="8">
        <v>1996</v>
      </c>
      <c r="U76" s="8">
        <f t="shared" si="9"/>
        <v>26</v>
      </c>
      <c r="V76" s="7">
        <v>1996</v>
      </c>
      <c r="W76" t="s">
        <v>7455</v>
      </c>
      <c r="X76" s="2" t="s">
        <v>9</v>
      </c>
      <c r="Y76" s="6" t="e">
        <f t="shared" si="10"/>
        <v>#VALUE!</v>
      </c>
      <c r="AA76" t="s">
        <v>7454</v>
      </c>
      <c r="AB76">
        <v>38446</v>
      </c>
      <c r="AD76" t="s">
        <v>1</v>
      </c>
      <c r="AE76">
        <v>19</v>
      </c>
      <c r="AF76">
        <v>4</v>
      </c>
      <c r="AH76" t="s">
        <v>7244</v>
      </c>
      <c r="AI76" t="s">
        <v>7453</v>
      </c>
      <c r="AJ76" t="s">
        <v>7452</v>
      </c>
      <c r="AK76" t="s">
        <v>7451</v>
      </c>
      <c r="AL76">
        <v>8</v>
      </c>
      <c r="AM76" s="5">
        <f t="shared" si="11"/>
        <v>0.30769230769230771</v>
      </c>
      <c r="AN76" s="4">
        <f t="shared" si="12"/>
        <v>4.6602394198001925E-4</v>
      </c>
      <c r="AO76" s="3"/>
      <c r="AP76">
        <v>0</v>
      </c>
      <c r="AR76" t="s">
        <v>0</v>
      </c>
      <c r="AT76" s="2" t="s">
        <v>9</v>
      </c>
      <c r="AU76" s="1" t="e">
        <f t="shared" si="13"/>
        <v>#VALUE!</v>
      </c>
      <c r="AV76" s="1" t="e">
        <f t="shared" si="14"/>
        <v>#VALUE!</v>
      </c>
      <c r="AW76" s="1" t="e">
        <f t="shared" si="15"/>
        <v>#VALUE!</v>
      </c>
    </row>
    <row r="77" spans="1:49" x14ac:dyDescent="0.2">
      <c r="A77">
        <v>75</v>
      </c>
      <c r="B77" t="s">
        <v>7450</v>
      </c>
      <c r="E77">
        <v>9012514</v>
      </c>
      <c r="F77" t="s">
        <v>7449</v>
      </c>
      <c r="G77" t="s">
        <v>6</v>
      </c>
      <c r="H77" t="s">
        <v>5</v>
      </c>
      <c r="I77" t="s">
        <v>7448</v>
      </c>
      <c r="J77">
        <v>60007278</v>
      </c>
      <c r="K77" t="s">
        <v>7447</v>
      </c>
      <c r="L77" t="s">
        <v>7446</v>
      </c>
      <c r="M77" t="s">
        <v>2</v>
      </c>
      <c r="N77">
        <v>4</v>
      </c>
      <c r="O77" t="s">
        <v>7445</v>
      </c>
      <c r="P77" t="s">
        <v>7444</v>
      </c>
      <c r="Q77" t="s">
        <v>7443</v>
      </c>
      <c r="R77" s="7">
        <v>35400</v>
      </c>
      <c r="S77" s="8">
        <f t="shared" si="8"/>
        <v>1996</v>
      </c>
      <c r="T77" s="8">
        <v>1996</v>
      </c>
      <c r="U77" s="8">
        <f t="shared" si="9"/>
        <v>26</v>
      </c>
      <c r="V77" s="7">
        <v>1996</v>
      </c>
      <c r="W77" t="s">
        <v>1121</v>
      </c>
      <c r="X77" s="2">
        <v>0.15</v>
      </c>
      <c r="Y77" s="6">
        <f t="shared" si="10"/>
        <v>4.0041643309041402E-3</v>
      </c>
      <c r="AA77">
        <v>9501991</v>
      </c>
      <c r="AB77">
        <v>14531</v>
      </c>
      <c r="AD77" t="s">
        <v>1</v>
      </c>
      <c r="AE77">
        <v>122</v>
      </c>
      <c r="AF77">
        <v>12</v>
      </c>
      <c r="AH77" t="s">
        <v>7442</v>
      </c>
      <c r="AI77" t="s">
        <v>7441</v>
      </c>
      <c r="AJ77" t="s">
        <v>7440</v>
      </c>
      <c r="AK77" t="s">
        <v>7439</v>
      </c>
      <c r="AL77">
        <v>119</v>
      </c>
      <c r="AM77" s="5">
        <f t="shared" si="11"/>
        <v>4.5769230769230766</v>
      </c>
      <c r="AN77" s="4">
        <f t="shared" si="12"/>
        <v>6.9321061369527854E-3</v>
      </c>
      <c r="AO77" s="3"/>
      <c r="AP77">
        <v>0</v>
      </c>
      <c r="AQ77" t="s">
        <v>196</v>
      </c>
      <c r="AR77" t="s">
        <v>7438</v>
      </c>
      <c r="AS77" t="s">
        <v>195</v>
      </c>
      <c r="AT77" s="2">
        <v>6.8680000000000003</v>
      </c>
      <c r="AU77" s="1">
        <f t="shared" si="13"/>
        <v>0.48825468727187338</v>
      </c>
      <c r="AV77" s="1">
        <f t="shared" si="14"/>
        <v>0.54681352339284628</v>
      </c>
      <c r="AW77" s="1">
        <f t="shared" si="15"/>
        <v>0.60537235951381918</v>
      </c>
    </row>
    <row r="78" spans="1:49" x14ac:dyDescent="0.2">
      <c r="A78">
        <v>76</v>
      </c>
      <c r="B78" t="s">
        <v>7437</v>
      </c>
      <c r="F78" t="s">
        <v>7436</v>
      </c>
      <c r="G78" t="s">
        <v>6</v>
      </c>
      <c r="H78" t="s">
        <v>5</v>
      </c>
      <c r="I78" t="s">
        <v>7435</v>
      </c>
      <c r="J78" t="s">
        <v>7434</v>
      </c>
      <c r="K78" t="s">
        <v>7433</v>
      </c>
      <c r="L78" t="s">
        <v>7432</v>
      </c>
      <c r="M78" t="s">
        <v>13</v>
      </c>
      <c r="N78">
        <v>2</v>
      </c>
      <c r="O78" t="s">
        <v>7431</v>
      </c>
      <c r="P78" t="s">
        <v>7430</v>
      </c>
      <c r="Q78" t="s">
        <v>7429</v>
      </c>
      <c r="R78" s="7">
        <v>35400</v>
      </c>
      <c r="S78" s="8">
        <f t="shared" si="8"/>
        <v>1996</v>
      </c>
      <c r="T78" s="8">
        <v>1996</v>
      </c>
      <c r="U78" s="8">
        <f t="shared" si="9"/>
        <v>26</v>
      </c>
      <c r="V78" s="7">
        <v>1996</v>
      </c>
      <c r="W78" t="s">
        <v>7428</v>
      </c>
      <c r="X78" s="2">
        <v>0.17299999999999999</v>
      </c>
      <c r="Y78" s="6">
        <f t="shared" si="10"/>
        <v>4.6181361949761083E-3</v>
      </c>
      <c r="AA78">
        <v>384909</v>
      </c>
      <c r="AB78">
        <v>24895</v>
      </c>
      <c r="AD78" t="s">
        <v>1</v>
      </c>
      <c r="AE78">
        <v>41</v>
      </c>
      <c r="AF78">
        <v>1</v>
      </c>
      <c r="AH78" t="s">
        <v>7427</v>
      </c>
      <c r="AI78" t="s">
        <v>7426</v>
      </c>
      <c r="AK78" t="s">
        <v>7425</v>
      </c>
      <c r="AL78">
        <v>6</v>
      </c>
      <c r="AM78" s="5">
        <f t="shared" si="11"/>
        <v>0.23076923076923078</v>
      </c>
      <c r="AN78" s="4">
        <f t="shared" si="12"/>
        <v>3.4951795648501444E-4</v>
      </c>
      <c r="AO78" s="3"/>
      <c r="AP78">
        <v>0</v>
      </c>
      <c r="AR78" t="s">
        <v>0</v>
      </c>
      <c r="AT78" s="2">
        <v>0.26700000000000002</v>
      </c>
      <c r="AU78" s="1">
        <f t="shared" si="13"/>
        <v>0.33375507234287799</v>
      </c>
      <c r="AV78" s="1">
        <f t="shared" si="14"/>
        <v>0.24838270757305611</v>
      </c>
      <c r="AW78" s="1">
        <f t="shared" si="15"/>
        <v>0.16301034280323426</v>
      </c>
    </row>
    <row r="79" spans="1:49" x14ac:dyDescent="0.2">
      <c r="A79">
        <v>77</v>
      </c>
      <c r="B79" t="s">
        <v>7424</v>
      </c>
      <c r="C79" t="s">
        <v>7423</v>
      </c>
      <c r="D79" t="s">
        <v>7422</v>
      </c>
      <c r="F79" t="s">
        <v>7421</v>
      </c>
      <c r="G79" t="s">
        <v>6</v>
      </c>
      <c r="H79" t="s">
        <v>5</v>
      </c>
      <c r="I79" t="s">
        <v>7420</v>
      </c>
      <c r="J79">
        <v>60000145</v>
      </c>
      <c r="K79" t="s">
        <v>7419</v>
      </c>
      <c r="L79" t="s">
        <v>639</v>
      </c>
      <c r="M79" t="s">
        <v>250</v>
      </c>
      <c r="N79">
        <v>1</v>
      </c>
      <c r="O79" t="s">
        <v>7418</v>
      </c>
      <c r="P79">
        <v>6602512778</v>
      </c>
      <c r="Q79">
        <v>60000145</v>
      </c>
      <c r="R79" s="7">
        <v>35400</v>
      </c>
      <c r="S79" s="8">
        <f t="shared" si="8"/>
        <v>1996</v>
      </c>
      <c r="T79" s="8">
        <v>1996</v>
      </c>
      <c r="U79" s="8">
        <f t="shared" si="9"/>
        <v>26</v>
      </c>
      <c r="V79" s="7">
        <v>35400</v>
      </c>
      <c r="W79" t="s">
        <v>7417</v>
      </c>
      <c r="X79" s="2">
        <v>0.78400000000000003</v>
      </c>
      <c r="Y79" s="6">
        <f t="shared" si="10"/>
        <v>2.0928432236192309E-2</v>
      </c>
      <c r="AA79">
        <v>3766357</v>
      </c>
      <c r="AB79">
        <v>14288</v>
      </c>
      <c r="AD79" t="s">
        <v>1</v>
      </c>
      <c r="AE79">
        <v>38</v>
      </c>
      <c r="AF79">
        <v>3</v>
      </c>
      <c r="AH79" t="s">
        <v>7416</v>
      </c>
      <c r="AI79" t="s">
        <v>7415</v>
      </c>
      <c r="AJ79" t="s">
        <v>7414</v>
      </c>
      <c r="AK79" t="s">
        <v>7413</v>
      </c>
      <c r="AL79">
        <v>7</v>
      </c>
      <c r="AM79" s="5">
        <f t="shared" si="11"/>
        <v>0.26923076923076922</v>
      </c>
      <c r="AN79" s="4">
        <f t="shared" si="12"/>
        <v>4.0777094923251682E-4</v>
      </c>
      <c r="AO79" s="3"/>
      <c r="AP79">
        <v>0</v>
      </c>
      <c r="AQ79" t="s">
        <v>7412</v>
      </c>
      <c r="AR79" t="s">
        <v>0</v>
      </c>
      <c r="AS79" t="s">
        <v>7411</v>
      </c>
      <c r="AT79" s="2">
        <v>1.7769999999999999</v>
      </c>
      <c r="AU79" s="1">
        <f t="shared" si="13"/>
        <v>1.477223385010437</v>
      </c>
      <c r="AV79" s="1">
        <f t="shared" si="14"/>
        <v>1.0668101592712413</v>
      </c>
      <c r="AW79" s="1">
        <f t="shared" si="15"/>
        <v>0.65639693353204542</v>
      </c>
    </row>
    <row r="80" spans="1:49" x14ac:dyDescent="0.2">
      <c r="A80">
        <v>78</v>
      </c>
      <c r="B80" t="s">
        <v>7410</v>
      </c>
      <c r="F80" t="s">
        <v>7409</v>
      </c>
      <c r="G80" t="s">
        <v>6</v>
      </c>
      <c r="H80" t="s">
        <v>5</v>
      </c>
      <c r="I80" t="s">
        <v>7408</v>
      </c>
      <c r="N80">
        <v>2</v>
      </c>
      <c r="O80" t="s">
        <v>7407</v>
      </c>
      <c r="P80" t="s">
        <v>7406</v>
      </c>
      <c r="Q80" t="s">
        <v>460</v>
      </c>
      <c r="R80" s="7">
        <v>35400</v>
      </c>
      <c r="S80" s="8">
        <f t="shared" si="8"/>
        <v>1996</v>
      </c>
      <c r="T80" s="8">
        <v>1996</v>
      </c>
      <c r="U80" s="8">
        <f t="shared" si="9"/>
        <v>26</v>
      </c>
      <c r="V80" s="7">
        <v>1996</v>
      </c>
      <c r="W80" t="s">
        <v>7405</v>
      </c>
      <c r="X80" s="2" t="s">
        <v>9</v>
      </c>
      <c r="Y80" s="6" t="e">
        <f t="shared" si="10"/>
        <v>#VALUE!</v>
      </c>
      <c r="AB80">
        <v>30890</v>
      </c>
      <c r="AD80" t="s">
        <v>1</v>
      </c>
      <c r="AE80">
        <v>338</v>
      </c>
      <c r="AF80">
        <v>7</v>
      </c>
      <c r="AH80" s="9">
        <v>44444</v>
      </c>
      <c r="AI80" t="s">
        <v>7404</v>
      </c>
      <c r="AK80" t="s">
        <v>7403</v>
      </c>
      <c r="AL80">
        <v>0</v>
      </c>
      <c r="AM80" s="5">
        <f t="shared" si="11"/>
        <v>0</v>
      </c>
      <c r="AN80" s="4">
        <f t="shared" si="12"/>
        <v>0</v>
      </c>
      <c r="AO80" s="3"/>
      <c r="AP80">
        <v>0</v>
      </c>
      <c r="AR80" t="s">
        <v>0</v>
      </c>
      <c r="AT80" s="2" t="s">
        <v>9</v>
      </c>
      <c r="AU80" s="1" t="e">
        <f t="shared" si="13"/>
        <v>#VALUE!</v>
      </c>
      <c r="AV80" s="1" t="e">
        <f t="shared" si="14"/>
        <v>#VALUE!</v>
      </c>
      <c r="AW80" s="1" t="e">
        <f t="shared" si="15"/>
        <v>#VALUE!</v>
      </c>
    </row>
    <row r="81" spans="1:49" x14ac:dyDescent="0.2">
      <c r="A81">
        <v>79</v>
      </c>
      <c r="B81" t="s">
        <v>7402</v>
      </c>
      <c r="F81" t="s">
        <v>7401</v>
      </c>
      <c r="G81" t="s">
        <v>6</v>
      </c>
      <c r="H81" t="s">
        <v>5</v>
      </c>
      <c r="I81" t="s">
        <v>7400</v>
      </c>
      <c r="J81" t="s">
        <v>7399</v>
      </c>
      <c r="K81" t="s">
        <v>7398</v>
      </c>
      <c r="L81" t="s">
        <v>7397</v>
      </c>
      <c r="M81" t="s">
        <v>7396</v>
      </c>
      <c r="N81">
        <v>4</v>
      </c>
      <c r="O81" t="s">
        <v>7395</v>
      </c>
      <c r="P81" t="s">
        <v>7394</v>
      </c>
      <c r="Q81" t="s">
        <v>7393</v>
      </c>
      <c r="R81" s="7">
        <v>35400</v>
      </c>
      <c r="S81" s="8">
        <f t="shared" si="8"/>
        <v>1996</v>
      </c>
      <c r="T81" s="8">
        <v>1996</v>
      </c>
      <c r="U81" s="8">
        <f t="shared" si="9"/>
        <v>26</v>
      </c>
      <c r="V81" s="7">
        <v>1996</v>
      </c>
      <c r="W81" t="s">
        <v>7392</v>
      </c>
      <c r="X81" s="2">
        <v>0.755</v>
      </c>
      <c r="Y81" s="6">
        <f t="shared" si="10"/>
        <v>2.0154293798884174E-2</v>
      </c>
      <c r="AA81">
        <v>3003604</v>
      </c>
      <c r="AB81">
        <v>16515</v>
      </c>
      <c r="AD81" t="s">
        <v>1</v>
      </c>
      <c r="AE81">
        <v>32</v>
      </c>
      <c r="AF81">
        <v>4</v>
      </c>
      <c r="AH81" t="s">
        <v>7391</v>
      </c>
      <c r="AI81" t="s">
        <v>7390</v>
      </c>
      <c r="AJ81" t="s">
        <v>7389</v>
      </c>
      <c r="AK81" t="s">
        <v>7388</v>
      </c>
      <c r="AL81">
        <v>3</v>
      </c>
      <c r="AM81" s="5">
        <f t="shared" si="11"/>
        <v>0.11538461538461539</v>
      </c>
      <c r="AN81" s="4">
        <f t="shared" si="12"/>
        <v>1.7475897824250722E-4</v>
      </c>
      <c r="AO81" s="3"/>
      <c r="AP81">
        <v>0</v>
      </c>
      <c r="AR81" t="s">
        <v>0</v>
      </c>
      <c r="AT81" s="2">
        <v>3.1890000000000001</v>
      </c>
      <c r="AU81" s="1">
        <f t="shared" si="13"/>
        <v>1.4160433352691673</v>
      </c>
      <c r="AV81" s="1">
        <f t="shared" si="14"/>
        <v>1.0164526388563342</v>
      </c>
      <c r="AW81" s="1">
        <f t="shared" si="15"/>
        <v>0.61686194244350068</v>
      </c>
    </row>
    <row r="82" spans="1:49" x14ac:dyDescent="0.2">
      <c r="A82">
        <v>80</v>
      </c>
      <c r="B82" t="s">
        <v>7387</v>
      </c>
      <c r="F82" t="s">
        <v>7386</v>
      </c>
      <c r="G82" t="s">
        <v>6</v>
      </c>
      <c r="H82" t="s">
        <v>5</v>
      </c>
      <c r="I82" t="s">
        <v>7385</v>
      </c>
      <c r="J82" t="s">
        <v>7384</v>
      </c>
      <c r="K82" t="s">
        <v>7383</v>
      </c>
      <c r="L82" t="s">
        <v>7382</v>
      </c>
      <c r="M82" t="s">
        <v>13</v>
      </c>
      <c r="N82">
        <v>6</v>
      </c>
      <c r="O82" t="s">
        <v>7381</v>
      </c>
      <c r="P82" t="s">
        <v>7380</v>
      </c>
      <c r="Q82" t="s">
        <v>7379</v>
      </c>
      <c r="R82" s="7">
        <v>35400</v>
      </c>
      <c r="S82" s="8">
        <f t="shared" si="8"/>
        <v>1996</v>
      </c>
      <c r="T82" s="8">
        <v>1996</v>
      </c>
      <c r="U82" s="8">
        <f t="shared" si="9"/>
        <v>26</v>
      </c>
      <c r="V82" s="7">
        <v>1996</v>
      </c>
      <c r="W82" t="s">
        <v>7378</v>
      </c>
      <c r="X82" s="2">
        <v>0.309</v>
      </c>
      <c r="Y82" s="6">
        <f t="shared" si="10"/>
        <v>8.2485785216625286E-3</v>
      </c>
      <c r="AA82">
        <v>1471724</v>
      </c>
      <c r="AB82">
        <v>21584</v>
      </c>
      <c r="AD82" t="s">
        <v>1</v>
      </c>
      <c r="AE82">
        <v>21</v>
      </c>
      <c r="AF82">
        <v>4</v>
      </c>
      <c r="AH82" t="s">
        <v>7377</v>
      </c>
      <c r="AI82" t="s">
        <v>7376</v>
      </c>
      <c r="AK82" t="s">
        <v>7375</v>
      </c>
      <c r="AL82">
        <v>12</v>
      </c>
      <c r="AM82" s="5">
        <f t="shared" si="11"/>
        <v>0.46153846153846156</v>
      </c>
      <c r="AN82" s="4">
        <f t="shared" si="12"/>
        <v>6.9903591297002887E-4</v>
      </c>
      <c r="AO82" s="3"/>
      <c r="AP82">
        <v>0</v>
      </c>
      <c r="AR82" t="s">
        <v>0</v>
      </c>
      <c r="AT82" s="2">
        <v>0.51100000000000001</v>
      </c>
      <c r="AU82" s="1">
        <f t="shared" si="13"/>
        <v>0.59837157390547779</v>
      </c>
      <c r="AV82" s="1">
        <f t="shared" si="14"/>
        <v>0.44738072173162785</v>
      </c>
      <c r="AW82" s="1">
        <f t="shared" si="15"/>
        <v>0.29638986955777785</v>
      </c>
    </row>
    <row r="83" spans="1:49" x14ac:dyDescent="0.2">
      <c r="A83">
        <v>81</v>
      </c>
      <c r="B83" t="s">
        <v>7374</v>
      </c>
      <c r="F83" t="s">
        <v>7373</v>
      </c>
      <c r="G83" t="s">
        <v>6</v>
      </c>
      <c r="H83" t="s">
        <v>5</v>
      </c>
      <c r="I83" t="s">
        <v>7372</v>
      </c>
      <c r="N83">
        <v>1</v>
      </c>
      <c r="O83" t="s">
        <v>7371</v>
      </c>
      <c r="P83">
        <v>7005754265</v>
      </c>
      <c r="R83" s="7">
        <v>35400</v>
      </c>
      <c r="S83" s="8">
        <f t="shared" si="8"/>
        <v>1996</v>
      </c>
      <c r="T83" s="8">
        <v>1996</v>
      </c>
      <c r="U83" s="8">
        <f t="shared" si="9"/>
        <v>26</v>
      </c>
      <c r="V83" s="7">
        <v>1996</v>
      </c>
      <c r="W83" t="s">
        <v>7370</v>
      </c>
      <c r="X83" s="2">
        <v>0.19500000000000001</v>
      </c>
      <c r="Y83" s="6">
        <f t="shared" si="10"/>
        <v>5.2054136301753831E-3</v>
      </c>
      <c r="AA83">
        <v>138738</v>
      </c>
      <c r="AB83">
        <v>19809</v>
      </c>
      <c r="AD83" t="s">
        <v>1</v>
      </c>
      <c r="AE83">
        <v>75</v>
      </c>
      <c r="AF83">
        <v>7</v>
      </c>
      <c r="AH83" s="10">
        <v>44075</v>
      </c>
      <c r="AI83" t="s">
        <v>7369</v>
      </c>
      <c r="AK83" t="s">
        <v>7368</v>
      </c>
      <c r="AL83">
        <v>0</v>
      </c>
      <c r="AM83" s="5">
        <f t="shared" si="11"/>
        <v>0</v>
      </c>
      <c r="AN83" s="4">
        <f t="shared" si="12"/>
        <v>0</v>
      </c>
      <c r="AO83" s="3"/>
      <c r="AP83">
        <v>0</v>
      </c>
      <c r="AR83" t="s">
        <v>0</v>
      </c>
      <c r="AT83" s="2" t="s">
        <v>9</v>
      </c>
      <c r="AU83" s="1">
        <f t="shared" si="13"/>
        <v>0.36437895411227678</v>
      </c>
      <c r="AV83" s="1">
        <f t="shared" si="14"/>
        <v>0.26027068150876914</v>
      </c>
      <c r="AW83" s="1">
        <f t="shared" si="15"/>
        <v>0.15616240890526148</v>
      </c>
    </row>
    <row r="84" spans="1:49" x14ac:dyDescent="0.2">
      <c r="A84">
        <v>82</v>
      </c>
      <c r="B84" t="s">
        <v>7367</v>
      </c>
      <c r="E84">
        <v>8944513</v>
      </c>
      <c r="F84" t="s">
        <v>7366</v>
      </c>
      <c r="G84" t="s">
        <v>6</v>
      </c>
      <c r="H84" t="s">
        <v>5</v>
      </c>
      <c r="I84" t="s">
        <v>7365</v>
      </c>
      <c r="J84" t="s">
        <v>7364</v>
      </c>
      <c r="K84" t="s">
        <v>7363</v>
      </c>
      <c r="L84" t="s">
        <v>7362</v>
      </c>
      <c r="M84" t="s">
        <v>7361</v>
      </c>
      <c r="N84">
        <v>6</v>
      </c>
      <c r="O84" t="s">
        <v>7360</v>
      </c>
      <c r="P84" t="s">
        <v>7359</v>
      </c>
      <c r="Q84" t="s">
        <v>7358</v>
      </c>
      <c r="R84" s="7">
        <v>35400</v>
      </c>
      <c r="S84" s="8">
        <f t="shared" si="8"/>
        <v>1996</v>
      </c>
      <c r="T84" s="8">
        <v>1996</v>
      </c>
      <c r="U84" s="8">
        <f t="shared" si="9"/>
        <v>26</v>
      </c>
      <c r="V84" s="7">
        <v>1996</v>
      </c>
      <c r="W84" t="s">
        <v>7357</v>
      </c>
      <c r="X84" s="2" t="s">
        <v>9</v>
      </c>
      <c r="Y84" s="6" t="e">
        <f t="shared" si="10"/>
        <v>#VALUE!</v>
      </c>
      <c r="AA84">
        <v>71331</v>
      </c>
      <c r="AB84">
        <v>36547</v>
      </c>
      <c r="AD84" t="s">
        <v>1</v>
      </c>
      <c r="AE84">
        <v>78</v>
      </c>
      <c r="AF84">
        <v>4</v>
      </c>
      <c r="AH84" t="s">
        <v>7356</v>
      </c>
      <c r="AI84" t="s">
        <v>7355</v>
      </c>
      <c r="AJ84" t="s">
        <v>7354</v>
      </c>
      <c r="AK84" t="s">
        <v>7353</v>
      </c>
      <c r="AL84">
        <v>47</v>
      </c>
      <c r="AM84" s="5">
        <f t="shared" si="11"/>
        <v>1.8076923076923077</v>
      </c>
      <c r="AN84" s="4">
        <f t="shared" si="12"/>
        <v>2.7378906591326128E-3</v>
      </c>
      <c r="AO84" s="3"/>
      <c r="AP84">
        <v>0</v>
      </c>
      <c r="AR84" t="s">
        <v>0</v>
      </c>
      <c r="AT84" s="2" t="s">
        <v>9</v>
      </c>
      <c r="AU84" s="1" t="e">
        <f t="shared" si="13"/>
        <v>#VALUE!</v>
      </c>
      <c r="AV84" s="1" t="e">
        <f t="shared" si="14"/>
        <v>#VALUE!</v>
      </c>
      <c r="AW84" s="1" t="e">
        <f t="shared" si="15"/>
        <v>#VALUE!</v>
      </c>
    </row>
    <row r="85" spans="1:49" x14ac:dyDescent="0.2">
      <c r="A85">
        <v>83</v>
      </c>
      <c r="B85" t="s">
        <v>7352</v>
      </c>
      <c r="F85" t="s">
        <v>7351</v>
      </c>
      <c r="G85" t="s">
        <v>6</v>
      </c>
      <c r="H85" t="s">
        <v>5</v>
      </c>
      <c r="I85" t="s">
        <v>7350</v>
      </c>
      <c r="J85">
        <v>101247484</v>
      </c>
      <c r="K85" t="s">
        <v>7349</v>
      </c>
      <c r="M85" t="s">
        <v>289</v>
      </c>
      <c r="N85">
        <v>1</v>
      </c>
      <c r="O85" t="s">
        <v>7348</v>
      </c>
      <c r="P85">
        <v>6507077391</v>
      </c>
      <c r="Q85">
        <v>101247484</v>
      </c>
      <c r="R85" s="7">
        <v>35400</v>
      </c>
      <c r="S85" s="8">
        <f t="shared" si="8"/>
        <v>1996</v>
      </c>
      <c r="T85" s="8">
        <v>1996</v>
      </c>
      <c r="U85" s="8">
        <f t="shared" si="9"/>
        <v>26</v>
      </c>
      <c r="V85" s="7">
        <v>1996</v>
      </c>
      <c r="W85" t="s">
        <v>7347</v>
      </c>
      <c r="X85" s="2" t="s">
        <v>9</v>
      </c>
      <c r="Y85" s="6" t="e">
        <f t="shared" si="10"/>
        <v>#VALUE!</v>
      </c>
      <c r="AA85">
        <v>2759128</v>
      </c>
      <c r="AB85">
        <v>37995</v>
      </c>
      <c r="AD85" t="s">
        <v>1</v>
      </c>
      <c r="AE85">
        <v>15</v>
      </c>
      <c r="AF85">
        <v>6</v>
      </c>
      <c r="AH85" t="s">
        <v>7346</v>
      </c>
      <c r="AI85" t="s">
        <v>7345</v>
      </c>
      <c r="AK85" t="s">
        <v>7344</v>
      </c>
      <c r="AL85">
        <v>0</v>
      </c>
      <c r="AM85" s="5">
        <f t="shared" si="11"/>
        <v>0</v>
      </c>
      <c r="AN85" s="4">
        <f t="shared" si="12"/>
        <v>0</v>
      </c>
      <c r="AO85" s="3"/>
      <c r="AP85">
        <v>0</v>
      </c>
      <c r="AR85" t="s">
        <v>0</v>
      </c>
      <c r="AT85" s="2" t="s">
        <v>9</v>
      </c>
      <c r="AU85" s="1" t="e">
        <f t="shared" si="13"/>
        <v>#VALUE!</v>
      </c>
      <c r="AV85" s="1" t="e">
        <f t="shared" si="14"/>
        <v>#VALUE!</v>
      </c>
      <c r="AW85" s="1" t="e">
        <f t="shared" si="15"/>
        <v>#VALUE!</v>
      </c>
    </row>
    <row r="86" spans="1:49" x14ac:dyDescent="0.2">
      <c r="A86">
        <v>84</v>
      </c>
      <c r="B86" t="s">
        <v>7343</v>
      </c>
      <c r="C86" t="s">
        <v>7342</v>
      </c>
      <c r="D86" t="s">
        <v>7341</v>
      </c>
      <c r="F86" t="s">
        <v>7340</v>
      </c>
      <c r="G86" t="s">
        <v>6</v>
      </c>
      <c r="H86" t="s">
        <v>5</v>
      </c>
      <c r="I86" t="s">
        <v>7339</v>
      </c>
      <c r="J86">
        <v>60021902</v>
      </c>
      <c r="K86" t="s">
        <v>7338</v>
      </c>
      <c r="L86" t="s">
        <v>7337</v>
      </c>
      <c r="M86" t="s">
        <v>2063</v>
      </c>
      <c r="N86">
        <v>2</v>
      </c>
      <c r="O86" t="s">
        <v>7336</v>
      </c>
      <c r="P86" t="s">
        <v>7335</v>
      </c>
      <c r="Q86" t="s">
        <v>7334</v>
      </c>
      <c r="R86" s="7">
        <v>35400</v>
      </c>
      <c r="S86" s="8">
        <f t="shared" si="8"/>
        <v>1996</v>
      </c>
      <c r="T86" s="8">
        <v>1996</v>
      </c>
      <c r="U86" s="8">
        <f t="shared" si="9"/>
        <v>26</v>
      </c>
      <c r="V86" s="7">
        <v>1996</v>
      </c>
      <c r="W86" t="s">
        <v>4067</v>
      </c>
      <c r="X86" s="2">
        <v>0.82</v>
      </c>
      <c r="Y86" s="6">
        <f t="shared" si="10"/>
        <v>2.1889431675609299E-2</v>
      </c>
      <c r="AA86">
        <v>189456</v>
      </c>
      <c r="AB86">
        <v>15361</v>
      </c>
      <c r="AD86" t="s">
        <v>1</v>
      </c>
      <c r="AE86">
        <v>45</v>
      </c>
      <c r="AF86">
        <v>6</v>
      </c>
      <c r="AH86" t="s">
        <v>7333</v>
      </c>
      <c r="AI86" t="s">
        <v>7332</v>
      </c>
      <c r="AK86" t="s">
        <v>7331</v>
      </c>
      <c r="AL86">
        <v>41</v>
      </c>
      <c r="AM86" s="5">
        <f t="shared" si="11"/>
        <v>1.5769230769230769</v>
      </c>
      <c r="AN86" s="4">
        <f t="shared" si="12"/>
        <v>2.3883727026475982E-3</v>
      </c>
      <c r="AO86" s="3"/>
      <c r="AP86">
        <v>0</v>
      </c>
      <c r="AR86" t="s">
        <v>0</v>
      </c>
      <c r="AT86" s="2" t="s">
        <v>9</v>
      </c>
      <c r="AU86" s="1">
        <f t="shared" si="13"/>
        <v>1.6039113983720785</v>
      </c>
      <c r="AV86" s="1">
        <f t="shared" si="14"/>
        <v>1.2138902189128449</v>
      </c>
      <c r="AW86" s="1">
        <f t="shared" si="15"/>
        <v>0.8238690394536109</v>
      </c>
    </row>
    <row r="87" spans="1:49" x14ac:dyDescent="0.2">
      <c r="A87">
        <v>85</v>
      </c>
      <c r="B87" t="s">
        <v>7330</v>
      </c>
      <c r="F87" t="s">
        <v>7329</v>
      </c>
      <c r="G87" t="s">
        <v>6</v>
      </c>
      <c r="H87" t="s">
        <v>5</v>
      </c>
      <c r="I87" t="s">
        <v>7328</v>
      </c>
      <c r="N87">
        <v>1</v>
      </c>
      <c r="O87" t="s">
        <v>7327</v>
      </c>
      <c r="P87">
        <v>7201765713</v>
      </c>
      <c r="R87" s="7">
        <v>35400</v>
      </c>
      <c r="S87" s="8">
        <f t="shared" si="8"/>
        <v>1996</v>
      </c>
      <c r="T87" s="8">
        <v>1996</v>
      </c>
      <c r="U87" s="8">
        <f t="shared" si="9"/>
        <v>26</v>
      </c>
      <c r="V87" s="7">
        <v>1996</v>
      </c>
      <c r="W87" t="s">
        <v>687</v>
      </c>
      <c r="X87" s="2" t="s">
        <v>9</v>
      </c>
      <c r="Y87" s="6" t="e">
        <f t="shared" si="10"/>
        <v>#VALUE!</v>
      </c>
      <c r="AA87">
        <v>1477439</v>
      </c>
      <c r="AB87">
        <v>53559</v>
      </c>
      <c r="AD87" t="s">
        <v>1</v>
      </c>
      <c r="AE87">
        <v>20</v>
      </c>
      <c r="AF87">
        <v>12</v>
      </c>
      <c r="AH87" t="s">
        <v>7326</v>
      </c>
      <c r="AL87">
        <v>1</v>
      </c>
      <c r="AM87" s="5">
        <f t="shared" si="11"/>
        <v>3.8461538461538464E-2</v>
      </c>
      <c r="AN87" s="4">
        <f t="shared" si="12"/>
        <v>5.8252992747502406E-5</v>
      </c>
      <c r="AO87" s="3"/>
      <c r="AP87">
        <v>0</v>
      </c>
      <c r="AR87" t="s">
        <v>0</v>
      </c>
      <c r="AT87" s="2" t="s">
        <v>9</v>
      </c>
      <c r="AU87" s="1" t="e">
        <f t="shared" si="13"/>
        <v>#VALUE!</v>
      </c>
      <c r="AV87" s="1" t="e">
        <f t="shared" si="14"/>
        <v>#VALUE!</v>
      </c>
      <c r="AW87" s="1" t="e">
        <f t="shared" si="15"/>
        <v>#VALUE!</v>
      </c>
    </row>
    <row r="88" spans="1:49" x14ac:dyDescent="0.2">
      <c r="A88">
        <v>86</v>
      </c>
      <c r="B88" t="s">
        <v>7325</v>
      </c>
      <c r="F88" t="s">
        <v>7324</v>
      </c>
      <c r="G88" t="s">
        <v>6</v>
      </c>
      <c r="H88" t="s">
        <v>5</v>
      </c>
      <c r="I88" t="s">
        <v>7323</v>
      </c>
      <c r="J88">
        <v>60105253</v>
      </c>
      <c r="K88" t="s">
        <v>709</v>
      </c>
      <c r="L88" t="s">
        <v>708</v>
      </c>
      <c r="M88" t="s">
        <v>97</v>
      </c>
      <c r="N88">
        <v>3</v>
      </c>
      <c r="O88" t="s">
        <v>7322</v>
      </c>
      <c r="P88" t="s">
        <v>7321</v>
      </c>
      <c r="Q88" t="s">
        <v>7320</v>
      </c>
      <c r="R88" s="7">
        <v>35400</v>
      </c>
      <c r="S88" s="8">
        <f t="shared" si="8"/>
        <v>1996</v>
      </c>
      <c r="T88" s="8">
        <v>1996</v>
      </c>
      <c r="U88" s="8">
        <f t="shared" si="9"/>
        <v>26</v>
      </c>
      <c r="V88" s="7">
        <v>35400</v>
      </c>
      <c r="W88" t="s">
        <v>74</v>
      </c>
      <c r="X88" s="2">
        <v>0.29499999999999998</v>
      </c>
      <c r="Y88" s="6">
        <f t="shared" si="10"/>
        <v>7.8748565174448087E-3</v>
      </c>
      <c r="AA88">
        <v>10642269</v>
      </c>
      <c r="AB88">
        <v>19554</v>
      </c>
      <c r="AD88" t="s">
        <v>1</v>
      </c>
      <c r="AE88">
        <v>41</v>
      </c>
      <c r="AF88">
        <v>15</v>
      </c>
      <c r="AH88" t="s">
        <v>7319</v>
      </c>
      <c r="AI88" t="s">
        <v>7318</v>
      </c>
      <c r="AK88" t="s">
        <v>7317</v>
      </c>
      <c r="AL88">
        <v>0</v>
      </c>
      <c r="AM88" s="5">
        <f t="shared" si="11"/>
        <v>0</v>
      </c>
      <c r="AN88" s="4">
        <f t="shared" si="12"/>
        <v>0</v>
      </c>
      <c r="AO88" s="3"/>
      <c r="AP88">
        <v>0</v>
      </c>
      <c r="AR88" t="s">
        <v>0</v>
      </c>
      <c r="AT88" s="2" t="s">
        <v>9</v>
      </c>
      <c r="AU88" s="1">
        <f t="shared" si="13"/>
        <v>0.55123995622113653</v>
      </c>
      <c r="AV88" s="1">
        <f t="shared" si="14"/>
        <v>0.39374282587224041</v>
      </c>
      <c r="AW88" s="1">
        <f t="shared" si="15"/>
        <v>0.23624569552334423</v>
      </c>
    </row>
    <row r="89" spans="1:49" x14ac:dyDescent="0.2">
      <c r="A89">
        <v>87</v>
      </c>
      <c r="B89" t="s">
        <v>7316</v>
      </c>
      <c r="C89" t="s">
        <v>7315</v>
      </c>
      <c r="D89" t="s">
        <v>7314</v>
      </c>
      <c r="F89" t="s">
        <v>7313</v>
      </c>
      <c r="G89" t="s">
        <v>6</v>
      </c>
      <c r="H89" t="s">
        <v>5</v>
      </c>
      <c r="I89" t="s">
        <v>2326</v>
      </c>
      <c r="J89">
        <v>60032144</v>
      </c>
      <c r="K89" t="s">
        <v>317</v>
      </c>
      <c r="L89" t="s">
        <v>316</v>
      </c>
      <c r="M89" t="s">
        <v>17</v>
      </c>
      <c r="N89">
        <v>3</v>
      </c>
      <c r="O89" t="s">
        <v>2325</v>
      </c>
      <c r="P89" t="s">
        <v>2324</v>
      </c>
      <c r="Q89" t="s">
        <v>315</v>
      </c>
      <c r="R89" s="7">
        <v>35400</v>
      </c>
      <c r="S89" s="8">
        <f t="shared" si="8"/>
        <v>1996</v>
      </c>
      <c r="T89" s="8">
        <v>1996</v>
      </c>
      <c r="U89" s="8">
        <f t="shared" si="9"/>
        <v>26</v>
      </c>
      <c r="V89" s="7">
        <v>1996</v>
      </c>
      <c r="W89" t="s">
        <v>4083</v>
      </c>
      <c r="X89" s="2">
        <v>0.46</v>
      </c>
      <c r="Y89" s="6">
        <f t="shared" si="10"/>
        <v>1.2279437281439364E-2</v>
      </c>
      <c r="AA89">
        <v>933813</v>
      </c>
      <c r="AB89">
        <v>28031</v>
      </c>
      <c r="AD89" t="s">
        <v>1</v>
      </c>
      <c r="AE89">
        <v>24</v>
      </c>
      <c r="AF89">
        <v>6</v>
      </c>
      <c r="AH89" t="s">
        <v>7312</v>
      </c>
      <c r="AI89" t="s">
        <v>7311</v>
      </c>
      <c r="AK89" t="s">
        <v>7310</v>
      </c>
      <c r="AL89">
        <v>20</v>
      </c>
      <c r="AM89" s="5">
        <f t="shared" si="11"/>
        <v>0.76923076923076927</v>
      </c>
      <c r="AN89" s="4">
        <f t="shared" si="12"/>
        <v>1.1650598549500482E-3</v>
      </c>
      <c r="AO89" s="3"/>
      <c r="AP89">
        <v>0</v>
      </c>
      <c r="AR89" t="s">
        <v>0</v>
      </c>
      <c r="AT89" s="2">
        <v>1.222</v>
      </c>
      <c r="AU89" s="1">
        <f t="shared" si="13"/>
        <v>0.8945124053492568</v>
      </c>
      <c r="AV89" s="1">
        <f t="shared" si="14"/>
        <v>0.67222485681947053</v>
      </c>
      <c r="AW89" s="1">
        <f t="shared" si="15"/>
        <v>0.44993730828968431</v>
      </c>
    </row>
    <row r="90" spans="1:49" x14ac:dyDescent="0.2">
      <c r="A90">
        <v>88</v>
      </c>
      <c r="B90" t="s">
        <v>7309</v>
      </c>
      <c r="F90" t="s">
        <v>7308</v>
      </c>
      <c r="G90" t="s">
        <v>6</v>
      </c>
      <c r="H90" t="s">
        <v>5</v>
      </c>
      <c r="I90" t="s">
        <v>7307</v>
      </c>
      <c r="J90">
        <v>60022313</v>
      </c>
      <c r="K90" t="s">
        <v>205</v>
      </c>
      <c r="L90" t="s">
        <v>204</v>
      </c>
      <c r="M90" t="s">
        <v>44</v>
      </c>
      <c r="N90">
        <v>3</v>
      </c>
      <c r="O90" t="s">
        <v>7306</v>
      </c>
      <c r="P90" t="s">
        <v>7305</v>
      </c>
      <c r="Q90" t="s">
        <v>271</v>
      </c>
      <c r="R90" s="7">
        <v>35400</v>
      </c>
      <c r="S90" s="8">
        <f t="shared" si="8"/>
        <v>1996</v>
      </c>
      <c r="T90" s="8">
        <v>1996</v>
      </c>
      <c r="U90" s="8">
        <f t="shared" si="9"/>
        <v>26</v>
      </c>
      <c r="V90" s="7">
        <v>35400</v>
      </c>
      <c r="W90" t="s">
        <v>118</v>
      </c>
      <c r="X90" s="2">
        <v>0.21099999999999999</v>
      </c>
      <c r="Y90" s="6">
        <f t="shared" si="10"/>
        <v>5.6325244921384904E-3</v>
      </c>
      <c r="AA90">
        <v>9168516</v>
      </c>
      <c r="AB90">
        <v>18936</v>
      </c>
      <c r="AD90" t="s">
        <v>1</v>
      </c>
      <c r="AE90" t="s">
        <v>117</v>
      </c>
      <c r="AF90">
        <v>12</v>
      </c>
      <c r="AH90" t="s">
        <v>7304</v>
      </c>
      <c r="AI90" t="s">
        <v>7303</v>
      </c>
      <c r="AK90" t="s">
        <v>7302</v>
      </c>
      <c r="AL90">
        <v>1</v>
      </c>
      <c r="AM90" s="5">
        <f t="shared" si="11"/>
        <v>3.8461538461538464E-2</v>
      </c>
      <c r="AN90" s="4">
        <f t="shared" si="12"/>
        <v>5.8252992747502406E-5</v>
      </c>
      <c r="AO90" s="3"/>
      <c r="AP90">
        <v>0</v>
      </c>
      <c r="AR90" t="s">
        <v>0</v>
      </c>
      <c r="AT90" s="2">
        <v>0.52500000000000002</v>
      </c>
      <c r="AU90" s="1">
        <f t="shared" si="13"/>
        <v>0.39602430423211937</v>
      </c>
      <c r="AV90" s="1">
        <f t="shared" si="14"/>
        <v>0.28453887424429963</v>
      </c>
      <c r="AW90" s="1">
        <f t="shared" si="15"/>
        <v>0.17305344425647987</v>
      </c>
    </row>
    <row r="91" spans="1:49" x14ac:dyDescent="0.2">
      <c r="A91">
        <v>89</v>
      </c>
      <c r="B91" t="s">
        <v>7301</v>
      </c>
      <c r="C91" t="s">
        <v>7300</v>
      </c>
      <c r="D91" t="s">
        <v>7299</v>
      </c>
      <c r="F91" t="s">
        <v>7298</v>
      </c>
      <c r="G91" t="s">
        <v>6</v>
      </c>
      <c r="H91" t="s">
        <v>5</v>
      </c>
      <c r="I91" t="s">
        <v>7297</v>
      </c>
      <c r="J91">
        <v>60015457</v>
      </c>
      <c r="K91" t="s">
        <v>40</v>
      </c>
      <c r="L91" t="s">
        <v>39</v>
      </c>
      <c r="M91" t="s">
        <v>2</v>
      </c>
      <c r="N91">
        <v>2</v>
      </c>
      <c r="O91" t="s">
        <v>7296</v>
      </c>
      <c r="P91" t="s">
        <v>7295</v>
      </c>
      <c r="Q91" t="s">
        <v>4970</v>
      </c>
      <c r="R91" s="7">
        <v>35400</v>
      </c>
      <c r="S91" s="8">
        <f t="shared" si="8"/>
        <v>1996</v>
      </c>
      <c r="T91" s="8">
        <v>1996</v>
      </c>
      <c r="U91" s="8">
        <f t="shared" si="9"/>
        <v>26</v>
      </c>
      <c r="V91" s="7">
        <v>1996</v>
      </c>
      <c r="W91" t="s">
        <v>410</v>
      </c>
      <c r="X91" s="2">
        <v>1.3720000000000001</v>
      </c>
      <c r="Y91" s="6">
        <f t="shared" si="10"/>
        <v>3.662475641333654E-2</v>
      </c>
      <c r="AA91">
        <v>189480</v>
      </c>
      <c r="AB91">
        <v>17366</v>
      </c>
      <c r="AD91" t="s">
        <v>1</v>
      </c>
      <c r="AE91">
        <v>44</v>
      </c>
      <c r="AF91" t="s">
        <v>7031</v>
      </c>
      <c r="AH91" t="s">
        <v>7294</v>
      </c>
      <c r="AI91" t="s">
        <v>7293</v>
      </c>
      <c r="AK91" t="s">
        <v>7292</v>
      </c>
      <c r="AL91">
        <v>0</v>
      </c>
      <c r="AM91" s="5">
        <f t="shared" si="11"/>
        <v>0</v>
      </c>
      <c r="AN91" s="4">
        <f t="shared" si="12"/>
        <v>0</v>
      </c>
      <c r="AO91" s="3"/>
      <c r="AP91">
        <v>0</v>
      </c>
      <c r="AR91" t="s">
        <v>0</v>
      </c>
      <c r="AT91" s="2" t="s">
        <v>9</v>
      </c>
      <c r="AU91" s="1">
        <f t="shared" si="13"/>
        <v>2.5637329489335574</v>
      </c>
      <c r="AV91" s="1">
        <f t="shared" si="14"/>
        <v>1.8312378206668269</v>
      </c>
      <c r="AW91" s="1">
        <f t="shared" si="15"/>
        <v>1.0987426924000963</v>
      </c>
    </row>
    <row r="92" spans="1:49" x14ac:dyDescent="0.2">
      <c r="A92">
        <v>90</v>
      </c>
      <c r="B92" t="s">
        <v>7291</v>
      </c>
      <c r="C92" t="s">
        <v>7290</v>
      </c>
      <c r="D92" t="s">
        <v>7289</v>
      </c>
      <c r="F92" t="s">
        <v>7288</v>
      </c>
      <c r="G92" t="s">
        <v>6</v>
      </c>
      <c r="H92" t="s">
        <v>5</v>
      </c>
      <c r="I92" t="s">
        <v>7287</v>
      </c>
      <c r="J92">
        <v>60009455</v>
      </c>
      <c r="K92" t="s">
        <v>739</v>
      </c>
      <c r="L92" t="s">
        <v>503</v>
      </c>
      <c r="M92" t="s">
        <v>179</v>
      </c>
      <c r="N92">
        <v>9</v>
      </c>
      <c r="O92" t="s">
        <v>7286</v>
      </c>
      <c r="P92" t="s">
        <v>7285</v>
      </c>
      <c r="Q92" t="s">
        <v>7284</v>
      </c>
      <c r="R92" s="7">
        <v>35400</v>
      </c>
      <c r="S92" s="8">
        <f t="shared" si="8"/>
        <v>1996</v>
      </c>
      <c r="T92" s="8">
        <v>1996</v>
      </c>
      <c r="U92" s="8">
        <f t="shared" si="9"/>
        <v>26</v>
      </c>
      <c r="V92" s="7">
        <v>1996</v>
      </c>
      <c r="W92" t="s">
        <v>410</v>
      </c>
      <c r="X92" s="2">
        <v>1.3720000000000001</v>
      </c>
      <c r="Y92" s="6">
        <f t="shared" si="10"/>
        <v>3.662475641333654E-2</v>
      </c>
      <c r="AA92">
        <v>189480</v>
      </c>
      <c r="AB92">
        <v>17366</v>
      </c>
      <c r="AD92" t="s">
        <v>1</v>
      </c>
      <c r="AE92">
        <v>44</v>
      </c>
      <c r="AF92" t="s">
        <v>6886</v>
      </c>
      <c r="AH92" t="s">
        <v>7283</v>
      </c>
      <c r="AI92" t="s">
        <v>7282</v>
      </c>
      <c r="AK92" t="s">
        <v>7281</v>
      </c>
      <c r="AL92">
        <v>22</v>
      </c>
      <c r="AM92" s="5">
        <f t="shared" si="11"/>
        <v>0.84615384615384615</v>
      </c>
      <c r="AN92" s="4">
        <f t="shared" si="12"/>
        <v>1.2815658404450529E-3</v>
      </c>
      <c r="AO92" s="3"/>
      <c r="AP92">
        <v>0</v>
      </c>
      <c r="AQ92" t="s">
        <v>2162</v>
      </c>
      <c r="AR92">
        <v>20133</v>
      </c>
      <c r="AS92" t="s">
        <v>7280</v>
      </c>
      <c r="AT92" s="2" t="s">
        <v>9</v>
      </c>
      <c r="AU92" s="1">
        <f t="shared" si="13"/>
        <v>2.6021799241469092</v>
      </c>
      <c r="AV92" s="1">
        <f t="shared" si="14"/>
        <v>1.8953161126890796</v>
      </c>
      <c r="AW92" s="1">
        <f t="shared" si="15"/>
        <v>1.18845230123125</v>
      </c>
    </row>
    <row r="93" spans="1:49" x14ac:dyDescent="0.2">
      <c r="A93">
        <v>91</v>
      </c>
      <c r="B93" t="s">
        <v>7279</v>
      </c>
      <c r="C93" t="s">
        <v>7278</v>
      </c>
      <c r="D93" t="s">
        <v>7277</v>
      </c>
      <c r="F93" t="s">
        <v>7276</v>
      </c>
      <c r="G93" t="s">
        <v>6</v>
      </c>
      <c r="H93" t="s">
        <v>5</v>
      </c>
      <c r="I93" t="s">
        <v>7275</v>
      </c>
      <c r="J93">
        <v>60001439</v>
      </c>
      <c r="K93" t="s">
        <v>134</v>
      </c>
      <c r="L93" t="s">
        <v>133</v>
      </c>
      <c r="M93" t="s">
        <v>2</v>
      </c>
      <c r="N93">
        <v>5</v>
      </c>
      <c r="O93" t="s">
        <v>7274</v>
      </c>
      <c r="P93" t="s">
        <v>7273</v>
      </c>
      <c r="Q93" t="s">
        <v>7272</v>
      </c>
      <c r="R93" s="7">
        <v>35400</v>
      </c>
      <c r="S93" s="8">
        <f t="shared" si="8"/>
        <v>1996</v>
      </c>
      <c r="T93" s="8">
        <v>1996</v>
      </c>
      <c r="U93" s="8">
        <f t="shared" si="9"/>
        <v>26</v>
      </c>
      <c r="V93" s="7">
        <v>35400</v>
      </c>
      <c r="W93" t="s">
        <v>7271</v>
      </c>
      <c r="X93" s="2">
        <v>0.45700000000000002</v>
      </c>
      <c r="Y93" s="6">
        <f t="shared" si="10"/>
        <v>1.2199353994821282E-2</v>
      </c>
      <c r="AA93">
        <v>381101</v>
      </c>
      <c r="AB93">
        <v>27206</v>
      </c>
      <c r="AD93" t="s">
        <v>1</v>
      </c>
      <c r="AE93">
        <v>39</v>
      </c>
      <c r="AF93">
        <v>12</v>
      </c>
      <c r="AH93" t="s">
        <v>7270</v>
      </c>
      <c r="AI93" t="s">
        <v>7269</v>
      </c>
      <c r="AK93" t="s">
        <v>7268</v>
      </c>
      <c r="AL93">
        <v>0</v>
      </c>
      <c r="AM93" s="5">
        <f t="shared" si="11"/>
        <v>0</v>
      </c>
      <c r="AN93" s="4">
        <f t="shared" si="12"/>
        <v>0</v>
      </c>
      <c r="AO93" s="3"/>
      <c r="AP93">
        <v>0</v>
      </c>
      <c r="AR93" t="s">
        <v>0</v>
      </c>
      <c r="AT93" s="2">
        <v>1.901</v>
      </c>
      <c r="AU93" s="1">
        <f t="shared" si="13"/>
        <v>0.85395477963748967</v>
      </c>
      <c r="AV93" s="1">
        <f t="shared" si="14"/>
        <v>0.60996769974106413</v>
      </c>
      <c r="AW93" s="1">
        <f t="shared" si="15"/>
        <v>0.36598061984463848</v>
      </c>
    </row>
    <row r="94" spans="1:49" x14ac:dyDescent="0.2">
      <c r="A94">
        <v>92</v>
      </c>
      <c r="B94" t="s">
        <v>7267</v>
      </c>
      <c r="C94" t="s">
        <v>7266</v>
      </c>
      <c r="D94" t="s">
        <v>7265</v>
      </c>
      <c r="F94" t="s">
        <v>7264</v>
      </c>
      <c r="G94" t="s">
        <v>6</v>
      </c>
      <c r="H94" t="s">
        <v>5</v>
      </c>
      <c r="I94" t="s">
        <v>7263</v>
      </c>
      <c r="J94" t="s">
        <v>7262</v>
      </c>
      <c r="K94" t="s">
        <v>7261</v>
      </c>
      <c r="L94" t="s">
        <v>7260</v>
      </c>
      <c r="M94" t="s">
        <v>437</v>
      </c>
      <c r="N94">
        <v>2</v>
      </c>
      <c r="O94" t="s">
        <v>7259</v>
      </c>
      <c r="P94" t="s">
        <v>7258</v>
      </c>
      <c r="Q94" t="s">
        <v>7257</v>
      </c>
      <c r="R94" s="7">
        <v>35400</v>
      </c>
      <c r="S94" s="8">
        <f t="shared" si="8"/>
        <v>1996</v>
      </c>
      <c r="T94" s="8">
        <v>1996</v>
      </c>
      <c r="U94" s="8">
        <f t="shared" si="9"/>
        <v>26</v>
      </c>
      <c r="V94" s="7">
        <v>35400</v>
      </c>
      <c r="W94" t="s">
        <v>305</v>
      </c>
      <c r="X94" s="2">
        <v>2.9860000000000002</v>
      </c>
      <c r="Y94" s="6">
        <f t="shared" si="10"/>
        <v>7.9709564613865094E-2</v>
      </c>
      <c r="AA94">
        <v>7338716</v>
      </c>
      <c r="AB94">
        <v>18902</v>
      </c>
      <c r="AD94" t="s">
        <v>1</v>
      </c>
      <c r="AE94">
        <v>14</v>
      </c>
      <c r="AF94">
        <v>9</v>
      </c>
      <c r="AH94" t="s">
        <v>7256</v>
      </c>
      <c r="AI94" t="s">
        <v>7255</v>
      </c>
      <c r="AK94" t="s">
        <v>7254</v>
      </c>
      <c r="AL94">
        <v>23</v>
      </c>
      <c r="AM94" s="5">
        <f t="shared" si="11"/>
        <v>0.88461538461538458</v>
      </c>
      <c r="AN94" s="4">
        <f t="shared" si="12"/>
        <v>1.3398188331925553E-3</v>
      </c>
      <c r="AO94" s="3"/>
      <c r="AP94">
        <v>0</v>
      </c>
      <c r="AR94" t="s">
        <v>0</v>
      </c>
      <c r="AT94" s="2" t="s">
        <v>9</v>
      </c>
      <c r="AU94" s="1">
        <f t="shared" si="13"/>
        <v>5.6198640879663326</v>
      </c>
      <c r="AV94" s="1">
        <f t="shared" si="14"/>
        <v>4.0524691723528825</v>
      </c>
      <c r="AW94" s="1">
        <f t="shared" si="15"/>
        <v>2.4850742567394315</v>
      </c>
    </row>
    <row r="95" spans="1:49" x14ac:dyDescent="0.2">
      <c r="A95">
        <v>93</v>
      </c>
      <c r="B95" t="s">
        <v>7253</v>
      </c>
      <c r="F95" t="s">
        <v>7252</v>
      </c>
      <c r="G95" t="s">
        <v>6</v>
      </c>
      <c r="H95" t="s">
        <v>5</v>
      </c>
      <c r="I95" t="s">
        <v>7251</v>
      </c>
      <c r="N95">
        <v>1</v>
      </c>
      <c r="O95" t="s">
        <v>7250</v>
      </c>
      <c r="P95">
        <v>6603975026</v>
      </c>
      <c r="R95" s="7">
        <v>35400</v>
      </c>
      <c r="S95" s="8">
        <f t="shared" si="8"/>
        <v>1996</v>
      </c>
      <c r="T95" s="8">
        <v>1996</v>
      </c>
      <c r="U95" s="8">
        <f t="shared" si="9"/>
        <v>26</v>
      </c>
      <c r="V95" s="7">
        <v>1996</v>
      </c>
      <c r="W95" t="s">
        <v>687</v>
      </c>
      <c r="X95" s="2" t="s">
        <v>9</v>
      </c>
      <c r="Y95" s="6" t="e">
        <f t="shared" si="10"/>
        <v>#VALUE!</v>
      </c>
      <c r="AA95">
        <v>1477439</v>
      </c>
      <c r="AB95">
        <v>53559</v>
      </c>
      <c r="AD95" t="s">
        <v>1</v>
      </c>
      <c r="AE95">
        <v>20</v>
      </c>
      <c r="AF95">
        <v>12</v>
      </c>
      <c r="AH95" t="s">
        <v>7249</v>
      </c>
      <c r="AL95">
        <v>0</v>
      </c>
      <c r="AM95" s="5">
        <f t="shared" si="11"/>
        <v>0</v>
      </c>
      <c r="AN95" s="4">
        <f t="shared" si="12"/>
        <v>0</v>
      </c>
      <c r="AO95" s="3"/>
      <c r="AP95">
        <v>0</v>
      </c>
      <c r="AR95" t="s">
        <v>0</v>
      </c>
      <c r="AT95" s="2" t="s">
        <v>9</v>
      </c>
      <c r="AU95" s="1" t="e">
        <f t="shared" si="13"/>
        <v>#VALUE!</v>
      </c>
      <c r="AV95" s="1" t="e">
        <f t="shared" si="14"/>
        <v>#VALUE!</v>
      </c>
      <c r="AW95" s="1" t="e">
        <f t="shared" si="15"/>
        <v>#VALUE!</v>
      </c>
    </row>
    <row r="96" spans="1:49" x14ac:dyDescent="0.2">
      <c r="A96">
        <v>94</v>
      </c>
      <c r="B96" t="s">
        <v>7248</v>
      </c>
      <c r="C96" t="s">
        <v>7247</v>
      </c>
      <c r="D96" t="s">
        <v>7246</v>
      </c>
      <c r="F96" t="s">
        <v>7245</v>
      </c>
      <c r="G96" t="s">
        <v>6</v>
      </c>
      <c r="H96" t="s">
        <v>5</v>
      </c>
      <c r="I96" t="s">
        <v>553</v>
      </c>
      <c r="N96">
        <v>1</v>
      </c>
      <c r="O96" t="s">
        <v>552</v>
      </c>
      <c r="P96">
        <v>35618021600</v>
      </c>
      <c r="R96" s="7">
        <v>35400</v>
      </c>
      <c r="S96" s="8">
        <f t="shared" si="8"/>
        <v>1996</v>
      </c>
      <c r="T96" s="8">
        <v>1996</v>
      </c>
      <c r="U96" s="8">
        <f t="shared" si="9"/>
        <v>26</v>
      </c>
      <c r="V96" s="7">
        <v>1996</v>
      </c>
      <c r="W96" t="s">
        <v>4269</v>
      </c>
      <c r="X96" s="2">
        <v>0.78200000000000003</v>
      </c>
      <c r="Y96" s="6">
        <f t="shared" si="10"/>
        <v>2.0875043378446919E-2</v>
      </c>
      <c r="AA96">
        <v>189316</v>
      </c>
      <c r="AB96">
        <v>19901</v>
      </c>
      <c r="AD96" t="s">
        <v>1</v>
      </c>
      <c r="AE96">
        <v>42</v>
      </c>
      <c r="AF96">
        <v>4</v>
      </c>
      <c r="AH96" t="s">
        <v>7244</v>
      </c>
      <c r="AI96" t="s">
        <v>7243</v>
      </c>
      <c r="AK96" t="s">
        <v>7242</v>
      </c>
      <c r="AL96">
        <v>6</v>
      </c>
      <c r="AM96" s="5">
        <f t="shared" si="11"/>
        <v>0.23076923076923078</v>
      </c>
      <c r="AN96" s="4">
        <f t="shared" si="12"/>
        <v>3.4951795648501444E-4</v>
      </c>
      <c r="AO96" s="3"/>
      <c r="AP96">
        <v>0</v>
      </c>
      <c r="AR96" t="s">
        <v>0</v>
      </c>
      <c r="AT96" s="2">
        <v>3.863</v>
      </c>
      <c r="AU96" s="1">
        <f t="shared" si="13"/>
        <v>1.4717385751858345</v>
      </c>
      <c r="AV96" s="1">
        <f t="shared" si="14"/>
        <v>1.0612280667465965</v>
      </c>
      <c r="AW96" s="1">
        <f t="shared" si="15"/>
        <v>0.65071755830735856</v>
      </c>
    </row>
    <row r="97" spans="1:49" x14ac:dyDescent="0.2">
      <c r="A97">
        <v>95</v>
      </c>
      <c r="B97" t="s">
        <v>7241</v>
      </c>
      <c r="F97" t="s">
        <v>7240</v>
      </c>
      <c r="G97" t="s">
        <v>6</v>
      </c>
      <c r="H97" t="s">
        <v>5</v>
      </c>
      <c r="I97" t="s">
        <v>7239</v>
      </c>
      <c r="J97">
        <v>60008435</v>
      </c>
      <c r="K97" t="s">
        <v>7238</v>
      </c>
      <c r="L97" t="s">
        <v>295</v>
      </c>
      <c r="M97" t="s">
        <v>44</v>
      </c>
      <c r="N97">
        <v>2</v>
      </c>
      <c r="O97" t="s">
        <v>7237</v>
      </c>
      <c r="P97" t="s">
        <v>7236</v>
      </c>
      <c r="Q97" t="s">
        <v>7235</v>
      </c>
      <c r="R97" s="7">
        <v>35400</v>
      </c>
      <c r="S97" s="8">
        <f t="shared" si="8"/>
        <v>1996</v>
      </c>
      <c r="T97" s="8">
        <v>1996</v>
      </c>
      <c r="U97" s="8">
        <f t="shared" si="9"/>
        <v>26</v>
      </c>
      <c r="V97" s="7">
        <v>35400</v>
      </c>
      <c r="W97" t="s">
        <v>118</v>
      </c>
      <c r="X97" s="2">
        <v>0.21099999999999999</v>
      </c>
      <c r="Y97" s="6">
        <f t="shared" si="10"/>
        <v>5.6325244921384904E-3</v>
      </c>
      <c r="AA97">
        <v>9168516</v>
      </c>
      <c r="AB97">
        <v>18936</v>
      </c>
      <c r="AD97" t="s">
        <v>1</v>
      </c>
      <c r="AE97" t="s">
        <v>117</v>
      </c>
      <c r="AF97">
        <v>12</v>
      </c>
      <c r="AH97" t="s">
        <v>7234</v>
      </c>
      <c r="AI97" t="s">
        <v>7233</v>
      </c>
      <c r="AK97" t="s">
        <v>7232</v>
      </c>
      <c r="AL97">
        <v>2</v>
      </c>
      <c r="AM97" s="5">
        <f t="shared" si="11"/>
        <v>7.6923076923076927E-2</v>
      </c>
      <c r="AN97" s="4">
        <f t="shared" si="12"/>
        <v>1.1650598549500481E-4</v>
      </c>
      <c r="AO97" s="3"/>
      <c r="AP97">
        <v>0</v>
      </c>
      <c r="AR97" t="s">
        <v>0</v>
      </c>
      <c r="AT97" s="2">
        <v>0.52500000000000002</v>
      </c>
      <c r="AU97" s="1">
        <f t="shared" si="13"/>
        <v>0.39777189401454438</v>
      </c>
      <c r="AV97" s="1">
        <f t="shared" si="14"/>
        <v>0.28745152388167472</v>
      </c>
      <c r="AW97" s="1">
        <f t="shared" si="15"/>
        <v>0.17713115374880503</v>
      </c>
    </row>
    <row r="98" spans="1:49" x14ac:dyDescent="0.2">
      <c r="A98">
        <v>96</v>
      </c>
      <c r="B98" t="s">
        <v>7231</v>
      </c>
      <c r="C98" t="s">
        <v>7230</v>
      </c>
      <c r="D98" t="s">
        <v>7229</v>
      </c>
      <c r="F98" t="s">
        <v>7228</v>
      </c>
      <c r="G98" t="s">
        <v>6</v>
      </c>
      <c r="H98" t="s">
        <v>5</v>
      </c>
      <c r="I98" t="s">
        <v>7227</v>
      </c>
      <c r="J98">
        <v>60025555</v>
      </c>
      <c r="K98" t="s">
        <v>116</v>
      </c>
      <c r="L98" t="s">
        <v>45</v>
      </c>
      <c r="M98" t="s">
        <v>44</v>
      </c>
      <c r="N98">
        <v>3</v>
      </c>
      <c r="O98" t="s">
        <v>7226</v>
      </c>
      <c r="P98" t="s">
        <v>7225</v>
      </c>
      <c r="Q98" t="s">
        <v>301</v>
      </c>
      <c r="R98" s="7">
        <v>35400</v>
      </c>
      <c r="S98" s="8">
        <f t="shared" si="8"/>
        <v>1996</v>
      </c>
      <c r="T98" s="8">
        <v>1996</v>
      </c>
      <c r="U98" s="8">
        <f t="shared" si="9"/>
        <v>26</v>
      </c>
      <c r="V98" s="7">
        <v>1996</v>
      </c>
      <c r="W98" t="s">
        <v>410</v>
      </c>
      <c r="X98" s="2">
        <v>1.3720000000000001</v>
      </c>
      <c r="Y98" s="6">
        <f t="shared" si="10"/>
        <v>3.662475641333654E-2</v>
      </c>
      <c r="AA98">
        <v>189480</v>
      </c>
      <c r="AB98">
        <v>17366</v>
      </c>
      <c r="AD98" t="s">
        <v>1</v>
      </c>
      <c r="AE98">
        <v>44</v>
      </c>
      <c r="AF98" t="s">
        <v>6886</v>
      </c>
      <c r="AH98" t="s">
        <v>7224</v>
      </c>
      <c r="AI98" t="s">
        <v>7223</v>
      </c>
      <c r="AK98" t="s">
        <v>7222</v>
      </c>
      <c r="AL98">
        <v>18</v>
      </c>
      <c r="AM98" s="5">
        <f t="shared" si="11"/>
        <v>0.69230769230769229</v>
      </c>
      <c r="AN98" s="4">
        <f t="shared" si="12"/>
        <v>1.0485538694550431E-3</v>
      </c>
      <c r="AO98" s="3"/>
      <c r="AP98">
        <v>0</v>
      </c>
      <c r="AR98" t="s">
        <v>0</v>
      </c>
      <c r="AT98" s="2" t="s">
        <v>9</v>
      </c>
      <c r="AU98" s="1">
        <f t="shared" si="13"/>
        <v>2.595189565017209</v>
      </c>
      <c r="AV98" s="1">
        <f t="shared" si="14"/>
        <v>1.8836655141395791</v>
      </c>
      <c r="AW98" s="1">
        <f t="shared" si="15"/>
        <v>1.1721414632619493</v>
      </c>
    </row>
    <row r="99" spans="1:49" x14ac:dyDescent="0.2">
      <c r="A99">
        <v>97</v>
      </c>
      <c r="B99" t="s">
        <v>7221</v>
      </c>
      <c r="F99" t="s">
        <v>7220</v>
      </c>
      <c r="G99" t="s">
        <v>6</v>
      </c>
      <c r="H99" t="s">
        <v>5</v>
      </c>
      <c r="I99" t="s">
        <v>3192</v>
      </c>
      <c r="N99">
        <v>2</v>
      </c>
      <c r="O99" t="s">
        <v>3191</v>
      </c>
      <c r="P99" t="s">
        <v>3190</v>
      </c>
      <c r="Q99" t="s">
        <v>460</v>
      </c>
      <c r="R99" s="7">
        <v>35400</v>
      </c>
      <c r="S99" s="8">
        <f t="shared" si="8"/>
        <v>1996</v>
      </c>
      <c r="T99" s="8">
        <v>1996</v>
      </c>
      <c r="U99" s="8">
        <f t="shared" si="9"/>
        <v>26</v>
      </c>
      <c r="V99" s="7">
        <v>35400</v>
      </c>
      <c r="W99" t="s">
        <v>74</v>
      </c>
      <c r="X99" s="2">
        <v>0.29499999999999998</v>
      </c>
      <c r="Y99" s="6">
        <f t="shared" si="10"/>
        <v>7.8748565174448087E-3</v>
      </c>
      <c r="AA99">
        <v>10642269</v>
      </c>
      <c r="AB99">
        <v>19554</v>
      </c>
      <c r="AD99" t="s">
        <v>1</v>
      </c>
      <c r="AE99">
        <v>41</v>
      </c>
      <c r="AF99">
        <v>15</v>
      </c>
      <c r="AH99" t="s">
        <v>7219</v>
      </c>
      <c r="AI99" t="s">
        <v>7218</v>
      </c>
      <c r="AK99" t="s">
        <v>7217</v>
      </c>
      <c r="AL99">
        <v>1</v>
      </c>
      <c r="AM99" s="5">
        <f t="shared" si="11"/>
        <v>3.8461538461538464E-2</v>
      </c>
      <c r="AN99" s="4">
        <f t="shared" si="12"/>
        <v>5.8252992747502406E-5</v>
      </c>
      <c r="AO99" s="3"/>
      <c r="AP99">
        <v>0</v>
      </c>
      <c r="AR99" t="s">
        <v>0</v>
      </c>
      <c r="AT99" s="2" t="s">
        <v>9</v>
      </c>
      <c r="AU99" s="1">
        <f t="shared" si="13"/>
        <v>0.55298754600356159</v>
      </c>
      <c r="AV99" s="1">
        <f t="shared" si="14"/>
        <v>0.39665547550961555</v>
      </c>
      <c r="AW99" s="1">
        <f t="shared" si="15"/>
        <v>0.2403234050156694</v>
      </c>
    </row>
    <row r="100" spans="1:49" x14ac:dyDescent="0.2">
      <c r="A100">
        <v>98</v>
      </c>
      <c r="B100" t="s">
        <v>7216</v>
      </c>
      <c r="C100" t="s">
        <v>7215</v>
      </c>
      <c r="F100" t="s">
        <v>7214</v>
      </c>
      <c r="G100" t="s">
        <v>6</v>
      </c>
      <c r="H100" t="s">
        <v>5</v>
      </c>
      <c r="I100" t="s">
        <v>197</v>
      </c>
      <c r="J100" t="s">
        <v>7213</v>
      </c>
      <c r="K100" t="s">
        <v>7212</v>
      </c>
      <c r="L100" t="s">
        <v>7211</v>
      </c>
      <c r="M100" t="s">
        <v>7210</v>
      </c>
      <c r="N100">
        <v>10</v>
      </c>
      <c r="O100" t="s">
        <v>7209</v>
      </c>
      <c r="P100" t="s">
        <v>7208</v>
      </c>
      <c r="Q100" t="s">
        <v>7207</v>
      </c>
      <c r="R100" s="7">
        <v>35400</v>
      </c>
      <c r="S100" s="8">
        <f t="shared" si="8"/>
        <v>1996</v>
      </c>
      <c r="T100" s="8">
        <v>1996</v>
      </c>
      <c r="U100" s="8">
        <f t="shared" si="9"/>
        <v>26</v>
      </c>
      <c r="V100" s="7">
        <v>35400</v>
      </c>
      <c r="W100" t="s">
        <v>443</v>
      </c>
      <c r="X100" s="2">
        <v>0.71199999999999997</v>
      </c>
      <c r="Y100" s="6">
        <f t="shared" si="10"/>
        <v>1.900643335735832E-2</v>
      </c>
      <c r="AA100">
        <v>2681242</v>
      </c>
      <c r="AB100">
        <v>27191</v>
      </c>
      <c r="AD100" t="s">
        <v>1</v>
      </c>
      <c r="AE100">
        <v>11</v>
      </c>
      <c r="AF100">
        <v>12</v>
      </c>
      <c r="AH100" t="s">
        <v>7206</v>
      </c>
      <c r="AI100" t="s">
        <v>7205</v>
      </c>
      <c r="AK100" t="s">
        <v>7204</v>
      </c>
      <c r="AL100">
        <v>22</v>
      </c>
      <c r="AM100" s="5">
        <f t="shared" si="11"/>
        <v>0.84615384615384615</v>
      </c>
      <c r="AN100" s="4">
        <f t="shared" si="12"/>
        <v>1.2815658404450529E-3</v>
      </c>
      <c r="AO100" s="3"/>
      <c r="AP100">
        <v>0</v>
      </c>
      <c r="AR100" t="s">
        <v>0</v>
      </c>
      <c r="AT100" s="2">
        <v>2.3519999999999999</v>
      </c>
      <c r="AU100" s="1">
        <f t="shared" si="13"/>
        <v>1.3688973102284339</v>
      </c>
      <c r="AV100" s="1">
        <f t="shared" si="14"/>
        <v>1.0143999598901685</v>
      </c>
      <c r="AW100" s="1">
        <f t="shared" si="15"/>
        <v>0.65990260955190327</v>
      </c>
    </row>
    <row r="101" spans="1:49" x14ac:dyDescent="0.2">
      <c r="A101">
        <v>99</v>
      </c>
      <c r="B101" t="s">
        <v>7203</v>
      </c>
      <c r="F101" t="s">
        <v>7202</v>
      </c>
      <c r="G101" t="s">
        <v>6</v>
      </c>
      <c r="H101" t="s">
        <v>5</v>
      </c>
      <c r="I101" t="s">
        <v>7201</v>
      </c>
      <c r="J101">
        <v>60025555</v>
      </c>
      <c r="K101" t="s">
        <v>116</v>
      </c>
      <c r="L101" t="s">
        <v>45</v>
      </c>
      <c r="M101" t="s">
        <v>44</v>
      </c>
      <c r="N101">
        <v>3</v>
      </c>
      <c r="O101" t="s">
        <v>7200</v>
      </c>
      <c r="P101" t="s">
        <v>7199</v>
      </c>
      <c r="Q101" t="s">
        <v>301</v>
      </c>
      <c r="R101" s="7">
        <v>35400</v>
      </c>
      <c r="S101" s="8">
        <f t="shared" si="8"/>
        <v>1996</v>
      </c>
      <c r="T101" s="8">
        <v>1996</v>
      </c>
      <c r="U101" s="8">
        <f t="shared" si="9"/>
        <v>26</v>
      </c>
      <c r="V101" s="7">
        <v>35400</v>
      </c>
      <c r="W101" t="s">
        <v>118</v>
      </c>
      <c r="X101" s="2">
        <v>0.21099999999999999</v>
      </c>
      <c r="Y101" s="6">
        <f t="shared" si="10"/>
        <v>5.6325244921384904E-3</v>
      </c>
      <c r="AA101">
        <v>9168516</v>
      </c>
      <c r="AB101">
        <v>18936</v>
      </c>
      <c r="AD101" t="s">
        <v>1</v>
      </c>
      <c r="AE101" t="s">
        <v>117</v>
      </c>
      <c r="AF101">
        <v>12</v>
      </c>
      <c r="AH101" t="s">
        <v>7198</v>
      </c>
      <c r="AI101" t="s">
        <v>7197</v>
      </c>
      <c r="AK101" t="s">
        <v>7196</v>
      </c>
      <c r="AL101">
        <v>1</v>
      </c>
      <c r="AM101" s="5">
        <f t="shared" si="11"/>
        <v>3.8461538461538464E-2</v>
      </c>
      <c r="AN101" s="4">
        <f t="shared" si="12"/>
        <v>5.8252992747502406E-5</v>
      </c>
      <c r="AO101" s="3"/>
      <c r="AP101">
        <v>0</v>
      </c>
      <c r="AR101" t="s">
        <v>0</v>
      </c>
      <c r="AT101" s="2">
        <v>0.52500000000000002</v>
      </c>
      <c r="AU101" s="1">
        <f t="shared" si="13"/>
        <v>0.39602430423211937</v>
      </c>
      <c r="AV101" s="1">
        <f t="shared" si="14"/>
        <v>0.28453887424429963</v>
      </c>
      <c r="AW101" s="1">
        <f t="shared" si="15"/>
        <v>0.17305344425647987</v>
      </c>
    </row>
    <row r="102" spans="1:49" x14ac:dyDescent="0.2">
      <c r="A102">
        <v>100</v>
      </c>
      <c r="B102" t="s">
        <v>7195</v>
      </c>
      <c r="F102" t="s">
        <v>7194</v>
      </c>
      <c r="G102" t="s">
        <v>6</v>
      </c>
      <c r="H102" t="s">
        <v>5</v>
      </c>
      <c r="I102" t="s">
        <v>7193</v>
      </c>
      <c r="J102">
        <v>60005837</v>
      </c>
      <c r="K102" t="s">
        <v>5395</v>
      </c>
      <c r="L102" t="s">
        <v>290</v>
      </c>
      <c r="M102" t="s">
        <v>2</v>
      </c>
      <c r="N102">
        <v>2</v>
      </c>
      <c r="O102" t="s">
        <v>7192</v>
      </c>
      <c r="P102" t="s">
        <v>7191</v>
      </c>
      <c r="Q102" t="s">
        <v>7190</v>
      </c>
      <c r="R102" s="7">
        <v>35400</v>
      </c>
      <c r="S102" s="8">
        <f t="shared" si="8"/>
        <v>1996</v>
      </c>
      <c r="T102" s="8">
        <v>1996</v>
      </c>
      <c r="U102" s="8">
        <f t="shared" si="9"/>
        <v>26</v>
      </c>
      <c r="V102" s="7">
        <v>35400</v>
      </c>
      <c r="W102" t="s">
        <v>7189</v>
      </c>
      <c r="X102" s="2" t="s">
        <v>9</v>
      </c>
      <c r="Y102" s="6" t="e">
        <f t="shared" si="10"/>
        <v>#VALUE!</v>
      </c>
      <c r="AA102">
        <v>10868259</v>
      </c>
      <c r="AB102">
        <v>27020</v>
      </c>
      <c r="AD102" t="s">
        <v>1</v>
      </c>
      <c r="AE102">
        <v>1</v>
      </c>
      <c r="AF102">
        <v>4</v>
      </c>
      <c r="AH102" t="s">
        <v>7188</v>
      </c>
      <c r="AI102" t="s">
        <v>7187</v>
      </c>
      <c r="AK102" t="s">
        <v>7186</v>
      </c>
      <c r="AL102">
        <v>0</v>
      </c>
      <c r="AM102" s="5">
        <f t="shared" si="11"/>
        <v>0</v>
      </c>
      <c r="AN102" s="4">
        <f t="shared" si="12"/>
        <v>0</v>
      </c>
      <c r="AO102" s="3"/>
      <c r="AP102">
        <v>0</v>
      </c>
      <c r="AR102" t="s">
        <v>0</v>
      </c>
      <c r="AT102" s="2" t="s">
        <v>9</v>
      </c>
      <c r="AU102" s="1" t="e">
        <f t="shared" si="13"/>
        <v>#VALUE!</v>
      </c>
      <c r="AV102" s="1" t="e">
        <f t="shared" si="14"/>
        <v>#VALUE!</v>
      </c>
      <c r="AW102" s="1" t="e">
        <f t="shared" si="15"/>
        <v>#VALUE!</v>
      </c>
    </row>
    <row r="103" spans="1:49" x14ac:dyDescent="0.2">
      <c r="A103">
        <v>101</v>
      </c>
      <c r="B103" t="s">
        <v>7185</v>
      </c>
      <c r="C103" t="s">
        <v>7184</v>
      </c>
      <c r="D103" t="s">
        <v>7183</v>
      </c>
      <c r="F103" t="s">
        <v>7182</v>
      </c>
      <c r="G103" t="s">
        <v>6</v>
      </c>
      <c r="H103" t="s">
        <v>5</v>
      </c>
      <c r="I103" t="s">
        <v>7181</v>
      </c>
      <c r="J103">
        <v>60012370</v>
      </c>
      <c r="K103" t="s">
        <v>1740</v>
      </c>
      <c r="L103" t="s">
        <v>1739</v>
      </c>
      <c r="M103" t="s">
        <v>146</v>
      </c>
      <c r="N103">
        <v>2</v>
      </c>
      <c r="O103" t="s">
        <v>5732</v>
      </c>
      <c r="P103" t="s">
        <v>5731</v>
      </c>
      <c r="Q103" t="s">
        <v>3984</v>
      </c>
      <c r="R103" s="7">
        <v>35400</v>
      </c>
      <c r="S103" s="8">
        <f t="shared" si="8"/>
        <v>1996</v>
      </c>
      <c r="T103" s="8">
        <v>1996</v>
      </c>
      <c r="U103" s="8">
        <f t="shared" si="9"/>
        <v>26</v>
      </c>
      <c r="V103" s="7">
        <v>1996</v>
      </c>
      <c r="W103" t="s">
        <v>410</v>
      </c>
      <c r="X103" s="2">
        <v>1.3720000000000001</v>
      </c>
      <c r="Y103" s="6">
        <f t="shared" si="10"/>
        <v>3.662475641333654E-2</v>
      </c>
      <c r="AA103">
        <v>189480</v>
      </c>
      <c r="AB103">
        <v>17366</v>
      </c>
      <c r="AD103" t="s">
        <v>1</v>
      </c>
      <c r="AE103">
        <v>44</v>
      </c>
      <c r="AF103" t="s">
        <v>7031</v>
      </c>
      <c r="AH103" t="s">
        <v>7180</v>
      </c>
      <c r="AI103" t="s">
        <v>7179</v>
      </c>
      <c r="AK103" t="s">
        <v>7178</v>
      </c>
      <c r="AL103">
        <v>58</v>
      </c>
      <c r="AM103" s="5">
        <f t="shared" si="11"/>
        <v>2.2307692307692308</v>
      </c>
      <c r="AN103" s="4">
        <f t="shared" si="12"/>
        <v>3.3786735793551394E-3</v>
      </c>
      <c r="AO103" s="3"/>
      <c r="AP103">
        <v>0</v>
      </c>
      <c r="AQ103" t="s">
        <v>605</v>
      </c>
      <c r="AR103">
        <v>285099</v>
      </c>
      <c r="AS103" t="s">
        <v>604</v>
      </c>
      <c r="AT103" s="2" t="s">
        <v>9</v>
      </c>
      <c r="AU103" s="1">
        <f t="shared" si="13"/>
        <v>2.665093156314212</v>
      </c>
      <c r="AV103" s="1">
        <f t="shared" si="14"/>
        <v>2.0001714996345838</v>
      </c>
      <c r="AW103" s="1">
        <f t="shared" si="15"/>
        <v>1.335249842954956</v>
      </c>
    </row>
    <row r="104" spans="1:49" x14ac:dyDescent="0.2">
      <c r="A104">
        <v>102</v>
      </c>
      <c r="B104" t="s">
        <v>7177</v>
      </c>
      <c r="F104" t="s">
        <v>7176</v>
      </c>
      <c r="G104" t="s">
        <v>6</v>
      </c>
      <c r="H104" t="s">
        <v>5</v>
      </c>
      <c r="I104" t="s">
        <v>7175</v>
      </c>
      <c r="N104">
        <v>1</v>
      </c>
      <c r="O104" t="s">
        <v>7174</v>
      </c>
      <c r="P104">
        <v>55426950000</v>
      </c>
      <c r="R104" s="7">
        <v>35400</v>
      </c>
      <c r="S104" s="8">
        <f t="shared" si="8"/>
        <v>1996</v>
      </c>
      <c r="T104" s="8">
        <v>1996</v>
      </c>
      <c r="U104" s="8">
        <f t="shared" si="9"/>
        <v>26</v>
      </c>
      <c r="V104" s="7">
        <v>1996</v>
      </c>
      <c r="W104" t="s">
        <v>687</v>
      </c>
      <c r="X104" s="2" t="s">
        <v>9</v>
      </c>
      <c r="Y104" s="6" t="e">
        <f t="shared" si="10"/>
        <v>#VALUE!</v>
      </c>
      <c r="AA104">
        <v>1477439</v>
      </c>
      <c r="AB104">
        <v>53559</v>
      </c>
      <c r="AD104" t="s">
        <v>1</v>
      </c>
      <c r="AE104">
        <v>20</v>
      </c>
      <c r="AF104">
        <v>12</v>
      </c>
      <c r="AH104" t="s">
        <v>7173</v>
      </c>
      <c r="AL104">
        <v>0</v>
      </c>
      <c r="AM104" s="5">
        <f t="shared" si="11"/>
        <v>0</v>
      </c>
      <c r="AN104" s="4">
        <f t="shared" si="12"/>
        <v>0</v>
      </c>
      <c r="AO104" s="3"/>
      <c r="AP104">
        <v>0</v>
      </c>
      <c r="AR104" t="s">
        <v>0</v>
      </c>
      <c r="AT104" s="2" t="s">
        <v>9</v>
      </c>
      <c r="AU104" s="1" t="e">
        <f t="shared" si="13"/>
        <v>#VALUE!</v>
      </c>
      <c r="AV104" s="1" t="e">
        <f t="shared" si="14"/>
        <v>#VALUE!</v>
      </c>
      <c r="AW104" s="1" t="e">
        <f t="shared" si="15"/>
        <v>#VALUE!</v>
      </c>
    </row>
    <row r="105" spans="1:49" x14ac:dyDescent="0.2">
      <c r="A105">
        <v>103</v>
      </c>
      <c r="B105" t="s">
        <v>7172</v>
      </c>
      <c r="F105" t="s">
        <v>7171</v>
      </c>
      <c r="G105" t="s">
        <v>6</v>
      </c>
      <c r="H105" t="s">
        <v>5</v>
      </c>
      <c r="I105" t="s">
        <v>7170</v>
      </c>
      <c r="J105">
        <v>60163091</v>
      </c>
      <c r="K105" t="s">
        <v>7169</v>
      </c>
      <c r="L105" t="s">
        <v>7168</v>
      </c>
      <c r="M105" t="s">
        <v>19</v>
      </c>
      <c r="N105">
        <v>3</v>
      </c>
      <c r="O105" t="s">
        <v>7167</v>
      </c>
      <c r="P105" t="s">
        <v>7166</v>
      </c>
      <c r="Q105" t="s">
        <v>7165</v>
      </c>
      <c r="R105" s="7">
        <v>35400</v>
      </c>
      <c r="S105" s="8">
        <f t="shared" si="8"/>
        <v>1996</v>
      </c>
      <c r="T105" s="8">
        <v>1996</v>
      </c>
      <c r="U105" s="8">
        <f t="shared" si="9"/>
        <v>26</v>
      </c>
      <c r="V105" s="7">
        <v>1996</v>
      </c>
      <c r="W105" t="s">
        <v>408</v>
      </c>
      <c r="X105" s="2">
        <v>0.1</v>
      </c>
      <c r="Y105" s="6">
        <f t="shared" si="10"/>
        <v>2.6694428872694269E-3</v>
      </c>
      <c r="AA105">
        <v>9633308</v>
      </c>
      <c r="AB105">
        <v>17917</v>
      </c>
      <c r="AD105" t="s">
        <v>1</v>
      </c>
      <c r="AF105">
        <v>53</v>
      </c>
      <c r="AL105">
        <v>0</v>
      </c>
      <c r="AM105" s="5">
        <f t="shared" si="11"/>
        <v>0</v>
      </c>
      <c r="AN105" s="4">
        <f t="shared" si="12"/>
        <v>0</v>
      </c>
      <c r="AO105" s="3"/>
      <c r="AP105">
        <v>0</v>
      </c>
      <c r="AR105" t="s">
        <v>0</v>
      </c>
      <c r="AT105" s="2" t="s">
        <v>9</v>
      </c>
      <c r="AU105" s="1">
        <f t="shared" si="13"/>
        <v>0.18686100210885986</v>
      </c>
      <c r="AV105" s="1">
        <f t="shared" si="14"/>
        <v>0.13347214436347135</v>
      </c>
      <c r="AW105" s="1">
        <f t="shared" si="15"/>
        <v>8.0083286618082811E-2</v>
      </c>
    </row>
    <row r="106" spans="1:49" x14ac:dyDescent="0.2">
      <c r="A106">
        <v>104</v>
      </c>
      <c r="B106" t="s">
        <v>7164</v>
      </c>
      <c r="C106" t="s">
        <v>7163</v>
      </c>
      <c r="D106" t="s">
        <v>7162</v>
      </c>
      <c r="F106" t="s">
        <v>7161</v>
      </c>
      <c r="G106" t="s">
        <v>6</v>
      </c>
      <c r="H106" t="s">
        <v>5</v>
      </c>
      <c r="I106" t="s">
        <v>7160</v>
      </c>
      <c r="J106" t="s">
        <v>7159</v>
      </c>
      <c r="K106" t="s">
        <v>7158</v>
      </c>
      <c r="L106" t="s">
        <v>7157</v>
      </c>
      <c r="M106" t="s">
        <v>13</v>
      </c>
      <c r="N106">
        <v>4</v>
      </c>
      <c r="O106" t="s">
        <v>7156</v>
      </c>
      <c r="P106" t="s">
        <v>7155</v>
      </c>
      <c r="Q106" t="s">
        <v>7154</v>
      </c>
      <c r="R106" s="7">
        <v>35400</v>
      </c>
      <c r="S106" s="8">
        <f t="shared" si="8"/>
        <v>1996</v>
      </c>
      <c r="T106" s="8">
        <v>1996</v>
      </c>
      <c r="U106" s="8">
        <f t="shared" si="9"/>
        <v>26</v>
      </c>
      <c r="V106" s="7">
        <v>35400</v>
      </c>
      <c r="W106" t="s">
        <v>838</v>
      </c>
      <c r="X106" s="2">
        <v>1.337</v>
      </c>
      <c r="Y106" s="6">
        <f t="shared" si="10"/>
        <v>3.5690451402792235E-2</v>
      </c>
      <c r="AA106">
        <v>7413106</v>
      </c>
      <c r="AB106">
        <v>26005</v>
      </c>
      <c r="AD106" t="s">
        <v>1</v>
      </c>
      <c r="AE106">
        <v>17</v>
      </c>
      <c r="AF106">
        <v>12</v>
      </c>
      <c r="AH106" t="s">
        <v>7153</v>
      </c>
      <c r="AI106" t="s">
        <v>7152</v>
      </c>
      <c r="AK106" t="s">
        <v>7151</v>
      </c>
      <c r="AL106">
        <v>14</v>
      </c>
      <c r="AM106" s="5">
        <f t="shared" si="11"/>
        <v>0.53846153846153844</v>
      </c>
      <c r="AN106" s="4">
        <f t="shared" si="12"/>
        <v>8.1554189846503363E-4</v>
      </c>
      <c r="AO106" s="3"/>
      <c r="AP106">
        <v>0</v>
      </c>
      <c r="AR106" t="s">
        <v>0</v>
      </c>
      <c r="AT106" s="2">
        <v>4.1870000000000003</v>
      </c>
      <c r="AU106" s="1">
        <f t="shared" si="13"/>
        <v>2.522797855149407</v>
      </c>
      <c r="AV106" s="1">
        <f t="shared" si="14"/>
        <v>1.8252996650628635</v>
      </c>
      <c r="AW106" s="1">
        <f t="shared" si="15"/>
        <v>1.1278014749763194</v>
      </c>
    </row>
    <row r="107" spans="1:49" x14ac:dyDescent="0.2">
      <c r="A107">
        <v>105</v>
      </c>
      <c r="B107" t="s">
        <v>7150</v>
      </c>
      <c r="C107" t="s">
        <v>7149</v>
      </c>
      <c r="D107" t="s">
        <v>7148</v>
      </c>
      <c r="F107" t="s">
        <v>7147</v>
      </c>
      <c r="G107" t="s">
        <v>6</v>
      </c>
      <c r="H107" t="s">
        <v>5</v>
      </c>
      <c r="I107" t="s">
        <v>398</v>
      </c>
      <c r="J107" t="s">
        <v>7146</v>
      </c>
      <c r="K107" t="s">
        <v>7145</v>
      </c>
      <c r="L107" t="s">
        <v>7144</v>
      </c>
      <c r="M107" t="s">
        <v>550</v>
      </c>
      <c r="N107">
        <v>2</v>
      </c>
      <c r="O107" t="s">
        <v>7143</v>
      </c>
      <c r="P107" t="s">
        <v>394</v>
      </c>
      <c r="Q107" t="s">
        <v>7142</v>
      </c>
      <c r="R107" s="7">
        <v>35400</v>
      </c>
      <c r="S107" s="8">
        <f t="shared" si="8"/>
        <v>1996</v>
      </c>
      <c r="T107" s="8">
        <v>1996</v>
      </c>
      <c r="U107" s="8">
        <f t="shared" si="9"/>
        <v>26</v>
      </c>
      <c r="V107" s="7">
        <v>1996</v>
      </c>
      <c r="W107" t="s">
        <v>150</v>
      </c>
      <c r="X107" s="2">
        <v>1.6519999999999999</v>
      </c>
      <c r="Y107" s="6">
        <f t="shared" si="10"/>
        <v>4.409919649769093E-2</v>
      </c>
      <c r="AA107" t="s">
        <v>149</v>
      </c>
      <c r="AB107">
        <v>17337</v>
      </c>
      <c r="AD107" t="s">
        <v>1</v>
      </c>
      <c r="AE107">
        <v>44</v>
      </c>
      <c r="AF107">
        <v>12</v>
      </c>
      <c r="AH107" t="s">
        <v>7141</v>
      </c>
      <c r="AI107" t="s">
        <v>7140</v>
      </c>
      <c r="AK107" t="s">
        <v>7139</v>
      </c>
      <c r="AL107">
        <v>49</v>
      </c>
      <c r="AM107" s="5">
        <f t="shared" si="11"/>
        <v>1.8846153846153846</v>
      </c>
      <c r="AN107" s="4">
        <f t="shared" si="12"/>
        <v>2.8543966446276177E-3</v>
      </c>
      <c r="AO107" s="3"/>
      <c r="AP107">
        <v>0</v>
      </c>
      <c r="AQ107" t="s">
        <v>80</v>
      </c>
      <c r="AR107" t="s">
        <v>7138</v>
      </c>
      <c r="AS107" t="s">
        <v>622</v>
      </c>
      <c r="AT107" s="2" t="s">
        <v>9</v>
      </c>
      <c r="AU107" s="1">
        <f t="shared" si="13"/>
        <v>3.1725756541771934</v>
      </c>
      <c r="AV107" s="1">
        <f t="shared" si="14"/>
        <v>2.3476796571159273</v>
      </c>
      <c r="AW107" s="1">
        <f t="shared" si="15"/>
        <v>1.5227836600546611</v>
      </c>
    </row>
    <row r="108" spans="1:49" x14ac:dyDescent="0.2">
      <c r="A108">
        <v>106</v>
      </c>
      <c r="B108" t="s">
        <v>7137</v>
      </c>
      <c r="C108" t="s">
        <v>7136</v>
      </c>
      <c r="F108" t="s">
        <v>7135</v>
      </c>
      <c r="G108" t="s">
        <v>6</v>
      </c>
      <c r="H108" t="s">
        <v>5</v>
      </c>
      <c r="I108" t="s">
        <v>7134</v>
      </c>
      <c r="J108">
        <v>60028186</v>
      </c>
      <c r="K108" t="s">
        <v>2916</v>
      </c>
      <c r="L108" t="s">
        <v>2915</v>
      </c>
      <c r="M108" t="s">
        <v>73</v>
      </c>
      <c r="N108">
        <v>1</v>
      </c>
      <c r="O108" t="s">
        <v>7133</v>
      </c>
      <c r="P108">
        <v>35609196900</v>
      </c>
      <c r="Q108">
        <v>60028186</v>
      </c>
      <c r="R108" s="7">
        <v>35400</v>
      </c>
      <c r="S108" s="8">
        <f t="shared" si="8"/>
        <v>1996</v>
      </c>
      <c r="T108" s="8">
        <v>1996</v>
      </c>
      <c r="U108" s="8">
        <f t="shared" si="9"/>
        <v>26</v>
      </c>
      <c r="V108" s="7">
        <v>35400</v>
      </c>
      <c r="W108" t="s">
        <v>241</v>
      </c>
      <c r="X108" s="2">
        <v>0.88100000000000001</v>
      </c>
      <c r="Y108" s="6">
        <f t="shared" si="10"/>
        <v>2.3517791836843653E-2</v>
      </c>
      <c r="AA108">
        <v>10459243</v>
      </c>
      <c r="AB108">
        <v>17248</v>
      </c>
      <c r="AD108" t="s">
        <v>1</v>
      </c>
      <c r="AE108">
        <v>38</v>
      </c>
      <c r="AF108">
        <v>6</v>
      </c>
      <c r="AH108" t="s">
        <v>7132</v>
      </c>
      <c r="AI108" t="s">
        <v>7131</v>
      </c>
      <c r="AK108" t="s">
        <v>7130</v>
      </c>
      <c r="AL108">
        <v>3</v>
      </c>
      <c r="AM108" s="5">
        <f t="shared" si="11"/>
        <v>0.11538461538461539</v>
      </c>
      <c r="AN108" s="4">
        <f t="shared" si="12"/>
        <v>1.7475897824250722E-4</v>
      </c>
      <c r="AO108" s="3"/>
      <c r="AP108">
        <v>0</v>
      </c>
      <c r="AR108" t="s">
        <v>0</v>
      </c>
      <c r="AT108" s="2" t="s">
        <v>9</v>
      </c>
      <c r="AU108" s="1">
        <f t="shared" si="13"/>
        <v>1.6514881979263307</v>
      </c>
      <c r="AV108" s="1">
        <f t="shared" si="14"/>
        <v>1.1846275407543081</v>
      </c>
      <c r="AW108" s="1">
        <f t="shared" si="15"/>
        <v>0.71776688358228513</v>
      </c>
    </row>
    <row r="109" spans="1:49" x14ac:dyDescent="0.2">
      <c r="A109">
        <v>107</v>
      </c>
      <c r="B109" t="s">
        <v>7129</v>
      </c>
      <c r="F109" t="s">
        <v>7128</v>
      </c>
      <c r="G109" t="s">
        <v>6</v>
      </c>
      <c r="H109" t="s">
        <v>5</v>
      </c>
      <c r="I109" t="s">
        <v>7127</v>
      </c>
      <c r="J109">
        <v>60104115</v>
      </c>
      <c r="K109" t="s">
        <v>7126</v>
      </c>
      <c r="L109" t="s">
        <v>7125</v>
      </c>
      <c r="M109" t="s">
        <v>44</v>
      </c>
      <c r="N109">
        <v>2</v>
      </c>
      <c r="O109" t="s">
        <v>7124</v>
      </c>
      <c r="P109" t="s">
        <v>7123</v>
      </c>
      <c r="Q109" t="s">
        <v>7122</v>
      </c>
      <c r="R109" s="7">
        <v>35400</v>
      </c>
      <c r="S109" s="8">
        <f t="shared" si="8"/>
        <v>1996</v>
      </c>
      <c r="T109" s="8">
        <v>1996</v>
      </c>
      <c r="U109" s="8">
        <f t="shared" si="9"/>
        <v>26</v>
      </c>
      <c r="V109" s="7">
        <v>35400</v>
      </c>
      <c r="W109" t="s">
        <v>118</v>
      </c>
      <c r="X109" s="2">
        <v>0.21099999999999999</v>
      </c>
      <c r="Y109" s="6">
        <f t="shared" si="10"/>
        <v>5.6325244921384904E-3</v>
      </c>
      <c r="AA109">
        <v>9168516</v>
      </c>
      <c r="AB109">
        <v>18936</v>
      </c>
      <c r="AD109" t="s">
        <v>1</v>
      </c>
      <c r="AE109" t="s">
        <v>117</v>
      </c>
      <c r="AF109">
        <v>12</v>
      </c>
      <c r="AH109" t="s">
        <v>7121</v>
      </c>
      <c r="AI109" t="s">
        <v>7120</v>
      </c>
      <c r="AK109" t="s">
        <v>7119</v>
      </c>
      <c r="AL109">
        <v>11</v>
      </c>
      <c r="AM109" s="5">
        <f t="shared" si="11"/>
        <v>0.42307692307692307</v>
      </c>
      <c r="AN109" s="4">
        <f t="shared" si="12"/>
        <v>6.4078292022252644E-4</v>
      </c>
      <c r="AO109" s="3"/>
      <c r="AP109">
        <v>0</v>
      </c>
      <c r="AR109" t="s">
        <v>0</v>
      </c>
      <c r="AT109" s="2">
        <v>0.52500000000000002</v>
      </c>
      <c r="AU109" s="1">
        <f t="shared" si="13"/>
        <v>0.41350020205637006</v>
      </c>
      <c r="AV109" s="1">
        <f t="shared" si="14"/>
        <v>0.31366537061805083</v>
      </c>
      <c r="AW109" s="1">
        <f t="shared" si="15"/>
        <v>0.21383053917973155</v>
      </c>
    </row>
    <row r="110" spans="1:49" x14ac:dyDescent="0.2">
      <c r="A110">
        <v>108</v>
      </c>
      <c r="B110" t="s">
        <v>7118</v>
      </c>
      <c r="F110" t="s">
        <v>7117</v>
      </c>
      <c r="G110" t="s">
        <v>6</v>
      </c>
      <c r="H110" t="s">
        <v>5</v>
      </c>
      <c r="I110" t="s">
        <v>7116</v>
      </c>
      <c r="J110">
        <v>60092258</v>
      </c>
      <c r="K110" t="s">
        <v>2863</v>
      </c>
      <c r="L110" t="s">
        <v>655</v>
      </c>
      <c r="M110" t="s">
        <v>44</v>
      </c>
      <c r="N110">
        <v>2</v>
      </c>
      <c r="O110" t="s">
        <v>7115</v>
      </c>
      <c r="P110" t="s">
        <v>7114</v>
      </c>
      <c r="Q110" t="s">
        <v>3415</v>
      </c>
      <c r="R110" s="7">
        <v>35400</v>
      </c>
      <c r="S110" s="8">
        <f t="shared" si="8"/>
        <v>1996</v>
      </c>
      <c r="T110" s="8">
        <v>1996</v>
      </c>
      <c r="U110" s="8">
        <f t="shared" si="9"/>
        <v>26</v>
      </c>
      <c r="V110" s="7">
        <v>35400</v>
      </c>
      <c r="W110" t="s">
        <v>118</v>
      </c>
      <c r="X110" s="2">
        <v>0.21099999999999999</v>
      </c>
      <c r="Y110" s="6">
        <f t="shared" si="10"/>
        <v>5.6325244921384904E-3</v>
      </c>
      <c r="AA110">
        <v>9168516</v>
      </c>
      <c r="AB110">
        <v>18936</v>
      </c>
      <c r="AD110" t="s">
        <v>1</v>
      </c>
      <c r="AE110" t="s">
        <v>117</v>
      </c>
      <c r="AF110">
        <v>12</v>
      </c>
      <c r="AH110" t="s">
        <v>7113</v>
      </c>
      <c r="AI110" t="s">
        <v>7112</v>
      </c>
      <c r="AK110" t="s">
        <v>7111</v>
      </c>
      <c r="AL110">
        <v>56</v>
      </c>
      <c r="AM110" s="5">
        <f t="shared" si="11"/>
        <v>2.1538461538461537</v>
      </c>
      <c r="AN110" s="4">
        <f t="shared" si="12"/>
        <v>3.2621675938601345E-3</v>
      </c>
      <c r="AO110" s="3"/>
      <c r="AP110">
        <v>0</v>
      </c>
      <c r="AR110" t="s">
        <v>0</v>
      </c>
      <c r="AT110" s="2">
        <v>0.52500000000000002</v>
      </c>
      <c r="AU110" s="1">
        <f t="shared" si="13"/>
        <v>0.49214174226549828</v>
      </c>
      <c r="AV110" s="1">
        <f t="shared" si="14"/>
        <v>0.44473460429993122</v>
      </c>
      <c r="AW110" s="1">
        <f t="shared" si="15"/>
        <v>0.39732746633436411</v>
      </c>
    </row>
    <row r="111" spans="1:49" x14ac:dyDescent="0.2">
      <c r="A111">
        <v>109</v>
      </c>
      <c r="B111" t="s">
        <v>7110</v>
      </c>
      <c r="C111" t="s">
        <v>7109</v>
      </c>
      <c r="D111" t="s">
        <v>7108</v>
      </c>
      <c r="F111" t="s">
        <v>7107</v>
      </c>
      <c r="G111" t="s">
        <v>6</v>
      </c>
      <c r="H111" t="s">
        <v>5</v>
      </c>
      <c r="I111" t="s">
        <v>7106</v>
      </c>
      <c r="J111">
        <v>60012708</v>
      </c>
      <c r="K111" t="s">
        <v>16</v>
      </c>
      <c r="L111" t="s">
        <v>15</v>
      </c>
      <c r="M111" t="s">
        <v>2</v>
      </c>
      <c r="N111">
        <v>2</v>
      </c>
      <c r="O111" t="s">
        <v>7105</v>
      </c>
      <c r="P111" t="s">
        <v>7104</v>
      </c>
      <c r="Q111" t="s">
        <v>7103</v>
      </c>
      <c r="R111" s="7">
        <v>35400</v>
      </c>
      <c r="S111" s="8">
        <f t="shared" si="8"/>
        <v>1996</v>
      </c>
      <c r="T111" s="8">
        <v>1996</v>
      </c>
      <c r="U111" s="8">
        <f t="shared" si="9"/>
        <v>26</v>
      </c>
      <c r="V111" s="7">
        <v>35400</v>
      </c>
      <c r="W111" t="s">
        <v>305</v>
      </c>
      <c r="X111" s="2">
        <v>2.9860000000000002</v>
      </c>
      <c r="Y111" s="6">
        <f t="shared" si="10"/>
        <v>7.9709564613865094E-2</v>
      </c>
      <c r="AA111">
        <v>7338716</v>
      </c>
      <c r="AB111">
        <v>18902</v>
      </c>
      <c r="AD111" t="s">
        <v>1</v>
      </c>
      <c r="AE111">
        <v>14</v>
      </c>
      <c r="AF111">
        <v>9</v>
      </c>
      <c r="AH111" t="s">
        <v>7102</v>
      </c>
      <c r="AI111" t="s">
        <v>7101</v>
      </c>
      <c r="AK111" t="s">
        <v>7100</v>
      </c>
      <c r="AL111">
        <v>111</v>
      </c>
      <c r="AM111" s="5">
        <f t="shared" si="11"/>
        <v>4.2692307692307692</v>
      </c>
      <c r="AN111" s="4">
        <f t="shared" si="12"/>
        <v>6.4660821949727668E-3</v>
      </c>
      <c r="AO111" s="3"/>
      <c r="AP111">
        <v>0</v>
      </c>
      <c r="AR111" t="s">
        <v>0</v>
      </c>
      <c r="AT111" s="2" t="s">
        <v>9</v>
      </c>
      <c r="AU111" s="1">
        <f t="shared" si="13"/>
        <v>5.7736519888197391</v>
      </c>
      <c r="AV111" s="1">
        <f t="shared" si="14"/>
        <v>4.3087823404418932</v>
      </c>
      <c r="AW111" s="1">
        <f t="shared" si="15"/>
        <v>2.8439126920640461</v>
      </c>
    </row>
    <row r="112" spans="1:49" x14ac:dyDescent="0.2">
      <c r="A112">
        <v>110</v>
      </c>
      <c r="B112" t="s">
        <v>7099</v>
      </c>
      <c r="C112" t="s">
        <v>7098</v>
      </c>
      <c r="D112" t="s">
        <v>7097</v>
      </c>
      <c r="F112" t="s">
        <v>7096</v>
      </c>
      <c r="G112" t="s">
        <v>6</v>
      </c>
      <c r="H112" t="s">
        <v>5</v>
      </c>
      <c r="I112" t="s">
        <v>7095</v>
      </c>
      <c r="J112">
        <v>60074719</v>
      </c>
      <c r="K112" t="s">
        <v>7094</v>
      </c>
      <c r="L112" t="s">
        <v>7093</v>
      </c>
      <c r="M112" t="s">
        <v>2</v>
      </c>
      <c r="N112">
        <v>1</v>
      </c>
      <c r="O112" t="s">
        <v>7092</v>
      </c>
      <c r="P112">
        <v>6603861481</v>
      </c>
      <c r="Q112">
        <v>60074719</v>
      </c>
      <c r="R112" s="7">
        <v>35400</v>
      </c>
      <c r="S112" s="8">
        <f t="shared" si="8"/>
        <v>1996</v>
      </c>
      <c r="T112" s="8">
        <v>1996</v>
      </c>
      <c r="U112" s="8">
        <f t="shared" si="9"/>
        <v>26</v>
      </c>
      <c r="V112" s="7">
        <v>1996</v>
      </c>
      <c r="W112" t="s">
        <v>4269</v>
      </c>
      <c r="X112" s="2">
        <v>0.78200000000000003</v>
      </c>
      <c r="Y112" s="6">
        <f t="shared" si="10"/>
        <v>2.0875043378446919E-2</v>
      </c>
      <c r="AA112">
        <v>189316</v>
      </c>
      <c r="AB112">
        <v>19901</v>
      </c>
      <c r="AD112" t="s">
        <v>1</v>
      </c>
      <c r="AE112">
        <v>42</v>
      </c>
      <c r="AF112">
        <v>4</v>
      </c>
      <c r="AH112" t="s">
        <v>7091</v>
      </c>
      <c r="AI112" t="s">
        <v>7090</v>
      </c>
      <c r="AK112" t="s">
        <v>7089</v>
      </c>
      <c r="AL112">
        <v>3</v>
      </c>
      <c r="AM112" s="5">
        <f t="shared" si="11"/>
        <v>0.11538461538461539</v>
      </c>
      <c r="AN112" s="4">
        <f t="shared" si="12"/>
        <v>1.7475897824250722E-4</v>
      </c>
      <c r="AO112" s="3"/>
      <c r="AP112">
        <v>0</v>
      </c>
      <c r="AR112" t="s">
        <v>0</v>
      </c>
      <c r="AT112" s="2">
        <v>3.863</v>
      </c>
      <c r="AU112" s="1">
        <f t="shared" si="13"/>
        <v>1.4664958058385593</v>
      </c>
      <c r="AV112" s="1">
        <f t="shared" si="14"/>
        <v>1.0524901178344714</v>
      </c>
      <c r="AW112" s="1">
        <f t="shared" si="15"/>
        <v>0.63848442983038312</v>
      </c>
    </row>
    <row r="113" spans="1:49" x14ac:dyDescent="0.2">
      <c r="A113">
        <v>111</v>
      </c>
      <c r="B113" t="s">
        <v>7088</v>
      </c>
      <c r="F113" t="s">
        <v>7087</v>
      </c>
      <c r="G113" t="s">
        <v>6</v>
      </c>
      <c r="H113" t="s">
        <v>5</v>
      </c>
      <c r="I113" t="s">
        <v>7086</v>
      </c>
      <c r="N113">
        <v>1</v>
      </c>
      <c r="O113" t="s">
        <v>7085</v>
      </c>
      <c r="P113">
        <v>7006061733</v>
      </c>
      <c r="R113" s="7">
        <v>35400</v>
      </c>
      <c r="S113" s="8">
        <f t="shared" si="8"/>
        <v>1996</v>
      </c>
      <c r="T113" s="8">
        <v>1996</v>
      </c>
      <c r="U113" s="8">
        <f t="shared" si="9"/>
        <v>26</v>
      </c>
      <c r="V113" s="7">
        <v>1996</v>
      </c>
      <c r="W113" t="s">
        <v>7084</v>
      </c>
      <c r="X113" s="2" t="s">
        <v>9</v>
      </c>
      <c r="Y113" s="6" t="e">
        <f t="shared" si="10"/>
        <v>#VALUE!</v>
      </c>
      <c r="AA113">
        <v>181153</v>
      </c>
      <c r="AB113">
        <v>80073</v>
      </c>
      <c r="AD113" t="s">
        <v>1</v>
      </c>
      <c r="AE113">
        <v>47</v>
      </c>
      <c r="AF113">
        <v>6</v>
      </c>
      <c r="AH113" t="s">
        <v>7083</v>
      </c>
      <c r="AI113" t="s">
        <v>7082</v>
      </c>
      <c r="AK113" t="s">
        <v>7081</v>
      </c>
      <c r="AL113">
        <v>2</v>
      </c>
      <c r="AM113" s="5">
        <f t="shared" si="11"/>
        <v>7.6923076923076927E-2</v>
      </c>
      <c r="AN113" s="4">
        <f t="shared" si="12"/>
        <v>1.1650598549500481E-4</v>
      </c>
      <c r="AO113" s="3"/>
      <c r="AP113">
        <v>0</v>
      </c>
      <c r="AR113" t="s">
        <v>0</v>
      </c>
      <c r="AT113" s="2" t="s">
        <v>9</v>
      </c>
      <c r="AU113" s="1" t="e">
        <f t="shared" si="13"/>
        <v>#VALUE!</v>
      </c>
      <c r="AV113" s="1" t="e">
        <f t="shared" si="14"/>
        <v>#VALUE!</v>
      </c>
      <c r="AW113" s="1" t="e">
        <f t="shared" si="15"/>
        <v>#VALUE!</v>
      </c>
    </row>
    <row r="114" spans="1:49" x14ac:dyDescent="0.2">
      <c r="A114">
        <v>112</v>
      </c>
      <c r="B114" t="s">
        <v>7080</v>
      </c>
      <c r="F114" t="s">
        <v>7079</v>
      </c>
      <c r="G114" t="s">
        <v>6</v>
      </c>
      <c r="H114" t="s">
        <v>5</v>
      </c>
      <c r="I114" t="s">
        <v>7078</v>
      </c>
      <c r="J114">
        <v>60003416</v>
      </c>
      <c r="K114" t="s">
        <v>7077</v>
      </c>
      <c r="L114" t="s">
        <v>7076</v>
      </c>
      <c r="M114" t="s">
        <v>44</v>
      </c>
      <c r="N114">
        <v>3</v>
      </c>
      <c r="O114" t="s">
        <v>7075</v>
      </c>
      <c r="P114" t="s">
        <v>7074</v>
      </c>
      <c r="Q114" t="s">
        <v>7073</v>
      </c>
      <c r="R114" s="7">
        <v>35400</v>
      </c>
      <c r="S114" s="8">
        <f t="shared" si="8"/>
        <v>1996</v>
      </c>
      <c r="T114" s="8">
        <v>1996</v>
      </c>
      <c r="U114" s="8">
        <f t="shared" si="9"/>
        <v>26</v>
      </c>
      <c r="V114" s="7">
        <v>35400</v>
      </c>
      <c r="W114" t="s">
        <v>118</v>
      </c>
      <c r="X114" s="2">
        <v>0.21099999999999999</v>
      </c>
      <c r="Y114" s="6">
        <f t="shared" si="10"/>
        <v>5.6325244921384904E-3</v>
      </c>
      <c r="AA114">
        <v>9168516</v>
      </c>
      <c r="AB114">
        <v>18936</v>
      </c>
      <c r="AD114" t="s">
        <v>1</v>
      </c>
      <c r="AE114" t="s">
        <v>117</v>
      </c>
      <c r="AF114">
        <v>12</v>
      </c>
      <c r="AH114" t="s">
        <v>7072</v>
      </c>
      <c r="AI114" t="s">
        <v>7071</v>
      </c>
      <c r="AK114" t="s">
        <v>7070</v>
      </c>
      <c r="AL114">
        <v>3</v>
      </c>
      <c r="AM114" s="5">
        <f t="shared" si="11"/>
        <v>0.11538461538461539</v>
      </c>
      <c r="AN114" s="4">
        <f t="shared" si="12"/>
        <v>1.7475897824250722E-4</v>
      </c>
      <c r="AO114" s="3"/>
      <c r="AP114">
        <v>0</v>
      </c>
      <c r="AR114" t="s">
        <v>0</v>
      </c>
      <c r="AT114" s="2">
        <v>0.52500000000000002</v>
      </c>
      <c r="AU114" s="1">
        <f t="shared" si="13"/>
        <v>0.3995194837969695</v>
      </c>
      <c r="AV114" s="1">
        <f t="shared" si="14"/>
        <v>0.29036417351904992</v>
      </c>
      <c r="AW114" s="1">
        <f t="shared" si="15"/>
        <v>0.18120886324113022</v>
      </c>
    </row>
    <row r="115" spans="1:49" x14ac:dyDescent="0.2">
      <c r="A115">
        <v>113</v>
      </c>
      <c r="B115" t="s">
        <v>7069</v>
      </c>
      <c r="F115" t="s">
        <v>7068</v>
      </c>
      <c r="G115" t="s">
        <v>6</v>
      </c>
      <c r="H115" t="s">
        <v>5</v>
      </c>
      <c r="I115" t="s">
        <v>336</v>
      </c>
      <c r="J115">
        <v>60010785</v>
      </c>
      <c r="K115" t="s">
        <v>335</v>
      </c>
      <c r="L115" t="s">
        <v>334</v>
      </c>
      <c r="M115" t="s">
        <v>19</v>
      </c>
      <c r="N115">
        <v>1</v>
      </c>
      <c r="O115" t="s">
        <v>351</v>
      </c>
      <c r="P115">
        <v>7402333759</v>
      </c>
      <c r="Q115">
        <v>60010785</v>
      </c>
      <c r="R115" s="7">
        <v>35400</v>
      </c>
      <c r="S115" s="8">
        <f t="shared" si="8"/>
        <v>1996</v>
      </c>
      <c r="T115" s="8">
        <v>1996</v>
      </c>
      <c r="U115" s="8">
        <f t="shared" si="9"/>
        <v>26</v>
      </c>
      <c r="V115" s="7">
        <v>1996</v>
      </c>
      <c r="W115" t="s">
        <v>408</v>
      </c>
      <c r="X115" s="2">
        <v>0.1</v>
      </c>
      <c r="Y115" s="6">
        <f t="shared" si="10"/>
        <v>2.6694428872694269E-3</v>
      </c>
      <c r="AA115">
        <v>9633308</v>
      </c>
      <c r="AB115">
        <v>17917</v>
      </c>
      <c r="AD115" t="s">
        <v>1</v>
      </c>
      <c r="AF115">
        <v>53</v>
      </c>
      <c r="AL115">
        <v>0</v>
      </c>
      <c r="AM115" s="5">
        <f t="shared" si="11"/>
        <v>0</v>
      </c>
      <c r="AN115" s="4">
        <f t="shared" si="12"/>
        <v>0</v>
      </c>
      <c r="AO115" s="3"/>
      <c r="AP115">
        <v>0</v>
      </c>
      <c r="AR115" t="s">
        <v>0</v>
      </c>
      <c r="AT115" s="2" t="s">
        <v>9</v>
      </c>
      <c r="AU115" s="1">
        <f t="shared" si="13"/>
        <v>0.18686100210885986</v>
      </c>
      <c r="AV115" s="1">
        <f t="shared" si="14"/>
        <v>0.13347214436347135</v>
      </c>
      <c r="AW115" s="1">
        <f t="shared" si="15"/>
        <v>8.0083286618082811E-2</v>
      </c>
    </row>
    <row r="116" spans="1:49" x14ac:dyDescent="0.2">
      <c r="A116">
        <v>114</v>
      </c>
      <c r="B116" t="s">
        <v>7067</v>
      </c>
      <c r="C116" t="s">
        <v>7066</v>
      </c>
      <c r="F116" t="s">
        <v>7065</v>
      </c>
      <c r="G116" t="s">
        <v>6</v>
      </c>
      <c r="H116" t="s">
        <v>5</v>
      </c>
      <c r="I116" t="s">
        <v>7064</v>
      </c>
      <c r="J116" t="s">
        <v>7063</v>
      </c>
      <c r="K116" t="s">
        <v>7062</v>
      </c>
      <c r="L116" t="s">
        <v>7061</v>
      </c>
      <c r="M116" t="s">
        <v>7060</v>
      </c>
      <c r="N116">
        <v>1</v>
      </c>
      <c r="O116" t="s">
        <v>7059</v>
      </c>
      <c r="P116">
        <v>7409424720</v>
      </c>
      <c r="Q116" t="s">
        <v>7058</v>
      </c>
      <c r="R116" s="7">
        <v>35400</v>
      </c>
      <c r="S116" s="8">
        <f t="shared" si="8"/>
        <v>1996</v>
      </c>
      <c r="T116" s="8">
        <v>1996</v>
      </c>
      <c r="U116" s="8">
        <f t="shared" si="9"/>
        <v>26</v>
      </c>
      <c r="V116" s="7">
        <v>35400</v>
      </c>
      <c r="W116" t="s">
        <v>241</v>
      </c>
      <c r="X116" s="2">
        <v>0.88100000000000001</v>
      </c>
      <c r="Y116" s="6">
        <f t="shared" si="10"/>
        <v>2.3517791836843653E-2</v>
      </c>
      <c r="AA116">
        <v>10459243</v>
      </c>
      <c r="AB116">
        <v>17248</v>
      </c>
      <c r="AD116" t="s">
        <v>1</v>
      </c>
      <c r="AE116">
        <v>38</v>
      </c>
      <c r="AF116">
        <v>6</v>
      </c>
      <c r="AH116" t="s">
        <v>7057</v>
      </c>
      <c r="AL116">
        <v>7</v>
      </c>
      <c r="AM116" s="5">
        <f t="shared" si="11"/>
        <v>0.26923076923076922</v>
      </c>
      <c r="AN116" s="4">
        <f t="shared" si="12"/>
        <v>4.0777094923251682E-4</v>
      </c>
      <c r="AO116" s="3"/>
      <c r="AP116">
        <v>0</v>
      </c>
      <c r="AR116" t="s">
        <v>0</v>
      </c>
      <c r="AT116" s="2" t="s">
        <v>9</v>
      </c>
      <c r="AU116" s="1">
        <f t="shared" si="13"/>
        <v>1.6584785570560312</v>
      </c>
      <c r="AV116" s="1">
        <f t="shared" si="14"/>
        <v>1.1962781393038084</v>
      </c>
      <c r="AW116" s="1">
        <f t="shared" si="15"/>
        <v>0.73407772155158579</v>
      </c>
    </row>
    <row r="117" spans="1:49" x14ac:dyDescent="0.2">
      <c r="A117">
        <v>115</v>
      </c>
      <c r="B117" t="s">
        <v>7056</v>
      </c>
      <c r="F117" t="s">
        <v>7055</v>
      </c>
      <c r="G117" t="s">
        <v>6</v>
      </c>
      <c r="H117" t="s">
        <v>5</v>
      </c>
      <c r="I117" t="s">
        <v>7054</v>
      </c>
      <c r="N117">
        <v>2</v>
      </c>
      <c r="O117" t="s">
        <v>7053</v>
      </c>
      <c r="P117" t="s">
        <v>7052</v>
      </c>
      <c r="Q117" t="s">
        <v>460</v>
      </c>
      <c r="R117" s="7">
        <v>35400</v>
      </c>
      <c r="S117" s="8">
        <f t="shared" si="8"/>
        <v>1996</v>
      </c>
      <c r="T117" s="8">
        <v>1996</v>
      </c>
      <c r="U117" s="8">
        <f t="shared" si="9"/>
        <v>26</v>
      </c>
      <c r="V117" s="7">
        <v>35400</v>
      </c>
      <c r="W117" t="s">
        <v>74</v>
      </c>
      <c r="X117" s="2">
        <v>0.29499999999999998</v>
      </c>
      <c r="Y117" s="6">
        <f t="shared" si="10"/>
        <v>7.8748565174448087E-3</v>
      </c>
      <c r="AA117">
        <v>10642269</v>
      </c>
      <c r="AB117">
        <v>19554</v>
      </c>
      <c r="AD117" t="s">
        <v>1</v>
      </c>
      <c r="AE117">
        <v>41</v>
      </c>
      <c r="AF117">
        <v>16</v>
      </c>
      <c r="AH117" t="s">
        <v>7051</v>
      </c>
      <c r="AI117" t="s">
        <v>7050</v>
      </c>
      <c r="AK117" t="s">
        <v>7049</v>
      </c>
      <c r="AL117">
        <v>0</v>
      </c>
      <c r="AM117" s="5">
        <f t="shared" si="11"/>
        <v>0</v>
      </c>
      <c r="AN117" s="4">
        <f t="shared" si="12"/>
        <v>0</v>
      </c>
      <c r="AO117" s="3"/>
      <c r="AP117">
        <v>0</v>
      </c>
      <c r="AR117" t="s">
        <v>0</v>
      </c>
      <c r="AT117" s="2" t="s">
        <v>9</v>
      </c>
      <c r="AU117" s="1">
        <f t="shared" si="13"/>
        <v>0.55123995622113653</v>
      </c>
      <c r="AV117" s="1">
        <f t="shared" si="14"/>
        <v>0.39374282587224041</v>
      </c>
      <c r="AW117" s="1">
        <f t="shared" si="15"/>
        <v>0.23624569552334423</v>
      </c>
    </row>
    <row r="118" spans="1:49" x14ac:dyDescent="0.2">
      <c r="A118">
        <v>116</v>
      </c>
      <c r="B118" t="s">
        <v>7048</v>
      </c>
      <c r="C118" t="s">
        <v>7047</v>
      </c>
      <c r="D118" t="s">
        <v>7046</v>
      </c>
      <c r="F118" t="s">
        <v>7045</v>
      </c>
      <c r="G118" t="s">
        <v>6</v>
      </c>
      <c r="H118" t="s">
        <v>5</v>
      </c>
      <c r="I118" t="s">
        <v>7044</v>
      </c>
      <c r="J118">
        <v>60025778</v>
      </c>
      <c r="K118" t="s">
        <v>96</v>
      </c>
      <c r="L118" t="s">
        <v>95</v>
      </c>
      <c r="M118" t="s">
        <v>2</v>
      </c>
      <c r="N118">
        <v>3</v>
      </c>
      <c r="O118" t="s">
        <v>7043</v>
      </c>
      <c r="P118" t="s">
        <v>7042</v>
      </c>
      <c r="Q118" t="s">
        <v>94</v>
      </c>
      <c r="R118" s="7">
        <v>35400</v>
      </c>
      <c r="S118" s="8">
        <f t="shared" si="8"/>
        <v>1996</v>
      </c>
      <c r="T118" s="8">
        <v>1996</v>
      </c>
      <c r="U118" s="8">
        <f t="shared" si="9"/>
        <v>26</v>
      </c>
      <c r="V118" s="7">
        <v>1996</v>
      </c>
      <c r="W118" t="s">
        <v>410</v>
      </c>
      <c r="X118" s="2">
        <v>1.3720000000000001</v>
      </c>
      <c r="Y118" s="6">
        <f t="shared" si="10"/>
        <v>3.662475641333654E-2</v>
      </c>
      <c r="AA118">
        <v>189480</v>
      </c>
      <c r="AB118">
        <v>17366</v>
      </c>
      <c r="AD118" t="s">
        <v>1</v>
      </c>
      <c r="AE118">
        <v>44</v>
      </c>
      <c r="AF118" t="s">
        <v>7031</v>
      </c>
      <c r="AH118" t="s">
        <v>7041</v>
      </c>
      <c r="AI118" t="s">
        <v>7040</v>
      </c>
      <c r="AK118" t="s">
        <v>7039</v>
      </c>
      <c r="AL118">
        <v>45</v>
      </c>
      <c r="AM118" s="5">
        <f t="shared" si="11"/>
        <v>1.7307692307692308</v>
      </c>
      <c r="AN118" s="4">
        <f t="shared" si="12"/>
        <v>2.6213846736376084E-3</v>
      </c>
      <c r="AO118" s="3"/>
      <c r="AP118">
        <v>0</v>
      </c>
      <c r="AR118" t="s">
        <v>0</v>
      </c>
      <c r="AT118" s="2" t="s">
        <v>9</v>
      </c>
      <c r="AU118" s="1">
        <f t="shared" si="13"/>
        <v>2.6423744891426857</v>
      </c>
      <c r="AV118" s="1">
        <f t="shared" si="14"/>
        <v>1.9623070543487073</v>
      </c>
      <c r="AW118" s="1">
        <f t="shared" si="15"/>
        <v>1.2822396195547288</v>
      </c>
    </row>
    <row r="119" spans="1:49" x14ac:dyDescent="0.2">
      <c r="A119">
        <v>117</v>
      </c>
      <c r="B119" t="s">
        <v>7038</v>
      </c>
      <c r="C119" t="s">
        <v>7037</v>
      </c>
      <c r="D119" t="s">
        <v>7036</v>
      </c>
      <c r="F119" t="s">
        <v>7035</v>
      </c>
      <c r="G119" t="s">
        <v>6</v>
      </c>
      <c r="H119" t="s">
        <v>5</v>
      </c>
      <c r="I119" t="s">
        <v>7034</v>
      </c>
      <c r="J119">
        <v>60012370</v>
      </c>
      <c r="K119" t="s">
        <v>1740</v>
      </c>
      <c r="L119" t="s">
        <v>1739</v>
      </c>
      <c r="M119" t="s">
        <v>146</v>
      </c>
      <c r="N119">
        <v>3</v>
      </c>
      <c r="O119" t="s">
        <v>7033</v>
      </c>
      <c r="P119" t="s">
        <v>7032</v>
      </c>
      <c r="Q119" t="s">
        <v>6164</v>
      </c>
      <c r="R119" s="7">
        <v>35400</v>
      </c>
      <c r="S119" s="8">
        <f t="shared" si="8"/>
        <v>1996</v>
      </c>
      <c r="T119" s="8">
        <v>1996</v>
      </c>
      <c r="U119" s="8">
        <f t="shared" si="9"/>
        <v>26</v>
      </c>
      <c r="V119" s="7">
        <v>1996</v>
      </c>
      <c r="W119" t="s">
        <v>410</v>
      </c>
      <c r="X119" s="2">
        <v>1.3720000000000001</v>
      </c>
      <c r="Y119" s="6">
        <f t="shared" si="10"/>
        <v>3.662475641333654E-2</v>
      </c>
      <c r="AA119">
        <v>189480</v>
      </c>
      <c r="AB119">
        <v>17366</v>
      </c>
      <c r="AD119" t="s">
        <v>1</v>
      </c>
      <c r="AE119">
        <v>44</v>
      </c>
      <c r="AF119" t="s">
        <v>7031</v>
      </c>
      <c r="AH119" t="s">
        <v>7030</v>
      </c>
      <c r="AI119" t="s">
        <v>7029</v>
      </c>
      <c r="AK119" t="s">
        <v>7028</v>
      </c>
      <c r="AL119">
        <v>3</v>
      </c>
      <c r="AM119" s="5">
        <f t="shared" si="11"/>
        <v>0.11538461538461539</v>
      </c>
      <c r="AN119" s="4">
        <f t="shared" si="12"/>
        <v>1.7475897824250722E-4</v>
      </c>
      <c r="AO119" s="3"/>
      <c r="AP119">
        <v>0</v>
      </c>
      <c r="AR119" t="s">
        <v>0</v>
      </c>
      <c r="AT119" s="2" t="s">
        <v>9</v>
      </c>
      <c r="AU119" s="1">
        <f t="shared" si="13"/>
        <v>2.5689757182808326</v>
      </c>
      <c r="AV119" s="1">
        <f t="shared" si="14"/>
        <v>1.8399757695789523</v>
      </c>
      <c r="AW119" s="1">
        <f t="shared" si="15"/>
        <v>1.1109758208770717</v>
      </c>
    </row>
    <row r="120" spans="1:49" x14ac:dyDescent="0.2">
      <c r="A120">
        <v>118</v>
      </c>
      <c r="B120" t="s">
        <v>7027</v>
      </c>
      <c r="C120" t="s">
        <v>7026</v>
      </c>
      <c r="D120" t="s">
        <v>7025</v>
      </c>
      <c r="F120" t="s">
        <v>7024</v>
      </c>
      <c r="G120" t="s">
        <v>6</v>
      </c>
      <c r="H120" t="s">
        <v>5</v>
      </c>
      <c r="I120" t="s">
        <v>4396</v>
      </c>
      <c r="J120">
        <v>60032784</v>
      </c>
      <c r="K120" t="s">
        <v>4395</v>
      </c>
      <c r="L120" t="s">
        <v>4394</v>
      </c>
      <c r="M120" t="s">
        <v>2</v>
      </c>
      <c r="N120">
        <v>1</v>
      </c>
      <c r="O120" t="s">
        <v>4393</v>
      </c>
      <c r="P120">
        <v>7003514705</v>
      </c>
      <c r="Q120">
        <v>60032784</v>
      </c>
      <c r="R120" s="7">
        <v>35400</v>
      </c>
      <c r="S120" s="8">
        <f t="shared" si="8"/>
        <v>1996</v>
      </c>
      <c r="T120" s="8">
        <v>1996</v>
      </c>
      <c r="U120" s="8">
        <f t="shared" si="9"/>
        <v>26</v>
      </c>
      <c r="V120" s="7">
        <v>1996</v>
      </c>
      <c r="W120" t="s">
        <v>4269</v>
      </c>
      <c r="X120" s="2">
        <v>0.78200000000000003</v>
      </c>
      <c r="Y120" s="6">
        <f t="shared" si="10"/>
        <v>2.0875043378446919E-2</v>
      </c>
      <c r="AA120">
        <v>189316</v>
      </c>
      <c r="AB120">
        <v>19901</v>
      </c>
      <c r="AD120" t="s">
        <v>1</v>
      </c>
      <c r="AE120">
        <v>42</v>
      </c>
      <c r="AF120">
        <v>4</v>
      </c>
      <c r="AH120" t="s">
        <v>7023</v>
      </c>
      <c r="AI120" t="s">
        <v>7022</v>
      </c>
      <c r="AK120" t="s">
        <v>7021</v>
      </c>
      <c r="AL120">
        <v>0</v>
      </c>
      <c r="AM120" s="5">
        <f t="shared" si="11"/>
        <v>0</v>
      </c>
      <c r="AN120" s="4">
        <f t="shared" si="12"/>
        <v>0</v>
      </c>
      <c r="AO120" s="3"/>
      <c r="AP120">
        <v>0</v>
      </c>
      <c r="AR120" t="s">
        <v>0</v>
      </c>
      <c r="AT120" s="2">
        <v>3.863</v>
      </c>
      <c r="AU120" s="1">
        <f t="shared" si="13"/>
        <v>1.4612530364912841</v>
      </c>
      <c r="AV120" s="1">
        <f t="shared" si="14"/>
        <v>1.0437521689223459</v>
      </c>
      <c r="AW120" s="1">
        <f t="shared" si="15"/>
        <v>0.62625130135340756</v>
      </c>
    </row>
    <row r="121" spans="1:49" x14ac:dyDescent="0.2">
      <c r="A121">
        <v>119</v>
      </c>
      <c r="B121" t="s">
        <v>7020</v>
      </c>
      <c r="C121" t="s">
        <v>7019</v>
      </c>
      <c r="D121" t="s">
        <v>7018</v>
      </c>
      <c r="F121" t="s">
        <v>7017</v>
      </c>
      <c r="G121" t="s">
        <v>6</v>
      </c>
      <c r="H121" t="s">
        <v>5</v>
      </c>
      <c r="I121" t="s">
        <v>7016</v>
      </c>
      <c r="J121" t="s">
        <v>7015</v>
      </c>
      <c r="K121" t="s">
        <v>7014</v>
      </c>
      <c r="L121" t="s">
        <v>7013</v>
      </c>
      <c r="M121" t="s">
        <v>126</v>
      </c>
      <c r="N121">
        <v>3</v>
      </c>
      <c r="O121" t="s">
        <v>7012</v>
      </c>
      <c r="P121" t="s">
        <v>7011</v>
      </c>
      <c r="Q121" t="s">
        <v>7010</v>
      </c>
      <c r="R121" s="7">
        <v>35400</v>
      </c>
      <c r="S121" s="8">
        <f t="shared" si="8"/>
        <v>1996</v>
      </c>
      <c r="T121" s="8">
        <v>1996</v>
      </c>
      <c r="U121" s="8">
        <f t="shared" si="9"/>
        <v>26</v>
      </c>
      <c r="V121" s="7">
        <v>35400</v>
      </c>
      <c r="W121" t="s">
        <v>161</v>
      </c>
      <c r="X121" s="2">
        <v>0.81</v>
      </c>
      <c r="Y121" s="6">
        <f t="shared" si="10"/>
        <v>2.1622487386882359E-2</v>
      </c>
      <c r="AA121">
        <v>10411135</v>
      </c>
      <c r="AB121">
        <v>12116</v>
      </c>
      <c r="AD121" t="s">
        <v>1</v>
      </c>
      <c r="AE121">
        <v>8</v>
      </c>
      <c r="AF121">
        <v>12</v>
      </c>
      <c r="AH121" t="s">
        <v>7009</v>
      </c>
      <c r="AI121" t="s">
        <v>7008</v>
      </c>
      <c r="AK121" t="s">
        <v>7007</v>
      </c>
      <c r="AL121">
        <v>12</v>
      </c>
      <c r="AM121" s="5">
        <f t="shared" si="11"/>
        <v>0.46153846153846156</v>
      </c>
      <c r="AN121" s="4">
        <f t="shared" si="12"/>
        <v>6.9903591297002887E-4</v>
      </c>
      <c r="AO121" s="3"/>
      <c r="AP121">
        <v>0</v>
      </c>
      <c r="AR121" t="s">
        <v>0</v>
      </c>
      <c r="AT121" s="2">
        <v>2.468</v>
      </c>
      <c r="AU121" s="1">
        <f t="shared" si="13"/>
        <v>1.5345451944708659</v>
      </c>
      <c r="AV121" s="1">
        <f t="shared" si="14"/>
        <v>1.1160761649926194</v>
      </c>
      <c r="AW121" s="1">
        <f t="shared" si="15"/>
        <v>0.69760713551437281</v>
      </c>
    </row>
    <row r="122" spans="1:49" x14ac:dyDescent="0.2">
      <c r="A122">
        <v>120</v>
      </c>
      <c r="B122" t="s">
        <v>7006</v>
      </c>
      <c r="C122" t="s">
        <v>7005</v>
      </c>
      <c r="F122" t="s">
        <v>7004</v>
      </c>
      <c r="G122" t="s">
        <v>6</v>
      </c>
      <c r="H122" t="s">
        <v>5</v>
      </c>
      <c r="I122" t="s">
        <v>7003</v>
      </c>
      <c r="J122" t="s">
        <v>7002</v>
      </c>
      <c r="K122" t="s">
        <v>7001</v>
      </c>
      <c r="L122" t="s">
        <v>7000</v>
      </c>
      <c r="M122" t="s">
        <v>6999</v>
      </c>
      <c r="N122">
        <v>2</v>
      </c>
      <c r="O122" t="s">
        <v>6998</v>
      </c>
      <c r="P122" t="s">
        <v>6997</v>
      </c>
      <c r="Q122" t="s">
        <v>6996</v>
      </c>
      <c r="R122" s="7">
        <v>35400</v>
      </c>
      <c r="S122" s="8">
        <f t="shared" si="8"/>
        <v>1996</v>
      </c>
      <c r="T122" s="8">
        <v>1996</v>
      </c>
      <c r="U122" s="8">
        <f t="shared" si="9"/>
        <v>26</v>
      </c>
      <c r="V122" s="7">
        <v>35400</v>
      </c>
      <c r="W122" t="s">
        <v>241</v>
      </c>
      <c r="X122" s="2">
        <v>0.88100000000000001</v>
      </c>
      <c r="Y122" s="6">
        <f t="shared" si="10"/>
        <v>2.3517791836843653E-2</v>
      </c>
      <c r="AA122">
        <v>10459243</v>
      </c>
      <c r="AB122">
        <v>17248</v>
      </c>
      <c r="AD122" t="s">
        <v>1</v>
      </c>
      <c r="AE122">
        <v>38</v>
      </c>
      <c r="AF122">
        <v>6</v>
      </c>
      <c r="AH122" t="s">
        <v>6995</v>
      </c>
      <c r="AI122" t="s">
        <v>6994</v>
      </c>
      <c r="AK122" t="s">
        <v>6993</v>
      </c>
      <c r="AL122">
        <v>54</v>
      </c>
      <c r="AM122" s="5">
        <f t="shared" si="11"/>
        <v>2.0769230769230771</v>
      </c>
      <c r="AN122" s="4">
        <f t="shared" si="12"/>
        <v>3.1456616083651301E-3</v>
      </c>
      <c r="AO122" s="3"/>
      <c r="AP122">
        <v>0</v>
      </c>
      <c r="AR122" t="s">
        <v>0</v>
      </c>
      <c r="AT122" s="2" t="s">
        <v>9</v>
      </c>
      <c r="AU122" s="1">
        <f t="shared" si="13"/>
        <v>1.7406152768300094</v>
      </c>
      <c r="AV122" s="1">
        <f t="shared" si="14"/>
        <v>1.3331726722604391</v>
      </c>
      <c r="AW122" s="1">
        <f t="shared" si="15"/>
        <v>0.92573006769086863</v>
      </c>
    </row>
    <row r="123" spans="1:49" x14ac:dyDescent="0.2">
      <c r="A123">
        <v>121</v>
      </c>
      <c r="B123" t="s">
        <v>6992</v>
      </c>
      <c r="C123" t="s">
        <v>6991</v>
      </c>
      <c r="F123" t="s">
        <v>6990</v>
      </c>
      <c r="G123" t="s">
        <v>6</v>
      </c>
      <c r="H123" t="s">
        <v>5</v>
      </c>
      <c r="I123" t="s">
        <v>3012</v>
      </c>
      <c r="J123" t="s">
        <v>6989</v>
      </c>
      <c r="K123" t="s">
        <v>6988</v>
      </c>
      <c r="L123" t="s">
        <v>6987</v>
      </c>
      <c r="M123" t="s">
        <v>5357</v>
      </c>
      <c r="N123">
        <v>4</v>
      </c>
      <c r="O123" t="s">
        <v>6986</v>
      </c>
      <c r="P123" t="s">
        <v>6985</v>
      </c>
      <c r="Q123" t="s">
        <v>6984</v>
      </c>
      <c r="R123" s="7">
        <v>35400</v>
      </c>
      <c r="S123" s="8">
        <f t="shared" si="8"/>
        <v>1996</v>
      </c>
      <c r="T123" s="8">
        <v>1996</v>
      </c>
      <c r="U123" s="8">
        <f t="shared" si="9"/>
        <v>26</v>
      </c>
      <c r="V123" s="7">
        <v>35400</v>
      </c>
      <c r="W123" t="s">
        <v>241</v>
      </c>
      <c r="X123" s="2">
        <v>0.88100000000000001</v>
      </c>
      <c r="Y123" s="6">
        <f t="shared" si="10"/>
        <v>2.3517791836843653E-2</v>
      </c>
      <c r="AA123">
        <v>10459243</v>
      </c>
      <c r="AB123">
        <v>17248</v>
      </c>
      <c r="AD123" t="s">
        <v>1</v>
      </c>
      <c r="AE123">
        <v>38</v>
      </c>
      <c r="AF123">
        <v>6</v>
      </c>
      <c r="AH123" t="s">
        <v>6983</v>
      </c>
      <c r="AI123" t="s">
        <v>6982</v>
      </c>
      <c r="AK123" t="s">
        <v>6981</v>
      </c>
      <c r="AL123">
        <v>4</v>
      </c>
      <c r="AM123" s="5">
        <f t="shared" si="11"/>
        <v>0.15384615384615385</v>
      </c>
      <c r="AN123" s="4">
        <f t="shared" si="12"/>
        <v>2.3301197099000962E-4</v>
      </c>
      <c r="AO123" s="3"/>
      <c r="AP123">
        <v>0</v>
      </c>
      <c r="AR123" t="s">
        <v>0</v>
      </c>
      <c r="AT123" s="2" t="s">
        <v>9</v>
      </c>
      <c r="AU123" s="1">
        <f t="shared" si="13"/>
        <v>1.653235787708756</v>
      </c>
      <c r="AV123" s="1">
        <f t="shared" si="14"/>
        <v>1.1875401903916831</v>
      </c>
      <c r="AW123" s="1">
        <f t="shared" si="15"/>
        <v>0.72184459307461024</v>
      </c>
    </row>
    <row r="124" spans="1:49" x14ac:dyDescent="0.2">
      <c r="A124">
        <v>122</v>
      </c>
      <c r="B124" t="s">
        <v>6980</v>
      </c>
      <c r="F124" t="s">
        <v>6979</v>
      </c>
      <c r="G124" t="s">
        <v>6</v>
      </c>
      <c r="H124" t="s">
        <v>5</v>
      </c>
      <c r="I124" t="s">
        <v>6978</v>
      </c>
      <c r="J124" t="s">
        <v>6977</v>
      </c>
      <c r="K124" t="s">
        <v>6976</v>
      </c>
      <c r="L124" t="s">
        <v>6975</v>
      </c>
      <c r="M124" t="s">
        <v>6974</v>
      </c>
      <c r="N124">
        <v>3</v>
      </c>
      <c r="O124" t="s">
        <v>6973</v>
      </c>
      <c r="P124" t="s">
        <v>6972</v>
      </c>
      <c r="Q124" t="s">
        <v>6971</v>
      </c>
      <c r="R124" s="7">
        <v>35400</v>
      </c>
      <c r="S124" s="8">
        <f t="shared" si="8"/>
        <v>1996</v>
      </c>
      <c r="T124" s="8">
        <v>1996</v>
      </c>
      <c r="U124" s="8">
        <f t="shared" si="9"/>
        <v>26</v>
      </c>
      <c r="V124" s="7">
        <v>1996</v>
      </c>
      <c r="W124" t="s">
        <v>6970</v>
      </c>
      <c r="X124" s="2">
        <v>0.161</v>
      </c>
      <c r="Y124" s="6">
        <f t="shared" si="10"/>
        <v>4.2978030485037776E-3</v>
      </c>
      <c r="AA124">
        <v>7901763</v>
      </c>
      <c r="AB124">
        <v>23207</v>
      </c>
      <c r="AD124" t="s">
        <v>1</v>
      </c>
      <c r="AE124">
        <v>15</v>
      </c>
      <c r="AH124" t="s">
        <v>6969</v>
      </c>
      <c r="AI124" t="s">
        <v>6968</v>
      </c>
      <c r="AK124" t="s">
        <v>6967</v>
      </c>
      <c r="AL124">
        <v>9</v>
      </c>
      <c r="AM124" s="5">
        <f t="shared" si="11"/>
        <v>0.34615384615384615</v>
      </c>
      <c r="AN124" s="4">
        <f t="shared" si="12"/>
        <v>5.2427693472752157E-4</v>
      </c>
      <c r="AO124" s="3"/>
      <c r="AP124">
        <v>0</v>
      </c>
      <c r="AR124" t="s">
        <v>0</v>
      </c>
      <c r="AT124" s="2" t="s">
        <v>9</v>
      </c>
      <c r="AU124" s="1">
        <f t="shared" si="13"/>
        <v>0.31657452143709008</v>
      </c>
      <c r="AV124" s="1">
        <f t="shared" si="14"/>
        <v>0.24110399916156497</v>
      </c>
      <c r="AW124" s="1">
        <f t="shared" si="15"/>
        <v>0.16563347688603983</v>
      </c>
    </row>
    <row r="125" spans="1:49" x14ac:dyDescent="0.2">
      <c r="A125">
        <v>123</v>
      </c>
      <c r="B125" t="s">
        <v>6966</v>
      </c>
      <c r="F125" t="s">
        <v>6965</v>
      </c>
      <c r="G125" t="s">
        <v>6</v>
      </c>
      <c r="H125" t="s">
        <v>5</v>
      </c>
      <c r="I125" t="s">
        <v>6964</v>
      </c>
      <c r="J125" t="s">
        <v>6963</v>
      </c>
      <c r="K125" t="s">
        <v>6962</v>
      </c>
      <c r="L125" t="s">
        <v>6961</v>
      </c>
      <c r="M125" t="s">
        <v>79</v>
      </c>
      <c r="N125">
        <v>4</v>
      </c>
      <c r="O125" t="s">
        <v>6960</v>
      </c>
      <c r="P125" t="s">
        <v>6959</v>
      </c>
      <c r="Q125" t="s">
        <v>6958</v>
      </c>
      <c r="R125" s="7">
        <v>35400</v>
      </c>
      <c r="S125" s="8">
        <f t="shared" si="8"/>
        <v>1996</v>
      </c>
      <c r="T125" s="8">
        <v>1996</v>
      </c>
      <c r="U125" s="8">
        <f t="shared" si="9"/>
        <v>26</v>
      </c>
      <c r="V125" s="7">
        <v>1996</v>
      </c>
      <c r="W125" t="s">
        <v>6957</v>
      </c>
      <c r="X125" s="2" t="s">
        <v>9</v>
      </c>
      <c r="Y125" s="6" t="e">
        <f t="shared" si="10"/>
        <v>#VALUE!</v>
      </c>
      <c r="AA125">
        <v>2534126</v>
      </c>
      <c r="AB125">
        <v>22666</v>
      </c>
      <c r="AD125" t="s">
        <v>1</v>
      </c>
      <c r="AE125">
        <v>105</v>
      </c>
      <c r="AF125">
        <v>3</v>
      </c>
      <c r="AH125" t="s">
        <v>6956</v>
      </c>
      <c r="AI125" t="s">
        <v>6955</v>
      </c>
      <c r="AJ125" t="s">
        <v>6954</v>
      </c>
      <c r="AK125" t="s">
        <v>6953</v>
      </c>
      <c r="AL125">
        <v>1</v>
      </c>
      <c r="AM125" s="5">
        <f t="shared" si="11"/>
        <v>3.8461538461538464E-2</v>
      </c>
      <c r="AN125" s="4">
        <f t="shared" si="12"/>
        <v>5.8252992747502406E-5</v>
      </c>
      <c r="AO125" s="3"/>
      <c r="AP125">
        <v>0</v>
      </c>
      <c r="AR125" t="s">
        <v>0</v>
      </c>
      <c r="AT125" s="2" t="s">
        <v>9</v>
      </c>
      <c r="AU125" s="1" t="e">
        <f t="shared" si="13"/>
        <v>#VALUE!</v>
      </c>
      <c r="AV125" s="1" t="e">
        <f t="shared" si="14"/>
        <v>#VALUE!</v>
      </c>
      <c r="AW125" s="1" t="e">
        <f t="shared" si="15"/>
        <v>#VALUE!</v>
      </c>
    </row>
    <row r="126" spans="1:49" x14ac:dyDescent="0.2">
      <c r="A126">
        <v>124</v>
      </c>
      <c r="B126" t="s">
        <v>6952</v>
      </c>
      <c r="C126" t="s">
        <v>6951</v>
      </c>
      <c r="D126" t="s">
        <v>6950</v>
      </c>
      <c r="F126" t="s">
        <v>6949</v>
      </c>
      <c r="G126" t="s">
        <v>6</v>
      </c>
      <c r="H126" t="s">
        <v>5</v>
      </c>
      <c r="I126" t="s">
        <v>6948</v>
      </c>
      <c r="J126">
        <v>60006070</v>
      </c>
      <c r="K126" t="s">
        <v>32</v>
      </c>
      <c r="L126" t="s">
        <v>31</v>
      </c>
      <c r="M126" t="s">
        <v>30</v>
      </c>
      <c r="N126">
        <v>4</v>
      </c>
      <c r="O126" t="s">
        <v>6947</v>
      </c>
      <c r="P126" t="s">
        <v>6946</v>
      </c>
      <c r="Q126" t="s">
        <v>6945</v>
      </c>
      <c r="R126" s="7">
        <v>35400</v>
      </c>
      <c r="S126" s="8">
        <f t="shared" si="8"/>
        <v>1996</v>
      </c>
      <c r="T126" s="8">
        <v>1996</v>
      </c>
      <c r="U126" s="8">
        <f t="shared" si="9"/>
        <v>26</v>
      </c>
      <c r="V126" s="7">
        <v>35400</v>
      </c>
      <c r="W126" t="s">
        <v>215</v>
      </c>
      <c r="X126" s="2">
        <v>0.51100000000000001</v>
      </c>
      <c r="Y126" s="6">
        <f t="shared" si="10"/>
        <v>1.3640853153946772E-2</v>
      </c>
      <c r="AA126">
        <v>9684328</v>
      </c>
      <c r="AB126">
        <v>110086</v>
      </c>
      <c r="AD126" t="s">
        <v>1</v>
      </c>
      <c r="AE126">
        <v>27</v>
      </c>
      <c r="AF126">
        <v>6</v>
      </c>
      <c r="AH126" t="s">
        <v>6944</v>
      </c>
      <c r="AI126" t="s">
        <v>6943</v>
      </c>
      <c r="AJ126" t="s">
        <v>6942</v>
      </c>
      <c r="AK126" t="s">
        <v>6941</v>
      </c>
      <c r="AL126">
        <v>31</v>
      </c>
      <c r="AM126" s="5">
        <f t="shared" si="11"/>
        <v>1.1923076923076923</v>
      </c>
      <c r="AN126" s="4">
        <f t="shared" si="12"/>
        <v>1.8058427751725746E-3</v>
      </c>
      <c r="AO126" s="3"/>
      <c r="AP126">
        <v>0</v>
      </c>
      <c r="AR126" t="s">
        <v>0</v>
      </c>
      <c r="AT126" s="2">
        <v>2.2509999999999999</v>
      </c>
      <c r="AU126" s="1">
        <f t="shared" si="13"/>
        <v>1.0090350040314511</v>
      </c>
      <c r="AV126" s="1">
        <f t="shared" si="14"/>
        <v>0.77233479645596725</v>
      </c>
      <c r="AW126" s="1">
        <f t="shared" si="15"/>
        <v>0.53563458888048343</v>
      </c>
    </row>
    <row r="127" spans="1:49" x14ac:dyDescent="0.2">
      <c r="A127">
        <v>125</v>
      </c>
      <c r="B127" t="s">
        <v>6940</v>
      </c>
      <c r="F127" t="s">
        <v>6939</v>
      </c>
      <c r="G127" t="s">
        <v>6</v>
      </c>
      <c r="H127" t="s">
        <v>5</v>
      </c>
      <c r="I127" t="s">
        <v>304</v>
      </c>
      <c r="J127">
        <v>60025555</v>
      </c>
      <c r="K127" t="s">
        <v>116</v>
      </c>
      <c r="L127" t="s">
        <v>45</v>
      </c>
      <c r="M127" t="s">
        <v>44</v>
      </c>
      <c r="N127">
        <v>3</v>
      </c>
      <c r="O127" t="s">
        <v>303</v>
      </c>
      <c r="P127" t="s">
        <v>302</v>
      </c>
      <c r="Q127" t="s">
        <v>301</v>
      </c>
      <c r="R127" s="7">
        <v>35400</v>
      </c>
      <c r="S127" s="8">
        <f t="shared" si="8"/>
        <v>1996</v>
      </c>
      <c r="T127" s="8">
        <v>1996</v>
      </c>
      <c r="U127" s="8">
        <f t="shared" si="9"/>
        <v>26</v>
      </c>
      <c r="V127" s="7">
        <v>35400</v>
      </c>
      <c r="W127" t="s">
        <v>118</v>
      </c>
      <c r="X127" s="2">
        <v>0.21099999999999999</v>
      </c>
      <c r="Y127" s="6">
        <f t="shared" si="10"/>
        <v>5.6325244921384904E-3</v>
      </c>
      <c r="AA127">
        <v>9168516</v>
      </c>
      <c r="AB127">
        <v>18936</v>
      </c>
      <c r="AD127" t="s">
        <v>1</v>
      </c>
      <c r="AE127" t="s">
        <v>117</v>
      </c>
      <c r="AF127">
        <v>12</v>
      </c>
      <c r="AH127" t="s">
        <v>6938</v>
      </c>
      <c r="AI127" t="s">
        <v>6937</v>
      </c>
      <c r="AK127" t="s">
        <v>6936</v>
      </c>
      <c r="AL127">
        <v>2</v>
      </c>
      <c r="AM127" s="5">
        <f t="shared" si="11"/>
        <v>7.6923076923076927E-2</v>
      </c>
      <c r="AN127" s="4">
        <f t="shared" si="12"/>
        <v>1.1650598549500481E-4</v>
      </c>
      <c r="AO127" s="3"/>
      <c r="AP127">
        <v>0</v>
      </c>
      <c r="AR127" t="s">
        <v>0</v>
      </c>
      <c r="AT127" s="2">
        <v>0.52500000000000002</v>
      </c>
      <c r="AU127" s="1">
        <f t="shared" si="13"/>
        <v>0.39777189401454438</v>
      </c>
      <c r="AV127" s="1">
        <f t="shared" si="14"/>
        <v>0.28745152388167472</v>
      </c>
      <c r="AW127" s="1">
        <f t="shared" si="15"/>
        <v>0.17713115374880503</v>
      </c>
    </row>
    <row r="128" spans="1:49" x14ac:dyDescent="0.2">
      <c r="A128">
        <v>126</v>
      </c>
      <c r="B128" t="s">
        <v>6935</v>
      </c>
      <c r="C128" t="s">
        <v>6934</v>
      </c>
      <c r="D128" t="s">
        <v>6933</v>
      </c>
      <c r="F128" t="s">
        <v>6932</v>
      </c>
      <c r="G128" t="s">
        <v>6</v>
      </c>
      <c r="H128" t="s">
        <v>5</v>
      </c>
      <c r="I128" t="s">
        <v>6931</v>
      </c>
      <c r="J128">
        <v>60020547</v>
      </c>
      <c r="K128" t="s">
        <v>731</v>
      </c>
      <c r="L128" t="s">
        <v>730</v>
      </c>
      <c r="M128" t="s">
        <v>2</v>
      </c>
      <c r="N128">
        <v>3</v>
      </c>
      <c r="O128" t="s">
        <v>6930</v>
      </c>
      <c r="P128" t="s">
        <v>6929</v>
      </c>
      <c r="Q128" t="s">
        <v>999</v>
      </c>
      <c r="R128" s="7">
        <v>35400</v>
      </c>
      <c r="S128" s="8">
        <f t="shared" si="8"/>
        <v>1996</v>
      </c>
      <c r="T128" s="8">
        <v>1996</v>
      </c>
      <c r="U128" s="8">
        <f t="shared" si="9"/>
        <v>26</v>
      </c>
      <c r="V128" s="7">
        <v>1996</v>
      </c>
      <c r="W128" t="s">
        <v>410</v>
      </c>
      <c r="X128" s="2">
        <v>1.3720000000000001</v>
      </c>
      <c r="Y128" s="6">
        <f t="shared" si="10"/>
        <v>3.662475641333654E-2</v>
      </c>
      <c r="AA128">
        <v>189480</v>
      </c>
      <c r="AB128">
        <v>17366</v>
      </c>
      <c r="AD128" t="s">
        <v>1</v>
      </c>
      <c r="AE128">
        <v>44</v>
      </c>
      <c r="AF128" t="s">
        <v>6886</v>
      </c>
      <c r="AH128" t="s">
        <v>6928</v>
      </c>
      <c r="AI128" t="s">
        <v>6927</v>
      </c>
      <c r="AK128" t="s">
        <v>6926</v>
      </c>
      <c r="AL128">
        <v>38</v>
      </c>
      <c r="AM128" s="5">
        <f t="shared" si="11"/>
        <v>1.4615384615384615</v>
      </c>
      <c r="AN128" s="4">
        <f t="shared" si="12"/>
        <v>2.2136137244050912E-3</v>
      </c>
      <c r="AO128" s="3"/>
      <c r="AP128">
        <v>0</v>
      </c>
      <c r="AR128" t="s">
        <v>0</v>
      </c>
      <c r="AT128" s="2" t="s">
        <v>9</v>
      </c>
      <c r="AU128" s="1">
        <f t="shared" si="13"/>
        <v>2.6301413606657102</v>
      </c>
      <c r="AV128" s="1">
        <f t="shared" si="14"/>
        <v>1.9419185068870817</v>
      </c>
      <c r="AW128" s="1">
        <f t="shared" si="15"/>
        <v>1.2536956531084527</v>
      </c>
    </row>
    <row r="129" spans="1:49" x14ac:dyDescent="0.2">
      <c r="A129">
        <v>127</v>
      </c>
      <c r="B129" t="s">
        <v>6925</v>
      </c>
      <c r="F129" t="s">
        <v>6924</v>
      </c>
      <c r="G129" t="s">
        <v>6</v>
      </c>
      <c r="H129" t="s">
        <v>5</v>
      </c>
      <c r="I129" t="s">
        <v>6923</v>
      </c>
      <c r="J129">
        <v>101472659</v>
      </c>
      <c r="K129" t="s">
        <v>6922</v>
      </c>
      <c r="L129" t="s">
        <v>6921</v>
      </c>
      <c r="M129" t="s">
        <v>44</v>
      </c>
      <c r="N129">
        <v>3</v>
      </c>
      <c r="O129" t="s">
        <v>6920</v>
      </c>
      <c r="P129" t="s">
        <v>6919</v>
      </c>
      <c r="Q129" t="s">
        <v>6918</v>
      </c>
      <c r="R129" s="7">
        <v>35400</v>
      </c>
      <c r="S129" s="8">
        <f t="shared" si="8"/>
        <v>1996</v>
      </c>
      <c r="T129" s="8">
        <v>1996</v>
      </c>
      <c r="U129" s="8">
        <f t="shared" si="9"/>
        <v>26</v>
      </c>
      <c r="V129" s="7">
        <v>35400</v>
      </c>
      <c r="W129" t="s">
        <v>118</v>
      </c>
      <c r="X129" s="2">
        <v>0.21099999999999999</v>
      </c>
      <c r="Y129" s="6">
        <f t="shared" si="10"/>
        <v>5.6325244921384904E-3</v>
      </c>
      <c r="AA129">
        <v>9168516</v>
      </c>
      <c r="AB129">
        <v>18936</v>
      </c>
      <c r="AD129" t="s">
        <v>1</v>
      </c>
      <c r="AE129" t="s">
        <v>117</v>
      </c>
      <c r="AF129">
        <v>12</v>
      </c>
      <c r="AH129" t="s">
        <v>6917</v>
      </c>
      <c r="AI129" t="s">
        <v>6916</v>
      </c>
      <c r="AK129" t="s">
        <v>6915</v>
      </c>
      <c r="AL129">
        <v>1</v>
      </c>
      <c r="AM129" s="5">
        <f t="shared" si="11"/>
        <v>3.8461538461538464E-2</v>
      </c>
      <c r="AN129" s="4">
        <f t="shared" si="12"/>
        <v>5.8252992747502406E-5</v>
      </c>
      <c r="AO129" s="3"/>
      <c r="AP129">
        <v>0</v>
      </c>
      <c r="AR129" t="s">
        <v>0</v>
      </c>
      <c r="AT129" s="2">
        <v>0.52500000000000002</v>
      </c>
      <c r="AU129" s="1">
        <f t="shared" si="13"/>
        <v>0.39602430423211937</v>
      </c>
      <c r="AV129" s="1">
        <f t="shared" si="14"/>
        <v>0.28453887424429963</v>
      </c>
      <c r="AW129" s="1">
        <f t="shared" si="15"/>
        <v>0.17305344425647987</v>
      </c>
    </row>
    <row r="130" spans="1:49" x14ac:dyDescent="0.2">
      <c r="A130">
        <v>128</v>
      </c>
      <c r="B130" t="s">
        <v>6914</v>
      </c>
      <c r="F130" t="s">
        <v>6913</v>
      </c>
      <c r="G130" t="s">
        <v>6</v>
      </c>
      <c r="H130" t="s">
        <v>5</v>
      </c>
      <c r="I130" t="s">
        <v>6912</v>
      </c>
      <c r="J130">
        <v>60020661</v>
      </c>
      <c r="K130" t="s">
        <v>1452</v>
      </c>
      <c r="L130" t="s">
        <v>1451</v>
      </c>
      <c r="M130" t="s">
        <v>19</v>
      </c>
      <c r="N130">
        <v>2</v>
      </c>
      <c r="O130" t="s">
        <v>6911</v>
      </c>
      <c r="P130" t="s">
        <v>6910</v>
      </c>
      <c r="Q130" t="s">
        <v>6909</v>
      </c>
      <c r="R130" s="7">
        <v>35400</v>
      </c>
      <c r="S130" s="8">
        <f t="shared" ref="S130:S193" si="16">YEAR(R130)</f>
        <v>1996</v>
      </c>
      <c r="T130" s="8">
        <v>1996</v>
      </c>
      <c r="U130" s="8">
        <f t="shared" ref="U130:U193" si="17">2022-T130</f>
        <v>26</v>
      </c>
      <c r="V130" s="7">
        <v>1996</v>
      </c>
      <c r="W130" t="s">
        <v>408</v>
      </c>
      <c r="X130" s="2">
        <v>0.1</v>
      </c>
      <c r="Y130" s="6">
        <f t="shared" ref="Y130:Y193" si="18">(X130-$Z$3)/($Z$2-$Z$3)</f>
        <v>2.6694428872694269E-3</v>
      </c>
      <c r="AA130">
        <v>9633308</v>
      </c>
      <c r="AB130">
        <v>17917</v>
      </c>
      <c r="AD130" t="s">
        <v>1</v>
      </c>
      <c r="AF130">
        <v>120</v>
      </c>
      <c r="AI130" t="s">
        <v>6908</v>
      </c>
      <c r="AK130" t="s">
        <v>6907</v>
      </c>
      <c r="AL130">
        <v>3</v>
      </c>
      <c r="AM130" s="5">
        <f t="shared" ref="AM130:AM193" si="19">AL130/U130</f>
        <v>0.11538461538461539</v>
      </c>
      <c r="AN130" s="4">
        <f t="shared" ref="AN130:AN193" si="20">(AM130-$AO$3)/($AO$2-$AO$3)</f>
        <v>1.7475897824250722E-4</v>
      </c>
      <c r="AO130" s="3"/>
      <c r="AP130">
        <v>0</v>
      </c>
      <c r="AR130" t="s">
        <v>0</v>
      </c>
      <c r="AT130" s="2" t="s">
        <v>9</v>
      </c>
      <c r="AU130" s="1">
        <f t="shared" ref="AU130:AU193" si="21">(Y130*0.7+AN130*0.3)*100</f>
        <v>0.19210377145613508</v>
      </c>
      <c r="AV130" s="1">
        <f t="shared" ref="AV130:AV193" si="22">(Y130*0.5+AN130*0.5)*100</f>
        <v>0.14221009327559669</v>
      </c>
      <c r="AW130" s="1">
        <f t="shared" ref="AW130:AW193" si="23">(Y130*0.3+AN130*0.7)*100</f>
        <v>9.2316415095058307E-2</v>
      </c>
    </row>
    <row r="131" spans="1:49" x14ac:dyDescent="0.2">
      <c r="A131">
        <v>129</v>
      </c>
      <c r="B131" t="s">
        <v>6906</v>
      </c>
      <c r="F131" t="s">
        <v>6905</v>
      </c>
      <c r="G131" t="s">
        <v>6</v>
      </c>
      <c r="H131" t="s">
        <v>5</v>
      </c>
      <c r="I131" t="s">
        <v>6904</v>
      </c>
      <c r="J131">
        <v>60026242</v>
      </c>
      <c r="K131" t="s">
        <v>267</v>
      </c>
      <c r="L131" t="s">
        <v>266</v>
      </c>
      <c r="M131" t="s">
        <v>19</v>
      </c>
      <c r="N131">
        <v>2</v>
      </c>
      <c r="O131" t="s">
        <v>6903</v>
      </c>
      <c r="P131" t="s">
        <v>6902</v>
      </c>
      <c r="Q131" t="s">
        <v>265</v>
      </c>
      <c r="R131" s="7">
        <v>35400</v>
      </c>
      <c r="S131" s="8">
        <f t="shared" si="16"/>
        <v>1996</v>
      </c>
      <c r="T131" s="8">
        <v>1996</v>
      </c>
      <c r="U131" s="8">
        <f t="shared" si="17"/>
        <v>26</v>
      </c>
      <c r="V131" s="7">
        <v>1996</v>
      </c>
      <c r="W131" t="s">
        <v>408</v>
      </c>
      <c r="X131" s="2">
        <v>0.1</v>
      </c>
      <c r="Y131" s="6">
        <f t="shared" si="18"/>
        <v>2.6694428872694269E-3</v>
      </c>
      <c r="AA131">
        <v>9633308</v>
      </c>
      <c r="AB131">
        <v>17917</v>
      </c>
      <c r="AD131" t="s">
        <v>1</v>
      </c>
      <c r="AF131">
        <v>53</v>
      </c>
      <c r="AL131">
        <v>0</v>
      </c>
      <c r="AM131" s="5">
        <f t="shared" si="19"/>
        <v>0</v>
      </c>
      <c r="AN131" s="4">
        <f t="shared" si="20"/>
        <v>0</v>
      </c>
      <c r="AO131" s="3"/>
      <c r="AP131">
        <v>0</v>
      </c>
      <c r="AR131" t="s">
        <v>0</v>
      </c>
      <c r="AT131" s="2" t="s">
        <v>9</v>
      </c>
      <c r="AU131" s="1">
        <f t="shared" si="21"/>
        <v>0.18686100210885986</v>
      </c>
      <c r="AV131" s="1">
        <f t="shared" si="22"/>
        <v>0.13347214436347135</v>
      </c>
      <c r="AW131" s="1">
        <f t="shared" si="23"/>
        <v>8.0083286618082811E-2</v>
      </c>
    </row>
    <row r="132" spans="1:49" x14ac:dyDescent="0.2">
      <c r="A132">
        <v>130</v>
      </c>
      <c r="B132" t="s">
        <v>6901</v>
      </c>
      <c r="F132" t="s">
        <v>6900</v>
      </c>
      <c r="G132" t="s">
        <v>6</v>
      </c>
      <c r="H132" t="s">
        <v>5</v>
      </c>
      <c r="I132" t="s">
        <v>6899</v>
      </c>
      <c r="J132">
        <v>60086242</v>
      </c>
      <c r="K132" t="s">
        <v>412</v>
      </c>
      <c r="L132" t="s">
        <v>411</v>
      </c>
      <c r="M132" t="s">
        <v>30</v>
      </c>
      <c r="N132">
        <v>4</v>
      </c>
      <c r="O132" t="s">
        <v>6898</v>
      </c>
      <c r="P132" t="s">
        <v>6897</v>
      </c>
      <c r="Q132" t="s">
        <v>6896</v>
      </c>
      <c r="R132" s="7">
        <v>35400</v>
      </c>
      <c r="S132" s="8">
        <f t="shared" si="16"/>
        <v>1996</v>
      </c>
      <c r="T132" s="8">
        <v>1996</v>
      </c>
      <c r="U132" s="8">
        <f t="shared" si="17"/>
        <v>26</v>
      </c>
      <c r="V132" s="7">
        <v>1996</v>
      </c>
      <c r="W132" t="s">
        <v>408</v>
      </c>
      <c r="X132" s="2">
        <v>0.1</v>
      </c>
      <c r="Y132" s="6">
        <f t="shared" si="18"/>
        <v>2.6694428872694269E-3</v>
      </c>
      <c r="AA132">
        <v>9633308</v>
      </c>
      <c r="AB132">
        <v>17917</v>
      </c>
      <c r="AD132" t="s">
        <v>1</v>
      </c>
      <c r="AF132">
        <v>32</v>
      </c>
      <c r="AI132" t="s">
        <v>6895</v>
      </c>
      <c r="AK132" t="s">
        <v>6894</v>
      </c>
      <c r="AL132">
        <v>4</v>
      </c>
      <c r="AM132" s="5">
        <f t="shared" si="19"/>
        <v>0.15384615384615385</v>
      </c>
      <c r="AN132" s="4">
        <f t="shared" si="20"/>
        <v>2.3301197099000962E-4</v>
      </c>
      <c r="AO132" s="3"/>
      <c r="AP132">
        <v>0</v>
      </c>
      <c r="AR132" t="s">
        <v>0</v>
      </c>
      <c r="AT132" s="2" t="s">
        <v>9</v>
      </c>
      <c r="AU132" s="1">
        <f t="shared" si="21"/>
        <v>0.19385136123856017</v>
      </c>
      <c r="AV132" s="1">
        <f t="shared" si="22"/>
        <v>0.14512274291297184</v>
      </c>
      <c r="AW132" s="1">
        <f t="shared" si="23"/>
        <v>9.6394124587383487E-2</v>
      </c>
    </row>
    <row r="133" spans="1:49" x14ac:dyDescent="0.2">
      <c r="A133">
        <v>131</v>
      </c>
      <c r="B133" t="s">
        <v>6893</v>
      </c>
      <c r="C133" t="s">
        <v>6892</v>
      </c>
      <c r="D133">
        <v>18948096085754</v>
      </c>
      <c r="F133" t="s">
        <v>6891</v>
      </c>
      <c r="G133" t="s">
        <v>6</v>
      </c>
      <c r="H133" t="s">
        <v>5</v>
      </c>
      <c r="I133" t="s">
        <v>6890</v>
      </c>
      <c r="J133">
        <v>60027271</v>
      </c>
      <c r="K133" t="s">
        <v>5137</v>
      </c>
      <c r="L133" t="s">
        <v>106</v>
      </c>
      <c r="M133" t="s">
        <v>2</v>
      </c>
      <c r="N133">
        <v>3</v>
      </c>
      <c r="O133" t="s">
        <v>6889</v>
      </c>
      <c r="P133" t="s">
        <v>6888</v>
      </c>
      <c r="Q133" t="s">
        <v>6887</v>
      </c>
      <c r="R133" s="7">
        <v>35400</v>
      </c>
      <c r="S133" s="8">
        <f t="shared" si="16"/>
        <v>1996</v>
      </c>
      <c r="T133" s="8">
        <v>1996</v>
      </c>
      <c r="U133" s="8">
        <f t="shared" si="17"/>
        <v>26</v>
      </c>
      <c r="V133" s="7">
        <v>1996</v>
      </c>
      <c r="W133" t="s">
        <v>410</v>
      </c>
      <c r="X133" s="2">
        <v>1.3720000000000001</v>
      </c>
      <c r="Y133" s="6">
        <f t="shared" si="18"/>
        <v>3.662475641333654E-2</v>
      </c>
      <c r="AA133">
        <v>189480</v>
      </c>
      <c r="AB133">
        <v>17366</v>
      </c>
      <c r="AD133" t="s">
        <v>1</v>
      </c>
      <c r="AE133">
        <v>44</v>
      </c>
      <c r="AF133" t="s">
        <v>6886</v>
      </c>
      <c r="AH133" t="s">
        <v>6885</v>
      </c>
      <c r="AI133" t="s">
        <v>6884</v>
      </c>
      <c r="AK133" t="s">
        <v>6883</v>
      </c>
      <c r="AL133">
        <v>30</v>
      </c>
      <c r="AM133" s="5">
        <f t="shared" si="19"/>
        <v>1.1538461538461537</v>
      </c>
      <c r="AN133" s="4">
        <f t="shared" si="20"/>
        <v>1.7475897824250719E-3</v>
      </c>
      <c r="AO133" s="3"/>
      <c r="AP133">
        <v>0</v>
      </c>
      <c r="AQ133" t="s">
        <v>21</v>
      </c>
      <c r="AR133" t="s">
        <v>6882</v>
      </c>
      <c r="AS133" t="s">
        <v>20</v>
      </c>
      <c r="AT133" s="2" t="s">
        <v>9</v>
      </c>
      <c r="AU133" s="1">
        <f t="shared" si="21"/>
        <v>2.6161606424063097</v>
      </c>
      <c r="AV133" s="1">
        <f t="shared" si="22"/>
        <v>1.9186173097880805</v>
      </c>
      <c r="AW133" s="1">
        <f t="shared" si="23"/>
        <v>1.2210739771698513</v>
      </c>
    </row>
    <row r="134" spans="1:49" x14ac:dyDescent="0.2">
      <c r="A134">
        <v>132</v>
      </c>
      <c r="B134" t="s">
        <v>6881</v>
      </c>
      <c r="C134" t="s">
        <v>6880</v>
      </c>
      <c r="F134" t="s">
        <v>6879</v>
      </c>
      <c r="G134" t="s">
        <v>6</v>
      </c>
      <c r="H134" t="s">
        <v>5</v>
      </c>
      <c r="I134" t="s">
        <v>6878</v>
      </c>
      <c r="J134">
        <v>60003500</v>
      </c>
      <c r="K134" t="s">
        <v>6877</v>
      </c>
      <c r="L134" t="s">
        <v>6876</v>
      </c>
      <c r="M134" t="s">
        <v>2</v>
      </c>
      <c r="N134">
        <v>1</v>
      </c>
      <c r="O134" t="s">
        <v>6875</v>
      </c>
      <c r="P134">
        <v>35580630500</v>
      </c>
      <c r="Q134">
        <v>60003500</v>
      </c>
      <c r="R134" s="7">
        <v>35400</v>
      </c>
      <c r="S134" s="8">
        <f t="shared" si="16"/>
        <v>1996</v>
      </c>
      <c r="T134" s="8">
        <v>1996</v>
      </c>
      <c r="U134" s="8">
        <f t="shared" si="17"/>
        <v>26</v>
      </c>
      <c r="V134" s="7">
        <v>1996</v>
      </c>
      <c r="W134" t="s">
        <v>6874</v>
      </c>
      <c r="X134" s="2">
        <v>0.89800000000000002</v>
      </c>
      <c r="Y134" s="6">
        <f t="shared" si="18"/>
        <v>2.3971597127679455E-2</v>
      </c>
      <c r="AA134">
        <v>9641726</v>
      </c>
      <c r="AB134">
        <v>29859</v>
      </c>
      <c r="AD134" t="s">
        <v>1</v>
      </c>
      <c r="AE134">
        <v>5</v>
      </c>
      <c r="AF134">
        <v>6</v>
      </c>
      <c r="AH134" t="s">
        <v>6873</v>
      </c>
      <c r="AI134" t="s">
        <v>6872</v>
      </c>
      <c r="AK134" t="s">
        <v>6871</v>
      </c>
      <c r="AL134">
        <v>78</v>
      </c>
      <c r="AM134" s="5">
        <f t="shared" si="19"/>
        <v>3</v>
      </c>
      <c r="AN134" s="4">
        <f t="shared" si="20"/>
        <v>4.5437334343051876E-3</v>
      </c>
      <c r="AO134" s="3"/>
      <c r="AP134">
        <v>0</v>
      </c>
      <c r="AR134" t="s">
        <v>0</v>
      </c>
      <c r="AT134" s="2">
        <v>3.585</v>
      </c>
      <c r="AU134" s="1">
        <f t="shared" si="21"/>
        <v>1.8143238019667174</v>
      </c>
      <c r="AV134" s="1">
        <f t="shared" si="22"/>
        <v>1.425766528099232</v>
      </c>
      <c r="AW134" s="1">
        <f t="shared" si="23"/>
        <v>1.0372092542317468</v>
      </c>
    </row>
    <row r="135" spans="1:49" x14ac:dyDescent="0.2">
      <c r="A135">
        <v>133</v>
      </c>
      <c r="B135" t="s">
        <v>6870</v>
      </c>
      <c r="F135" t="s">
        <v>6869</v>
      </c>
      <c r="G135" t="s">
        <v>6</v>
      </c>
      <c r="H135" t="s">
        <v>5</v>
      </c>
      <c r="I135" t="s">
        <v>336</v>
      </c>
      <c r="J135">
        <v>60010785</v>
      </c>
      <c r="K135" t="s">
        <v>335</v>
      </c>
      <c r="L135" t="s">
        <v>334</v>
      </c>
      <c r="M135" t="s">
        <v>19</v>
      </c>
      <c r="N135">
        <v>1</v>
      </c>
      <c r="O135" t="s">
        <v>351</v>
      </c>
      <c r="P135">
        <v>7402333759</v>
      </c>
      <c r="Q135">
        <v>60010785</v>
      </c>
      <c r="R135" s="7">
        <v>35400</v>
      </c>
      <c r="S135" s="8">
        <f t="shared" si="16"/>
        <v>1996</v>
      </c>
      <c r="T135" s="8">
        <v>1996</v>
      </c>
      <c r="U135" s="8">
        <f t="shared" si="17"/>
        <v>26</v>
      </c>
      <c r="V135" s="7">
        <v>1996</v>
      </c>
      <c r="W135" t="s">
        <v>408</v>
      </c>
      <c r="X135" s="2">
        <v>0.1</v>
      </c>
      <c r="Y135" s="6">
        <f t="shared" si="18"/>
        <v>2.6694428872694269E-3</v>
      </c>
      <c r="AA135">
        <v>9633308</v>
      </c>
      <c r="AB135">
        <v>17917</v>
      </c>
      <c r="AD135" t="s">
        <v>1</v>
      </c>
      <c r="AF135">
        <v>53</v>
      </c>
      <c r="AL135">
        <v>1</v>
      </c>
      <c r="AM135" s="5">
        <f t="shared" si="19"/>
        <v>3.8461538461538464E-2</v>
      </c>
      <c r="AN135" s="4">
        <f t="shared" si="20"/>
        <v>5.8252992747502406E-5</v>
      </c>
      <c r="AO135" s="3"/>
      <c r="AP135">
        <v>0</v>
      </c>
      <c r="AR135" t="s">
        <v>0</v>
      </c>
      <c r="AT135" s="2" t="s">
        <v>9</v>
      </c>
      <c r="AU135" s="1">
        <f t="shared" si="21"/>
        <v>0.18860859189128495</v>
      </c>
      <c r="AV135" s="1">
        <f t="shared" si="22"/>
        <v>0.13638479400084647</v>
      </c>
      <c r="AW135" s="1">
        <f t="shared" si="23"/>
        <v>8.4160996110407962E-2</v>
      </c>
    </row>
    <row r="136" spans="1:49" x14ac:dyDescent="0.2">
      <c r="A136">
        <v>134</v>
      </c>
      <c r="B136" t="s">
        <v>6868</v>
      </c>
      <c r="C136" t="s">
        <v>6867</v>
      </c>
      <c r="D136" t="s">
        <v>6866</v>
      </c>
      <c r="F136" t="s">
        <v>6865</v>
      </c>
      <c r="G136" t="s">
        <v>6</v>
      </c>
      <c r="H136" t="s">
        <v>5</v>
      </c>
      <c r="I136" t="s">
        <v>6864</v>
      </c>
      <c r="J136" t="s">
        <v>145</v>
      </c>
      <c r="K136" t="s">
        <v>144</v>
      </c>
      <c r="L136" t="s">
        <v>143</v>
      </c>
      <c r="M136" t="s">
        <v>13</v>
      </c>
      <c r="N136">
        <v>1</v>
      </c>
      <c r="O136" t="s">
        <v>6863</v>
      </c>
      <c r="P136">
        <v>55951888900</v>
      </c>
      <c r="Q136" t="s">
        <v>6862</v>
      </c>
      <c r="R136" s="7">
        <v>35400</v>
      </c>
      <c r="S136" s="8">
        <f t="shared" si="16"/>
        <v>1996</v>
      </c>
      <c r="T136" s="8">
        <v>1996</v>
      </c>
      <c r="U136" s="8">
        <f t="shared" si="17"/>
        <v>26</v>
      </c>
      <c r="V136" s="7">
        <v>1996</v>
      </c>
      <c r="W136" t="s">
        <v>150</v>
      </c>
      <c r="X136" s="2">
        <v>1.6519999999999999</v>
      </c>
      <c r="Y136" s="6">
        <f t="shared" si="18"/>
        <v>4.409919649769093E-2</v>
      </c>
      <c r="AA136" t="s">
        <v>149</v>
      </c>
      <c r="AB136">
        <v>17337</v>
      </c>
      <c r="AD136" t="s">
        <v>1</v>
      </c>
      <c r="AE136">
        <v>44</v>
      </c>
      <c r="AF136">
        <v>12</v>
      </c>
      <c r="AH136" t="s">
        <v>6861</v>
      </c>
      <c r="AI136" t="s">
        <v>6860</v>
      </c>
      <c r="AK136" t="s">
        <v>6859</v>
      </c>
      <c r="AL136">
        <v>94</v>
      </c>
      <c r="AM136" s="5">
        <f t="shared" si="19"/>
        <v>3.6153846153846154</v>
      </c>
      <c r="AN136" s="4">
        <f t="shared" si="20"/>
        <v>5.4757813182652257E-3</v>
      </c>
      <c r="AO136" s="3"/>
      <c r="AP136">
        <v>0</v>
      </c>
      <c r="AQ136" t="s">
        <v>105</v>
      </c>
      <c r="AR136" t="s">
        <v>0</v>
      </c>
      <c r="AS136" t="s">
        <v>104</v>
      </c>
      <c r="AT136" s="2" t="s">
        <v>9</v>
      </c>
      <c r="AU136" s="1">
        <f t="shared" si="21"/>
        <v>3.2512171943863217</v>
      </c>
      <c r="AV136" s="1">
        <f t="shared" si="22"/>
        <v>2.4787488907978079</v>
      </c>
      <c r="AW136" s="1">
        <f t="shared" si="23"/>
        <v>1.7062805872092937</v>
      </c>
    </row>
    <row r="137" spans="1:49" x14ac:dyDescent="0.2">
      <c r="A137">
        <v>135</v>
      </c>
      <c r="B137" t="s">
        <v>6858</v>
      </c>
      <c r="F137" t="s">
        <v>6857</v>
      </c>
      <c r="G137" t="s">
        <v>6</v>
      </c>
      <c r="H137" t="s">
        <v>5</v>
      </c>
      <c r="I137" t="s">
        <v>373</v>
      </c>
      <c r="J137">
        <v>60031126</v>
      </c>
      <c r="K137" t="s">
        <v>120</v>
      </c>
      <c r="L137" t="s">
        <v>45</v>
      </c>
      <c r="M137" t="s">
        <v>44</v>
      </c>
      <c r="N137">
        <v>4</v>
      </c>
      <c r="O137" t="s">
        <v>372</v>
      </c>
      <c r="P137" t="s">
        <v>371</v>
      </c>
      <c r="Q137" t="s">
        <v>119</v>
      </c>
      <c r="R137" s="7">
        <v>35400</v>
      </c>
      <c r="S137" s="8">
        <f t="shared" si="16"/>
        <v>1996</v>
      </c>
      <c r="T137" s="8">
        <v>1996</v>
      </c>
      <c r="U137" s="8">
        <f t="shared" si="17"/>
        <v>26</v>
      </c>
      <c r="V137" s="7">
        <v>35400</v>
      </c>
      <c r="W137" t="s">
        <v>118</v>
      </c>
      <c r="X137" s="2">
        <v>0.21099999999999999</v>
      </c>
      <c r="Y137" s="6">
        <f t="shared" si="18"/>
        <v>5.6325244921384904E-3</v>
      </c>
      <c r="AA137">
        <v>9168516</v>
      </c>
      <c r="AB137">
        <v>18936</v>
      </c>
      <c r="AD137" t="s">
        <v>1</v>
      </c>
      <c r="AE137" t="s">
        <v>117</v>
      </c>
      <c r="AF137">
        <v>12</v>
      </c>
      <c r="AH137" t="s">
        <v>6856</v>
      </c>
      <c r="AI137" t="s">
        <v>6855</v>
      </c>
      <c r="AK137" t="s">
        <v>6854</v>
      </c>
      <c r="AL137">
        <v>32</v>
      </c>
      <c r="AM137" s="5">
        <f t="shared" si="19"/>
        <v>1.2307692307692308</v>
      </c>
      <c r="AN137" s="4">
        <f t="shared" si="20"/>
        <v>1.864095767920077E-3</v>
      </c>
      <c r="AO137" s="3"/>
      <c r="AP137">
        <v>0</v>
      </c>
      <c r="AR137" t="s">
        <v>0</v>
      </c>
      <c r="AT137" s="2">
        <v>0.52500000000000002</v>
      </c>
      <c r="AU137" s="1">
        <f t="shared" si="21"/>
        <v>0.45019958748729655</v>
      </c>
      <c r="AV137" s="1">
        <f t="shared" si="22"/>
        <v>0.37483101300292837</v>
      </c>
      <c r="AW137" s="1">
        <f t="shared" si="23"/>
        <v>0.29946243851856008</v>
      </c>
    </row>
    <row r="138" spans="1:49" x14ac:dyDescent="0.2">
      <c r="A138">
        <v>136</v>
      </c>
      <c r="B138" t="s">
        <v>6853</v>
      </c>
      <c r="C138" t="s">
        <v>6852</v>
      </c>
      <c r="D138" t="s">
        <v>6851</v>
      </c>
      <c r="F138" t="s">
        <v>6850</v>
      </c>
      <c r="G138" t="s">
        <v>6</v>
      </c>
      <c r="H138" t="s">
        <v>5</v>
      </c>
      <c r="I138" t="s">
        <v>6849</v>
      </c>
      <c r="J138">
        <v>60021097</v>
      </c>
      <c r="K138" t="s">
        <v>464</v>
      </c>
      <c r="L138" t="s">
        <v>463</v>
      </c>
      <c r="M138" t="s">
        <v>19</v>
      </c>
      <c r="N138">
        <v>1</v>
      </c>
      <c r="O138" t="s">
        <v>6848</v>
      </c>
      <c r="P138">
        <v>6603775709</v>
      </c>
      <c r="Q138">
        <v>60021097</v>
      </c>
      <c r="R138" s="7">
        <v>35400</v>
      </c>
      <c r="S138" s="8">
        <f t="shared" si="16"/>
        <v>1996</v>
      </c>
      <c r="T138" s="8">
        <v>1996</v>
      </c>
      <c r="U138" s="8">
        <f t="shared" si="17"/>
        <v>26</v>
      </c>
      <c r="V138" s="7">
        <v>1996</v>
      </c>
      <c r="W138" t="s">
        <v>150</v>
      </c>
      <c r="X138" s="2">
        <v>1.6519999999999999</v>
      </c>
      <c r="Y138" s="6">
        <f t="shared" si="18"/>
        <v>4.409919649769093E-2</v>
      </c>
      <c r="AA138" t="s">
        <v>149</v>
      </c>
      <c r="AB138">
        <v>17337</v>
      </c>
      <c r="AD138" t="s">
        <v>1</v>
      </c>
      <c r="AE138">
        <v>44</v>
      </c>
      <c r="AF138">
        <v>12</v>
      </c>
      <c r="AH138" t="s">
        <v>6847</v>
      </c>
      <c r="AI138" t="s">
        <v>6846</v>
      </c>
      <c r="AK138" t="s">
        <v>6845</v>
      </c>
      <c r="AL138">
        <v>55</v>
      </c>
      <c r="AM138" s="5">
        <f t="shared" si="19"/>
        <v>2.1153846153846154</v>
      </c>
      <c r="AN138" s="4">
        <f t="shared" si="20"/>
        <v>3.2039146011126323E-3</v>
      </c>
      <c r="AO138" s="3"/>
      <c r="AP138">
        <v>0</v>
      </c>
      <c r="AR138" t="s">
        <v>0</v>
      </c>
      <c r="AT138" s="2" t="s">
        <v>9</v>
      </c>
      <c r="AU138" s="1">
        <f t="shared" si="21"/>
        <v>3.1830611928717438</v>
      </c>
      <c r="AV138" s="1">
        <f t="shared" si="22"/>
        <v>2.3651555549401784</v>
      </c>
      <c r="AW138" s="1">
        <f t="shared" si="23"/>
        <v>1.547249917008612</v>
      </c>
    </row>
    <row r="139" spans="1:49" x14ac:dyDescent="0.2">
      <c r="A139">
        <v>137</v>
      </c>
      <c r="B139" t="s">
        <v>6844</v>
      </c>
      <c r="C139" t="s">
        <v>6843</v>
      </c>
      <c r="D139" t="s">
        <v>6842</v>
      </c>
      <c r="F139" t="s">
        <v>6841</v>
      </c>
      <c r="G139" t="s">
        <v>6</v>
      </c>
      <c r="H139" t="s">
        <v>5</v>
      </c>
      <c r="I139" t="s">
        <v>6840</v>
      </c>
      <c r="J139" t="s">
        <v>6839</v>
      </c>
      <c r="K139" t="s">
        <v>6838</v>
      </c>
      <c r="L139" t="s">
        <v>6837</v>
      </c>
      <c r="M139" t="s">
        <v>126</v>
      </c>
      <c r="N139">
        <v>4</v>
      </c>
      <c r="O139" t="s">
        <v>6836</v>
      </c>
      <c r="P139" t="s">
        <v>6835</v>
      </c>
      <c r="Q139" t="s">
        <v>6834</v>
      </c>
      <c r="R139" s="7">
        <v>35400</v>
      </c>
      <c r="S139" s="8">
        <f t="shared" si="16"/>
        <v>1996</v>
      </c>
      <c r="T139" s="8">
        <v>1996</v>
      </c>
      <c r="U139" s="8">
        <f t="shared" si="17"/>
        <v>26</v>
      </c>
      <c r="V139" s="7">
        <v>35400</v>
      </c>
      <c r="W139" t="s">
        <v>838</v>
      </c>
      <c r="X139" s="2">
        <v>1.337</v>
      </c>
      <c r="Y139" s="6">
        <f t="shared" si="18"/>
        <v>3.5690451402792235E-2</v>
      </c>
      <c r="AA139">
        <v>7413106</v>
      </c>
      <c r="AB139">
        <v>26005</v>
      </c>
      <c r="AD139" t="s">
        <v>1</v>
      </c>
      <c r="AE139">
        <v>17</v>
      </c>
      <c r="AF139">
        <v>12</v>
      </c>
      <c r="AH139" t="s">
        <v>6833</v>
      </c>
      <c r="AI139" t="s">
        <v>6832</v>
      </c>
      <c r="AK139" t="s">
        <v>6831</v>
      </c>
      <c r="AL139">
        <v>9</v>
      </c>
      <c r="AM139" s="5">
        <f t="shared" si="19"/>
        <v>0.34615384615384615</v>
      </c>
      <c r="AN139" s="4">
        <f t="shared" si="20"/>
        <v>5.2427693472752157E-4</v>
      </c>
      <c r="AO139" s="3"/>
      <c r="AP139">
        <v>0</v>
      </c>
      <c r="AQ139" t="s">
        <v>6830</v>
      </c>
      <c r="AR139" t="s">
        <v>6829</v>
      </c>
      <c r="AS139" t="s">
        <v>6828</v>
      </c>
      <c r="AT139" s="2">
        <v>4.1870000000000003</v>
      </c>
      <c r="AU139" s="1">
        <f t="shared" si="21"/>
        <v>2.5140599062372817</v>
      </c>
      <c r="AV139" s="1">
        <f t="shared" si="22"/>
        <v>1.8107364168759879</v>
      </c>
      <c r="AW139" s="1">
        <f t="shared" si="23"/>
        <v>1.1074129275146936</v>
      </c>
    </row>
    <row r="140" spans="1:49" x14ac:dyDescent="0.2">
      <c r="A140">
        <v>138</v>
      </c>
      <c r="B140" t="s">
        <v>6827</v>
      </c>
      <c r="F140" t="s">
        <v>6826</v>
      </c>
      <c r="G140" t="s">
        <v>6</v>
      </c>
      <c r="H140" t="s">
        <v>5</v>
      </c>
      <c r="I140" t="s">
        <v>6825</v>
      </c>
      <c r="N140">
        <v>1</v>
      </c>
      <c r="O140" t="s">
        <v>6824</v>
      </c>
      <c r="P140">
        <v>6602802826</v>
      </c>
      <c r="R140" s="7">
        <v>35400</v>
      </c>
      <c r="S140" s="8">
        <f t="shared" si="16"/>
        <v>1996</v>
      </c>
      <c r="T140" s="8">
        <v>1996</v>
      </c>
      <c r="U140" s="8">
        <f t="shared" si="17"/>
        <v>26</v>
      </c>
      <c r="V140" s="7">
        <v>35400</v>
      </c>
      <c r="W140" t="s">
        <v>74</v>
      </c>
      <c r="X140" s="2">
        <v>0.29499999999999998</v>
      </c>
      <c r="Y140" s="6">
        <f t="shared" si="18"/>
        <v>7.8748565174448087E-3</v>
      </c>
      <c r="AA140">
        <v>10642269</v>
      </c>
      <c r="AB140">
        <v>19554</v>
      </c>
      <c r="AD140" t="s">
        <v>1</v>
      </c>
      <c r="AE140">
        <v>41</v>
      </c>
      <c r="AF140">
        <v>15</v>
      </c>
      <c r="AH140" t="s">
        <v>6823</v>
      </c>
      <c r="AI140" t="s">
        <v>6822</v>
      </c>
      <c r="AK140" t="s">
        <v>6821</v>
      </c>
      <c r="AL140">
        <v>0</v>
      </c>
      <c r="AM140" s="5">
        <f t="shared" si="19"/>
        <v>0</v>
      </c>
      <c r="AN140" s="4">
        <f t="shared" si="20"/>
        <v>0</v>
      </c>
      <c r="AO140" s="3"/>
      <c r="AP140">
        <v>0</v>
      </c>
      <c r="AR140" t="s">
        <v>0</v>
      </c>
      <c r="AT140" s="2" t="s">
        <v>9</v>
      </c>
      <c r="AU140" s="1">
        <f t="shared" si="21"/>
        <v>0.55123995622113653</v>
      </c>
      <c r="AV140" s="1">
        <f t="shared" si="22"/>
        <v>0.39374282587224041</v>
      </c>
      <c r="AW140" s="1">
        <f t="shared" si="23"/>
        <v>0.23624569552334423</v>
      </c>
    </row>
    <row r="141" spans="1:49" x14ac:dyDescent="0.2">
      <c r="A141">
        <v>139</v>
      </c>
      <c r="B141" t="s">
        <v>6820</v>
      </c>
      <c r="C141" t="s">
        <v>6819</v>
      </c>
      <c r="D141" t="s">
        <v>6818</v>
      </c>
      <c r="F141" t="s">
        <v>6817</v>
      </c>
      <c r="G141" t="s">
        <v>6</v>
      </c>
      <c r="H141" t="s">
        <v>5</v>
      </c>
      <c r="I141" t="s">
        <v>6816</v>
      </c>
      <c r="J141" t="s">
        <v>6815</v>
      </c>
      <c r="K141" t="s">
        <v>6814</v>
      </c>
      <c r="L141" t="s">
        <v>6813</v>
      </c>
      <c r="M141" t="s">
        <v>6812</v>
      </c>
      <c r="N141">
        <v>3</v>
      </c>
      <c r="O141" t="s">
        <v>6811</v>
      </c>
      <c r="P141" t="s">
        <v>6810</v>
      </c>
      <c r="Q141" t="s">
        <v>6809</v>
      </c>
      <c r="R141" s="7">
        <v>35400</v>
      </c>
      <c r="S141" s="8">
        <f t="shared" si="16"/>
        <v>1996</v>
      </c>
      <c r="T141" s="8">
        <v>1996</v>
      </c>
      <c r="U141" s="8">
        <f t="shared" si="17"/>
        <v>26</v>
      </c>
      <c r="V141" s="7">
        <v>35400</v>
      </c>
      <c r="W141" t="s">
        <v>305</v>
      </c>
      <c r="X141" s="2">
        <v>2.9860000000000002</v>
      </c>
      <c r="Y141" s="6">
        <f t="shared" si="18"/>
        <v>7.9709564613865094E-2</v>
      </c>
      <c r="AA141">
        <v>7338716</v>
      </c>
      <c r="AB141">
        <v>18902</v>
      </c>
      <c r="AD141" t="s">
        <v>1</v>
      </c>
      <c r="AE141">
        <v>14</v>
      </c>
      <c r="AF141">
        <v>9</v>
      </c>
      <c r="AH141" t="s">
        <v>6808</v>
      </c>
      <c r="AI141" t="s">
        <v>6807</v>
      </c>
      <c r="AK141" t="s">
        <v>6806</v>
      </c>
      <c r="AL141">
        <v>20</v>
      </c>
      <c r="AM141" s="5">
        <f t="shared" si="19"/>
        <v>0.76923076923076927</v>
      </c>
      <c r="AN141" s="4">
        <f t="shared" si="20"/>
        <v>1.1650598549500482E-3</v>
      </c>
      <c r="AO141" s="3"/>
      <c r="AP141">
        <v>0</v>
      </c>
      <c r="AR141" t="s">
        <v>0</v>
      </c>
      <c r="AT141" s="2" t="s">
        <v>9</v>
      </c>
      <c r="AU141" s="1">
        <f t="shared" si="21"/>
        <v>5.6146213186190579</v>
      </c>
      <c r="AV141" s="1">
        <f t="shared" si="22"/>
        <v>4.0437312234407576</v>
      </c>
      <c r="AW141" s="1">
        <f t="shared" si="23"/>
        <v>2.4728411282624561</v>
      </c>
    </row>
    <row r="142" spans="1:49" x14ac:dyDescent="0.2">
      <c r="A142">
        <v>140</v>
      </c>
      <c r="B142" t="s">
        <v>6805</v>
      </c>
      <c r="C142" t="s">
        <v>6804</v>
      </c>
      <c r="D142" t="s">
        <v>6803</v>
      </c>
      <c r="F142" t="s">
        <v>6802</v>
      </c>
      <c r="G142" t="s">
        <v>6</v>
      </c>
      <c r="H142" t="s">
        <v>5</v>
      </c>
      <c r="I142" t="s">
        <v>6801</v>
      </c>
      <c r="J142">
        <v>107513173</v>
      </c>
      <c r="K142" t="s">
        <v>6800</v>
      </c>
      <c r="L142" t="s">
        <v>6799</v>
      </c>
      <c r="M142" t="s">
        <v>2</v>
      </c>
      <c r="N142">
        <v>1</v>
      </c>
      <c r="O142" t="s">
        <v>6798</v>
      </c>
      <c r="P142">
        <v>7403385956</v>
      </c>
      <c r="Q142">
        <v>107513173</v>
      </c>
      <c r="R142" s="7">
        <v>35400</v>
      </c>
      <c r="S142" s="8">
        <f t="shared" si="16"/>
        <v>1996</v>
      </c>
      <c r="T142" s="8">
        <v>1996</v>
      </c>
      <c r="U142" s="8">
        <f t="shared" si="17"/>
        <v>26</v>
      </c>
      <c r="V142" s="7">
        <v>1996</v>
      </c>
      <c r="W142" t="s">
        <v>694</v>
      </c>
      <c r="X142" s="2">
        <v>1.6379999999999999</v>
      </c>
      <c r="Y142" s="6">
        <f t="shared" si="18"/>
        <v>4.3725474493473214E-2</v>
      </c>
      <c r="AA142" t="s">
        <v>693</v>
      </c>
      <c r="AB142">
        <v>17391</v>
      </c>
      <c r="AD142" t="s">
        <v>1</v>
      </c>
      <c r="AE142">
        <v>44</v>
      </c>
      <c r="AF142">
        <v>12</v>
      </c>
      <c r="AH142" t="s">
        <v>6797</v>
      </c>
      <c r="AI142" t="s">
        <v>6796</v>
      </c>
      <c r="AK142" t="s">
        <v>6795</v>
      </c>
      <c r="AL142">
        <v>19</v>
      </c>
      <c r="AM142" s="5">
        <f t="shared" si="19"/>
        <v>0.73076923076923073</v>
      </c>
      <c r="AN142" s="4">
        <f t="shared" si="20"/>
        <v>1.1068068622025456E-3</v>
      </c>
      <c r="AO142" s="3"/>
      <c r="AP142">
        <v>0</v>
      </c>
      <c r="AR142" t="s">
        <v>0</v>
      </c>
      <c r="AT142" s="2">
        <v>4.931</v>
      </c>
      <c r="AU142" s="1">
        <f t="shared" si="21"/>
        <v>3.0939874204092015</v>
      </c>
      <c r="AV142" s="1">
        <f t="shared" si="22"/>
        <v>2.2416140677837881</v>
      </c>
      <c r="AW142" s="1">
        <f t="shared" si="23"/>
        <v>1.3892407151583746</v>
      </c>
    </row>
    <row r="143" spans="1:49" x14ac:dyDescent="0.2">
      <c r="A143">
        <v>141</v>
      </c>
      <c r="B143" t="s">
        <v>6794</v>
      </c>
      <c r="F143" t="s">
        <v>6793</v>
      </c>
      <c r="G143" t="s">
        <v>6</v>
      </c>
      <c r="H143" t="s">
        <v>5</v>
      </c>
      <c r="I143" t="s">
        <v>6792</v>
      </c>
      <c r="J143">
        <v>100335825</v>
      </c>
      <c r="K143" t="s">
        <v>6791</v>
      </c>
      <c r="L143" t="s">
        <v>6790</v>
      </c>
      <c r="M143" t="s">
        <v>2</v>
      </c>
      <c r="N143">
        <v>1</v>
      </c>
      <c r="O143" t="s">
        <v>6789</v>
      </c>
      <c r="P143">
        <v>6602915981</v>
      </c>
      <c r="Q143">
        <v>100335825</v>
      </c>
      <c r="R143" s="7">
        <v>35400</v>
      </c>
      <c r="S143" s="8">
        <f t="shared" si="16"/>
        <v>1996</v>
      </c>
      <c r="T143" s="8">
        <v>1996</v>
      </c>
      <c r="U143" s="8">
        <f t="shared" si="17"/>
        <v>26</v>
      </c>
      <c r="V143" s="7">
        <v>1996</v>
      </c>
      <c r="W143" t="s">
        <v>471</v>
      </c>
      <c r="X143" s="2" t="s">
        <v>9</v>
      </c>
      <c r="Y143" s="6" t="e">
        <f t="shared" si="18"/>
        <v>#VALUE!</v>
      </c>
      <c r="AA143">
        <v>9248625</v>
      </c>
      <c r="AB143">
        <v>12897</v>
      </c>
      <c r="AD143" t="s">
        <v>1</v>
      </c>
      <c r="AE143">
        <v>14</v>
      </c>
      <c r="AF143">
        <v>2</v>
      </c>
      <c r="AH143" t="s">
        <v>6788</v>
      </c>
      <c r="AI143" t="s">
        <v>6787</v>
      </c>
      <c r="AK143" t="s">
        <v>6786</v>
      </c>
      <c r="AL143">
        <v>8</v>
      </c>
      <c r="AM143" s="5">
        <f t="shared" si="19"/>
        <v>0.30769230769230771</v>
      </c>
      <c r="AN143" s="4">
        <f t="shared" si="20"/>
        <v>4.6602394198001925E-4</v>
      </c>
      <c r="AO143" s="3"/>
      <c r="AP143">
        <v>0</v>
      </c>
      <c r="AR143" t="s">
        <v>0</v>
      </c>
      <c r="AT143" s="2" t="s">
        <v>9</v>
      </c>
      <c r="AU143" s="1" t="e">
        <f t="shared" si="21"/>
        <v>#VALUE!</v>
      </c>
      <c r="AV143" s="1" t="e">
        <f t="shared" si="22"/>
        <v>#VALUE!</v>
      </c>
      <c r="AW143" s="1" t="e">
        <f t="shared" si="23"/>
        <v>#VALUE!</v>
      </c>
    </row>
    <row r="144" spans="1:49" x14ac:dyDescent="0.2">
      <c r="A144">
        <v>142</v>
      </c>
      <c r="B144" t="s">
        <v>6785</v>
      </c>
      <c r="F144" t="s">
        <v>525</v>
      </c>
      <c r="G144" t="s">
        <v>6</v>
      </c>
      <c r="H144" t="s">
        <v>5</v>
      </c>
      <c r="I144" t="s">
        <v>524</v>
      </c>
      <c r="J144">
        <v>60029470</v>
      </c>
      <c r="K144" t="s">
        <v>6784</v>
      </c>
      <c r="L144" t="s">
        <v>8</v>
      </c>
      <c r="M144" t="s">
        <v>7</v>
      </c>
      <c r="N144">
        <v>1</v>
      </c>
      <c r="O144" t="s">
        <v>523</v>
      </c>
      <c r="P144">
        <v>7202832083</v>
      </c>
      <c r="Q144">
        <v>60029470</v>
      </c>
      <c r="R144" s="7">
        <v>35400</v>
      </c>
      <c r="S144" s="8">
        <f t="shared" si="16"/>
        <v>1996</v>
      </c>
      <c r="T144" s="8">
        <v>1996</v>
      </c>
      <c r="U144" s="8">
        <f t="shared" si="17"/>
        <v>26</v>
      </c>
      <c r="V144" s="7">
        <v>35400</v>
      </c>
      <c r="W144" s="11" t="s">
        <v>224</v>
      </c>
      <c r="X144" s="2">
        <v>2.383</v>
      </c>
      <c r="Y144" s="6">
        <f t="shared" si="18"/>
        <v>6.3612824003630442E-2</v>
      </c>
      <c r="AA144">
        <v>13502417</v>
      </c>
      <c r="AB144">
        <v>17416</v>
      </c>
      <c r="AD144" t="s">
        <v>1</v>
      </c>
      <c r="AE144">
        <v>143</v>
      </c>
      <c r="AF144">
        <v>6</v>
      </c>
      <c r="AH144" t="s">
        <v>6783</v>
      </c>
      <c r="AI144" t="s">
        <v>6782</v>
      </c>
      <c r="AK144" t="s">
        <v>6781</v>
      </c>
      <c r="AL144">
        <v>2</v>
      </c>
      <c r="AM144" s="5">
        <f t="shared" si="19"/>
        <v>7.6923076923076927E-2</v>
      </c>
      <c r="AN144" s="4">
        <f t="shared" si="20"/>
        <v>1.1650598549500481E-4</v>
      </c>
      <c r="AO144" s="3"/>
      <c r="AP144">
        <v>0</v>
      </c>
      <c r="AR144" t="s">
        <v>0</v>
      </c>
      <c r="AT144" s="2" t="s">
        <v>9</v>
      </c>
      <c r="AU144" s="1">
        <f t="shared" si="21"/>
        <v>4.4563928598189815</v>
      </c>
      <c r="AV144" s="1">
        <f t="shared" si="22"/>
        <v>3.1864664994562726</v>
      </c>
      <c r="AW144" s="1">
        <f t="shared" si="23"/>
        <v>1.9165401390935637</v>
      </c>
    </row>
    <row r="145" spans="1:49" x14ac:dyDescent="0.2">
      <c r="A145">
        <v>143</v>
      </c>
      <c r="B145" t="s">
        <v>6780</v>
      </c>
      <c r="F145" t="s">
        <v>6779</v>
      </c>
      <c r="G145" t="s">
        <v>6</v>
      </c>
      <c r="H145" t="s">
        <v>5</v>
      </c>
      <c r="I145" t="s">
        <v>6778</v>
      </c>
      <c r="J145" t="s">
        <v>6773</v>
      </c>
      <c r="K145" t="s">
        <v>6777</v>
      </c>
      <c r="L145" t="s">
        <v>6776</v>
      </c>
      <c r="M145" t="s">
        <v>88</v>
      </c>
      <c r="N145">
        <v>2</v>
      </c>
      <c r="O145" t="s">
        <v>6775</v>
      </c>
      <c r="P145" t="s">
        <v>6774</v>
      </c>
      <c r="Q145" t="s">
        <v>6773</v>
      </c>
      <c r="R145" s="7">
        <v>35400</v>
      </c>
      <c r="S145" s="8">
        <f t="shared" si="16"/>
        <v>1996</v>
      </c>
      <c r="T145" s="8">
        <v>1996</v>
      </c>
      <c r="U145" s="8">
        <f t="shared" si="17"/>
        <v>26</v>
      </c>
      <c r="V145" s="7">
        <v>1996</v>
      </c>
      <c r="W145" t="s">
        <v>408</v>
      </c>
      <c r="X145" s="2">
        <v>0.1</v>
      </c>
      <c r="Y145" s="6">
        <f t="shared" si="18"/>
        <v>2.6694428872694269E-3</v>
      </c>
      <c r="AA145">
        <v>9633308</v>
      </c>
      <c r="AB145">
        <v>17917</v>
      </c>
      <c r="AD145" t="s">
        <v>1</v>
      </c>
      <c r="AF145">
        <v>239</v>
      </c>
      <c r="AL145">
        <v>0</v>
      </c>
      <c r="AM145" s="5">
        <f t="shared" si="19"/>
        <v>0</v>
      </c>
      <c r="AN145" s="4">
        <f t="shared" si="20"/>
        <v>0</v>
      </c>
      <c r="AO145" s="3"/>
      <c r="AP145">
        <v>0</v>
      </c>
      <c r="AR145" t="s">
        <v>0</v>
      </c>
      <c r="AT145" s="2" t="s">
        <v>9</v>
      </c>
      <c r="AU145" s="1">
        <f t="shared" si="21"/>
        <v>0.18686100210885986</v>
      </c>
      <c r="AV145" s="1">
        <f t="shared" si="22"/>
        <v>0.13347214436347135</v>
      </c>
      <c r="AW145" s="1">
        <f t="shared" si="23"/>
        <v>8.0083286618082811E-2</v>
      </c>
    </row>
    <row r="146" spans="1:49" x14ac:dyDescent="0.2">
      <c r="A146">
        <v>144</v>
      </c>
      <c r="B146" t="s">
        <v>6772</v>
      </c>
      <c r="F146" t="s">
        <v>6771</v>
      </c>
      <c r="G146" t="s">
        <v>6</v>
      </c>
      <c r="H146" t="s">
        <v>5</v>
      </c>
      <c r="I146" t="s">
        <v>6770</v>
      </c>
      <c r="J146">
        <v>60011520</v>
      </c>
      <c r="K146" t="s">
        <v>6154</v>
      </c>
      <c r="L146" t="s">
        <v>185</v>
      </c>
      <c r="M146" t="s">
        <v>19</v>
      </c>
      <c r="N146">
        <v>2</v>
      </c>
      <c r="O146" t="s">
        <v>6769</v>
      </c>
      <c r="P146" t="s">
        <v>6768</v>
      </c>
      <c r="Q146" t="s">
        <v>6503</v>
      </c>
      <c r="R146" s="7">
        <v>35400</v>
      </c>
      <c r="S146" s="8">
        <f t="shared" si="16"/>
        <v>1996</v>
      </c>
      <c r="T146" s="8">
        <v>1996</v>
      </c>
      <c r="U146" s="8">
        <f t="shared" si="17"/>
        <v>26</v>
      </c>
      <c r="V146" s="7">
        <v>1996</v>
      </c>
      <c r="W146" t="s">
        <v>408</v>
      </c>
      <c r="X146" s="2">
        <v>0.1</v>
      </c>
      <c r="Y146" s="6">
        <f t="shared" si="18"/>
        <v>2.6694428872694269E-3</v>
      </c>
      <c r="AA146">
        <v>9633308</v>
      </c>
      <c r="AB146">
        <v>17917</v>
      </c>
      <c r="AD146" t="s">
        <v>1</v>
      </c>
      <c r="AF146">
        <v>248</v>
      </c>
      <c r="AL146">
        <v>2</v>
      </c>
      <c r="AM146" s="5">
        <f t="shared" si="19"/>
        <v>7.6923076923076927E-2</v>
      </c>
      <c r="AN146" s="4">
        <f t="shared" si="20"/>
        <v>1.1650598549500481E-4</v>
      </c>
      <c r="AO146" s="3"/>
      <c r="AP146">
        <v>0</v>
      </c>
      <c r="AR146" t="s">
        <v>0</v>
      </c>
      <c r="AT146" s="2" t="s">
        <v>9</v>
      </c>
      <c r="AU146" s="1">
        <f t="shared" si="21"/>
        <v>0.19035618167371002</v>
      </c>
      <c r="AV146" s="1">
        <f t="shared" si="22"/>
        <v>0.13929744363822158</v>
      </c>
      <c r="AW146" s="1">
        <f t="shared" si="23"/>
        <v>8.8238705602733142E-2</v>
      </c>
    </row>
    <row r="147" spans="1:49" x14ac:dyDescent="0.2">
      <c r="A147">
        <v>145</v>
      </c>
      <c r="B147" t="s">
        <v>6767</v>
      </c>
      <c r="F147" t="s">
        <v>6766</v>
      </c>
      <c r="G147" t="s">
        <v>6</v>
      </c>
      <c r="H147" t="s">
        <v>5</v>
      </c>
      <c r="I147" t="s">
        <v>390</v>
      </c>
      <c r="J147">
        <v>60031293</v>
      </c>
      <c r="K147" t="s">
        <v>138</v>
      </c>
      <c r="L147" t="s">
        <v>45</v>
      </c>
      <c r="M147" t="s">
        <v>44</v>
      </c>
      <c r="N147">
        <v>7</v>
      </c>
      <c r="O147" t="s">
        <v>6765</v>
      </c>
      <c r="P147" t="s">
        <v>6764</v>
      </c>
      <c r="Q147" t="s">
        <v>6763</v>
      </c>
      <c r="R147" s="7">
        <v>35400</v>
      </c>
      <c r="S147" s="8">
        <f t="shared" si="16"/>
        <v>1996</v>
      </c>
      <c r="T147" s="8">
        <v>1996</v>
      </c>
      <c r="U147" s="8">
        <f t="shared" si="17"/>
        <v>26</v>
      </c>
      <c r="V147" s="7">
        <v>1996</v>
      </c>
      <c r="W147" t="s">
        <v>6762</v>
      </c>
      <c r="X147" s="2">
        <v>0.192</v>
      </c>
      <c r="Y147" s="6">
        <f t="shared" si="18"/>
        <v>5.1253303435572998E-3</v>
      </c>
      <c r="AB147">
        <v>40067</v>
      </c>
      <c r="AD147" t="s">
        <v>1</v>
      </c>
      <c r="AE147">
        <v>2810</v>
      </c>
      <c r="AH147" t="s">
        <v>6761</v>
      </c>
      <c r="AI147" t="s">
        <v>6760</v>
      </c>
      <c r="AK147" t="s">
        <v>6759</v>
      </c>
      <c r="AL147">
        <v>6</v>
      </c>
      <c r="AM147" s="5">
        <f t="shared" si="19"/>
        <v>0.23076923076923078</v>
      </c>
      <c r="AN147" s="4">
        <f t="shared" si="20"/>
        <v>3.4951795648501444E-4</v>
      </c>
      <c r="AO147" s="3"/>
      <c r="AP147">
        <v>0</v>
      </c>
      <c r="AR147" t="s">
        <v>0</v>
      </c>
      <c r="AT147" s="2" t="s">
        <v>9</v>
      </c>
      <c r="AU147" s="1">
        <f t="shared" si="21"/>
        <v>0.36925866274356139</v>
      </c>
      <c r="AV147" s="1">
        <f t="shared" si="22"/>
        <v>0.27374241500211571</v>
      </c>
      <c r="AW147" s="1">
        <f t="shared" si="23"/>
        <v>0.17822616726067</v>
      </c>
    </row>
    <row r="148" spans="1:49" x14ac:dyDescent="0.2">
      <c r="A148">
        <v>146</v>
      </c>
      <c r="B148" t="s">
        <v>6758</v>
      </c>
      <c r="F148" t="s">
        <v>6757</v>
      </c>
      <c r="G148" t="s">
        <v>6</v>
      </c>
      <c r="H148" t="s">
        <v>5</v>
      </c>
      <c r="I148" t="s">
        <v>6756</v>
      </c>
      <c r="J148" t="s">
        <v>6755</v>
      </c>
      <c r="K148" t="s">
        <v>6754</v>
      </c>
      <c r="L148" t="s">
        <v>6753</v>
      </c>
      <c r="M148" t="s">
        <v>18</v>
      </c>
      <c r="N148">
        <v>1</v>
      </c>
      <c r="O148" t="s">
        <v>6752</v>
      </c>
      <c r="P148">
        <v>6603511954</v>
      </c>
      <c r="Q148" t="s">
        <v>6751</v>
      </c>
      <c r="R148" s="7">
        <v>35400</v>
      </c>
      <c r="S148" s="8">
        <f t="shared" si="16"/>
        <v>1996</v>
      </c>
      <c r="T148" s="8">
        <v>1996</v>
      </c>
      <c r="U148" s="8">
        <f t="shared" si="17"/>
        <v>26</v>
      </c>
      <c r="V148" s="7">
        <v>35400</v>
      </c>
      <c r="W148" t="s">
        <v>732</v>
      </c>
      <c r="X148" s="2" t="s">
        <v>9</v>
      </c>
      <c r="Y148" s="6" t="e">
        <f t="shared" si="18"/>
        <v>#VALUE!</v>
      </c>
      <c r="AA148">
        <v>10196587</v>
      </c>
      <c r="AB148">
        <v>18354</v>
      </c>
      <c r="AD148" t="s">
        <v>1</v>
      </c>
      <c r="AF148">
        <v>270</v>
      </c>
      <c r="AH148" t="s">
        <v>6750</v>
      </c>
      <c r="AI148" t="s">
        <v>6749</v>
      </c>
      <c r="AK148" t="s">
        <v>6748</v>
      </c>
      <c r="AL148">
        <v>7</v>
      </c>
      <c r="AM148" s="5">
        <f t="shared" si="19"/>
        <v>0.26923076923076922</v>
      </c>
      <c r="AN148" s="4">
        <f t="shared" si="20"/>
        <v>4.0777094923251682E-4</v>
      </c>
      <c r="AO148" s="3"/>
      <c r="AP148">
        <v>0</v>
      </c>
      <c r="AR148" t="s">
        <v>0</v>
      </c>
      <c r="AT148" s="2" t="s">
        <v>9</v>
      </c>
      <c r="AU148" s="1" t="e">
        <f t="shared" si="21"/>
        <v>#VALUE!</v>
      </c>
      <c r="AV148" s="1" t="e">
        <f t="shared" si="22"/>
        <v>#VALUE!</v>
      </c>
      <c r="AW148" s="1" t="e">
        <f t="shared" si="23"/>
        <v>#VALUE!</v>
      </c>
    </row>
    <row r="149" spans="1:49" x14ac:dyDescent="0.2">
      <c r="A149">
        <v>147</v>
      </c>
      <c r="B149" t="s">
        <v>6747</v>
      </c>
      <c r="F149" t="s">
        <v>6746</v>
      </c>
      <c r="G149" t="s">
        <v>6</v>
      </c>
      <c r="H149" t="s">
        <v>5</v>
      </c>
      <c r="I149" t="s">
        <v>6745</v>
      </c>
      <c r="J149">
        <v>60023254</v>
      </c>
      <c r="K149" t="s">
        <v>6738</v>
      </c>
      <c r="L149" t="s">
        <v>6737</v>
      </c>
      <c r="M149" t="s">
        <v>19</v>
      </c>
      <c r="N149">
        <v>2</v>
      </c>
      <c r="O149" t="s">
        <v>6744</v>
      </c>
      <c r="P149" t="s">
        <v>6743</v>
      </c>
      <c r="Q149" t="s">
        <v>6742</v>
      </c>
      <c r="R149" s="7">
        <v>35400</v>
      </c>
      <c r="S149" s="8">
        <f t="shared" si="16"/>
        <v>1996</v>
      </c>
      <c r="T149" s="8">
        <v>1996</v>
      </c>
      <c r="U149" s="8">
        <f t="shared" si="17"/>
        <v>26</v>
      </c>
      <c r="V149" s="7">
        <v>1996</v>
      </c>
      <c r="W149" t="s">
        <v>408</v>
      </c>
      <c r="X149" s="2">
        <v>0.1</v>
      </c>
      <c r="Y149" s="6">
        <f t="shared" si="18"/>
        <v>2.6694428872694269E-3</v>
      </c>
      <c r="AA149">
        <v>9633308</v>
      </c>
      <c r="AB149">
        <v>17917</v>
      </c>
      <c r="AD149" t="s">
        <v>1</v>
      </c>
      <c r="AF149">
        <v>239</v>
      </c>
      <c r="AL149">
        <v>0</v>
      </c>
      <c r="AM149" s="5">
        <f t="shared" si="19"/>
        <v>0</v>
      </c>
      <c r="AN149" s="4">
        <f t="shared" si="20"/>
        <v>0</v>
      </c>
      <c r="AO149" s="3"/>
      <c r="AP149">
        <v>0</v>
      </c>
      <c r="AR149" t="s">
        <v>0</v>
      </c>
      <c r="AT149" s="2" t="s">
        <v>9</v>
      </c>
      <c r="AU149" s="1">
        <f t="shared" si="21"/>
        <v>0.18686100210885986</v>
      </c>
      <c r="AV149" s="1">
        <f t="shared" si="22"/>
        <v>0.13347214436347135</v>
      </c>
      <c r="AW149" s="1">
        <f t="shared" si="23"/>
        <v>8.0083286618082811E-2</v>
      </c>
    </row>
    <row r="150" spans="1:49" x14ac:dyDescent="0.2">
      <c r="A150">
        <v>148</v>
      </c>
      <c r="B150" t="s">
        <v>6741</v>
      </c>
      <c r="F150" t="s">
        <v>6740</v>
      </c>
      <c r="G150" t="s">
        <v>6</v>
      </c>
      <c r="H150" t="s">
        <v>5</v>
      </c>
      <c r="I150" t="s">
        <v>6739</v>
      </c>
      <c r="J150">
        <v>60023254</v>
      </c>
      <c r="K150" t="s">
        <v>6738</v>
      </c>
      <c r="L150" t="s">
        <v>6737</v>
      </c>
      <c r="M150" t="s">
        <v>19</v>
      </c>
      <c r="N150">
        <v>3</v>
      </c>
      <c r="O150" t="s">
        <v>6736</v>
      </c>
      <c r="P150" t="s">
        <v>6735</v>
      </c>
      <c r="Q150" t="s">
        <v>6734</v>
      </c>
      <c r="R150" s="7">
        <v>35400</v>
      </c>
      <c r="S150" s="8">
        <f t="shared" si="16"/>
        <v>1996</v>
      </c>
      <c r="T150" s="8">
        <v>1996</v>
      </c>
      <c r="U150" s="8">
        <f t="shared" si="17"/>
        <v>26</v>
      </c>
      <c r="V150" s="7">
        <v>1996</v>
      </c>
      <c r="W150" t="s">
        <v>408</v>
      </c>
      <c r="X150" s="2">
        <v>0.1</v>
      </c>
      <c r="Y150" s="6">
        <f t="shared" si="18"/>
        <v>2.6694428872694269E-3</v>
      </c>
      <c r="AA150">
        <v>9633308</v>
      </c>
      <c r="AB150">
        <v>17917</v>
      </c>
      <c r="AD150" t="s">
        <v>1</v>
      </c>
      <c r="AF150">
        <v>239</v>
      </c>
      <c r="AL150">
        <v>1</v>
      </c>
      <c r="AM150" s="5">
        <f t="shared" si="19"/>
        <v>3.8461538461538464E-2</v>
      </c>
      <c r="AN150" s="4">
        <f t="shared" si="20"/>
        <v>5.8252992747502406E-5</v>
      </c>
      <c r="AO150" s="3"/>
      <c r="AP150">
        <v>0</v>
      </c>
      <c r="AR150" t="s">
        <v>0</v>
      </c>
      <c r="AT150" s="2" t="s">
        <v>9</v>
      </c>
      <c r="AU150" s="1">
        <f t="shared" si="21"/>
        <v>0.18860859189128495</v>
      </c>
      <c r="AV150" s="1">
        <f t="shared" si="22"/>
        <v>0.13638479400084647</v>
      </c>
      <c r="AW150" s="1">
        <f t="shared" si="23"/>
        <v>8.4160996110407962E-2</v>
      </c>
    </row>
    <row r="151" spans="1:49" x14ac:dyDescent="0.2">
      <c r="A151">
        <v>149</v>
      </c>
      <c r="B151" t="s">
        <v>6733</v>
      </c>
      <c r="F151" t="s">
        <v>6732</v>
      </c>
      <c r="G151" t="s">
        <v>6</v>
      </c>
      <c r="H151" t="s">
        <v>5</v>
      </c>
      <c r="I151" t="s">
        <v>6731</v>
      </c>
      <c r="J151">
        <v>100367365</v>
      </c>
      <c r="K151" t="s">
        <v>6730</v>
      </c>
      <c r="N151">
        <v>1</v>
      </c>
      <c r="O151" t="s">
        <v>6729</v>
      </c>
      <c r="P151">
        <v>7101925817</v>
      </c>
      <c r="Q151">
        <v>100367365</v>
      </c>
      <c r="R151" s="7">
        <v>35400</v>
      </c>
      <c r="S151" s="8">
        <f t="shared" si="16"/>
        <v>1996</v>
      </c>
      <c r="T151" s="8">
        <v>1996</v>
      </c>
      <c r="U151" s="8">
        <f t="shared" si="17"/>
        <v>26</v>
      </c>
      <c r="V151" s="7">
        <v>1996</v>
      </c>
      <c r="W151" t="s">
        <v>408</v>
      </c>
      <c r="X151" s="2">
        <v>0.1</v>
      </c>
      <c r="Y151" s="6">
        <f t="shared" si="18"/>
        <v>2.6694428872694269E-3</v>
      </c>
      <c r="AA151">
        <v>9633308</v>
      </c>
      <c r="AB151">
        <v>17917</v>
      </c>
      <c r="AD151" t="s">
        <v>1</v>
      </c>
      <c r="AF151">
        <v>239</v>
      </c>
      <c r="AL151">
        <v>1</v>
      </c>
      <c r="AM151" s="5">
        <f t="shared" si="19"/>
        <v>3.8461538461538464E-2</v>
      </c>
      <c r="AN151" s="4">
        <f t="shared" si="20"/>
        <v>5.8252992747502406E-5</v>
      </c>
      <c r="AO151" s="3"/>
      <c r="AP151">
        <v>0</v>
      </c>
      <c r="AR151" t="s">
        <v>0</v>
      </c>
      <c r="AT151" s="2" t="s">
        <v>9</v>
      </c>
      <c r="AU151" s="1">
        <f t="shared" si="21"/>
        <v>0.18860859189128495</v>
      </c>
      <c r="AV151" s="1">
        <f t="shared" si="22"/>
        <v>0.13638479400084647</v>
      </c>
      <c r="AW151" s="1">
        <f t="shared" si="23"/>
        <v>8.4160996110407962E-2</v>
      </c>
    </row>
    <row r="152" spans="1:49" x14ac:dyDescent="0.2">
      <c r="A152">
        <v>150</v>
      </c>
      <c r="B152" t="s">
        <v>6728</v>
      </c>
      <c r="F152" t="s">
        <v>6727</v>
      </c>
      <c r="G152" t="s">
        <v>6</v>
      </c>
      <c r="H152" t="s">
        <v>5</v>
      </c>
      <c r="I152" t="s">
        <v>6726</v>
      </c>
      <c r="J152">
        <v>60017826</v>
      </c>
      <c r="K152" t="s">
        <v>234</v>
      </c>
      <c r="L152" t="s">
        <v>233</v>
      </c>
      <c r="M152" t="s">
        <v>19</v>
      </c>
      <c r="N152">
        <v>3</v>
      </c>
      <c r="O152" t="s">
        <v>6725</v>
      </c>
      <c r="P152" t="s">
        <v>6724</v>
      </c>
      <c r="Q152" t="s">
        <v>232</v>
      </c>
      <c r="R152" s="7">
        <v>35400</v>
      </c>
      <c r="S152" s="8">
        <f t="shared" si="16"/>
        <v>1996</v>
      </c>
      <c r="T152" s="8">
        <v>1996</v>
      </c>
      <c r="U152" s="8">
        <f t="shared" si="17"/>
        <v>26</v>
      </c>
      <c r="V152" s="7">
        <v>1996</v>
      </c>
      <c r="W152" t="s">
        <v>408</v>
      </c>
      <c r="X152" s="2">
        <v>0.1</v>
      </c>
      <c r="Y152" s="6">
        <f t="shared" si="18"/>
        <v>2.6694428872694269E-3</v>
      </c>
      <c r="AA152">
        <v>9633308</v>
      </c>
      <c r="AB152">
        <v>17917</v>
      </c>
      <c r="AD152" t="s">
        <v>1</v>
      </c>
      <c r="AF152">
        <v>239</v>
      </c>
      <c r="AL152">
        <v>5</v>
      </c>
      <c r="AM152" s="5">
        <f t="shared" si="19"/>
        <v>0.19230769230769232</v>
      </c>
      <c r="AN152" s="4">
        <f t="shared" si="20"/>
        <v>2.9126496373751206E-4</v>
      </c>
      <c r="AO152" s="3"/>
      <c r="AP152">
        <v>0</v>
      </c>
      <c r="AR152" t="s">
        <v>0</v>
      </c>
      <c r="AT152" s="2" t="s">
        <v>9</v>
      </c>
      <c r="AU152" s="1">
        <f t="shared" si="21"/>
        <v>0.19559895102098523</v>
      </c>
      <c r="AV152" s="1">
        <f t="shared" si="22"/>
        <v>0.14803539255034695</v>
      </c>
      <c r="AW152" s="1">
        <f t="shared" si="23"/>
        <v>0.10047183407970864</v>
      </c>
    </row>
    <row r="153" spans="1:49" x14ac:dyDescent="0.2">
      <c r="A153">
        <v>151</v>
      </c>
      <c r="B153" t="s">
        <v>6723</v>
      </c>
      <c r="F153" t="s">
        <v>6722</v>
      </c>
      <c r="G153" t="s">
        <v>6</v>
      </c>
      <c r="H153" t="s">
        <v>5</v>
      </c>
      <c r="I153" t="s">
        <v>6721</v>
      </c>
      <c r="J153">
        <v>60003896</v>
      </c>
      <c r="K153" t="s">
        <v>448</v>
      </c>
      <c r="L153" t="s">
        <v>447</v>
      </c>
      <c r="M153" t="s">
        <v>30</v>
      </c>
      <c r="N153">
        <v>1</v>
      </c>
      <c r="O153" t="s">
        <v>6720</v>
      </c>
      <c r="P153">
        <v>6603884638</v>
      </c>
      <c r="Q153">
        <v>60003896</v>
      </c>
      <c r="R153" s="7">
        <v>35400</v>
      </c>
      <c r="S153" s="8">
        <f t="shared" si="16"/>
        <v>1996</v>
      </c>
      <c r="T153" s="8">
        <v>1996</v>
      </c>
      <c r="U153" s="8">
        <f t="shared" si="17"/>
        <v>26</v>
      </c>
      <c r="V153" s="7">
        <v>35400</v>
      </c>
      <c r="W153" t="s">
        <v>732</v>
      </c>
      <c r="X153" s="2" t="s">
        <v>9</v>
      </c>
      <c r="Y153" s="6" t="e">
        <f t="shared" si="18"/>
        <v>#VALUE!</v>
      </c>
      <c r="AA153">
        <v>10196587</v>
      </c>
      <c r="AB153">
        <v>18354</v>
      </c>
      <c r="AD153" t="s">
        <v>1</v>
      </c>
      <c r="AF153">
        <v>270</v>
      </c>
      <c r="AH153" t="s">
        <v>6719</v>
      </c>
      <c r="AI153" t="s">
        <v>6718</v>
      </c>
      <c r="AK153" t="s">
        <v>6717</v>
      </c>
      <c r="AL153">
        <v>0</v>
      </c>
      <c r="AM153" s="5">
        <f t="shared" si="19"/>
        <v>0</v>
      </c>
      <c r="AN153" s="4">
        <f t="shared" si="20"/>
        <v>0</v>
      </c>
      <c r="AO153" s="3"/>
      <c r="AP153">
        <v>0</v>
      </c>
      <c r="AR153" t="s">
        <v>0</v>
      </c>
      <c r="AT153" s="2" t="s">
        <v>9</v>
      </c>
      <c r="AU153" s="1" t="e">
        <f t="shared" si="21"/>
        <v>#VALUE!</v>
      </c>
      <c r="AV153" s="1" t="e">
        <f t="shared" si="22"/>
        <v>#VALUE!</v>
      </c>
      <c r="AW153" s="1" t="e">
        <f t="shared" si="23"/>
        <v>#VALUE!</v>
      </c>
    </row>
    <row r="154" spans="1:49" x14ac:dyDescent="0.2">
      <c r="A154">
        <v>152</v>
      </c>
      <c r="B154" t="s">
        <v>6716</v>
      </c>
      <c r="C154" t="s">
        <v>6715</v>
      </c>
      <c r="F154" t="s">
        <v>6714</v>
      </c>
      <c r="G154" t="s">
        <v>6</v>
      </c>
      <c r="H154" t="s">
        <v>5</v>
      </c>
      <c r="I154" t="s">
        <v>6713</v>
      </c>
      <c r="J154" t="s">
        <v>6712</v>
      </c>
      <c r="K154" t="s">
        <v>6711</v>
      </c>
      <c r="L154" t="s">
        <v>6710</v>
      </c>
      <c r="M154" t="s">
        <v>126</v>
      </c>
      <c r="N154">
        <v>4</v>
      </c>
      <c r="O154" t="s">
        <v>6709</v>
      </c>
      <c r="P154" t="s">
        <v>6708</v>
      </c>
      <c r="Q154" t="s">
        <v>6707</v>
      </c>
      <c r="R154" s="7">
        <v>35400</v>
      </c>
      <c r="S154" s="8">
        <f t="shared" si="16"/>
        <v>1996</v>
      </c>
      <c r="T154" s="8">
        <v>1996</v>
      </c>
      <c r="U154" s="8">
        <f t="shared" si="17"/>
        <v>26</v>
      </c>
      <c r="V154" s="7">
        <v>35400</v>
      </c>
      <c r="W154" t="s">
        <v>593</v>
      </c>
      <c r="X154" s="2">
        <v>1.774</v>
      </c>
      <c r="Y154" s="6">
        <f t="shared" si="18"/>
        <v>4.7355916820159633E-2</v>
      </c>
      <c r="AA154">
        <v>295515</v>
      </c>
      <c r="AB154">
        <v>29066</v>
      </c>
      <c r="AD154" t="s">
        <v>1</v>
      </c>
      <c r="AE154">
        <v>36</v>
      </c>
      <c r="AF154">
        <v>12</v>
      </c>
      <c r="AH154" t="s">
        <v>6706</v>
      </c>
      <c r="AI154" t="s">
        <v>6705</v>
      </c>
      <c r="AK154" t="s">
        <v>6704</v>
      </c>
      <c r="AL154">
        <v>12</v>
      </c>
      <c r="AM154" s="5">
        <f t="shared" si="19"/>
        <v>0.46153846153846156</v>
      </c>
      <c r="AN154" s="4">
        <f t="shared" si="20"/>
        <v>6.9903591297002887E-4</v>
      </c>
      <c r="AO154" s="3"/>
      <c r="AP154">
        <v>0</v>
      </c>
      <c r="AR154" t="s">
        <v>0</v>
      </c>
      <c r="AT154" s="2">
        <v>3.1789999999999998</v>
      </c>
      <c r="AU154" s="1">
        <f t="shared" si="21"/>
        <v>3.3358852548002749</v>
      </c>
      <c r="AV154" s="1">
        <f t="shared" si="22"/>
        <v>2.4027476366564828</v>
      </c>
      <c r="AW154" s="1">
        <f t="shared" si="23"/>
        <v>1.4696100185126908</v>
      </c>
    </row>
    <row r="155" spans="1:49" x14ac:dyDescent="0.2">
      <c r="A155">
        <v>153</v>
      </c>
      <c r="B155" t="s">
        <v>6703</v>
      </c>
      <c r="F155" t="s">
        <v>6702</v>
      </c>
      <c r="G155" t="s">
        <v>6</v>
      </c>
      <c r="H155" t="s">
        <v>5</v>
      </c>
      <c r="I155" t="s">
        <v>6701</v>
      </c>
      <c r="J155">
        <v>60010919</v>
      </c>
      <c r="K155" t="s">
        <v>6700</v>
      </c>
      <c r="L155" t="s">
        <v>6699</v>
      </c>
      <c r="M155" t="s">
        <v>86</v>
      </c>
      <c r="N155">
        <v>3</v>
      </c>
      <c r="O155" t="s">
        <v>6698</v>
      </c>
      <c r="P155" t="s">
        <v>6697</v>
      </c>
      <c r="Q155" t="s">
        <v>6696</v>
      </c>
      <c r="R155" s="7">
        <v>35400</v>
      </c>
      <c r="S155" s="8">
        <f t="shared" si="16"/>
        <v>1996</v>
      </c>
      <c r="T155" s="8">
        <v>1996</v>
      </c>
      <c r="U155" s="8">
        <f t="shared" si="17"/>
        <v>26</v>
      </c>
      <c r="V155" s="7">
        <v>35400</v>
      </c>
      <c r="W155" t="s">
        <v>6695</v>
      </c>
      <c r="X155" s="2" t="s">
        <v>9</v>
      </c>
      <c r="Y155" s="6" t="e">
        <f t="shared" si="18"/>
        <v>#VALUE!</v>
      </c>
      <c r="AA155">
        <v>5701791</v>
      </c>
      <c r="AB155">
        <v>36303</v>
      </c>
      <c r="AD155" t="s">
        <v>1</v>
      </c>
      <c r="AE155">
        <v>35</v>
      </c>
      <c r="AF155">
        <v>4</v>
      </c>
      <c r="AH155" t="s">
        <v>6694</v>
      </c>
      <c r="AI155" t="s">
        <v>6693</v>
      </c>
      <c r="AJ155" t="s">
        <v>6692</v>
      </c>
      <c r="AK155" t="s">
        <v>6691</v>
      </c>
      <c r="AL155">
        <v>0</v>
      </c>
      <c r="AM155" s="5">
        <f t="shared" si="19"/>
        <v>0</v>
      </c>
      <c r="AN155" s="4">
        <f t="shared" si="20"/>
        <v>0</v>
      </c>
      <c r="AO155" s="3"/>
      <c r="AP155">
        <v>0</v>
      </c>
      <c r="AR155" t="s">
        <v>0</v>
      </c>
      <c r="AT155" s="2" t="s">
        <v>9</v>
      </c>
      <c r="AU155" s="1" t="e">
        <f t="shared" si="21"/>
        <v>#VALUE!</v>
      </c>
      <c r="AV155" s="1" t="e">
        <f t="shared" si="22"/>
        <v>#VALUE!</v>
      </c>
      <c r="AW155" s="1" t="e">
        <f t="shared" si="23"/>
        <v>#VALUE!</v>
      </c>
    </row>
    <row r="156" spans="1:49" x14ac:dyDescent="0.2">
      <c r="A156">
        <v>154</v>
      </c>
      <c r="B156" t="s">
        <v>6690</v>
      </c>
      <c r="E156">
        <v>8894298</v>
      </c>
      <c r="F156" t="s">
        <v>6689</v>
      </c>
      <c r="G156" t="s">
        <v>6</v>
      </c>
      <c r="H156" t="s">
        <v>5</v>
      </c>
      <c r="I156" t="s">
        <v>1112</v>
      </c>
      <c r="J156">
        <v>60029170</v>
      </c>
      <c r="K156" t="s">
        <v>66</v>
      </c>
      <c r="L156" t="s">
        <v>65</v>
      </c>
      <c r="M156" t="s">
        <v>46</v>
      </c>
      <c r="N156">
        <v>1</v>
      </c>
      <c r="O156" t="s">
        <v>6688</v>
      </c>
      <c r="P156">
        <v>7005809476</v>
      </c>
      <c r="Q156">
        <v>60029170</v>
      </c>
      <c r="R156" s="7">
        <v>35400</v>
      </c>
      <c r="S156" s="8">
        <f t="shared" si="16"/>
        <v>1996</v>
      </c>
      <c r="T156" s="8">
        <v>1996</v>
      </c>
      <c r="U156" s="8">
        <f t="shared" si="17"/>
        <v>26</v>
      </c>
      <c r="V156" s="7">
        <v>1996</v>
      </c>
      <c r="W156" t="s">
        <v>459</v>
      </c>
      <c r="X156" s="2" t="s">
        <v>9</v>
      </c>
      <c r="Y156" s="6" t="e">
        <f t="shared" si="18"/>
        <v>#VALUE!</v>
      </c>
      <c r="AA156">
        <v>3005208</v>
      </c>
      <c r="AB156">
        <v>80974</v>
      </c>
      <c r="AD156" t="s">
        <v>1</v>
      </c>
      <c r="AF156">
        <v>200</v>
      </c>
      <c r="AH156" t="s">
        <v>6687</v>
      </c>
      <c r="AI156" t="s">
        <v>6686</v>
      </c>
      <c r="AK156" t="s">
        <v>6685</v>
      </c>
      <c r="AL156">
        <v>19</v>
      </c>
      <c r="AM156" s="5">
        <f t="shared" si="19"/>
        <v>0.73076923076923073</v>
      </c>
      <c r="AN156" s="4">
        <f t="shared" si="20"/>
        <v>1.1068068622025456E-3</v>
      </c>
      <c r="AO156" s="3"/>
      <c r="AP156">
        <v>0</v>
      </c>
      <c r="AR156" t="s">
        <v>0</v>
      </c>
      <c r="AT156" s="2" t="s">
        <v>9</v>
      </c>
      <c r="AU156" s="1" t="e">
        <f t="shared" si="21"/>
        <v>#VALUE!</v>
      </c>
      <c r="AV156" s="1" t="e">
        <f t="shared" si="22"/>
        <v>#VALUE!</v>
      </c>
      <c r="AW156" s="1" t="e">
        <f t="shared" si="23"/>
        <v>#VALUE!</v>
      </c>
    </row>
    <row r="157" spans="1:49" x14ac:dyDescent="0.2">
      <c r="A157">
        <v>155</v>
      </c>
      <c r="B157" t="s">
        <v>6684</v>
      </c>
      <c r="E157">
        <v>8894305</v>
      </c>
      <c r="F157" t="s">
        <v>6683</v>
      </c>
      <c r="G157" t="s">
        <v>6</v>
      </c>
      <c r="H157" t="s">
        <v>5</v>
      </c>
      <c r="I157" t="s">
        <v>6682</v>
      </c>
      <c r="J157">
        <v>60004156</v>
      </c>
      <c r="K157" t="s">
        <v>6681</v>
      </c>
      <c r="L157" t="s">
        <v>6680</v>
      </c>
      <c r="M157" t="s">
        <v>59</v>
      </c>
      <c r="N157">
        <v>1</v>
      </c>
      <c r="O157" t="s">
        <v>6679</v>
      </c>
      <c r="P157">
        <v>7005195178</v>
      </c>
      <c r="Q157">
        <v>60004156</v>
      </c>
      <c r="R157" s="7">
        <v>35400</v>
      </c>
      <c r="S157" s="8">
        <f t="shared" si="16"/>
        <v>1996</v>
      </c>
      <c r="T157" s="8">
        <v>1996</v>
      </c>
      <c r="U157" s="8">
        <f t="shared" si="17"/>
        <v>26</v>
      </c>
      <c r="V157" s="7">
        <v>1996</v>
      </c>
      <c r="W157" t="s">
        <v>459</v>
      </c>
      <c r="X157" s="2" t="s">
        <v>9</v>
      </c>
      <c r="Y157" s="6" t="e">
        <f t="shared" si="18"/>
        <v>#VALUE!</v>
      </c>
      <c r="AA157">
        <v>3005208</v>
      </c>
      <c r="AB157">
        <v>80974</v>
      </c>
      <c r="AD157" t="s">
        <v>1</v>
      </c>
      <c r="AF157">
        <v>200</v>
      </c>
      <c r="AH157" t="s">
        <v>6678</v>
      </c>
      <c r="AI157" t="s">
        <v>6677</v>
      </c>
      <c r="AK157" t="s">
        <v>6676</v>
      </c>
      <c r="AL157">
        <v>23</v>
      </c>
      <c r="AM157" s="5">
        <f t="shared" si="19"/>
        <v>0.88461538461538458</v>
      </c>
      <c r="AN157" s="4">
        <f t="shared" si="20"/>
        <v>1.3398188331925553E-3</v>
      </c>
      <c r="AO157" s="3"/>
      <c r="AP157">
        <v>0</v>
      </c>
      <c r="AR157" t="s">
        <v>0</v>
      </c>
      <c r="AT157" s="2" t="s">
        <v>9</v>
      </c>
      <c r="AU157" s="1" t="e">
        <f t="shared" si="21"/>
        <v>#VALUE!</v>
      </c>
      <c r="AV157" s="1" t="e">
        <f t="shared" si="22"/>
        <v>#VALUE!</v>
      </c>
      <c r="AW157" s="1" t="e">
        <f t="shared" si="23"/>
        <v>#VALUE!</v>
      </c>
    </row>
    <row r="158" spans="1:49" x14ac:dyDescent="0.2">
      <c r="A158">
        <v>156</v>
      </c>
      <c r="B158" t="s">
        <v>6675</v>
      </c>
      <c r="E158">
        <v>8894302</v>
      </c>
      <c r="F158" t="s">
        <v>6674</v>
      </c>
      <c r="G158" t="s">
        <v>6</v>
      </c>
      <c r="H158" t="s">
        <v>5</v>
      </c>
      <c r="I158" t="s">
        <v>6673</v>
      </c>
      <c r="J158">
        <v>60030807</v>
      </c>
      <c r="K158" t="s">
        <v>706</v>
      </c>
      <c r="L158" t="s">
        <v>705</v>
      </c>
      <c r="M158" t="s">
        <v>30</v>
      </c>
      <c r="N158">
        <v>3</v>
      </c>
      <c r="O158" t="s">
        <v>6672</v>
      </c>
      <c r="P158" t="s">
        <v>6671</v>
      </c>
      <c r="Q158" t="s">
        <v>6670</v>
      </c>
      <c r="R158" s="7">
        <v>35400</v>
      </c>
      <c r="S158" s="8">
        <f t="shared" si="16"/>
        <v>1996</v>
      </c>
      <c r="T158" s="8">
        <v>1996</v>
      </c>
      <c r="U158" s="8">
        <f t="shared" si="17"/>
        <v>26</v>
      </c>
      <c r="V158" s="7">
        <v>1996</v>
      </c>
      <c r="W158" t="s">
        <v>459</v>
      </c>
      <c r="X158" s="2" t="s">
        <v>9</v>
      </c>
      <c r="Y158" s="6" t="e">
        <f t="shared" si="18"/>
        <v>#VALUE!</v>
      </c>
      <c r="AA158">
        <v>3005208</v>
      </c>
      <c r="AB158">
        <v>80974</v>
      </c>
      <c r="AD158" t="s">
        <v>1</v>
      </c>
      <c r="AF158">
        <v>200</v>
      </c>
      <c r="AH158" t="s">
        <v>6669</v>
      </c>
      <c r="AI158" t="s">
        <v>6668</v>
      </c>
      <c r="AK158" t="s">
        <v>6667</v>
      </c>
      <c r="AL158">
        <v>29</v>
      </c>
      <c r="AM158" s="5">
        <f t="shared" si="19"/>
        <v>1.1153846153846154</v>
      </c>
      <c r="AN158" s="4">
        <f t="shared" si="20"/>
        <v>1.6893367896775697E-3</v>
      </c>
      <c r="AO158" s="3"/>
      <c r="AP158">
        <v>0</v>
      </c>
      <c r="AR158" t="s">
        <v>0</v>
      </c>
      <c r="AT158" s="2" t="s">
        <v>9</v>
      </c>
      <c r="AU158" s="1" t="e">
        <f t="shared" si="21"/>
        <v>#VALUE!</v>
      </c>
      <c r="AV158" s="1" t="e">
        <f t="shared" si="22"/>
        <v>#VALUE!</v>
      </c>
      <c r="AW158" s="1" t="e">
        <f t="shared" si="23"/>
        <v>#VALUE!</v>
      </c>
    </row>
    <row r="159" spans="1:49" x14ac:dyDescent="0.2">
      <c r="A159">
        <v>157</v>
      </c>
      <c r="B159" t="s">
        <v>6666</v>
      </c>
      <c r="C159" t="s">
        <v>6665</v>
      </c>
      <c r="D159" t="s">
        <v>6664</v>
      </c>
      <c r="F159" t="s">
        <v>6663</v>
      </c>
      <c r="G159" t="s">
        <v>6</v>
      </c>
      <c r="H159" t="s">
        <v>5</v>
      </c>
      <c r="I159" t="s">
        <v>6662</v>
      </c>
      <c r="J159" t="s">
        <v>6661</v>
      </c>
      <c r="K159" t="s">
        <v>6660</v>
      </c>
      <c r="L159" t="s">
        <v>6659</v>
      </c>
      <c r="M159" t="s">
        <v>13</v>
      </c>
      <c r="N159">
        <v>2</v>
      </c>
      <c r="O159" t="s">
        <v>6658</v>
      </c>
      <c r="P159" t="s">
        <v>6657</v>
      </c>
      <c r="Q159" t="s">
        <v>6656</v>
      </c>
      <c r="R159" s="7">
        <v>35400</v>
      </c>
      <c r="S159" s="8">
        <f t="shared" si="16"/>
        <v>1996</v>
      </c>
      <c r="T159" s="8">
        <v>1996</v>
      </c>
      <c r="U159" s="8">
        <f t="shared" si="17"/>
        <v>26</v>
      </c>
      <c r="V159" s="7">
        <v>1996</v>
      </c>
      <c r="W159" t="s">
        <v>410</v>
      </c>
      <c r="X159" s="2">
        <v>1.3720000000000001</v>
      </c>
      <c r="Y159" s="6">
        <f t="shared" si="18"/>
        <v>3.662475641333654E-2</v>
      </c>
      <c r="AA159">
        <v>189480</v>
      </c>
      <c r="AB159">
        <v>17366</v>
      </c>
      <c r="AD159" t="s">
        <v>1</v>
      </c>
      <c r="AE159">
        <v>44</v>
      </c>
      <c r="AF159">
        <v>11</v>
      </c>
      <c r="AH159" t="s">
        <v>6655</v>
      </c>
      <c r="AI159" t="s">
        <v>6654</v>
      </c>
      <c r="AK159" t="s">
        <v>6653</v>
      </c>
      <c r="AL159">
        <v>27</v>
      </c>
      <c r="AM159" s="5">
        <f t="shared" si="19"/>
        <v>1.0384615384615385</v>
      </c>
      <c r="AN159" s="4">
        <f t="shared" si="20"/>
        <v>1.572830804182565E-3</v>
      </c>
      <c r="AO159" s="3"/>
      <c r="AP159">
        <v>0</v>
      </c>
      <c r="AQ159" t="s">
        <v>6652</v>
      </c>
      <c r="AR159" t="s">
        <v>0</v>
      </c>
      <c r="AS159" t="s">
        <v>6651</v>
      </c>
      <c r="AT159" s="2" t="s">
        <v>9</v>
      </c>
      <c r="AU159" s="1">
        <f t="shared" si="21"/>
        <v>2.6109178730590346</v>
      </c>
      <c r="AV159" s="1">
        <f t="shared" si="22"/>
        <v>1.9098793608759552</v>
      </c>
      <c r="AW159" s="1">
        <f t="shared" si="23"/>
        <v>1.2088408486928759</v>
      </c>
    </row>
    <row r="160" spans="1:49" x14ac:dyDescent="0.2">
      <c r="A160">
        <v>158</v>
      </c>
      <c r="B160" t="s">
        <v>6650</v>
      </c>
      <c r="C160" t="s">
        <v>6649</v>
      </c>
      <c r="D160" t="s">
        <v>6648</v>
      </c>
      <c r="F160" t="s">
        <v>6647</v>
      </c>
      <c r="G160" t="s">
        <v>6</v>
      </c>
      <c r="H160" t="s">
        <v>5</v>
      </c>
      <c r="I160" t="s">
        <v>6646</v>
      </c>
      <c r="J160">
        <v>60025778</v>
      </c>
      <c r="K160" t="s">
        <v>96</v>
      </c>
      <c r="L160" t="s">
        <v>95</v>
      </c>
      <c r="M160" t="s">
        <v>2</v>
      </c>
      <c r="N160">
        <v>2</v>
      </c>
      <c r="O160" t="s">
        <v>6645</v>
      </c>
      <c r="P160" t="s">
        <v>6644</v>
      </c>
      <c r="Q160" t="s">
        <v>3785</v>
      </c>
      <c r="R160" s="7">
        <v>35400</v>
      </c>
      <c r="S160" s="8">
        <f t="shared" si="16"/>
        <v>1996</v>
      </c>
      <c r="T160" s="8">
        <v>1996</v>
      </c>
      <c r="U160" s="8">
        <f t="shared" si="17"/>
        <v>26</v>
      </c>
      <c r="V160" s="7">
        <v>1996</v>
      </c>
      <c r="W160" t="s">
        <v>150</v>
      </c>
      <c r="X160" s="2">
        <v>1.6519999999999999</v>
      </c>
      <c r="Y160" s="6">
        <f t="shared" si="18"/>
        <v>4.409919649769093E-2</v>
      </c>
      <c r="AA160" t="s">
        <v>149</v>
      </c>
      <c r="AB160">
        <v>17337</v>
      </c>
      <c r="AD160" t="s">
        <v>1</v>
      </c>
      <c r="AE160">
        <v>44</v>
      </c>
      <c r="AF160">
        <v>11</v>
      </c>
      <c r="AH160" t="s">
        <v>6643</v>
      </c>
      <c r="AI160" t="s">
        <v>6642</v>
      </c>
      <c r="AK160" t="s">
        <v>6641</v>
      </c>
      <c r="AL160">
        <v>63</v>
      </c>
      <c r="AM160" s="5">
        <f t="shared" si="19"/>
        <v>2.4230769230769229</v>
      </c>
      <c r="AN160" s="4">
        <f t="shared" si="20"/>
        <v>3.6699385430926513E-3</v>
      </c>
      <c r="AO160" s="3"/>
      <c r="AP160">
        <v>0</v>
      </c>
      <c r="AQ160" t="s">
        <v>54</v>
      </c>
      <c r="AR160" t="s">
        <v>6640</v>
      </c>
      <c r="AS160" t="s">
        <v>53</v>
      </c>
      <c r="AT160" s="2" t="s">
        <v>9</v>
      </c>
      <c r="AU160" s="1">
        <f t="shared" si="21"/>
        <v>3.1970419111311448</v>
      </c>
      <c r="AV160" s="1">
        <f t="shared" si="22"/>
        <v>2.3884567520391791</v>
      </c>
      <c r="AW160" s="1">
        <f t="shared" si="23"/>
        <v>1.5798715929472134</v>
      </c>
    </row>
    <row r="161" spans="1:49" x14ac:dyDescent="0.2">
      <c r="A161">
        <v>159</v>
      </c>
      <c r="B161" t="s">
        <v>6639</v>
      </c>
      <c r="C161" t="s">
        <v>6638</v>
      </c>
      <c r="D161" t="s">
        <v>6637</v>
      </c>
      <c r="F161" t="s">
        <v>6636</v>
      </c>
      <c r="G161" t="s">
        <v>6</v>
      </c>
      <c r="H161" t="s">
        <v>5</v>
      </c>
      <c r="I161" t="s">
        <v>398</v>
      </c>
      <c r="J161">
        <v>60014171</v>
      </c>
      <c r="K161" t="s">
        <v>397</v>
      </c>
      <c r="L161" t="s">
        <v>396</v>
      </c>
      <c r="M161" t="s">
        <v>41</v>
      </c>
      <c r="N161">
        <v>2</v>
      </c>
      <c r="O161" t="s">
        <v>395</v>
      </c>
      <c r="P161" t="s">
        <v>394</v>
      </c>
      <c r="Q161" t="s">
        <v>393</v>
      </c>
      <c r="R161" s="7">
        <v>35400</v>
      </c>
      <c r="S161" s="8">
        <f t="shared" si="16"/>
        <v>1996</v>
      </c>
      <c r="T161" s="8">
        <v>1996</v>
      </c>
      <c r="U161" s="8">
        <f t="shared" si="17"/>
        <v>26</v>
      </c>
      <c r="V161" s="7">
        <v>1996</v>
      </c>
      <c r="W161" t="s">
        <v>150</v>
      </c>
      <c r="X161" s="2">
        <v>1.6519999999999999</v>
      </c>
      <c r="Y161" s="6">
        <f t="shared" si="18"/>
        <v>4.409919649769093E-2</v>
      </c>
      <c r="AA161" t="s">
        <v>149</v>
      </c>
      <c r="AB161">
        <v>17337</v>
      </c>
      <c r="AD161" t="s">
        <v>1</v>
      </c>
      <c r="AE161">
        <v>44</v>
      </c>
      <c r="AF161">
        <v>11</v>
      </c>
      <c r="AH161" t="s">
        <v>6635</v>
      </c>
      <c r="AI161" t="s">
        <v>6634</v>
      </c>
      <c r="AK161" t="s">
        <v>6633</v>
      </c>
      <c r="AL161">
        <v>10</v>
      </c>
      <c r="AM161" s="5">
        <f t="shared" si="19"/>
        <v>0.38461538461538464</v>
      </c>
      <c r="AN161" s="4">
        <f t="shared" si="20"/>
        <v>5.8252992747502411E-4</v>
      </c>
      <c r="AO161" s="3"/>
      <c r="AP161">
        <v>0</v>
      </c>
      <c r="AR161" t="s">
        <v>0</v>
      </c>
      <c r="AT161" s="2" t="s">
        <v>9</v>
      </c>
      <c r="AU161" s="1">
        <f t="shared" si="21"/>
        <v>3.104419652662616</v>
      </c>
      <c r="AV161" s="1">
        <f t="shared" si="22"/>
        <v>2.2340863212582978</v>
      </c>
      <c r="AW161" s="1">
        <f t="shared" si="23"/>
        <v>1.3637529898539795</v>
      </c>
    </row>
    <row r="162" spans="1:49" x14ac:dyDescent="0.2">
      <c r="A162">
        <v>160</v>
      </c>
      <c r="B162" t="s">
        <v>6632</v>
      </c>
      <c r="C162" t="s">
        <v>6631</v>
      </c>
      <c r="D162" t="s">
        <v>6630</v>
      </c>
      <c r="F162" t="s">
        <v>6629</v>
      </c>
      <c r="G162" t="s">
        <v>6</v>
      </c>
      <c r="H162" t="s">
        <v>5</v>
      </c>
      <c r="I162" t="s">
        <v>6628</v>
      </c>
      <c r="J162" t="s">
        <v>6627</v>
      </c>
      <c r="K162" t="s">
        <v>6626</v>
      </c>
      <c r="L162" t="s">
        <v>6625</v>
      </c>
      <c r="M162" t="s">
        <v>13</v>
      </c>
      <c r="N162">
        <v>2</v>
      </c>
      <c r="O162" t="s">
        <v>6624</v>
      </c>
      <c r="P162" t="s">
        <v>6623</v>
      </c>
      <c r="Q162" t="s">
        <v>6622</v>
      </c>
      <c r="R162" s="7">
        <v>35400</v>
      </c>
      <c r="S162" s="8">
        <f t="shared" si="16"/>
        <v>1996</v>
      </c>
      <c r="T162" s="8">
        <v>1996</v>
      </c>
      <c r="U162" s="8">
        <f t="shared" si="17"/>
        <v>26</v>
      </c>
      <c r="V162" s="7">
        <v>1996</v>
      </c>
      <c r="W162" t="s">
        <v>361</v>
      </c>
      <c r="X162" s="2">
        <v>1.468</v>
      </c>
      <c r="Y162" s="6">
        <f t="shared" si="18"/>
        <v>3.9187421585115186E-2</v>
      </c>
      <c r="AA162">
        <v>906778</v>
      </c>
      <c r="AB162">
        <v>18931</v>
      </c>
      <c r="AD162" t="s">
        <v>1</v>
      </c>
      <c r="AE162">
        <v>44</v>
      </c>
      <c r="AF162">
        <v>11</v>
      </c>
      <c r="AH162" t="s">
        <v>6621</v>
      </c>
      <c r="AI162" t="s">
        <v>6620</v>
      </c>
      <c r="AK162" t="s">
        <v>6619</v>
      </c>
      <c r="AL162">
        <v>4</v>
      </c>
      <c r="AM162" s="5">
        <f t="shared" si="19"/>
        <v>0.15384615384615385</v>
      </c>
      <c r="AN162" s="4">
        <f t="shared" si="20"/>
        <v>2.3301197099000962E-4</v>
      </c>
      <c r="AO162" s="3"/>
      <c r="AP162">
        <v>0</v>
      </c>
      <c r="AQ162" t="s">
        <v>24</v>
      </c>
      <c r="AR162" t="s">
        <v>6618</v>
      </c>
      <c r="AS162" t="s">
        <v>23</v>
      </c>
      <c r="AT162" s="2">
        <v>5.0830000000000002</v>
      </c>
      <c r="AU162" s="1">
        <f t="shared" si="21"/>
        <v>2.7501098700877633</v>
      </c>
      <c r="AV162" s="1">
        <f t="shared" si="22"/>
        <v>1.9710216778052598</v>
      </c>
      <c r="AW162" s="1">
        <f t="shared" si="23"/>
        <v>1.1919334855227564</v>
      </c>
    </row>
    <row r="163" spans="1:49" x14ac:dyDescent="0.2">
      <c r="A163">
        <v>161</v>
      </c>
      <c r="B163" t="s">
        <v>6617</v>
      </c>
      <c r="C163" t="s">
        <v>6616</v>
      </c>
      <c r="D163" t="s">
        <v>6615</v>
      </c>
      <c r="F163" t="s">
        <v>6614</v>
      </c>
      <c r="G163" t="s">
        <v>6</v>
      </c>
      <c r="H163" t="s">
        <v>5</v>
      </c>
      <c r="I163" t="s">
        <v>6613</v>
      </c>
      <c r="J163">
        <v>101472815</v>
      </c>
      <c r="K163" t="s">
        <v>6612</v>
      </c>
      <c r="L163" t="s">
        <v>64</v>
      </c>
      <c r="M163" t="s">
        <v>41</v>
      </c>
      <c r="N163">
        <v>4</v>
      </c>
      <c r="O163" t="s">
        <v>6611</v>
      </c>
      <c r="P163" t="s">
        <v>6610</v>
      </c>
      <c r="Q163" t="s">
        <v>6609</v>
      </c>
      <c r="R163" s="7">
        <v>35400</v>
      </c>
      <c r="S163" s="8">
        <f t="shared" si="16"/>
        <v>1996</v>
      </c>
      <c r="T163" s="8">
        <v>1996</v>
      </c>
      <c r="U163" s="8">
        <f t="shared" si="17"/>
        <v>26</v>
      </c>
      <c r="V163" s="7">
        <v>1996</v>
      </c>
      <c r="W163" t="s">
        <v>150</v>
      </c>
      <c r="X163" s="2">
        <v>1.6519999999999999</v>
      </c>
      <c r="Y163" s="6">
        <f t="shared" si="18"/>
        <v>4.409919649769093E-2</v>
      </c>
      <c r="AA163" t="s">
        <v>149</v>
      </c>
      <c r="AB163">
        <v>17337</v>
      </c>
      <c r="AD163" t="s">
        <v>1</v>
      </c>
      <c r="AE163">
        <v>44</v>
      </c>
      <c r="AF163">
        <v>11</v>
      </c>
      <c r="AH163" t="s">
        <v>6608</v>
      </c>
      <c r="AI163" t="s">
        <v>6607</v>
      </c>
      <c r="AK163" t="s">
        <v>6606</v>
      </c>
      <c r="AL163">
        <v>79</v>
      </c>
      <c r="AM163" s="5">
        <f t="shared" si="19"/>
        <v>3.0384615384615383</v>
      </c>
      <c r="AN163" s="4">
        <f t="shared" si="20"/>
        <v>4.6019864270526898E-3</v>
      </c>
      <c r="AO163" s="3"/>
      <c r="AP163">
        <v>0</v>
      </c>
      <c r="AR163" t="s">
        <v>0</v>
      </c>
      <c r="AT163" s="2" t="s">
        <v>9</v>
      </c>
      <c r="AU163" s="1">
        <f t="shared" si="21"/>
        <v>3.2250033476499453</v>
      </c>
      <c r="AV163" s="1">
        <f t="shared" si="22"/>
        <v>2.4350591462371809</v>
      </c>
      <c r="AW163" s="1">
        <f t="shared" si="23"/>
        <v>1.6451149448244162</v>
      </c>
    </row>
    <row r="164" spans="1:49" x14ac:dyDescent="0.2">
      <c r="A164">
        <v>162</v>
      </c>
      <c r="B164" t="s">
        <v>6605</v>
      </c>
      <c r="C164" t="s">
        <v>6604</v>
      </c>
      <c r="D164" t="s">
        <v>6603</v>
      </c>
      <c r="F164" t="s">
        <v>6602</v>
      </c>
      <c r="G164" t="s">
        <v>6</v>
      </c>
      <c r="H164" t="s">
        <v>5</v>
      </c>
      <c r="I164" t="s">
        <v>370</v>
      </c>
      <c r="J164">
        <v>60000990</v>
      </c>
      <c r="K164" t="s">
        <v>278</v>
      </c>
      <c r="L164" t="s">
        <v>277</v>
      </c>
      <c r="M164" t="s">
        <v>46</v>
      </c>
      <c r="N164">
        <v>3</v>
      </c>
      <c r="O164" t="s">
        <v>6601</v>
      </c>
      <c r="P164" t="s">
        <v>6600</v>
      </c>
      <c r="Q164" t="s">
        <v>462</v>
      </c>
      <c r="R164" s="7">
        <v>35400</v>
      </c>
      <c r="S164" s="8">
        <f t="shared" si="16"/>
        <v>1996</v>
      </c>
      <c r="T164" s="8">
        <v>1996</v>
      </c>
      <c r="U164" s="8">
        <f t="shared" si="17"/>
        <v>26</v>
      </c>
      <c r="V164" s="7">
        <v>1996</v>
      </c>
      <c r="W164" t="s">
        <v>150</v>
      </c>
      <c r="X164" s="2">
        <v>1.6519999999999999</v>
      </c>
      <c r="Y164" s="6">
        <f t="shared" si="18"/>
        <v>4.409919649769093E-2</v>
      </c>
      <c r="AA164" t="s">
        <v>149</v>
      </c>
      <c r="AB164">
        <v>17337</v>
      </c>
      <c r="AD164" t="s">
        <v>1</v>
      </c>
      <c r="AE164">
        <v>44</v>
      </c>
      <c r="AF164">
        <v>11</v>
      </c>
      <c r="AH164" t="s">
        <v>6599</v>
      </c>
      <c r="AI164" t="s">
        <v>6598</v>
      </c>
      <c r="AK164" t="s">
        <v>6597</v>
      </c>
      <c r="AL164">
        <v>164</v>
      </c>
      <c r="AM164" s="5">
        <f t="shared" si="19"/>
        <v>6.3076923076923075</v>
      </c>
      <c r="AN164" s="4">
        <f t="shared" si="20"/>
        <v>9.553490810590393E-3</v>
      </c>
      <c r="AO164" s="3"/>
      <c r="AP164">
        <v>0</v>
      </c>
      <c r="AQ164" t="s">
        <v>6596</v>
      </c>
      <c r="AR164" t="s">
        <v>0</v>
      </c>
      <c r="AS164" t="s">
        <v>6595</v>
      </c>
      <c r="AT164" s="2" t="s">
        <v>9</v>
      </c>
      <c r="AU164" s="1">
        <f t="shared" si="21"/>
        <v>3.373548479156077</v>
      </c>
      <c r="AV164" s="1">
        <f t="shared" si="22"/>
        <v>2.6826343654140663</v>
      </c>
      <c r="AW164" s="1">
        <f t="shared" si="23"/>
        <v>1.9917202516720554</v>
      </c>
    </row>
    <row r="165" spans="1:49" x14ac:dyDescent="0.2">
      <c r="A165">
        <v>163</v>
      </c>
      <c r="B165" t="s">
        <v>6594</v>
      </c>
      <c r="C165" t="s">
        <v>6593</v>
      </c>
      <c r="D165" t="s">
        <v>6592</v>
      </c>
      <c r="F165" t="s">
        <v>6591</v>
      </c>
      <c r="G165" t="s">
        <v>6</v>
      </c>
      <c r="H165" t="s">
        <v>5</v>
      </c>
      <c r="I165" t="s">
        <v>6590</v>
      </c>
      <c r="J165">
        <v>60020650</v>
      </c>
      <c r="K165" t="s">
        <v>704</v>
      </c>
      <c r="L165" t="s">
        <v>703</v>
      </c>
      <c r="M165" t="s">
        <v>19</v>
      </c>
      <c r="N165">
        <v>2</v>
      </c>
      <c r="O165" t="s">
        <v>6589</v>
      </c>
      <c r="P165" t="s">
        <v>6588</v>
      </c>
      <c r="Q165" t="s">
        <v>6263</v>
      </c>
      <c r="R165" s="7">
        <v>35400</v>
      </c>
      <c r="S165" s="8">
        <f t="shared" si="16"/>
        <v>1996</v>
      </c>
      <c r="T165" s="8">
        <v>1996</v>
      </c>
      <c r="U165" s="8">
        <f t="shared" si="17"/>
        <v>26</v>
      </c>
      <c r="V165" s="7">
        <v>1996</v>
      </c>
      <c r="W165" t="s">
        <v>150</v>
      </c>
      <c r="X165" s="2">
        <v>1.6519999999999999</v>
      </c>
      <c r="Y165" s="6">
        <f t="shared" si="18"/>
        <v>4.409919649769093E-2</v>
      </c>
      <c r="AA165" t="s">
        <v>149</v>
      </c>
      <c r="AB165">
        <v>17337</v>
      </c>
      <c r="AD165" t="s">
        <v>1</v>
      </c>
      <c r="AE165">
        <v>44</v>
      </c>
      <c r="AF165">
        <v>11</v>
      </c>
      <c r="AH165" t="s">
        <v>6587</v>
      </c>
      <c r="AI165" t="s">
        <v>6586</v>
      </c>
      <c r="AK165" t="s">
        <v>6585</v>
      </c>
      <c r="AL165">
        <v>16</v>
      </c>
      <c r="AM165" s="5">
        <f t="shared" si="19"/>
        <v>0.61538461538461542</v>
      </c>
      <c r="AN165" s="4">
        <f t="shared" si="20"/>
        <v>9.320478839600385E-4</v>
      </c>
      <c r="AO165" s="3"/>
      <c r="AP165">
        <v>0</v>
      </c>
      <c r="AQ165" t="s">
        <v>4485</v>
      </c>
      <c r="AR165" t="s">
        <v>0</v>
      </c>
      <c r="AS165" t="s">
        <v>4484</v>
      </c>
      <c r="AT165" s="2" t="s">
        <v>9</v>
      </c>
      <c r="AU165" s="1">
        <f t="shared" si="21"/>
        <v>3.1149051913571664</v>
      </c>
      <c r="AV165" s="1">
        <f t="shared" si="22"/>
        <v>2.2515622190825484</v>
      </c>
      <c r="AW165" s="1">
        <f t="shared" si="23"/>
        <v>1.3882192468079304</v>
      </c>
    </row>
    <row r="166" spans="1:49" x14ac:dyDescent="0.2">
      <c r="A166">
        <v>164</v>
      </c>
      <c r="B166" t="s">
        <v>6584</v>
      </c>
      <c r="C166" t="s">
        <v>6583</v>
      </c>
      <c r="D166" t="s">
        <v>6582</v>
      </c>
      <c r="F166" t="s">
        <v>6581</v>
      </c>
      <c r="G166" t="s">
        <v>6</v>
      </c>
      <c r="H166" t="s">
        <v>5</v>
      </c>
      <c r="I166" t="s">
        <v>6580</v>
      </c>
      <c r="J166">
        <v>60022195</v>
      </c>
      <c r="K166" t="s">
        <v>4200</v>
      </c>
      <c r="L166" t="s">
        <v>93</v>
      </c>
      <c r="M166" t="s">
        <v>2</v>
      </c>
      <c r="N166">
        <v>3</v>
      </c>
      <c r="O166" t="s">
        <v>6579</v>
      </c>
      <c r="P166" t="s">
        <v>6578</v>
      </c>
      <c r="Q166" t="s">
        <v>6577</v>
      </c>
      <c r="R166" s="7">
        <v>35400</v>
      </c>
      <c r="S166" s="8">
        <f t="shared" si="16"/>
        <v>1996</v>
      </c>
      <c r="T166" s="8">
        <v>1996</v>
      </c>
      <c r="U166" s="8">
        <f t="shared" si="17"/>
        <v>26</v>
      </c>
      <c r="V166" s="7">
        <v>1996</v>
      </c>
      <c r="W166" t="s">
        <v>410</v>
      </c>
      <c r="X166" s="2">
        <v>1.3720000000000001</v>
      </c>
      <c r="Y166" s="6">
        <f t="shared" si="18"/>
        <v>3.662475641333654E-2</v>
      </c>
      <c r="AA166">
        <v>189480</v>
      </c>
      <c r="AB166">
        <v>17366</v>
      </c>
      <c r="AD166" t="s">
        <v>1</v>
      </c>
      <c r="AE166">
        <v>44</v>
      </c>
      <c r="AF166">
        <v>11</v>
      </c>
      <c r="AH166" t="s">
        <v>6576</v>
      </c>
      <c r="AI166" t="s">
        <v>6575</v>
      </c>
      <c r="AK166" t="s">
        <v>6574</v>
      </c>
      <c r="AL166">
        <v>8</v>
      </c>
      <c r="AM166" s="5">
        <f t="shared" si="19"/>
        <v>0.30769230769230771</v>
      </c>
      <c r="AN166" s="4">
        <f t="shared" si="20"/>
        <v>4.6602394198001925E-4</v>
      </c>
      <c r="AO166" s="3"/>
      <c r="AP166">
        <v>0</v>
      </c>
      <c r="AQ166" t="s">
        <v>341</v>
      </c>
      <c r="AR166" t="s">
        <v>6573</v>
      </c>
      <c r="AS166" t="s">
        <v>340</v>
      </c>
      <c r="AT166" s="2" t="s">
        <v>9</v>
      </c>
      <c r="AU166" s="1">
        <f t="shared" si="21"/>
        <v>2.5777136671929579</v>
      </c>
      <c r="AV166" s="1">
        <f t="shared" si="22"/>
        <v>1.8545390177658279</v>
      </c>
      <c r="AW166" s="1">
        <f t="shared" si="23"/>
        <v>1.1313643683386976</v>
      </c>
    </row>
    <row r="167" spans="1:49" x14ac:dyDescent="0.2">
      <c r="A167">
        <v>165</v>
      </c>
      <c r="B167" t="s">
        <v>6572</v>
      </c>
      <c r="C167" t="s">
        <v>6571</v>
      </c>
      <c r="D167" t="s">
        <v>6570</v>
      </c>
      <c r="F167" t="s">
        <v>6569</v>
      </c>
      <c r="G167" t="s">
        <v>6</v>
      </c>
      <c r="H167" t="s">
        <v>5</v>
      </c>
      <c r="I167" t="s">
        <v>6568</v>
      </c>
      <c r="J167">
        <v>60019983</v>
      </c>
      <c r="K167" t="s">
        <v>6567</v>
      </c>
      <c r="L167" t="s">
        <v>6566</v>
      </c>
      <c r="M167" t="s">
        <v>44</v>
      </c>
      <c r="N167">
        <v>2</v>
      </c>
      <c r="O167" t="s">
        <v>6565</v>
      </c>
      <c r="P167" t="s">
        <v>6564</v>
      </c>
      <c r="Q167" t="s">
        <v>6563</v>
      </c>
      <c r="R167" s="7">
        <v>35400</v>
      </c>
      <c r="S167" s="8">
        <f t="shared" si="16"/>
        <v>1996</v>
      </c>
      <c r="T167" s="8">
        <v>1996</v>
      </c>
      <c r="U167" s="8">
        <f t="shared" si="17"/>
        <v>26</v>
      </c>
      <c r="V167" s="7">
        <v>1996</v>
      </c>
      <c r="W167" t="s">
        <v>150</v>
      </c>
      <c r="X167" s="2">
        <v>1.6519999999999999</v>
      </c>
      <c r="Y167" s="6">
        <f t="shared" si="18"/>
        <v>4.409919649769093E-2</v>
      </c>
      <c r="AA167" t="s">
        <v>149</v>
      </c>
      <c r="AB167">
        <v>17337</v>
      </c>
      <c r="AD167" t="s">
        <v>1</v>
      </c>
      <c r="AE167">
        <v>44</v>
      </c>
      <c r="AF167">
        <v>11</v>
      </c>
      <c r="AH167" t="s">
        <v>6562</v>
      </c>
      <c r="AI167" t="s">
        <v>6561</v>
      </c>
      <c r="AK167" t="s">
        <v>6560</v>
      </c>
      <c r="AL167">
        <v>140</v>
      </c>
      <c r="AM167" s="5">
        <f t="shared" si="19"/>
        <v>5.384615384615385</v>
      </c>
      <c r="AN167" s="4">
        <f t="shared" si="20"/>
        <v>8.1554189846503363E-3</v>
      </c>
      <c r="AO167" s="3"/>
      <c r="AP167">
        <v>0</v>
      </c>
      <c r="AR167" t="s">
        <v>0</v>
      </c>
      <c r="AT167" s="2" t="s">
        <v>9</v>
      </c>
      <c r="AU167" s="1">
        <f t="shared" si="21"/>
        <v>3.3316063243778755</v>
      </c>
      <c r="AV167" s="1">
        <f t="shared" si="22"/>
        <v>2.6127307741170633</v>
      </c>
      <c r="AW167" s="1">
        <f t="shared" si="23"/>
        <v>1.8938552238562514</v>
      </c>
    </row>
    <row r="168" spans="1:49" x14ac:dyDescent="0.2">
      <c r="A168">
        <v>166</v>
      </c>
      <c r="B168" t="s">
        <v>6559</v>
      </c>
      <c r="C168" t="s">
        <v>6558</v>
      </c>
      <c r="D168" t="s">
        <v>6557</v>
      </c>
      <c r="F168" t="s">
        <v>6556</v>
      </c>
      <c r="G168" t="s">
        <v>6</v>
      </c>
      <c r="H168" t="s">
        <v>5</v>
      </c>
      <c r="I168" t="s">
        <v>6555</v>
      </c>
      <c r="J168">
        <v>60011047</v>
      </c>
      <c r="K168" t="s">
        <v>320</v>
      </c>
      <c r="L168" t="s">
        <v>319</v>
      </c>
      <c r="M168" t="s">
        <v>44</v>
      </c>
      <c r="N168">
        <v>1</v>
      </c>
      <c r="O168" t="s">
        <v>6554</v>
      </c>
      <c r="P168">
        <v>7005896265</v>
      </c>
      <c r="Q168">
        <v>60011047</v>
      </c>
      <c r="R168" s="7">
        <v>35400</v>
      </c>
      <c r="S168" s="8">
        <f t="shared" si="16"/>
        <v>1996</v>
      </c>
      <c r="T168" s="8">
        <v>1996</v>
      </c>
      <c r="U168" s="8">
        <f t="shared" si="17"/>
        <v>26</v>
      </c>
      <c r="V168" s="7">
        <v>1996</v>
      </c>
      <c r="W168" t="s">
        <v>150</v>
      </c>
      <c r="X168" s="2">
        <v>1.6519999999999999</v>
      </c>
      <c r="Y168" s="6">
        <f t="shared" si="18"/>
        <v>4.409919649769093E-2</v>
      </c>
      <c r="AA168" t="s">
        <v>149</v>
      </c>
      <c r="AB168">
        <v>17337</v>
      </c>
      <c r="AD168" t="s">
        <v>1</v>
      </c>
      <c r="AE168">
        <v>44</v>
      </c>
      <c r="AF168">
        <v>11</v>
      </c>
      <c r="AH168" t="s">
        <v>6553</v>
      </c>
      <c r="AI168" t="s">
        <v>6552</v>
      </c>
      <c r="AK168" t="s">
        <v>6551</v>
      </c>
      <c r="AL168">
        <v>1</v>
      </c>
      <c r="AM168" s="5">
        <f t="shared" si="19"/>
        <v>3.8461538461538464E-2</v>
      </c>
      <c r="AN168" s="4">
        <f t="shared" si="20"/>
        <v>5.8252992747502406E-5</v>
      </c>
      <c r="AO168" s="3"/>
      <c r="AP168">
        <v>0</v>
      </c>
      <c r="AR168" t="s">
        <v>0</v>
      </c>
      <c r="AT168" s="2" t="s">
        <v>9</v>
      </c>
      <c r="AU168" s="1">
        <f t="shared" si="21"/>
        <v>3.0886913446207904</v>
      </c>
      <c r="AV168" s="1">
        <f t="shared" si="22"/>
        <v>2.2078724745219218</v>
      </c>
      <c r="AW168" s="1">
        <f t="shared" si="23"/>
        <v>1.327053604423053</v>
      </c>
    </row>
    <row r="169" spans="1:49" x14ac:dyDescent="0.2">
      <c r="A169">
        <v>167</v>
      </c>
      <c r="B169" t="s">
        <v>6550</v>
      </c>
      <c r="C169" t="s">
        <v>6549</v>
      </c>
      <c r="D169" t="s">
        <v>6548</v>
      </c>
      <c r="F169" t="s">
        <v>6547</v>
      </c>
      <c r="G169" t="s">
        <v>6</v>
      </c>
      <c r="H169" t="s">
        <v>5</v>
      </c>
      <c r="I169" t="s">
        <v>6546</v>
      </c>
      <c r="J169">
        <v>60009037</v>
      </c>
      <c r="K169" t="s">
        <v>34</v>
      </c>
      <c r="L169" t="s">
        <v>33</v>
      </c>
      <c r="M169" t="s">
        <v>2</v>
      </c>
      <c r="N169">
        <v>3</v>
      </c>
      <c r="O169" t="s">
        <v>6545</v>
      </c>
      <c r="P169" t="s">
        <v>6544</v>
      </c>
      <c r="Q169" t="s">
        <v>291</v>
      </c>
      <c r="R169" s="7">
        <v>35400</v>
      </c>
      <c r="S169" s="8">
        <f t="shared" si="16"/>
        <v>1996</v>
      </c>
      <c r="T169" s="8">
        <v>1996</v>
      </c>
      <c r="U169" s="8">
        <f t="shared" si="17"/>
        <v>26</v>
      </c>
      <c r="V169" s="7">
        <v>1996</v>
      </c>
      <c r="W169" t="s">
        <v>361</v>
      </c>
      <c r="X169" s="2">
        <v>1.468</v>
      </c>
      <c r="Y169" s="6">
        <f t="shared" si="18"/>
        <v>3.9187421585115186E-2</v>
      </c>
      <c r="AA169">
        <v>906778</v>
      </c>
      <c r="AB169">
        <v>18931</v>
      </c>
      <c r="AD169" t="s">
        <v>1</v>
      </c>
      <c r="AE169">
        <v>44</v>
      </c>
      <c r="AF169">
        <v>11</v>
      </c>
      <c r="AH169" t="s">
        <v>6543</v>
      </c>
      <c r="AI169" t="s">
        <v>6542</v>
      </c>
      <c r="AK169" t="s">
        <v>6541</v>
      </c>
      <c r="AL169">
        <v>3</v>
      </c>
      <c r="AM169" s="5">
        <f t="shared" si="19"/>
        <v>0.11538461538461539</v>
      </c>
      <c r="AN169" s="4">
        <f t="shared" si="20"/>
        <v>1.7475897824250722E-4</v>
      </c>
      <c r="AO169" s="3"/>
      <c r="AP169">
        <v>0</v>
      </c>
      <c r="AQ169" t="s">
        <v>6106</v>
      </c>
      <c r="AR169" t="s">
        <v>0</v>
      </c>
      <c r="AS169" t="s">
        <v>53</v>
      </c>
      <c r="AT169" s="2">
        <v>5.0830000000000002</v>
      </c>
      <c r="AU169" s="1">
        <f t="shared" si="21"/>
        <v>2.7483622803053378</v>
      </c>
      <c r="AV169" s="1">
        <f t="shared" si="22"/>
        <v>1.9681090281678846</v>
      </c>
      <c r="AW169" s="1">
        <f t="shared" si="23"/>
        <v>1.1878557760304311</v>
      </c>
    </row>
    <row r="170" spans="1:49" x14ac:dyDescent="0.2">
      <c r="A170">
        <v>168</v>
      </c>
      <c r="B170" t="s">
        <v>6540</v>
      </c>
      <c r="C170" t="s">
        <v>6539</v>
      </c>
      <c r="D170" t="s">
        <v>6538</v>
      </c>
      <c r="F170" t="s">
        <v>6537</v>
      </c>
      <c r="G170" t="s">
        <v>6</v>
      </c>
      <c r="H170" t="s">
        <v>5</v>
      </c>
      <c r="I170" t="s">
        <v>6536</v>
      </c>
      <c r="J170">
        <v>60027550</v>
      </c>
      <c r="K170" t="s">
        <v>113</v>
      </c>
      <c r="L170" t="s">
        <v>112</v>
      </c>
      <c r="M170" t="s">
        <v>2</v>
      </c>
      <c r="N170">
        <v>2</v>
      </c>
      <c r="O170" t="s">
        <v>6535</v>
      </c>
      <c r="P170" t="s">
        <v>6534</v>
      </c>
      <c r="Q170" t="s">
        <v>261</v>
      </c>
      <c r="R170" s="7">
        <v>35400</v>
      </c>
      <c r="S170" s="8">
        <f t="shared" si="16"/>
        <v>1996</v>
      </c>
      <c r="T170" s="8">
        <v>1996</v>
      </c>
      <c r="U170" s="8">
        <f t="shared" si="17"/>
        <v>26</v>
      </c>
      <c r="V170" s="7">
        <v>1996</v>
      </c>
      <c r="W170" t="s">
        <v>150</v>
      </c>
      <c r="X170" s="2">
        <v>1.6519999999999999</v>
      </c>
      <c r="Y170" s="6">
        <f t="shared" si="18"/>
        <v>4.409919649769093E-2</v>
      </c>
      <c r="AA170" t="s">
        <v>149</v>
      </c>
      <c r="AB170">
        <v>17337</v>
      </c>
      <c r="AD170" t="s">
        <v>1</v>
      </c>
      <c r="AE170">
        <v>44</v>
      </c>
      <c r="AF170">
        <v>11</v>
      </c>
      <c r="AH170" t="s">
        <v>477</v>
      </c>
      <c r="AI170" t="s">
        <v>6533</v>
      </c>
      <c r="AK170" t="s">
        <v>6532</v>
      </c>
      <c r="AL170">
        <v>30</v>
      </c>
      <c r="AM170" s="5">
        <f t="shared" si="19"/>
        <v>1.1538461538461537</v>
      </c>
      <c r="AN170" s="4">
        <f t="shared" si="20"/>
        <v>1.7475897824250719E-3</v>
      </c>
      <c r="AO170" s="3"/>
      <c r="AP170">
        <v>0</v>
      </c>
      <c r="AR170" t="s">
        <v>0</v>
      </c>
      <c r="AT170" s="2" t="s">
        <v>9</v>
      </c>
      <c r="AU170" s="1">
        <f t="shared" si="21"/>
        <v>3.1393714483111173</v>
      </c>
      <c r="AV170" s="1">
        <f t="shared" si="22"/>
        <v>2.2923393140058002</v>
      </c>
      <c r="AW170" s="1">
        <f t="shared" si="23"/>
        <v>1.4453071797004828</v>
      </c>
    </row>
    <row r="171" spans="1:49" x14ac:dyDescent="0.2">
      <c r="A171">
        <v>169</v>
      </c>
      <c r="B171" t="s">
        <v>6531</v>
      </c>
      <c r="C171" t="s">
        <v>6530</v>
      </c>
      <c r="D171" t="s">
        <v>6529</v>
      </c>
      <c r="F171" t="s">
        <v>6528</v>
      </c>
      <c r="G171" t="s">
        <v>6</v>
      </c>
      <c r="H171" t="s">
        <v>5</v>
      </c>
      <c r="I171" t="s">
        <v>6527</v>
      </c>
      <c r="J171" t="s">
        <v>6526</v>
      </c>
      <c r="K171" t="s">
        <v>6525</v>
      </c>
      <c r="L171" t="s">
        <v>6524</v>
      </c>
      <c r="M171" t="s">
        <v>6523</v>
      </c>
      <c r="N171">
        <v>1</v>
      </c>
      <c r="O171" t="s">
        <v>6522</v>
      </c>
      <c r="P171">
        <v>57204207125</v>
      </c>
      <c r="Q171" t="s">
        <v>6521</v>
      </c>
      <c r="R171" s="7">
        <v>35400</v>
      </c>
      <c r="S171" s="8">
        <f t="shared" si="16"/>
        <v>1996</v>
      </c>
      <c r="T171" s="8">
        <v>1996</v>
      </c>
      <c r="U171" s="8">
        <f t="shared" si="17"/>
        <v>26</v>
      </c>
      <c r="V171" s="7">
        <v>1996</v>
      </c>
      <c r="W171" t="s">
        <v>356</v>
      </c>
      <c r="X171" s="2">
        <v>0.65500000000000003</v>
      </c>
      <c r="Y171" s="6">
        <f t="shared" si="18"/>
        <v>1.7484850911614749E-2</v>
      </c>
      <c r="AA171">
        <v>189375</v>
      </c>
      <c r="AB171">
        <v>26051</v>
      </c>
      <c r="AD171" t="s">
        <v>1</v>
      </c>
      <c r="AE171">
        <v>38</v>
      </c>
      <c r="AF171">
        <v>4</v>
      </c>
      <c r="AH171" t="s">
        <v>6520</v>
      </c>
      <c r="AI171" t="s">
        <v>6519</v>
      </c>
      <c r="AK171" t="s">
        <v>6518</v>
      </c>
      <c r="AL171">
        <v>5</v>
      </c>
      <c r="AM171" s="5">
        <f t="shared" si="19"/>
        <v>0.19230769230769232</v>
      </c>
      <c r="AN171" s="4">
        <f t="shared" si="20"/>
        <v>2.9126496373751206E-4</v>
      </c>
      <c r="AO171" s="3"/>
      <c r="AP171">
        <v>0</v>
      </c>
      <c r="AR171" t="s">
        <v>0</v>
      </c>
      <c r="AT171" s="2" t="s">
        <v>9</v>
      </c>
      <c r="AU171" s="1">
        <f t="shared" si="21"/>
        <v>1.2326775127251577</v>
      </c>
      <c r="AV171" s="1">
        <f t="shared" si="22"/>
        <v>0.88880579376761304</v>
      </c>
      <c r="AW171" s="1">
        <f t="shared" si="23"/>
        <v>0.54493407481006839</v>
      </c>
    </row>
    <row r="172" spans="1:49" x14ac:dyDescent="0.2">
      <c r="A172">
        <v>170</v>
      </c>
      <c r="B172" t="s">
        <v>6517</v>
      </c>
      <c r="C172" t="s">
        <v>6516</v>
      </c>
      <c r="D172" t="s">
        <v>6515</v>
      </c>
      <c r="F172" t="s">
        <v>6514</v>
      </c>
      <c r="G172" t="s">
        <v>6</v>
      </c>
      <c r="H172" t="s">
        <v>5</v>
      </c>
      <c r="I172" t="s">
        <v>314</v>
      </c>
      <c r="J172">
        <v>60000990</v>
      </c>
      <c r="K172" t="s">
        <v>278</v>
      </c>
      <c r="L172" t="s">
        <v>277</v>
      </c>
      <c r="M172" t="s">
        <v>46</v>
      </c>
      <c r="N172">
        <v>3</v>
      </c>
      <c r="O172" t="s">
        <v>6513</v>
      </c>
      <c r="P172" t="s">
        <v>6512</v>
      </c>
      <c r="Q172" t="s">
        <v>462</v>
      </c>
      <c r="R172" s="7">
        <v>35400</v>
      </c>
      <c r="S172" s="8">
        <f t="shared" si="16"/>
        <v>1996</v>
      </c>
      <c r="T172" s="8">
        <v>1996</v>
      </c>
      <c r="U172" s="8">
        <f t="shared" si="17"/>
        <v>26</v>
      </c>
      <c r="V172" s="7">
        <v>1996</v>
      </c>
      <c r="W172" t="s">
        <v>150</v>
      </c>
      <c r="X172" s="2">
        <v>1.6519999999999999</v>
      </c>
      <c r="Y172" s="6">
        <f t="shared" si="18"/>
        <v>4.409919649769093E-2</v>
      </c>
      <c r="AA172" t="s">
        <v>149</v>
      </c>
      <c r="AB172">
        <v>17337</v>
      </c>
      <c r="AD172" t="s">
        <v>1</v>
      </c>
      <c r="AE172">
        <v>44</v>
      </c>
      <c r="AF172">
        <v>11</v>
      </c>
      <c r="AH172" t="s">
        <v>6511</v>
      </c>
      <c r="AI172" t="s">
        <v>6510</v>
      </c>
      <c r="AK172" t="s">
        <v>6509</v>
      </c>
      <c r="AL172">
        <v>33</v>
      </c>
      <c r="AM172" s="5">
        <f t="shared" si="19"/>
        <v>1.2692307692307692</v>
      </c>
      <c r="AN172" s="4">
        <f t="shared" si="20"/>
        <v>1.9223487606675792E-3</v>
      </c>
      <c r="AO172" s="3"/>
      <c r="AP172">
        <v>0</v>
      </c>
      <c r="AR172" t="s">
        <v>0</v>
      </c>
      <c r="AT172" s="2" t="s">
        <v>9</v>
      </c>
      <c r="AU172" s="1">
        <f t="shared" si="21"/>
        <v>3.1446142176583924</v>
      </c>
      <c r="AV172" s="1">
        <f t="shared" si="22"/>
        <v>2.3010772629179255</v>
      </c>
      <c r="AW172" s="1">
        <f t="shared" si="23"/>
        <v>1.4575403081774585</v>
      </c>
    </row>
    <row r="173" spans="1:49" x14ac:dyDescent="0.2">
      <c r="A173">
        <v>171</v>
      </c>
      <c r="B173" t="s">
        <v>6508</v>
      </c>
      <c r="F173" t="s">
        <v>6507</v>
      </c>
      <c r="G173" t="s">
        <v>6</v>
      </c>
      <c r="H173" t="s">
        <v>5</v>
      </c>
      <c r="I173" t="s">
        <v>6506</v>
      </c>
      <c r="J173">
        <v>60011520</v>
      </c>
      <c r="K173" t="s">
        <v>6154</v>
      </c>
      <c r="L173" t="s">
        <v>185</v>
      </c>
      <c r="M173" t="s">
        <v>19</v>
      </c>
      <c r="N173">
        <v>2</v>
      </c>
      <c r="O173" t="s">
        <v>6505</v>
      </c>
      <c r="P173" t="s">
        <v>6504</v>
      </c>
      <c r="Q173" t="s">
        <v>6503</v>
      </c>
      <c r="R173" s="7">
        <v>35400</v>
      </c>
      <c r="S173" s="8">
        <f t="shared" si="16"/>
        <v>1996</v>
      </c>
      <c r="T173" s="8">
        <v>1996</v>
      </c>
      <c r="U173" s="8">
        <f t="shared" si="17"/>
        <v>26</v>
      </c>
      <c r="V173" s="7">
        <v>1996</v>
      </c>
      <c r="W173" t="s">
        <v>573</v>
      </c>
      <c r="X173" s="2">
        <v>0.33500000000000002</v>
      </c>
      <c r="Y173" s="6">
        <f t="shared" si="18"/>
        <v>8.94263367235258E-3</v>
      </c>
      <c r="AA173">
        <v>10964290</v>
      </c>
      <c r="AB173">
        <v>18201</v>
      </c>
      <c r="AD173" t="s">
        <v>1</v>
      </c>
      <c r="AE173">
        <v>6</v>
      </c>
      <c r="AF173">
        <v>6</v>
      </c>
      <c r="AH173" t="s">
        <v>6502</v>
      </c>
      <c r="AI173" t="s">
        <v>6501</v>
      </c>
      <c r="AK173" t="s">
        <v>6500</v>
      </c>
      <c r="AL173">
        <v>0</v>
      </c>
      <c r="AM173" s="5">
        <f t="shared" si="19"/>
        <v>0</v>
      </c>
      <c r="AN173" s="4">
        <f t="shared" si="20"/>
        <v>0</v>
      </c>
      <c r="AO173" s="3"/>
      <c r="AP173">
        <v>0</v>
      </c>
      <c r="AR173" t="s">
        <v>0</v>
      </c>
      <c r="AT173" s="2">
        <v>1.694</v>
      </c>
      <c r="AU173" s="1">
        <f t="shared" si="21"/>
        <v>0.62598435706468059</v>
      </c>
      <c r="AV173" s="1">
        <f t="shared" si="22"/>
        <v>0.44713168361762901</v>
      </c>
      <c r="AW173" s="1">
        <f t="shared" si="23"/>
        <v>0.26827901017057743</v>
      </c>
    </row>
    <row r="174" spans="1:49" x14ac:dyDescent="0.2">
      <c r="A174">
        <v>172</v>
      </c>
      <c r="B174" t="s">
        <v>6499</v>
      </c>
      <c r="C174" t="s">
        <v>6498</v>
      </c>
      <c r="D174" t="s">
        <v>6497</v>
      </c>
      <c r="F174" t="s">
        <v>6496</v>
      </c>
      <c r="G174" t="s">
        <v>6</v>
      </c>
      <c r="H174" t="s">
        <v>5</v>
      </c>
      <c r="I174" t="s">
        <v>3584</v>
      </c>
      <c r="J174">
        <v>60018735</v>
      </c>
      <c r="K174" t="s">
        <v>3583</v>
      </c>
      <c r="L174" t="s">
        <v>45</v>
      </c>
      <c r="M174" t="s">
        <v>44</v>
      </c>
      <c r="N174">
        <v>1</v>
      </c>
      <c r="O174" t="s">
        <v>6495</v>
      </c>
      <c r="P174">
        <v>7403250763</v>
      </c>
      <c r="Q174">
        <v>60018735</v>
      </c>
      <c r="R174" s="7">
        <v>35400</v>
      </c>
      <c r="S174" s="8">
        <f t="shared" si="16"/>
        <v>1996</v>
      </c>
      <c r="T174" s="8">
        <v>1996</v>
      </c>
      <c r="U174" s="8">
        <f t="shared" si="17"/>
        <v>26</v>
      </c>
      <c r="V174" s="7">
        <v>1996</v>
      </c>
      <c r="W174" t="s">
        <v>150</v>
      </c>
      <c r="X174" s="2">
        <v>1.6519999999999999</v>
      </c>
      <c r="Y174" s="6">
        <f t="shared" si="18"/>
        <v>4.409919649769093E-2</v>
      </c>
      <c r="AA174" t="s">
        <v>149</v>
      </c>
      <c r="AB174">
        <v>17337</v>
      </c>
      <c r="AD174" t="s">
        <v>1</v>
      </c>
      <c r="AE174">
        <v>44</v>
      </c>
      <c r="AF174">
        <v>10</v>
      </c>
      <c r="AH174" t="s">
        <v>6494</v>
      </c>
      <c r="AI174" t="s">
        <v>6493</v>
      </c>
      <c r="AK174" t="s">
        <v>6492</v>
      </c>
      <c r="AL174">
        <v>331</v>
      </c>
      <c r="AM174" s="5">
        <f t="shared" si="19"/>
        <v>12.73076923076923</v>
      </c>
      <c r="AN174" s="4">
        <f t="shared" si="20"/>
        <v>1.9281740599423294E-2</v>
      </c>
      <c r="AO174" s="3"/>
      <c r="AP174">
        <v>0</v>
      </c>
      <c r="AR174" t="s">
        <v>0</v>
      </c>
      <c r="AT174" s="2" t="s">
        <v>9</v>
      </c>
      <c r="AU174" s="1">
        <f t="shared" si="21"/>
        <v>3.6653959728210639</v>
      </c>
      <c r="AV174" s="1">
        <f t="shared" si="22"/>
        <v>3.1690468548557114</v>
      </c>
      <c r="AW174" s="1">
        <f t="shared" si="23"/>
        <v>2.6726977368903584</v>
      </c>
    </row>
    <row r="175" spans="1:49" x14ac:dyDescent="0.2">
      <c r="A175">
        <v>173</v>
      </c>
      <c r="B175" t="s">
        <v>6491</v>
      </c>
      <c r="C175" t="s">
        <v>6490</v>
      </c>
      <c r="D175" t="s">
        <v>6489</v>
      </c>
      <c r="F175" t="s">
        <v>6488</v>
      </c>
      <c r="G175" t="s">
        <v>6</v>
      </c>
      <c r="H175" t="s">
        <v>5</v>
      </c>
      <c r="I175" t="s">
        <v>6487</v>
      </c>
      <c r="J175">
        <v>60005510</v>
      </c>
      <c r="K175" t="s">
        <v>470</v>
      </c>
      <c r="L175" t="s">
        <v>469</v>
      </c>
      <c r="M175" t="s">
        <v>468</v>
      </c>
      <c r="N175">
        <v>2</v>
      </c>
      <c r="O175" t="s">
        <v>6486</v>
      </c>
      <c r="P175" t="s">
        <v>6485</v>
      </c>
      <c r="Q175" t="s">
        <v>467</v>
      </c>
      <c r="R175" s="7">
        <v>35400</v>
      </c>
      <c r="S175" s="8">
        <f t="shared" si="16"/>
        <v>1996</v>
      </c>
      <c r="T175" s="8">
        <v>1996</v>
      </c>
      <c r="U175" s="8">
        <f t="shared" si="17"/>
        <v>26</v>
      </c>
      <c r="V175" s="7">
        <v>1996</v>
      </c>
      <c r="W175" t="s">
        <v>150</v>
      </c>
      <c r="X175" s="2">
        <v>1.6519999999999999</v>
      </c>
      <c r="Y175" s="6">
        <f t="shared" si="18"/>
        <v>4.409919649769093E-2</v>
      </c>
      <c r="AA175" t="s">
        <v>149</v>
      </c>
      <c r="AB175">
        <v>17337</v>
      </c>
      <c r="AD175" t="s">
        <v>1</v>
      </c>
      <c r="AE175">
        <v>44</v>
      </c>
      <c r="AF175">
        <v>10</v>
      </c>
      <c r="AH175" t="s">
        <v>6484</v>
      </c>
      <c r="AI175" t="s">
        <v>6483</v>
      </c>
      <c r="AK175" t="s">
        <v>6482</v>
      </c>
      <c r="AL175">
        <v>166</v>
      </c>
      <c r="AM175" s="5">
        <f t="shared" si="19"/>
        <v>6.384615384615385</v>
      </c>
      <c r="AN175" s="4">
        <f t="shared" si="20"/>
        <v>9.6699967960853991E-3</v>
      </c>
      <c r="AO175" s="3"/>
      <c r="AP175">
        <v>0</v>
      </c>
      <c r="AR175" t="s">
        <v>0</v>
      </c>
      <c r="AT175" s="2" t="s">
        <v>9</v>
      </c>
      <c r="AU175" s="1">
        <f t="shared" si="21"/>
        <v>3.3770436587209267</v>
      </c>
      <c r="AV175" s="1">
        <f t="shared" si="22"/>
        <v>2.6884596646888164</v>
      </c>
      <c r="AW175" s="1">
        <f t="shared" si="23"/>
        <v>1.9998756706567058</v>
      </c>
    </row>
    <row r="176" spans="1:49" x14ac:dyDescent="0.2">
      <c r="A176">
        <v>174</v>
      </c>
      <c r="B176" t="s">
        <v>6481</v>
      </c>
      <c r="C176" t="s">
        <v>6480</v>
      </c>
      <c r="D176" t="s">
        <v>6479</v>
      </c>
      <c r="F176" t="s">
        <v>6478</v>
      </c>
      <c r="G176" t="s">
        <v>6</v>
      </c>
      <c r="H176" t="s">
        <v>5</v>
      </c>
      <c r="I176" t="s">
        <v>6477</v>
      </c>
      <c r="J176">
        <v>60012564</v>
      </c>
      <c r="K176" t="s">
        <v>6476</v>
      </c>
      <c r="L176" t="s">
        <v>6475</v>
      </c>
      <c r="M176" t="s">
        <v>2</v>
      </c>
      <c r="N176">
        <v>3</v>
      </c>
      <c r="O176" t="s">
        <v>6474</v>
      </c>
      <c r="P176" t="s">
        <v>6473</v>
      </c>
      <c r="Q176" t="s">
        <v>6472</v>
      </c>
      <c r="R176" s="7">
        <v>35400</v>
      </c>
      <c r="S176" s="8">
        <f t="shared" si="16"/>
        <v>1996</v>
      </c>
      <c r="T176" s="8">
        <v>1996</v>
      </c>
      <c r="U176" s="8">
        <f t="shared" si="17"/>
        <v>26</v>
      </c>
      <c r="V176" s="7">
        <v>1996</v>
      </c>
      <c r="W176" t="s">
        <v>150</v>
      </c>
      <c r="X176" s="2">
        <v>1.6519999999999999</v>
      </c>
      <c r="Y176" s="6">
        <f t="shared" si="18"/>
        <v>4.409919649769093E-2</v>
      </c>
      <c r="AA176" t="s">
        <v>149</v>
      </c>
      <c r="AB176">
        <v>17337</v>
      </c>
      <c r="AD176" t="s">
        <v>1</v>
      </c>
      <c r="AE176">
        <v>44</v>
      </c>
      <c r="AF176">
        <v>10</v>
      </c>
      <c r="AH176" t="s">
        <v>6471</v>
      </c>
      <c r="AI176" t="s">
        <v>6470</v>
      </c>
      <c r="AK176" t="s">
        <v>6469</v>
      </c>
      <c r="AL176">
        <v>21</v>
      </c>
      <c r="AM176" s="5">
        <f t="shared" si="19"/>
        <v>0.80769230769230771</v>
      </c>
      <c r="AN176" s="4">
        <f t="shared" si="20"/>
        <v>1.2233128476975504E-3</v>
      </c>
      <c r="AO176" s="3"/>
      <c r="AP176">
        <v>0</v>
      </c>
      <c r="AR176" t="s">
        <v>0</v>
      </c>
      <c r="AT176" s="2" t="s">
        <v>9</v>
      </c>
      <c r="AU176" s="1">
        <f t="shared" si="21"/>
        <v>3.1236431402692917</v>
      </c>
      <c r="AV176" s="1">
        <f t="shared" si="22"/>
        <v>2.2661254672694238</v>
      </c>
      <c r="AW176" s="1">
        <f t="shared" si="23"/>
        <v>1.4086077942695563</v>
      </c>
    </row>
    <row r="177" spans="1:49" x14ac:dyDescent="0.2">
      <c r="A177">
        <v>175</v>
      </c>
      <c r="B177" t="s">
        <v>6468</v>
      </c>
      <c r="C177" t="s">
        <v>6467</v>
      </c>
      <c r="D177" t="s">
        <v>6466</v>
      </c>
      <c r="F177" t="s">
        <v>6465</v>
      </c>
      <c r="G177" t="s">
        <v>6</v>
      </c>
      <c r="H177" t="s">
        <v>5</v>
      </c>
      <c r="I177" t="s">
        <v>6464</v>
      </c>
      <c r="J177">
        <v>60003122</v>
      </c>
      <c r="K177" t="s">
        <v>141</v>
      </c>
      <c r="L177" t="s">
        <v>140</v>
      </c>
      <c r="M177" t="s">
        <v>41</v>
      </c>
      <c r="N177">
        <v>3</v>
      </c>
      <c r="O177" t="s">
        <v>6463</v>
      </c>
      <c r="P177" t="s">
        <v>6462</v>
      </c>
      <c r="Q177" t="s">
        <v>139</v>
      </c>
      <c r="R177" s="7">
        <v>35400</v>
      </c>
      <c r="S177" s="8">
        <f t="shared" si="16"/>
        <v>1996</v>
      </c>
      <c r="T177" s="8">
        <v>1996</v>
      </c>
      <c r="U177" s="8">
        <f t="shared" si="17"/>
        <v>26</v>
      </c>
      <c r="V177" s="7">
        <v>1996</v>
      </c>
      <c r="W177" t="s">
        <v>150</v>
      </c>
      <c r="X177" s="2">
        <v>1.6519999999999999</v>
      </c>
      <c r="Y177" s="6">
        <f t="shared" si="18"/>
        <v>4.409919649769093E-2</v>
      </c>
      <c r="AA177" t="s">
        <v>149</v>
      </c>
      <c r="AB177">
        <v>17337</v>
      </c>
      <c r="AD177" t="s">
        <v>1</v>
      </c>
      <c r="AE177">
        <v>44</v>
      </c>
      <c r="AF177">
        <v>10</v>
      </c>
      <c r="AH177" t="s">
        <v>6461</v>
      </c>
      <c r="AI177" t="s">
        <v>6460</v>
      </c>
      <c r="AK177" t="s">
        <v>6459</v>
      </c>
      <c r="AL177">
        <v>10</v>
      </c>
      <c r="AM177" s="5">
        <f t="shared" si="19"/>
        <v>0.38461538461538464</v>
      </c>
      <c r="AN177" s="4">
        <f t="shared" si="20"/>
        <v>5.8252992747502411E-4</v>
      </c>
      <c r="AO177" s="3"/>
      <c r="AP177">
        <v>0</v>
      </c>
      <c r="AR177" t="s">
        <v>0</v>
      </c>
      <c r="AT177" s="2" t="s">
        <v>9</v>
      </c>
      <c r="AU177" s="1">
        <f t="shared" si="21"/>
        <v>3.104419652662616</v>
      </c>
      <c r="AV177" s="1">
        <f t="shared" si="22"/>
        <v>2.2340863212582978</v>
      </c>
      <c r="AW177" s="1">
        <f t="shared" si="23"/>
        <v>1.3637529898539795</v>
      </c>
    </row>
    <row r="178" spans="1:49" x14ac:dyDescent="0.2">
      <c r="A178">
        <v>176</v>
      </c>
      <c r="B178" t="s">
        <v>6458</v>
      </c>
      <c r="C178" t="s">
        <v>6457</v>
      </c>
      <c r="D178" t="s">
        <v>6456</v>
      </c>
      <c r="F178" t="s">
        <v>6455</v>
      </c>
      <c r="G178" t="s">
        <v>6</v>
      </c>
      <c r="H178" t="s">
        <v>5</v>
      </c>
      <c r="I178" t="s">
        <v>401</v>
      </c>
      <c r="J178" t="s">
        <v>6454</v>
      </c>
      <c r="K178" t="s">
        <v>6453</v>
      </c>
      <c r="L178" t="s">
        <v>6452</v>
      </c>
      <c r="M178" t="s">
        <v>13</v>
      </c>
      <c r="N178">
        <v>4</v>
      </c>
      <c r="O178" t="s">
        <v>6451</v>
      </c>
      <c r="P178" t="s">
        <v>6450</v>
      </c>
      <c r="Q178" t="s">
        <v>6449</v>
      </c>
      <c r="R178" s="7">
        <v>35400</v>
      </c>
      <c r="S178" s="8">
        <f t="shared" si="16"/>
        <v>1996</v>
      </c>
      <c r="T178" s="8">
        <v>1996</v>
      </c>
      <c r="U178" s="8">
        <f t="shared" si="17"/>
        <v>26</v>
      </c>
      <c r="V178" s="7">
        <v>1996</v>
      </c>
      <c r="W178" t="s">
        <v>150</v>
      </c>
      <c r="X178" s="2">
        <v>1.6519999999999999</v>
      </c>
      <c r="Y178" s="6">
        <f t="shared" si="18"/>
        <v>4.409919649769093E-2</v>
      </c>
      <c r="AA178" t="s">
        <v>149</v>
      </c>
      <c r="AB178">
        <v>17337</v>
      </c>
      <c r="AD178" t="s">
        <v>1</v>
      </c>
      <c r="AE178">
        <v>44</v>
      </c>
      <c r="AF178">
        <v>10</v>
      </c>
      <c r="AH178" t="s">
        <v>6448</v>
      </c>
      <c r="AI178" t="s">
        <v>6447</v>
      </c>
      <c r="AK178" t="s">
        <v>6446</v>
      </c>
      <c r="AL178">
        <v>34</v>
      </c>
      <c r="AM178" s="5">
        <f t="shared" si="19"/>
        <v>1.3076923076923077</v>
      </c>
      <c r="AN178" s="4">
        <f t="shared" si="20"/>
        <v>1.9806017534150819E-3</v>
      </c>
      <c r="AO178" s="3"/>
      <c r="AP178">
        <v>0</v>
      </c>
      <c r="AR178" t="s">
        <v>0</v>
      </c>
      <c r="AT178" s="2" t="s">
        <v>9</v>
      </c>
      <c r="AU178" s="1">
        <f t="shared" si="21"/>
        <v>3.1463618074408171</v>
      </c>
      <c r="AV178" s="1">
        <f t="shared" si="22"/>
        <v>2.3039899125553003</v>
      </c>
      <c r="AW178" s="1">
        <f t="shared" si="23"/>
        <v>1.4616180176697835</v>
      </c>
    </row>
    <row r="179" spans="1:49" x14ac:dyDescent="0.2">
      <c r="A179">
        <v>177</v>
      </c>
      <c r="B179" t="s">
        <v>6445</v>
      </c>
      <c r="C179" t="s">
        <v>6444</v>
      </c>
      <c r="D179" t="s">
        <v>6443</v>
      </c>
      <c r="F179" t="s">
        <v>6442</v>
      </c>
      <c r="G179" t="s">
        <v>6</v>
      </c>
      <c r="H179" t="s">
        <v>5</v>
      </c>
      <c r="I179" t="s">
        <v>4652</v>
      </c>
      <c r="J179">
        <v>60030821</v>
      </c>
      <c r="K179" t="s">
        <v>4651</v>
      </c>
      <c r="L179" t="s">
        <v>516</v>
      </c>
      <c r="M179" t="s">
        <v>2</v>
      </c>
      <c r="N179">
        <v>1</v>
      </c>
      <c r="O179" t="s">
        <v>6441</v>
      </c>
      <c r="P179">
        <v>7402673635</v>
      </c>
      <c r="Q179">
        <v>60030821</v>
      </c>
      <c r="R179" s="7">
        <v>35400</v>
      </c>
      <c r="S179" s="8">
        <f t="shared" si="16"/>
        <v>1996</v>
      </c>
      <c r="T179" s="8">
        <v>1996</v>
      </c>
      <c r="U179" s="8">
        <f t="shared" si="17"/>
        <v>26</v>
      </c>
      <c r="V179" s="7">
        <v>1996</v>
      </c>
      <c r="W179" t="s">
        <v>150</v>
      </c>
      <c r="X179" s="2">
        <v>1.6519999999999999</v>
      </c>
      <c r="Y179" s="6">
        <f t="shared" si="18"/>
        <v>4.409919649769093E-2</v>
      </c>
      <c r="AA179" t="s">
        <v>149</v>
      </c>
      <c r="AB179">
        <v>17337</v>
      </c>
      <c r="AD179" t="s">
        <v>1</v>
      </c>
      <c r="AE179">
        <v>44</v>
      </c>
      <c r="AF179">
        <v>10</v>
      </c>
      <c r="AH179" t="s">
        <v>6440</v>
      </c>
      <c r="AI179" t="s">
        <v>6439</v>
      </c>
      <c r="AK179" t="s">
        <v>6438</v>
      </c>
      <c r="AL179">
        <v>19</v>
      </c>
      <c r="AM179" s="5">
        <f t="shared" si="19"/>
        <v>0.73076923076923073</v>
      </c>
      <c r="AN179" s="4">
        <f t="shared" si="20"/>
        <v>1.1068068622025456E-3</v>
      </c>
      <c r="AO179" s="3"/>
      <c r="AP179">
        <v>0</v>
      </c>
      <c r="AR179" t="s">
        <v>0</v>
      </c>
      <c r="AT179" s="2" t="s">
        <v>9</v>
      </c>
      <c r="AU179" s="1">
        <f t="shared" si="21"/>
        <v>3.1201479607044416</v>
      </c>
      <c r="AV179" s="1">
        <f t="shared" si="22"/>
        <v>2.2603001679946737</v>
      </c>
      <c r="AW179" s="1">
        <f t="shared" si="23"/>
        <v>1.4004523752849061</v>
      </c>
    </row>
    <row r="180" spans="1:49" x14ac:dyDescent="0.2">
      <c r="A180">
        <v>178</v>
      </c>
      <c r="B180" t="s">
        <v>6437</v>
      </c>
      <c r="C180" t="s">
        <v>6436</v>
      </c>
      <c r="D180" t="s">
        <v>6435</v>
      </c>
      <c r="F180" t="s">
        <v>6434</v>
      </c>
      <c r="G180" t="s">
        <v>6</v>
      </c>
      <c r="H180" t="s">
        <v>5</v>
      </c>
      <c r="I180" t="s">
        <v>6433</v>
      </c>
      <c r="J180" t="s">
        <v>6432</v>
      </c>
      <c r="K180" t="s">
        <v>6431</v>
      </c>
      <c r="L180" t="s">
        <v>6430</v>
      </c>
      <c r="M180" t="s">
        <v>55</v>
      </c>
      <c r="N180">
        <v>3</v>
      </c>
      <c r="O180" t="s">
        <v>6429</v>
      </c>
      <c r="P180" t="s">
        <v>6428</v>
      </c>
      <c r="Q180" t="s">
        <v>6427</v>
      </c>
      <c r="R180" s="7">
        <v>35400</v>
      </c>
      <c r="S180" s="8">
        <f t="shared" si="16"/>
        <v>1996</v>
      </c>
      <c r="T180" s="8">
        <v>1996</v>
      </c>
      <c r="U180" s="8">
        <f t="shared" si="17"/>
        <v>26</v>
      </c>
      <c r="V180" s="7">
        <v>1996</v>
      </c>
      <c r="W180" t="s">
        <v>150</v>
      </c>
      <c r="X180" s="2">
        <v>1.6519999999999999</v>
      </c>
      <c r="Y180" s="6">
        <f t="shared" si="18"/>
        <v>4.409919649769093E-2</v>
      </c>
      <c r="AA180" t="s">
        <v>149</v>
      </c>
      <c r="AB180">
        <v>17337</v>
      </c>
      <c r="AD180" t="s">
        <v>1</v>
      </c>
      <c r="AE180">
        <v>44</v>
      </c>
      <c r="AF180">
        <v>10</v>
      </c>
      <c r="AH180" t="s">
        <v>6426</v>
      </c>
      <c r="AI180" t="s">
        <v>6425</v>
      </c>
      <c r="AK180" t="s">
        <v>6424</v>
      </c>
      <c r="AL180">
        <v>30</v>
      </c>
      <c r="AM180" s="5">
        <f t="shared" si="19"/>
        <v>1.1538461538461537</v>
      </c>
      <c r="AN180" s="4">
        <f t="shared" si="20"/>
        <v>1.7475897824250719E-3</v>
      </c>
      <c r="AO180" s="3"/>
      <c r="AP180">
        <v>0</v>
      </c>
      <c r="AQ180" t="s">
        <v>3872</v>
      </c>
      <c r="AR180">
        <v>69572033</v>
      </c>
      <c r="AS180" t="s">
        <v>406</v>
      </c>
      <c r="AT180" s="2" t="s">
        <v>9</v>
      </c>
      <c r="AU180" s="1">
        <f t="shared" si="21"/>
        <v>3.1393714483111173</v>
      </c>
      <c r="AV180" s="1">
        <f t="shared" si="22"/>
        <v>2.2923393140058002</v>
      </c>
      <c r="AW180" s="1">
        <f t="shared" si="23"/>
        <v>1.4453071797004828</v>
      </c>
    </row>
    <row r="181" spans="1:49" x14ac:dyDescent="0.2">
      <c r="A181">
        <v>179</v>
      </c>
      <c r="B181" t="s">
        <v>6423</v>
      </c>
      <c r="C181" t="s">
        <v>6422</v>
      </c>
      <c r="D181" t="s">
        <v>6421</v>
      </c>
      <c r="F181" t="s">
        <v>6420</v>
      </c>
      <c r="G181" t="s">
        <v>6</v>
      </c>
      <c r="H181" t="s">
        <v>5</v>
      </c>
      <c r="I181" t="s">
        <v>6419</v>
      </c>
      <c r="J181">
        <v>60017161</v>
      </c>
      <c r="K181" t="s">
        <v>2843</v>
      </c>
      <c r="L181" t="s">
        <v>469</v>
      </c>
      <c r="M181" t="s">
        <v>468</v>
      </c>
      <c r="N181">
        <v>1</v>
      </c>
      <c r="O181" t="s">
        <v>6418</v>
      </c>
      <c r="P181">
        <v>7102221734</v>
      </c>
      <c r="Q181">
        <v>60017161</v>
      </c>
      <c r="R181" s="7">
        <v>35400</v>
      </c>
      <c r="S181" s="8">
        <f t="shared" si="16"/>
        <v>1996</v>
      </c>
      <c r="T181" s="8">
        <v>1996</v>
      </c>
      <c r="U181" s="8">
        <f t="shared" si="17"/>
        <v>26</v>
      </c>
      <c r="V181" s="7">
        <v>1996</v>
      </c>
      <c r="W181" t="s">
        <v>410</v>
      </c>
      <c r="X181" s="2">
        <v>1.3720000000000001</v>
      </c>
      <c r="Y181" s="6">
        <f t="shared" si="18"/>
        <v>3.662475641333654E-2</v>
      </c>
      <c r="AA181">
        <v>189480</v>
      </c>
      <c r="AB181">
        <v>17366</v>
      </c>
      <c r="AD181" t="s">
        <v>1</v>
      </c>
      <c r="AE181">
        <v>44</v>
      </c>
      <c r="AF181" t="s">
        <v>409</v>
      </c>
      <c r="AH181" t="s">
        <v>6417</v>
      </c>
      <c r="AI181" t="s">
        <v>6416</v>
      </c>
      <c r="AK181" t="s">
        <v>6415</v>
      </c>
      <c r="AL181">
        <v>2</v>
      </c>
      <c r="AM181" s="5">
        <f t="shared" si="19"/>
        <v>7.6923076923076927E-2</v>
      </c>
      <c r="AN181" s="4">
        <f t="shared" si="20"/>
        <v>1.1650598549500481E-4</v>
      </c>
      <c r="AO181" s="3"/>
      <c r="AP181">
        <v>0</v>
      </c>
      <c r="AR181" t="s">
        <v>0</v>
      </c>
      <c r="AT181" s="2" t="s">
        <v>9</v>
      </c>
      <c r="AU181" s="1">
        <f t="shared" si="21"/>
        <v>2.5672281284984075</v>
      </c>
      <c r="AV181" s="1">
        <f t="shared" si="22"/>
        <v>1.8370631199415774</v>
      </c>
      <c r="AW181" s="1">
        <f t="shared" si="23"/>
        <v>1.1068981113847467</v>
      </c>
    </row>
    <row r="182" spans="1:49" x14ac:dyDescent="0.2">
      <c r="A182">
        <v>180</v>
      </c>
      <c r="B182" t="s">
        <v>6414</v>
      </c>
      <c r="C182" t="s">
        <v>6413</v>
      </c>
      <c r="D182" t="s">
        <v>6412</v>
      </c>
      <c r="F182" t="s">
        <v>6411</v>
      </c>
      <c r="G182" t="s">
        <v>6</v>
      </c>
      <c r="H182" t="s">
        <v>5</v>
      </c>
      <c r="I182" t="s">
        <v>6410</v>
      </c>
      <c r="J182">
        <v>60021032</v>
      </c>
      <c r="K182" t="s">
        <v>2934</v>
      </c>
      <c r="L182" t="s">
        <v>2933</v>
      </c>
      <c r="M182" t="s">
        <v>2</v>
      </c>
      <c r="N182">
        <v>1</v>
      </c>
      <c r="O182" t="s">
        <v>6409</v>
      </c>
      <c r="P182">
        <v>6603871870</v>
      </c>
      <c r="Q182">
        <v>60021032</v>
      </c>
      <c r="R182" s="7">
        <v>35400</v>
      </c>
      <c r="S182" s="8">
        <f t="shared" si="16"/>
        <v>1996</v>
      </c>
      <c r="T182" s="8">
        <v>1996</v>
      </c>
      <c r="U182" s="8">
        <f t="shared" si="17"/>
        <v>26</v>
      </c>
      <c r="V182" s="7">
        <v>1996</v>
      </c>
      <c r="W182" t="s">
        <v>410</v>
      </c>
      <c r="X182" s="2">
        <v>1.3720000000000001</v>
      </c>
      <c r="Y182" s="6">
        <f t="shared" si="18"/>
        <v>3.662475641333654E-2</v>
      </c>
      <c r="AA182">
        <v>189480</v>
      </c>
      <c r="AB182">
        <v>17366</v>
      </c>
      <c r="AD182" t="s">
        <v>1</v>
      </c>
      <c r="AE182">
        <v>44</v>
      </c>
      <c r="AF182" t="s">
        <v>409</v>
      </c>
      <c r="AH182" t="s">
        <v>6408</v>
      </c>
      <c r="AI182" t="s">
        <v>6407</v>
      </c>
      <c r="AK182" t="s">
        <v>6406</v>
      </c>
      <c r="AL182">
        <v>4</v>
      </c>
      <c r="AM182" s="5">
        <f t="shared" si="19"/>
        <v>0.15384615384615385</v>
      </c>
      <c r="AN182" s="4">
        <f t="shared" si="20"/>
        <v>2.3301197099000962E-4</v>
      </c>
      <c r="AO182" s="3"/>
      <c r="AP182">
        <v>0</v>
      </c>
      <c r="AQ182" t="s">
        <v>24</v>
      </c>
      <c r="AR182" t="s">
        <v>6405</v>
      </c>
      <c r="AS182" t="s">
        <v>23</v>
      </c>
      <c r="AT182" s="2" t="s">
        <v>9</v>
      </c>
      <c r="AU182" s="1">
        <f t="shared" si="21"/>
        <v>2.5707233080632581</v>
      </c>
      <c r="AV182" s="1">
        <f t="shared" si="22"/>
        <v>1.8428884192163275</v>
      </c>
      <c r="AW182" s="1">
        <f t="shared" si="23"/>
        <v>1.1150535303693969</v>
      </c>
    </row>
    <row r="183" spans="1:49" x14ac:dyDescent="0.2">
      <c r="A183">
        <v>181</v>
      </c>
      <c r="B183" t="s">
        <v>6404</v>
      </c>
      <c r="C183" t="s">
        <v>6403</v>
      </c>
      <c r="D183" t="s">
        <v>6402</v>
      </c>
      <c r="F183" t="s">
        <v>6401</v>
      </c>
      <c r="G183" t="s">
        <v>6</v>
      </c>
      <c r="H183" t="s">
        <v>5</v>
      </c>
      <c r="I183" t="s">
        <v>6400</v>
      </c>
      <c r="J183">
        <v>60032420</v>
      </c>
      <c r="K183" t="s">
        <v>6399</v>
      </c>
      <c r="L183" t="s">
        <v>668</v>
      </c>
      <c r="M183" t="s">
        <v>2</v>
      </c>
      <c r="N183">
        <v>1</v>
      </c>
      <c r="O183" t="s">
        <v>6398</v>
      </c>
      <c r="P183">
        <v>16942387400</v>
      </c>
      <c r="Q183">
        <v>60032420</v>
      </c>
      <c r="R183" s="7">
        <v>35400</v>
      </c>
      <c r="S183" s="8">
        <f t="shared" si="16"/>
        <v>1996</v>
      </c>
      <c r="T183" s="8">
        <v>1996</v>
      </c>
      <c r="U183" s="8">
        <f t="shared" si="17"/>
        <v>26</v>
      </c>
      <c r="V183" s="7">
        <v>1996</v>
      </c>
      <c r="W183" t="s">
        <v>410</v>
      </c>
      <c r="X183" s="2">
        <v>1.3720000000000001</v>
      </c>
      <c r="Y183" s="6">
        <f t="shared" si="18"/>
        <v>3.662475641333654E-2</v>
      </c>
      <c r="AA183">
        <v>189480</v>
      </c>
      <c r="AB183">
        <v>17366</v>
      </c>
      <c r="AD183" t="s">
        <v>1</v>
      </c>
      <c r="AE183">
        <v>44</v>
      </c>
      <c r="AF183" t="s">
        <v>409</v>
      </c>
      <c r="AH183" t="s">
        <v>6397</v>
      </c>
      <c r="AI183" t="s">
        <v>6396</v>
      </c>
      <c r="AK183" t="s">
        <v>6395</v>
      </c>
      <c r="AL183">
        <v>6</v>
      </c>
      <c r="AM183" s="5">
        <f t="shared" si="19"/>
        <v>0.23076923076923078</v>
      </c>
      <c r="AN183" s="4">
        <f t="shared" si="20"/>
        <v>3.4951795648501444E-4</v>
      </c>
      <c r="AO183" s="3"/>
      <c r="AP183">
        <v>0</v>
      </c>
      <c r="AR183" t="s">
        <v>0</v>
      </c>
      <c r="AT183" s="2" t="s">
        <v>9</v>
      </c>
      <c r="AU183" s="1">
        <f t="shared" si="21"/>
        <v>2.5742184876281082</v>
      </c>
      <c r="AV183" s="1">
        <f t="shared" si="22"/>
        <v>1.8487137184910778</v>
      </c>
      <c r="AW183" s="1">
        <f t="shared" si="23"/>
        <v>1.1232089493540474</v>
      </c>
    </row>
    <row r="184" spans="1:49" x14ac:dyDescent="0.2">
      <c r="A184">
        <v>182</v>
      </c>
      <c r="B184" t="s">
        <v>6394</v>
      </c>
      <c r="C184" t="s">
        <v>6393</v>
      </c>
      <c r="D184" t="s">
        <v>6392</v>
      </c>
      <c r="F184" t="s">
        <v>6391</v>
      </c>
      <c r="G184" t="s">
        <v>6</v>
      </c>
      <c r="H184" t="s">
        <v>5</v>
      </c>
      <c r="I184" t="s">
        <v>6390</v>
      </c>
      <c r="J184">
        <v>60028897</v>
      </c>
      <c r="K184" t="s">
        <v>6389</v>
      </c>
      <c r="L184" t="s">
        <v>64</v>
      </c>
      <c r="M184" t="s">
        <v>41</v>
      </c>
      <c r="N184">
        <v>1</v>
      </c>
      <c r="O184" t="s">
        <v>6388</v>
      </c>
      <c r="P184">
        <v>6603874446</v>
      </c>
      <c r="Q184">
        <v>60028897</v>
      </c>
      <c r="R184" s="7">
        <v>35400</v>
      </c>
      <c r="S184" s="8">
        <f t="shared" si="16"/>
        <v>1996</v>
      </c>
      <c r="T184" s="8">
        <v>1996</v>
      </c>
      <c r="U184" s="8">
        <f t="shared" si="17"/>
        <v>26</v>
      </c>
      <c r="V184" s="7">
        <v>1996</v>
      </c>
      <c r="W184" t="s">
        <v>410</v>
      </c>
      <c r="X184" s="2">
        <v>1.3720000000000001</v>
      </c>
      <c r="Y184" s="6">
        <f t="shared" si="18"/>
        <v>3.662475641333654E-2</v>
      </c>
      <c r="AA184">
        <v>189480</v>
      </c>
      <c r="AB184">
        <v>17366</v>
      </c>
      <c r="AD184" t="s">
        <v>1</v>
      </c>
      <c r="AE184">
        <v>44</v>
      </c>
      <c r="AF184" t="s">
        <v>409</v>
      </c>
      <c r="AH184" t="s">
        <v>6387</v>
      </c>
      <c r="AI184" t="s">
        <v>6386</v>
      </c>
      <c r="AK184" t="s">
        <v>6385</v>
      </c>
      <c r="AL184">
        <v>73</v>
      </c>
      <c r="AM184" s="5">
        <f t="shared" si="19"/>
        <v>2.8076923076923075</v>
      </c>
      <c r="AN184" s="4">
        <f t="shared" si="20"/>
        <v>4.2524684705676748E-3</v>
      </c>
      <c r="AO184" s="3"/>
      <c r="AP184">
        <v>0</v>
      </c>
      <c r="AQ184" t="s">
        <v>80</v>
      </c>
      <c r="AR184" t="s">
        <v>0</v>
      </c>
      <c r="AS184" t="s">
        <v>622</v>
      </c>
      <c r="AT184" s="2" t="s">
        <v>9</v>
      </c>
      <c r="AU184" s="1">
        <f t="shared" si="21"/>
        <v>2.6913070030505879</v>
      </c>
      <c r="AV184" s="1">
        <f t="shared" si="22"/>
        <v>2.0438612441952109</v>
      </c>
      <c r="AW184" s="1">
        <f t="shared" si="23"/>
        <v>1.3964154853398334</v>
      </c>
    </row>
    <row r="185" spans="1:49" x14ac:dyDescent="0.2">
      <c r="A185">
        <v>183</v>
      </c>
      <c r="B185" t="s">
        <v>6384</v>
      </c>
      <c r="C185" t="s">
        <v>6383</v>
      </c>
      <c r="D185" t="s">
        <v>6382</v>
      </c>
      <c r="F185" t="s">
        <v>6381</v>
      </c>
      <c r="G185" t="s">
        <v>6</v>
      </c>
      <c r="H185" t="s">
        <v>5</v>
      </c>
      <c r="I185" t="s">
        <v>6380</v>
      </c>
      <c r="J185">
        <v>60003122</v>
      </c>
      <c r="K185" t="s">
        <v>141</v>
      </c>
      <c r="L185" t="s">
        <v>140</v>
      </c>
      <c r="M185" t="s">
        <v>41</v>
      </c>
      <c r="N185">
        <v>1</v>
      </c>
      <c r="O185" t="s">
        <v>6379</v>
      </c>
      <c r="P185">
        <v>7006393752</v>
      </c>
      <c r="Q185">
        <v>60003122</v>
      </c>
      <c r="R185" s="7">
        <v>35400</v>
      </c>
      <c r="S185" s="8">
        <f t="shared" si="16"/>
        <v>1996</v>
      </c>
      <c r="T185" s="8">
        <v>1996</v>
      </c>
      <c r="U185" s="8">
        <f t="shared" si="17"/>
        <v>26</v>
      </c>
      <c r="V185" s="7">
        <v>1996</v>
      </c>
      <c r="W185" t="s">
        <v>410</v>
      </c>
      <c r="X185" s="2">
        <v>1.3720000000000001</v>
      </c>
      <c r="Y185" s="6">
        <f t="shared" si="18"/>
        <v>3.662475641333654E-2</v>
      </c>
      <c r="AA185">
        <v>189480</v>
      </c>
      <c r="AB185">
        <v>17366</v>
      </c>
      <c r="AD185" t="s">
        <v>1</v>
      </c>
      <c r="AE185">
        <v>44</v>
      </c>
      <c r="AF185" t="s">
        <v>409</v>
      </c>
      <c r="AH185" t="s">
        <v>6378</v>
      </c>
      <c r="AI185" t="s">
        <v>6377</v>
      </c>
      <c r="AK185" t="s">
        <v>6376</v>
      </c>
      <c r="AL185">
        <v>325</v>
      </c>
      <c r="AM185" s="5">
        <f t="shared" si="19"/>
        <v>12.5</v>
      </c>
      <c r="AN185" s="4">
        <f t="shared" si="20"/>
        <v>1.8932222642938281E-2</v>
      </c>
      <c r="AO185" s="3"/>
      <c r="AP185">
        <v>0</v>
      </c>
      <c r="AR185" t="s">
        <v>0</v>
      </c>
      <c r="AS185" t="s">
        <v>6375</v>
      </c>
      <c r="AT185" s="2" t="s">
        <v>9</v>
      </c>
      <c r="AU185" s="1">
        <f t="shared" si="21"/>
        <v>3.131699628221706</v>
      </c>
      <c r="AV185" s="1">
        <f t="shared" si="22"/>
        <v>2.7778489528137413</v>
      </c>
      <c r="AW185" s="1">
        <f t="shared" si="23"/>
        <v>2.4239982774057758</v>
      </c>
    </row>
    <row r="186" spans="1:49" x14ac:dyDescent="0.2">
      <c r="A186">
        <v>184</v>
      </c>
      <c r="B186" t="s">
        <v>6374</v>
      </c>
      <c r="C186" t="s">
        <v>6373</v>
      </c>
      <c r="D186" t="s">
        <v>6372</v>
      </c>
      <c r="F186" t="s">
        <v>6371</v>
      </c>
      <c r="G186" t="s">
        <v>6</v>
      </c>
      <c r="H186" t="s">
        <v>5</v>
      </c>
      <c r="I186" t="s">
        <v>6370</v>
      </c>
      <c r="J186">
        <v>60008134</v>
      </c>
      <c r="K186" t="s">
        <v>170</v>
      </c>
      <c r="L186" t="s">
        <v>26</v>
      </c>
      <c r="M186" t="s">
        <v>25</v>
      </c>
      <c r="N186">
        <v>1</v>
      </c>
      <c r="O186" t="s">
        <v>6369</v>
      </c>
      <c r="P186">
        <v>54679431300</v>
      </c>
      <c r="Q186">
        <v>60008134</v>
      </c>
      <c r="R186" s="7">
        <v>35400</v>
      </c>
      <c r="S186" s="8">
        <f t="shared" si="16"/>
        <v>1996</v>
      </c>
      <c r="T186" s="8">
        <v>1996</v>
      </c>
      <c r="U186" s="8">
        <f t="shared" si="17"/>
        <v>26</v>
      </c>
      <c r="V186" s="7">
        <v>1996</v>
      </c>
      <c r="W186" t="s">
        <v>410</v>
      </c>
      <c r="X186" s="2">
        <v>1.3720000000000001</v>
      </c>
      <c r="Y186" s="6">
        <f t="shared" si="18"/>
        <v>3.662475641333654E-2</v>
      </c>
      <c r="AA186">
        <v>189480</v>
      </c>
      <c r="AB186">
        <v>17366</v>
      </c>
      <c r="AD186" t="s">
        <v>1</v>
      </c>
      <c r="AE186">
        <v>44</v>
      </c>
      <c r="AF186" t="s">
        <v>409</v>
      </c>
      <c r="AH186" t="s">
        <v>6368</v>
      </c>
      <c r="AI186" t="s">
        <v>6367</v>
      </c>
      <c r="AK186" t="s">
        <v>6366</v>
      </c>
      <c r="AL186">
        <v>36</v>
      </c>
      <c r="AM186" s="5">
        <f t="shared" si="19"/>
        <v>1.3846153846153846</v>
      </c>
      <c r="AN186" s="4">
        <f t="shared" si="20"/>
        <v>2.0971077389100863E-3</v>
      </c>
      <c r="AO186" s="3"/>
      <c r="AP186">
        <v>0</v>
      </c>
      <c r="AR186" t="s">
        <v>0</v>
      </c>
      <c r="AT186" s="2" t="s">
        <v>9</v>
      </c>
      <c r="AU186" s="1">
        <f t="shared" si="21"/>
        <v>2.6266461811008601</v>
      </c>
      <c r="AV186" s="1">
        <f t="shared" si="22"/>
        <v>1.9360932076123314</v>
      </c>
      <c r="AW186" s="1">
        <f t="shared" si="23"/>
        <v>1.2455402341238022</v>
      </c>
    </row>
    <row r="187" spans="1:49" x14ac:dyDescent="0.2">
      <c r="A187">
        <v>185</v>
      </c>
      <c r="B187" t="s">
        <v>6365</v>
      </c>
      <c r="C187" t="s">
        <v>6364</v>
      </c>
      <c r="D187" t="s">
        <v>6363</v>
      </c>
      <c r="F187" t="s">
        <v>6362</v>
      </c>
      <c r="G187" t="s">
        <v>6</v>
      </c>
      <c r="H187" t="s">
        <v>5</v>
      </c>
      <c r="I187" t="s">
        <v>6361</v>
      </c>
      <c r="J187">
        <v>60009507</v>
      </c>
      <c r="K187" t="s">
        <v>6360</v>
      </c>
      <c r="L187" t="s">
        <v>6099</v>
      </c>
      <c r="M187" t="s">
        <v>41</v>
      </c>
      <c r="N187">
        <v>1</v>
      </c>
      <c r="O187" t="s">
        <v>6359</v>
      </c>
      <c r="P187">
        <v>6508283216</v>
      </c>
      <c r="Q187">
        <v>60009507</v>
      </c>
      <c r="R187" s="7">
        <v>35400</v>
      </c>
      <c r="S187" s="8">
        <f t="shared" si="16"/>
        <v>1996</v>
      </c>
      <c r="T187" s="8">
        <v>1996</v>
      </c>
      <c r="U187" s="8">
        <f t="shared" si="17"/>
        <v>26</v>
      </c>
      <c r="V187" s="7">
        <v>1996</v>
      </c>
      <c r="W187" t="s">
        <v>410</v>
      </c>
      <c r="X187" s="2">
        <v>1.3720000000000001</v>
      </c>
      <c r="Y187" s="6">
        <f t="shared" si="18"/>
        <v>3.662475641333654E-2</v>
      </c>
      <c r="AA187">
        <v>189480</v>
      </c>
      <c r="AB187">
        <v>17366</v>
      </c>
      <c r="AD187" t="s">
        <v>1</v>
      </c>
      <c r="AE187">
        <v>44</v>
      </c>
      <c r="AF187" t="s">
        <v>409</v>
      </c>
      <c r="AH187" t="s">
        <v>6358</v>
      </c>
      <c r="AI187" t="s">
        <v>6357</v>
      </c>
      <c r="AK187" t="s">
        <v>6356</v>
      </c>
      <c r="AL187">
        <v>24</v>
      </c>
      <c r="AM187" s="5">
        <f t="shared" si="19"/>
        <v>0.92307692307692313</v>
      </c>
      <c r="AN187" s="4">
        <f t="shared" si="20"/>
        <v>1.3980718259400577E-3</v>
      </c>
      <c r="AO187" s="3"/>
      <c r="AP187">
        <v>0</v>
      </c>
      <c r="AQ187" t="s">
        <v>80</v>
      </c>
      <c r="AR187" t="s">
        <v>0</v>
      </c>
      <c r="AS187" t="s">
        <v>622</v>
      </c>
      <c r="AT187" s="2" t="s">
        <v>9</v>
      </c>
      <c r="AU187" s="1">
        <f t="shared" si="21"/>
        <v>2.6056751037117594</v>
      </c>
      <c r="AV187" s="1">
        <f t="shared" si="22"/>
        <v>1.9011414119638299</v>
      </c>
      <c r="AW187" s="1">
        <f t="shared" si="23"/>
        <v>1.1966077202159005</v>
      </c>
    </row>
    <row r="188" spans="1:49" x14ac:dyDescent="0.2">
      <c r="A188">
        <v>186</v>
      </c>
      <c r="B188" t="s">
        <v>6355</v>
      </c>
      <c r="C188" t="s">
        <v>6354</v>
      </c>
      <c r="D188" t="s">
        <v>6353</v>
      </c>
      <c r="F188" t="s">
        <v>6352</v>
      </c>
      <c r="G188" t="s">
        <v>6</v>
      </c>
      <c r="H188" t="s">
        <v>5</v>
      </c>
      <c r="I188" t="s">
        <v>6351</v>
      </c>
      <c r="J188">
        <v>60015331</v>
      </c>
      <c r="K188" t="s">
        <v>330</v>
      </c>
      <c r="L188" t="s">
        <v>329</v>
      </c>
      <c r="M188" t="s">
        <v>273</v>
      </c>
      <c r="N188">
        <v>1</v>
      </c>
      <c r="O188" t="s">
        <v>6350</v>
      </c>
      <c r="P188">
        <v>6602819121</v>
      </c>
      <c r="Q188">
        <v>60015331</v>
      </c>
      <c r="R188" s="7">
        <v>35400</v>
      </c>
      <c r="S188" s="8">
        <f t="shared" si="16"/>
        <v>1996</v>
      </c>
      <c r="T188" s="8">
        <v>1996</v>
      </c>
      <c r="U188" s="8">
        <f t="shared" si="17"/>
        <v>26</v>
      </c>
      <c r="V188" s="7">
        <v>1996</v>
      </c>
      <c r="W188" t="s">
        <v>410</v>
      </c>
      <c r="X188" s="2">
        <v>1.3720000000000001</v>
      </c>
      <c r="Y188" s="6">
        <f t="shared" si="18"/>
        <v>3.662475641333654E-2</v>
      </c>
      <c r="AA188">
        <v>189480</v>
      </c>
      <c r="AB188">
        <v>17366</v>
      </c>
      <c r="AD188" t="s">
        <v>1</v>
      </c>
      <c r="AE188">
        <v>44</v>
      </c>
      <c r="AF188" t="s">
        <v>409</v>
      </c>
      <c r="AH188" t="s">
        <v>6349</v>
      </c>
      <c r="AI188" t="s">
        <v>6348</v>
      </c>
      <c r="AK188" t="s">
        <v>6347</v>
      </c>
      <c r="AL188">
        <v>36</v>
      </c>
      <c r="AM188" s="5">
        <f t="shared" si="19"/>
        <v>1.3846153846153846</v>
      </c>
      <c r="AN188" s="4">
        <f t="shared" si="20"/>
        <v>2.0971077389100863E-3</v>
      </c>
      <c r="AO188" s="3"/>
      <c r="AP188">
        <v>0</v>
      </c>
      <c r="AR188" t="s">
        <v>0</v>
      </c>
      <c r="AT188" s="2" t="s">
        <v>9</v>
      </c>
      <c r="AU188" s="1">
        <f t="shared" si="21"/>
        <v>2.6266461811008601</v>
      </c>
      <c r="AV188" s="1">
        <f t="shared" si="22"/>
        <v>1.9360932076123314</v>
      </c>
      <c r="AW188" s="1">
        <f t="shared" si="23"/>
        <v>1.2455402341238022</v>
      </c>
    </row>
    <row r="189" spans="1:49" x14ac:dyDescent="0.2">
      <c r="A189">
        <v>187</v>
      </c>
      <c r="B189" t="s">
        <v>6346</v>
      </c>
      <c r="C189" t="s">
        <v>6345</v>
      </c>
      <c r="D189" t="s">
        <v>6344</v>
      </c>
      <c r="F189" t="s">
        <v>6343</v>
      </c>
      <c r="G189" t="s">
        <v>6</v>
      </c>
      <c r="H189" t="s">
        <v>5</v>
      </c>
      <c r="I189" t="s">
        <v>6342</v>
      </c>
      <c r="J189">
        <v>60003896</v>
      </c>
      <c r="K189" t="s">
        <v>448</v>
      </c>
      <c r="L189" t="s">
        <v>447</v>
      </c>
      <c r="M189" t="s">
        <v>30</v>
      </c>
      <c r="N189">
        <v>1</v>
      </c>
      <c r="O189" t="s">
        <v>6341</v>
      </c>
      <c r="P189">
        <v>57196853128</v>
      </c>
      <c r="Q189">
        <v>60003896</v>
      </c>
      <c r="R189" s="7">
        <v>35400</v>
      </c>
      <c r="S189" s="8">
        <f t="shared" si="16"/>
        <v>1996</v>
      </c>
      <c r="T189" s="8">
        <v>1996</v>
      </c>
      <c r="U189" s="8">
        <f t="shared" si="17"/>
        <v>26</v>
      </c>
      <c r="V189" s="7">
        <v>1996</v>
      </c>
      <c r="W189" t="s">
        <v>410</v>
      </c>
      <c r="X189" s="2">
        <v>1.3720000000000001</v>
      </c>
      <c r="Y189" s="6">
        <f t="shared" si="18"/>
        <v>3.662475641333654E-2</v>
      </c>
      <c r="AA189">
        <v>189480</v>
      </c>
      <c r="AB189">
        <v>17366</v>
      </c>
      <c r="AD189" t="s">
        <v>1</v>
      </c>
      <c r="AE189">
        <v>44</v>
      </c>
      <c r="AF189" t="s">
        <v>409</v>
      </c>
      <c r="AH189" t="s">
        <v>6340</v>
      </c>
      <c r="AI189" t="s">
        <v>6339</v>
      </c>
      <c r="AK189" t="s">
        <v>6338</v>
      </c>
      <c r="AL189">
        <v>170</v>
      </c>
      <c r="AM189" s="5">
        <f t="shared" si="19"/>
        <v>6.5384615384615383</v>
      </c>
      <c r="AN189" s="4">
        <f t="shared" si="20"/>
        <v>9.903008767075408E-3</v>
      </c>
      <c r="AO189" s="3"/>
      <c r="AP189">
        <v>0</v>
      </c>
      <c r="AR189" t="s">
        <v>0</v>
      </c>
      <c r="AT189" s="2" t="s">
        <v>9</v>
      </c>
      <c r="AU189" s="1">
        <f t="shared" si="21"/>
        <v>2.8608232119458199</v>
      </c>
      <c r="AV189" s="1">
        <f t="shared" si="22"/>
        <v>2.3263882590205975</v>
      </c>
      <c r="AW189" s="1">
        <f t="shared" si="23"/>
        <v>1.7919533060953747</v>
      </c>
    </row>
    <row r="190" spans="1:49" x14ac:dyDescent="0.2">
      <c r="A190">
        <v>188</v>
      </c>
      <c r="B190" t="s">
        <v>6337</v>
      </c>
      <c r="C190" t="s">
        <v>6336</v>
      </c>
      <c r="D190" t="s">
        <v>6335</v>
      </c>
      <c r="F190" t="s">
        <v>6334</v>
      </c>
      <c r="G190" t="s">
        <v>6</v>
      </c>
      <c r="H190" t="s">
        <v>5</v>
      </c>
      <c r="I190" t="s">
        <v>6333</v>
      </c>
      <c r="J190">
        <v>60032503</v>
      </c>
      <c r="K190" t="s">
        <v>426</v>
      </c>
      <c r="L190" t="s">
        <v>37</v>
      </c>
      <c r="M190" t="s">
        <v>2</v>
      </c>
      <c r="N190">
        <v>4</v>
      </c>
      <c r="O190" t="s">
        <v>6332</v>
      </c>
      <c r="P190" t="s">
        <v>6331</v>
      </c>
      <c r="Q190" t="s">
        <v>6330</v>
      </c>
      <c r="R190" s="7">
        <v>35400</v>
      </c>
      <c r="S190" s="8">
        <f t="shared" si="16"/>
        <v>1996</v>
      </c>
      <c r="T190" s="8">
        <v>1996</v>
      </c>
      <c r="U190" s="8">
        <f t="shared" si="17"/>
        <v>26</v>
      </c>
      <c r="V190" s="7">
        <v>1996</v>
      </c>
      <c r="W190" t="s">
        <v>410</v>
      </c>
      <c r="X190" s="2">
        <v>1.3720000000000001</v>
      </c>
      <c r="Y190" s="6">
        <f t="shared" si="18"/>
        <v>3.662475641333654E-2</v>
      </c>
      <c r="AA190">
        <v>189480</v>
      </c>
      <c r="AB190">
        <v>17366</v>
      </c>
      <c r="AD190" t="s">
        <v>1</v>
      </c>
      <c r="AE190">
        <v>44</v>
      </c>
      <c r="AF190" t="s">
        <v>6291</v>
      </c>
      <c r="AH190" t="s">
        <v>6329</v>
      </c>
      <c r="AI190" t="s">
        <v>6328</v>
      </c>
      <c r="AK190" t="s">
        <v>6327</v>
      </c>
      <c r="AL190">
        <v>14</v>
      </c>
      <c r="AM190" s="5">
        <f t="shared" si="19"/>
        <v>0.53846153846153844</v>
      </c>
      <c r="AN190" s="4">
        <f t="shared" si="20"/>
        <v>8.1554189846503363E-4</v>
      </c>
      <c r="AO190" s="3"/>
      <c r="AP190">
        <v>0</v>
      </c>
      <c r="AR190" t="s">
        <v>0</v>
      </c>
      <c r="AT190" s="2" t="s">
        <v>9</v>
      </c>
      <c r="AU190" s="1">
        <f t="shared" si="21"/>
        <v>2.5881992058875083</v>
      </c>
      <c r="AV190" s="1">
        <f t="shared" si="22"/>
        <v>1.8720149155900787</v>
      </c>
      <c r="AW190" s="1">
        <f t="shared" si="23"/>
        <v>1.1558306252926487</v>
      </c>
    </row>
    <row r="191" spans="1:49" x14ac:dyDescent="0.2">
      <c r="A191">
        <v>189</v>
      </c>
      <c r="B191" t="s">
        <v>6326</v>
      </c>
      <c r="C191" t="s">
        <v>6325</v>
      </c>
      <c r="D191" t="s">
        <v>6324</v>
      </c>
      <c r="F191" t="s">
        <v>6323</v>
      </c>
      <c r="G191" t="s">
        <v>6</v>
      </c>
      <c r="H191" t="s">
        <v>5</v>
      </c>
      <c r="I191" t="s">
        <v>6322</v>
      </c>
      <c r="J191">
        <v>60028628</v>
      </c>
      <c r="K191" t="s">
        <v>6321</v>
      </c>
      <c r="L191" t="s">
        <v>455</v>
      </c>
      <c r="M191" t="s">
        <v>2</v>
      </c>
      <c r="N191">
        <v>2</v>
      </c>
      <c r="O191" t="s">
        <v>6320</v>
      </c>
      <c r="P191" t="s">
        <v>6319</v>
      </c>
      <c r="Q191" t="s">
        <v>6318</v>
      </c>
      <c r="R191" s="7">
        <v>35400</v>
      </c>
      <c r="S191" s="8">
        <f t="shared" si="16"/>
        <v>1996</v>
      </c>
      <c r="T191" s="8">
        <v>1996</v>
      </c>
      <c r="U191" s="8">
        <f t="shared" si="17"/>
        <v>26</v>
      </c>
      <c r="V191" s="7">
        <v>1996</v>
      </c>
      <c r="W191" t="s">
        <v>410</v>
      </c>
      <c r="X191" s="2">
        <v>1.3720000000000001</v>
      </c>
      <c r="Y191" s="6">
        <f t="shared" si="18"/>
        <v>3.662475641333654E-2</v>
      </c>
      <c r="AA191">
        <v>189480</v>
      </c>
      <c r="AB191">
        <v>17366</v>
      </c>
      <c r="AD191" t="s">
        <v>1</v>
      </c>
      <c r="AE191">
        <v>44</v>
      </c>
      <c r="AF191" t="s">
        <v>409</v>
      </c>
      <c r="AH191" t="s">
        <v>6317</v>
      </c>
      <c r="AI191" t="s">
        <v>6316</v>
      </c>
      <c r="AK191" t="s">
        <v>6315</v>
      </c>
      <c r="AL191">
        <v>9</v>
      </c>
      <c r="AM191" s="5">
        <f t="shared" si="19"/>
        <v>0.34615384615384615</v>
      </c>
      <c r="AN191" s="4">
        <f t="shared" si="20"/>
        <v>5.2427693472752157E-4</v>
      </c>
      <c r="AO191" s="3"/>
      <c r="AP191">
        <v>0</v>
      </c>
      <c r="AQ191" t="s">
        <v>2957</v>
      </c>
      <c r="AR191" t="s">
        <v>6314</v>
      </c>
      <c r="AS191" t="s">
        <v>2956</v>
      </c>
      <c r="AT191" s="2" t="s">
        <v>9</v>
      </c>
      <c r="AU191" s="1">
        <f t="shared" si="21"/>
        <v>2.5794612569753834</v>
      </c>
      <c r="AV191" s="1">
        <f t="shared" si="22"/>
        <v>1.8574516674032031</v>
      </c>
      <c r="AW191" s="1">
        <f t="shared" si="23"/>
        <v>1.1354420778310228</v>
      </c>
    </row>
    <row r="192" spans="1:49" x14ac:dyDescent="0.2">
      <c r="A192">
        <v>190</v>
      </c>
      <c r="B192" t="s">
        <v>6313</v>
      </c>
      <c r="C192" t="s">
        <v>6312</v>
      </c>
      <c r="D192" t="s">
        <v>6311</v>
      </c>
      <c r="F192" t="s">
        <v>6310</v>
      </c>
      <c r="G192" t="s">
        <v>6</v>
      </c>
      <c r="H192" t="s">
        <v>5</v>
      </c>
      <c r="I192" t="s">
        <v>6309</v>
      </c>
      <c r="J192">
        <v>60000874</v>
      </c>
      <c r="K192" t="s">
        <v>6308</v>
      </c>
      <c r="L192" t="s">
        <v>6307</v>
      </c>
      <c r="M192" t="s">
        <v>250</v>
      </c>
      <c r="N192">
        <v>1</v>
      </c>
      <c r="O192" t="s">
        <v>6306</v>
      </c>
      <c r="P192">
        <v>7202560064</v>
      </c>
      <c r="Q192">
        <v>60000874</v>
      </c>
      <c r="R192" s="7">
        <v>35400</v>
      </c>
      <c r="S192" s="8">
        <f t="shared" si="16"/>
        <v>1996</v>
      </c>
      <c r="T192" s="8">
        <v>1996</v>
      </c>
      <c r="U192" s="8">
        <f t="shared" si="17"/>
        <v>26</v>
      </c>
      <c r="V192" s="7">
        <v>1996</v>
      </c>
      <c r="W192" t="s">
        <v>410</v>
      </c>
      <c r="X192" s="2">
        <v>1.3720000000000001</v>
      </c>
      <c r="Y192" s="6">
        <f t="shared" si="18"/>
        <v>3.662475641333654E-2</v>
      </c>
      <c r="AA192">
        <v>189480</v>
      </c>
      <c r="AB192">
        <v>17366</v>
      </c>
      <c r="AD192" t="s">
        <v>1</v>
      </c>
      <c r="AE192">
        <v>44</v>
      </c>
      <c r="AF192" t="s">
        <v>409</v>
      </c>
      <c r="AH192" t="s">
        <v>6305</v>
      </c>
      <c r="AI192" t="s">
        <v>6304</v>
      </c>
      <c r="AK192" t="s">
        <v>6303</v>
      </c>
      <c r="AL192">
        <v>6</v>
      </c>
      <c r="AM192" s="5">
        <f t="shared" si="19"/>
        <v>0.23076923076923078</v>
      </c>
      <c r="AN192" s="4">
        <f t="shared" si="20"/>
        <v>3.4951795648501444E-4</v>
      </c>
      <c r="AO192" s="3"/>
      <c r="AP192">
        <v>0</v>
      </c>
      <c r="AR192" t="s">
        <v>0</v>
      </c>
      <c r="AT192" s="2" t="s">
        <v>9</v>
      </c>
      <c r="AU192" s="1">
        <f t="shared" si="21"/>
        <v>2.5742184876281082</v>
      </c>
      <c r="AV192" s="1">
        <f t="shared" si="22"/>
        <v>1.8487137184910778</v>
      </c>
      <c r="AW192" s="1">
        <f t="shared" si="23"/>
        <v>1.1232089493540474</v>
      </c>
    </row>
    <row r="193" spans="1:49" x14ac:dyDescent="0.2">
      <c r="A193">
        <v>191</v>
      </c>
      <c r="B193" t="s">
        <v>6302</v>
      </c>
      <c r="C193" t="s">
        <v>6301</v>
      </c>
      <c r="D193" t="s">
        <v>6300</v>
      </c>
      <c r="F193" t="s">
        <v>6299</v>
      </c>
      <c r="G193" t="s">
        <v>6</v>
      </c>
      <c r="H193" t="s">
        <v>5</v>
      </c>
      <c r="I193" t="s">
        <v>6298</v>
      </c>
      <c r="J193" t="s">
        <v>6297</v>
      </c>
      <c r="K193" t="s">
        <v>6296</v>
      </c>
      <c r="L193" t="s">
        <v>6295</v>
      </c>
      <c r="M193" t="s">
        <v>276</v>
      </c>
      <c r="N193">
        <v>4</v>
      </c>
      <c r="O193" t="s">
        <v>6294</v>
      </c>
      <c r="P193" t="s">
        <v>6293</v>
      </c>
      <c r="Q193" t="s">
        <v>6292</v>
      </c>
      <c r="R193" s="7">
        <v>35400</v>
      </c>
      <c r="S193" s="8">
        <f t="shared" si="16"/>
        <v>1996</v>
      </c>
      <c r="T193" s="8">
        <v>1996</v>
      </c>
      <c r="U193" s="8">
        <f t="shared" si="17"/>
        <v>26</v>
      </c>
      <c r="V193" s="7">
        <v>1996</v>
      </c>
      <c r="W193" t="s">
        <v>410</v>
      </c>
      <c r="X193" s="2">
        <v>1.3720000000000001</v>
      </c>
      <c r="Y193" s="6">
        <f t="shared" si="18"/>
        <v>3.662475641333654E-2</v>
      </c>
      <c r="AA193">
        <v>189480</v>
      </c>
      <c r="AB193">
        <v>17366</v>
      </c>
      <c r="AD193" t="s">
        <v>1</v>
      </c>
      <c r="AE193">
        <v>44</v>
      </c>
      <c r="AF193" t="s">
        <v>6291</v>
      </c>
      <c r="AH193" t="s">
        <v>6290</v>
      </c>
      <c r="AI193" t="s">
        <v>6289</v>
      </c>
      <c r="AK193" t="s">
        <v>6288</v>
      </c>
      <c r="AL193">
        <v>34</v>
      </c>
      <c r="AM193" s="5">
        <f t="shared" si="19"/>
        <v>1.3076923076923077</v>
      </c>
      <c r="AN193" s="4">
        <f t="shared" si="20"/>
        <v>1.9806017534150819E-3</v>
      </c>
      <c r="AO193" s="3"/>
      <c r="AP193">
        <v>0</v>
      </c>
      <c r="AQ193" t="s">
        <v>6287</v>
      </c>
      <c r="AR193" t="s">
        <v>0</v>
      </c>
      <c r="AS193" t="s">
        <v>6286</v>
      </c>
      <c r="AT193" s="2" t="s">
        <v>9</v>
      </c>
      <c r="AU193" s="1">
        <f t="shared" si="21"/>
        <v>2.62315100153601</v>
      </c>
      <c r="AV193" s="1">
        <f t="shared" si="22"/>
        <v>1.9302679083375809</v>
      </c>
      <c r="AW193" s="1">
        <f t="shared" si="23"/>
        <v>1.237384815139152</v>
      </c>
    </row>
    <row r="194" spans="1:49" x14ac:dyDescent="0.2">
      <c r="A194">
        <v>192</v>
      </c>
      <c r="B194" t="s">
        <v>6285</v>
      </c>
      <c r="C194" t="s">
        <v>6284</v>
      </c>
      <c r="F194" t="s">
        <v>6283</v>
      </c>
      <c r="G194" t="s">
        <v>6</v>
      </c>
      <c r="H194" t="s">
        <v>5</v>
      </c>
      <c r="I194" t="s">
        <v>6282</v>
      </c>
      <c r="N194">
        <v>1</v>
      </c>
      <c r="O194" t="s">
        <v>6281</v>
      </c>
      <c r="P194">
        <v>7407902134</v>
      </c>
      <c r="R194" s="7">
        <v>35400</v>
      </c>
      <c r="S194" s="8">
        <f t="shared" ref="S194:S257" si="24">YEAR(R194)</f>
        <v>1996</v>
      </c>
      <c r="T194" s="8">
        <v>1996</v>
      </c>
      <c r="U194" s="8">
        <f t="shared" ref="U194:U257" si="25">2022-T194</f>
        <v>26</v>
      </c>
      <c r="V194" s="7">
        <v>1996</v>
      </c>
      <c r="W194" t="s">
        <v>410</v>
      </c>
      <c r="X194" s="2">
        <v>1.3720000000000001</v>
      </c>
      <c r="Y194" s="6">
        <f t="shared" ref="Y194:Y257" si="26">(X194-$Z$3)/($Z$2-$Z$3)</f>
        <v>3.662475641333654E-2</v>
      </c>
      <c r="AA194">
        <v>189480</v>
      </c>
      <c r="AB194">
        <v>17366</v>
      </c>
      <c r="AD194" t="s">
        <v>1</v>
      </c>
      <c r="AE194">
        <v>44</v>
      </c>
      <c r="AF194" t="s">
        <v>409</v>
      </c>
      <c r="AH194" t="s">
        <v>6280</v>
      </c>
      <c r="AI194" t="s">
        <v>6279</v>
      </c>
      <c r="AK194" t="s">
        <v>6278</v>
      </c>
      <c r="AL194">
        <v>152</v>
      </c>
      <c r="AM194" s="5">
        <f t="shared" ref="AM194:AM257" si="27">AL194/U194</f>
        <v>5.8461538461538458</v>
      </c>
      <c r="AN194" s="4">
        <f t="shared" ref="AN194:AN257" si="28">(AM194-$AO$3)/($AO$2-$AO$3)</f>
        <v>8.8544548976203646E-3</v>
      </c>
      <c r="AO194" s="3"/>
      <c r="AP194">
        <v>0</v>
      </c>
      <c r="AR194" t="s">
        <v>0</v>
      </c>
      <c r="AT194" s="2" t="s">
        <v>9</v>
      </c>
      <c r="AU194" s="1">
        <f t="shared" ref="AU194:AU257" si="29">(Y194*0.7+AN194*0.3)*100</f>
        <v>2.8293665958621683</v>
      </c>
      <c r="AV194" s="1">
        <f t="shared" ref="AV194:AV257" si="30">(Y194*0.5+AN194*0.5)*100</f>
        <v>2.2739605655478452</v>
      </c>
      <c r="AW194" s="1">
        <f t="shared" ref="AW194:AW257" si="31">(Y194*0.3+AN194*0.7)*100</f>
        <v>1.7185545352335216</v>
      </c>
    </row>
    <row r="195" spans="1:49" x14ac:dyDescent="0.2">
      <c r="A195">
        <v>193</v>
      </c>
      <c r="B195" t="s">
        <v>6277</v>
      </c>
      <c r="C195" t="s">
        <v>6276</v>
      </c>
      <c r="D195" t="s">
        <v>6275</v>
      </c>
      <c r="F195" t="s">
        <v>6274</v>
      </c>
      <c r="G195" t="s">
        <v>6</v>
      </c>
      <c r="H195" t="s">
        <v>5</v>
      </c>
      <c r="I195" t="s">
        <v>6273</v>
      </c>
      <c r="J195">
        <v>60019141</v>
      </c>
      <c r="K195" t="s">
        <v>6272</v>
      </c>
      <c r="L195" t="s">
        <v>6099</v>
      </c>
      <c r="M195" t="s">
        <v>41</v>
      </c>
      <c r="N195">
        <v>1</v>
      </c>
      <c r="O195" t="s">
        <v>6271</v>
      </c>
      <c r="P195">
        <v>54679376600</v>
      </c>
      <c r="Q195">
        <v>60019141</v>
      </c>
      <c r="R195" s="7">
        <v>35400</v>
      </c>
      <c r="S195" s="8">
        <f t="shared" si="24"/>
        <v>1996</v>
      </c>
      <c r="T195" s="8">
        <v>1996</v>
      </c>
      <c r="U195" s="8">
        <f t="shared" si="25"/>
        <v>26</v>
      </c>
      <c r="V195" s="7">
        <v>1996</v>
      </c>
      <c r="W195" t="s">
        <v>410</v>
      </c>
      <c r="X195" s="2">
        <v>1.3720000000000001</v>
      </c>
      <c r="Y195" s="6">
        <f t="shared" si="26"/>
        <v>3.662475641333654E-2</v>
      </c>
      <c r="AA195">
        <v>189480</v>
      </c>
      <c r="AB195">
        <v>17366</v>
      </c>
      <c r="AD195" t="s">
        <v>1</v>
      </c>
      <c r="AE195">
        <v>44</v>
      </c>
      <c r="AF195" t="s">
        <v>409</v>
      </c>
      <c r="AH195" t="s">
        <v>6270</v>
      </c>
      <c r="AI195" t="s">
        <v>6269</v>
      </c>
      <c r="AK195" t="s">
        <v>6268</v>
      </c>
      <c r="AL195">
        <v>78</v>
      </c>
      <c r="AM195" s="5">
        <f t="shared" si="27"/>
        <v>3</v>
      </c>
      <c r="AN195" s="4">
        <f t="shared" si="28"/>
        <v>4.5437334343051876E-3</v>
      </c>
      <c r="AO195" s="3"/>
      <c r="AP195">
        <v>0</v>
      </c>
      <c r="AQ195" t="s">
        <v>80</v>
      </c>
      <c r="AR195" t="s">
        <v>0</v>
      </c>
      <c r="AS195" t="s">
        <v>622</v>
      </c>
      <c r="AT195" s="2" t="s">
        <v>9</v>
      </c>
      <c r="AU195" s="1">
        <f t="shared" si="29"/>
        <v>2.7000449519627132</v>
      </c>
      <c r="AV195" s="1">
        <f t="shared" si="30"/>
        <v>2.0584244923820867</v>
      </c>
      <c r="AW195" s="1">
        <f t="shared" si="31"/>
        <v>1.4168040328014595</v>
      </c>
    </row>
    <row r="196" spans="1:49" x14ac:dyDescent="0.2">
      <c r="A196">
        <v>194</v>
      </c>
      <c r="B196" t="s">
        <v>6267</v>
      </c>
      <c r="F196" t="s">
        <v>6266</v>
      </c>
      <c r="G196" t="s">
        <v>6</v>
      </c>
      <c r="H196" t="s">
        <v>5</v>
      </c>
      <c r="I196" t="s">
        <v>2211</v>
      </c>
      <c r="J196">
        <v>60020650</v>
      </c>
      <c r="K196" t="s">
        <v>704</v>
      </c>
      <c r="L196" t="s">
        <v>703</v>
      </c>
      <c r="M196" t="s">
        <v>19</v>
      </c>
      <c r="N196">
        <v>2</v>
      </c>
      <c r="O196" t="s">
        <v>6265</v>
      </c>
      <c r="P196" t="s">
        <v>6264</v>
      </c>
      <c r="Q196" t="s">
        <v>6263</v>
      </c>
      <c r="R196" s="7">
        <v>35400</v>
      </c>
      <c r="S196" s="8">
        <f t="shared" si="24"/>
        <v>1996</v>
      </c>
      <c r="T196" s="8">
        <v>1996</v>
      </c>
      <c r="U196" s="8">
        <f t="shared" si="25"/>
        <v>26</v>
      </c>
      <c r="V196" s="7">
        <v>1996</v>
      </c>
      <c r="W196" t="s">
        <v>408</v>
      </c>
      <c r="X196" s="2">
        <v>0.1</v>
      </c>
      <c r="Y196" s="6">
        <f t="shared" si="26"/>
        <v>2.6694428872694269E-3</v>
      </c>
      <c r="AA196">
        <v>9633308</v>
      </c>
      <c r="AB196">
        <v>17917</v>
      </c>
      <c r="AD196" t="s">
        <v>1</v>
      </c>
      <c r="AF196">
        <v>220</v>
      </c>
      <c r="AL196">
        <v>0</v>
      </c>
      <c r="AM196" s="5">
        <f t="shared" si="27"/>
        <v>0</v>
      </c>
      <c r="AN196" s="4">
        <f t="shared" si="28"/>
        <v>0</v>
      </c>
      <c r="AO196" s="3"/>
      <c r="AP196">
        <v>0</v>
      </c>
      <c r="AR196" t="s">
        <v>0</v>
      </c>
      <c r="AT196" s="2" t="s">
        <v>9</v>
      </c>
      <c r="AU196" s="1">
        <f t="shared" si="29"/>
        <v>0.18686100210885986</v>
      </c>
      <c r="AV196" s="1">
        <f t="shared" si="30"/>
        <v>0.13347214436347135</v>
      </c>
      <c r="AW196" s="1">
        <f t="shared" si="31"/>
        <v>8.0083286618082811E-2</v>
      </c>
    </row>
    <row r="197" spans="1:49" x14ac:dyDescent="0.2">
      <c r="A197">
        <v>195</v>
      </c>
      <c r="B197" t="s">
        <v>6262</v>
      </c>
      <c r="F197" t="s">
        <v>6261</v>
      </c>
      <c r="G197" t="s">
        <v>6</v>
      </c>
      <c r="H197" t="s">
        <v>5</v>
      </c>
      <c r="I197" t="s">
        <v>6260</v>
      </c>
      <c r="N197">
        <v>2</v>
      </c>
      <c r="O197" t="s">
        <v>6259</v>
      </c>
      <c r="P197" t="s">
        <v>6258</v>
      </c>
      <c r="Q197" t="s">
        <v>460</v>
      </c>
      <c r="R197" s="7">
        <v>35400</v>
      </c>
      <c r="S197" s="8">
        <f t="shared" si="24"/>
        <v>1996</v>
      </c>
      <c r="T197" s="8">
        <v>1996</v>
      </c>
      <c r="U197" s="8">
        <f t="shared" si="25"/>
        <v>26</v>
      </c>
      <c r="V197" s="7">
        <v>1996</v>
      </c>
      <c r="W197" t="s">
        <v>408</v>
      </c>
      <c r="X197" s="2">
        <v>0.1</v>
      </c>
      <c r="Y197" s="6">
        <f t="shared" si="26"/>
        <v>2.6694428872694269E-3</v>
      </c>
      <c r="AA197">
        <v>9633308</v>
      </c>
      <c r="AB197">
        <v>17917</v>
      </c>
      <c r="AD197" t="s">
        <v>1</v>
      </c>
      <c r="AF197">
        <v>220</v>
      </c>
      <c r="AL197">
        <v>11</v>
      </c>
      <c r="AM197" s="5">
        <f t="shared" si="27"/>
        <v>0.42307692307692307</v>
      </c>
      <c r="AN197" s="4">
        <f t="shared" si="28"/>
        <v>6.4078292022252644E-4</v>
      </c>
      <c r="AO197" s="3"/>
      <c r="AP197">
        <v>0</v>
      </c>
      <c r="AR197" t="s">
        <v>0</v>
      </c>
      <c r="AT197" s="2" t="s">
        <v>9</v>
      </c>
      <c r="AU197" s="1">
        <f t="shared" si="29"/>
        <v>0.20608448971553567</v>
      </c>
      <c r="AV197" s="1">
        <f t="shared" si="30"/>
        <v>0.16551129037459766</v>
      </c>
      <c r="AW197" s="1">
        <f t="shared" si="31"/>
        <v>0.12493809103365965</v>
      </c>
    </row>
    <row r="198" spans="1:49" x14ac:dyDescent="0.2">
      <c r="A198">
        <v>196</v>
      </c>
      <c r="B198" t="s">
        <v>6257</v>
      </c>
      <c r="F198" t="s">
        <v>6256</v>
      </c>
      <c r="G198" t="s">
        <v>6</v>
      </c>
      <c r="H198" t="s">
        <v>5</v>
      </c>
      <c r="I198" t="s">
        <v>6255</v>
      </c>
      <c r="J198">
        <v>60028673</v>
      </c>
      <c r="K198" t="s">
        <v>514</v>
      </c>
      <c r="L198" t="s">
        <v>381</v>
      </c>
      <c r="M198" t="s">
        <v>30</v>
      </c>
      <c r="N198">
        <v>1</v>
      </c>
      <c r="O198" t="s">
        <v>6254</v>
      </c>
      <c r="P198">
        <v>7201861317</v>
      </c>
      <c r="Q198">
        <v>60028673</v>
      </c>
      <c r="R198" s="7">
        <v>35400</v>
      </c>
      <c r="S198" s="8">
        <f t="shared" si="24"/>
        <v>1996</v>
      </c>
      <c r="T198" s="8">
        <v>1996</v>
      </c>
      <c r="U198" s="8">
        <f t="shared" si="25"/>
        <v>26</v>
      </c>
      <c r="V198" s="7">
        <v>1996</v>
      </c>
      <c r="W198" t="s">
        <v>408</v>
      </c>
      <c r="X198" s="2">
        <v>0.1</v>
      </c>
      <c r="Y198" s="6">
        <f t="shared" si="26"/>
        <v>2.6694428872694269E-3</v>
      </c>
      <c r="AA198">
        <v>9633308</v>
      </c>
      <c r="AB198">
        <v>17917</v>
      </c>
      <c r="AD198" t="s">
        <v>1</v>
      </c>
      <c r="AF198">
        <v>220</v>
      </c>
      <c r="AI198" t="s">
        <v>6253</v>
      </c>
      <c r="AK198" t="s">
        <v>6252</v>
      </c>
      <c r="AL198">
        <v>0</v>
      </c>
      <c r="AM198" s="5">
        <f t="shared" si="27"/>
        <v>0</v>
      </c>
      <c r="AN198" s="4">
        <f t="shared" si="28"/>
        <v>0</v>
      </c>
      <c r="AO198" s="3"/>
      <c r="AP198">
        <v>0</v>
      </c>
      <c r="AR198" t="s">
        <v>0</v>
      </c>
      <c r="AT198" s="2" t="s">
        <v>9</v>
      </c>
      <c r="AU198" s="1">
        <f t="shared" si="29"/>
        <v>0.18686100210885986</v>
      </c>
      <c r="AV198" s="1">
        <f t="shared" si="30"/>
        <v>0.13347214436347135</v>
      </c>
      <c r="AW198" s="1">
        <f t="shared" si="31"/>
        <v>8.0083286618082811E-2</v>
      </c>
    </row>
    <row r="199" spans="1:49" x14ac:dyDescent="0.2">
      <c r="A199">
        <v>197</v>
      </c>
      <c r="B199" t="s">
        <v>6251</v>
      </c>
      <c r="F199" t="s">
        <v>6250</v>
      </c>
      <c r="G199" t="s">
        <v>6</v>
      </c>
      <c r="H199" t="s">
        <v>5</v>
      </c>
      <c r="I199" t="s">
        <v>6249</v>
      </c>
      <c r="J199">
        <v>102031485</v>
      </c>
      <c r="K199" t="s">
        <v>6248</v>
      </c>
      <c r="L199" t="s">
        <v>185</v>
      </c>
      <c r="N199">
        <v>1</v>
      </c>
      <c r="O199" t="s">
        <v>6247</v>
      </c>
      <c r="P199">
        <v>7404055053</v>
      </c>
      <c r="Q199">
        <v>102031485</v>
      </c>
      <c r="R199" s="7">
        <v>35400</v>
      </c>
      <c r="S199" s="8">
        <f t="shared" si="24"/>
        <v>1996</v>
      </c>
      <c r="T199" s="8">
        <v>1996</v>
      </c>
      <c r="U199" s="8">
        <f t="shared" si="25"/>
        <v>26</v>
      </c>
      <c r="V199" s="7">
        <v>1996</v>
      </c>
      <c r="W199" t="s">
        <v>408</v>
      </c>
      <c r="X199" s="2">
        <v>0.1</v>
      </c>
      <c r="Y199" s="6">
        <f t="shared" si="26"/>
        <v>2.6694428872694269E-3</v>
      </c>
      <c r="AA199">
        <v>9633308</v>
      </c>
      <c r="AB199">
        <v>17917</v>
      </c>
      <c r="AD199" t="s">
        <v>1</v>
      </c>
      <c r="AF199">
        <v>220</v>
      </c>
      <c r="AL199">
        <v>0</v>
      </c>
      <c r="AM199" s="5">
        <f t="shared" si="27"/>
        <v>0</v>
      </c>
      <c r="AN199" s="4">
        <f t="shared" si="28"/>
        <v>0</v>
      </c>
      <c r="AO199" s="3"/>
      <c r="AP199">
        <v>0</v>
      </c>
      <c r="AR199" t="s">
        <v>0</v>
      </c>
      <c r="AT199" s="2" t="s">
        <v>9</v>
      </c>
      <c r="AU199" s="1">
        <f t="shared" si="29"/>
        <v>0.18686100210885986</v>
      </c>
      <c r="AV199" s="1">
        <f t="shared" si="30"/>
        <v>0.13347214436347135</v>
      </c>
      <c r="AW199" s="1">
        <f t="shared" si="31"/>
        <v>8.0083286618082811E-2</v>
      </c>
    </row>
    <row r="200" spans="1:49" x14ac:dyDescent="0.2">
      <c r="A200">
        <v>198</v>
      </c>
      <c r="B200" t="s">
        <v>6246</v>
      </c>
      <c r="F200" t="s">
        <v>6245</v>
      </c>
      <c r="G200" t="s">
        <v>6</v>
      </c>
      <c r="H200" t="s">
        <v>5</v>
      </c>
      <c r="I200" t="s">
        <v>6244</v>
      </c>
      <c r="J200" t="s">
        <v>6243</v>
      </c>
      <c r="K200" t="s">
        <v>6242</v>
      </c>
      <c r="L200" t="s">
        <v>6241</v>
      </c>
      <c r="M200" t="s">
        <v>88</v>
      </c>
      <c r="N200">
        <v>2</v>
      </c>
      <c r="O200" t="s">
        <v>6240</v>
      </c>
      <c r="P200" t="s">
        <v>6239</v>
      </c>
      <c r="Q200" t="s">
        <v>6238</v>
      </c>
      <c r="R200" s="7">
        <v>35400</v>
      </c>
      <c r="S200" s="8">
        <f t="shared" si="24"/>
        <v>1996</v>
      </c>
      <c r="T200" s="8">
        <v>1996</v>
      </c>
      <c r="U200" s="8">
        <f t="shared" si="25"/>
        <v>26</v>
      </c>
      <c r="V200" s="7">
        <v>1996</v>
      </c>
      <c r="W200" t="s">
        <v>408</v>
      </c>
      <c r="X200" s="2">
        <v>0.1</v>
      </c>
      <c r="Y200" s="6">
        <f t="shared" si="26"/>
        <v>2.6694428872694269E-3</v>
      </c>
      <c r="AA200">
        <v>9633308</v>
      </c>
      <c r="AB200">
        <v>17917</v>
      </c>
      <c r="AD200" t="s">
        <v>1</v>
      </c>
      <c r="AF200">
        <v>270</v>
      </c>
      <c r="AL200">
        <v>1</v>
      </c>
      <c r="AM200" s="5">
        <f t="shared" si="27"/>
        <v>3.8461538461538464E-2</v>
      </c>
      <c r="AN200" s="4">
        <f t="shared" si="28"/>
        <v>5.8252992747502406E-5</v>
      </c>
      <c r="AO200" s="3"/>
      <c r="AP200">
        <v>0</v>
      </c>
      <c r="AR200" t="s">
        <v>0</v>
      </c>
      <c r="AT200" s="2" t="s">
        <v>9</v>
      </c>
      <c r="AU200" s="1">
        <f t="shared" si="29"/>
        <v>0.18860859189128495</v>
      </c>
      <c r="AV200" s="1">
        <f t="shared" si="30"/>
        <v>0.13638479400084647</v>
      </c>
      <c r="AW200" s="1">
        <f t="shared" si="31"/>
        <v>8.4160996110407962E-2</v>
      </c>
    </row>
    <row r="201" spans="1:49" x14ac:dyDescent="0.2">
      <c r="A201">
        <v>199</v>
      </c>
      <c r="B201" t="s">
        <v>6237</v>
      </c>
      <c r="F201" t="s">
        <v>6236</v>
      </c>
      <c r="G201" t="s">
        <v>6</v>
      </c>
      <c r="H201" t="s">
        <v>5</v>
      </c>
      <c r="I201" t="s">
        <v>6235</v>
      </c>
      <c r="J201">
        <v>60011897</v>
      </c>
      <c r="K201" t="s">
        <v>365</v>
      </c>
      <c r="L201" t="s">
        <v>364</v>
      </c>
      <c r="M201" t="s">
        <v>19</v>
      </c>
      <c r="N201">
        <v>4</v>
      </c>
      <c r="O201" t="s">
        <v>6234</v>
      </c>
      <c r="P201" t="s">
        <v>6233</v>
      </c>
      <c r="Q201" t="s">
        <v>6232</v>
      </c>
      <c r="R201" s="7">
        <v>35400</v>
      </c>
      <c r="S201" s="8">
        <f t="shared" si="24"/>
        <v>1996</v>
      </c>
      <c r="T201" s="8">
        <v>1996</v>
      </c>
      <c r="U201" s="8">
        <f t="shared" si="25"/>
        <v>26</v>
      </c>
      <c r="V201" s="7">
        <v>1996</v>
      </c>
      <c r="W201" t="s">
        <v>408</v>
      </c>
      <c r="X201" s="2">
        <v>0.1</v>
      </c>
      <c r="Y201" s="6">
        <f t="shared" si="26"/>
        <v>2.6694428872694269E-3</v>
      </c>
      <c r="AA201">
        <v>9633308</v>
      </c>
      <c r="AB201">
        <v>17917</v>
      </c>
      <c r="AD201" t="s">
        <v>1</v>
      </c>
      <c r="AF201">
        <v>270</v>
      </c>
      <c r="AL201">
        <v>8</v>
      </c>
      <c r="AM201" s="5">
        <f t="shared" si="27"/>
        <v>0.30769230769230771</v>
      </c>
      <c r="AN201" s="4">
        <f t="shared" si="28"/>
        <v>4.6602394198001925E-4</v>
      </c>
      <c r="AO201" s="3"/>
      <c r="AP201">
        <v>0</v>
      </c>
      <c r="AR201" t="s">
        <v>0</v>
      </c>
      <c r="AT201" s="2" t="s">
        <v>9</v>
      </c>
      <c r="AU201" s="1">
        <f t="shared" si="29"/>
        <v>0.20084172036826045</v>
      </c>
      <c r="AV201" s="1">
        <f t="shared" si="30"/>
        <v>0.15677334146247229</v>
      </c>
      <c r="AW201" s="1">
        <f t="shared" si="31"/>
        <v>0.11270496255668416</v>
      </c>
    </row>
    <row r="202" spans="1:49" x14ac:dyDescent="0.2">
      <c r="A202">
        <v>200</v>
      </c>
      <c r="B202" t="s">
        <v>6231</v>
      </c>
      <c r="F202" t="s">
        <v>6230</v>
      </c>
      <c r="G202" t="s">
        <v>6</v>
      </c>
      <c r="H202" t="s">
        <v>5</v>
      </c>
      <c r="I202" t="s">
        <v>664</v>
      </c>
      <c r="J202">
        <v>60000891</v>
      </c>
      <c r="K202" t="s">
        <v>663</v>
      </c>
      <c r="L202" t="s">
        <v>662</v>
      </c>
      <c r="M202" t="s">
        <v>19</v>
      </c>
      <c r="N202">
        <v>3</v>
      </c>
      <c r="O202" t="s">
        <v>6229</v>
      </c>
      <c r="P202" t="s">
        <v>6228</v>
      </c>
      <c r="Q202" t="s">
        <v>6227</v>
      </c>
      <c r="R202" s="7">
        <v>35400</v>
      </c>
      <c r="S202" s="8">
        <f t="shared" si="24"/>
        <v>1996</v>
      </c>
      <c r="T202" s="8">
        <v>1996</v>
      </c>
      <c r="U202" s="8">
        <f t="shared" si="25"/>
        <v>26</v>
      </c>
      <c r="V202" s="7">
        <v>1996</v>
      </c>
      <c r="W202" t="s">
        <v>408</v>
      </c>
      <c r="X202" s="2">
        <v>0.1</v>
      </c>
      <c r="Y202" s="6">
        <f t="shared" si="26"/>
        <v>2.6694428872694269E-3</v>
      </c>
      <c r="AA202">
        <v>9633308</v>
      </c>
      <c r="AB202">
        <v>17917</v>
      </c>
      <c r="AD202" t="s">
        <v>1</v>
      </c>
      <c r="AF202">
        <v>270</v>
      </c>
      <c r="AL202">
        <v>4</v>
      </c>
      <c r="AM202" s="5">
        <f t="shared" si="27"/>
        <v>0.15384615384615385</v>
      </c>
      <c r="AN202" s="4">
        <f t="shared" si="28"/>
        <v>2.3301197099000962E-4</v>
      </c>
      <c r="AO202" s="3"/>
      <c r="AP202">
        <v>0</v>
      </c>
      <c r="AR202" t="s">
        <v>0</v>
      </c>
      <c r="AT202" s="2" t="s">
        <v>9</v>
      </c>
      <c r="AU202" s="1">
        <f t="shared" si="29"/>
        <v>0.19385136123856017</v>
      </c>
      <c r="AV202" s="1">
        <f t="shared" si="30"/>
        <v>0.14512274291297184</v>
      </c>
      <c r="AW202" s="1">
        <f t="shared" si="31"/>
        <v>9.6394124587383487E-2</v>
      </c>
    </row>
    <row r="203" spans="1:49" x14ac:dyDescent="0.2">
      <c r="A203">
        <v>201</v>
      </c>
      <c r="B203" t="s">
        <v>6226</v>
      </c>
      <c r="C203" t="s">
        <v>6225</v>
      </c>
      <c r="D203" t="s">
        <v>6224</v>
      </c>
      <c r="E203">
        <v>9214803</v>
      </c>
      <c r="F203" t="s">
        <v>6223</v>
      </c>
      <c r="G203" t="s">
        <v>6</v>
      </c>
      <c r="H203" t="s">
        <v>5</v>
      </c>
      <c r="I203" t="s">
        <v>6222</v>
      </c>
      <c r="J203" t="s">
        <v>6221</v>
      </c>
      <c r="K203" t="s">
        <v>6220</v>
      </c>
      <c r="L203" t="s">
        <v>6219</v>
      </c>
      <c r="M203" t="s">
        <v>244</v>
      </c>
      <c r="N203">
        <v>4</v>
      </c>
      <c r="O203" t="s">
        <v>6218</v>
      </c>
      <c r="P203" t="s">
        <v>6217</v>
      </c>
      <c r="Q203" t="s">
        <v>6216</v>
      </c>
      <c r="R203" s="7">
        <v>35400</v>
      </c>
      <c r="S203" s="8">
        <f t="shared" si="24"/>
        <v>1996</v>
      </c>
      <c r="T203" s="8">
        <v>1996</v>
      </c>
      <c r="U203" s="8">
        <f t="shared" si="25"/>
        <v>26</v>
      </c>
      <c r="V203" s="7">
        <v>1996</v>
      </c>
      <c r="W203" t="s">
        <v>645</v>
      </c>
      <c r="X203" s="2">
        <v>1.1479999999999999</v>
      </c>
      <c r="Y203" s="6">
        <f t="shared" si="26"/>
        <v>3.0645204345853019E-2</v>
      </c>
      <c r="AA203">
        <v>189294</v>
      </c>
      <c r="AB203">
        <v>16318</v>
      </c>
      <c r="AD203" t="s">
        <v>1</v>
      </c>
      <c r="AE203">
        <v>43</v>
      </c>
      <c r="AF203">
        <v>9</v>
      </c>
      <c r="AH203" t="s">
        <v>6215</v>
      </c>
      <c r="AI203" t="s">
        <v>6214</v>
      </c>
      <c r="AK203" t="s">
        <v>6213</v>
      </c>
      <c r="AL203">
        <v>110</v>
      </c>
      <c r="AM203" s="5">
        <f t="shared" si="27"/>
        <v>4.2307692307692308</v>
      </c>
      <c r="AN203" s="4">
        <f t="shared" si="28"/>
        <v>6.4078292022252646E-3</v>
      </c>
      <c r="AO203" s="3"/>
      <c r="AP203">
        <v>0</v>
      </c>
      <c r="AQ203" t="s">
        <v>68</v>
      </c>
      <c r="AR203" t="s">
        <v>6212</v>
      </c>
      <c r="AS203" t="s">
        <v>67</v>
      </c>
      <c r="AT203" s="2" t="s">
        <v>9</v>
      </c>
      <c r="AU203" s="1">
        <f t="shared" si="29"/>
        <v>2.3373991802764693</v>
      </c>
      <c r="AV203" s="1">
        <f t="shared" si="30"/>
        <v>1.8526516774039141</v>
      </c>
      <c r="AW203" s="1">
        <f t="shared" si="31"/>
        <v>1.3679041745313589</v>
      </c>
    </row>
    <row r="204" spans="1:49" x14ac:dyDescent="0.2">
      <c r="A204">
        <v>202</v>
      </c>
      <c r="B204" t="s">
        <v>6211</v>
      </c>
      <c r="C204" t="s">
        <v>6210</v>
      </c>
      <c r="D204" t="s">
        <v>6209</v>
      </c>
      <c r="F204" t="s">
        <v>6208</v>
      </c>
      <c r="G204" t="s">
        <v>6</v>
      </c>
      <c r="H204" t="s">
        <v>5</v>
      </c>
      <c r="I204" t="s">
        <v>6207</v>
      </c>
      <c r="J204" t="s">
        <v>6206</v>
      </c>
      <c r="K204" t="s">
        <v>6205</v>
      </c>
      <c r="L204" t="s">
        <v>6204</v>
      </c>
      <c r="M204" t="s">
        <v>18</v>
      </c>
      <c r="N204">
        <v>4</v>
      </c>
      <c r="O204" t="s">
        <v>6203</v>
      </c>
      <c r="P204" t="s">
        <v>6202</v>
      </c>
      <c r="Q204" t="s">
        <v>6201</v>
      </c>
      <c r="R204" s="7">
        <v>35400</v>
      </c>
      <c r="S204" s="8">
        <f t="shared" si="24"/>
        <v>1996</v>
      </c>
      <c r="T204" s="8">
        <v>1996</v>
      </c>
      <c r="U204" s="8">
        <f t="shared" si="25"/>
        <v>26</v>
      </c>
      <c r="V204" s="7">
        <v>1996</v>
      </c>
      <c r="W204" t="s">
        <v>410</v>
      </c>
      <c r="X204" s="2">
        <v>1.3720000000000001</v>
      </c>
      <c r="Y204" s="6">
        <f t="shared" si="26"/>
        <v>3.662475641333654E-2</v>
      </c>
      <c r="AA204">
        <v>189480</v>
      </c>
      <c r="AB204">
        <v>17366</v>
      </c>
      <c r="AD204" t="s">
        <v>1</v>
      </c>
      <c r="AE204">
        <v>44</v>
      </c>
      <c r="AF204">
        <v>9</v>
      </c>
      <c r="AH204" t="s">
        <v>6200</v>
      </c>
      <c r="AI204" t="s">
        <v>6199</v>
      </c>
      <c r="AK204" t="s">
        <v>6198</v>
      </c>
      <c r="AL204">
        <v>28</v>
      </c>
      <c r="AM204" s="5">
        <f t="shared" si="27"/>
        <v>1.0769230769230769</v>
      </c>
      <c r="AN204" s="4">
        <f t="shared" si="28"/>
        <v>1.6310837969300673E-3</v>
      </c>
      <c r="AO204" s="3"/>
      <c r="AP204">
        <v>0</v>
      </c>
      <c r="AR204" t="s">
        <v>0</v>
      </c>
      <c r="AT204" s="2" t="s">
        <v>9</v>
      </c>
      <c r="AU204" s="1">
        <f t="shared" si="29"/>
        <v>2.6126654628414596</v>
      </c>
      <c r="AV204" s="1">
        <f t="shared" si="30"/>
        <v>1.9127920105133305</v>
      </c>
      <c r="AW204" s="1">
        <f t="shared" si="31"/>
        <v>1.2129185581852009</v>
      </c>
    </row>
    <row r="205" spans="1:49" x14ac:dyDescent="0.2">
      <c r="A205">
        <v>203</v>
      </c>
      <c r="B205" t="s">
        <v>6197</v>
      </c>
      <c r="C205" t="s">
        <v>6196</v>
      </c>
      <c r="D205" t="s">
        <v>6195</v>
      </c>
      <c r="F205" t="s">
        <v>6194</v>
      </c>
      <c r="G205" t="s">
        <v>6</v>
      </c>
      <c r="H205" t="s">
        <v>5</v>
      </c>
      <c r="I205" t="s">
        <v>6193</v>
      </c>
      <c r="J205">
        <v>60015913</v>
      </c>
      <c r="K205" t="s">
        <v>6192</v>
      </c>
      <c r="L205" t="s">
        <v>6191</v>
      </c>
      <c r="M205" t="s">
        <v>41</v>
      </c>
      <c r="N205">
        <v>2</v>
      </c>
      <c r="O205" t="s">
        <v>6190</v>
      </c>
      <c r="P205" t="s">
        <v>6189</v>
      </c>
      <c r="Q205" t="s">
        <v>6188</v>
      </c>
      <c r="R205" s="7">
        <v>35400</v>
      </c>
      <c r="S205" s="8">
        <f t="shared" si="24"/>
        <v>1996</v>
      </c>
      <c r="T205" s="8">
        <v>1996</v>
      </c>
      <c r="U205" s="8">
        <f t="shared" si="25"/>
        <v>26</v>
      </c>
      <c r="V205" s="7">
        <v>1996</v>
      </c>
      <c r="W205" t="s">
        <v>410</v>
      </c>
      <c r="X205" s="2">
        <v>1.3720000000000001</v>
      </c>
      <c r="Y205" s="6">
        <f t="shared" si="26"/>
        <v>3.662475641333654E-2</v>
      </c>
      <c r="AA205">
        <v>189480</v>
      </c>
      <c r="AB205">
        <v>17366</v>
      </c>
      <c r="AD205" t="s">
        <v>1</v>
      </c>
      <c r="AE205">
        <v>44</v>
      </c>
      <c r="AF205">
        <v>9</v>
      </c>
      <c r="AH205" t="s">
        <v>465</v>
      </c>
      <c r="AI205" t="s">
        <v>6187</v>
      </c>
      <c r="AK205" t="s">
        <v>6186</v>
      </c>
      <c r="AL205">
        <v>1</v>
      </c>
      <c r="AM205" s="5">
        <f t="shared" si="27"/>
        <v>3.8461538461538464E-2</v>
      </c>
      <c r="AN205" s="4">
        <f t="shared" si="28"/>
        <v>5.8252992747502406E-5</v>
      </c>
      <c r="AO205" s="3"/>
      <c r="AP205">
        <v>0</v>
      </c>
      <c r="AR205" t="s">
        <v>0</v>
      </c>
      <c r="AT205" s="2" t="s">
        <v>9</v>
      </c>
      <c r="AU205" s="1">
        <f t="shared" si="29"/>
        <v>2.5654805387159829</v>
      </c>
      <c r="AV205" s="1">
        <f t="shared" si="30"/>
        <v>1.8341504703042022</v>
      </c>
      <c r="AW205" s="1">
        <f t="shared" si="31"/>
        <v>1.1028204018924215</v>
      </c>
    </row>
    <row r="206" spans="1:49" x14ac:dyDescent="0.2">
      <c r="A206">
        <v>204</v>
      </c>
      <c r="B206" t="s">
        <v>6185</v>
      </c>
      <c r="C206" t="s">
        <v>6184</v>
      </c>
      <c r="D206" t="s">
        <v>6183</v>
      </c>
      <c r="F206" t="s">
        <v>6182</v>
      </c>
      <c r="G206" t="s">
        <v>6</v>
      </c>
      <c r="H206" t="s">
        <v>5</v>
      </c>
      <c r="I206" t="s">
        <v>6181</v>
      </c>
      <c r="J206" t="s">
        <v>6176</v>
      </c>
      <c r="K206" t="s">
        <v>6180</v>
      </c>
      <c r="L206" t="s">
        <v>6179</v>
      </c>
      <c r="M206" t="s">
        <v>28</v>
      </c>
      <c r="N206">
        <v>2</v>
      </c>
      <c r="O206" t="s">
        <v>6178</v>
      </c>
      <c r="P206" t="s">
        <v>6177</v>
      </c>
      <c r="Q206" t="s">
        <v>6176</v>
      </c>
      <c r="R206" s="7">
        <v>35400</v>
      </c>
      <c r="S206" s="8">
        <f t="shared" si="24"/>
        <v>1996</v>
      </c>
      <c r="T206" s="8">
        <v>1996</v>
      </c>
      <c r="U206" s="8">
        <f t="shared" si="25"/>
        <v>26</v>
      </c>
      <c r="V206" s="7">
        <v>1996</v>
      </c>
      <c r="W206" t="s">
        <v>410</v>
      </c>
      <c r="X206" s="2">
        <v>1.3720000000000001</v>
      </c>
      <c r="Y206" s="6">
        <f t="shared" si="26"/>
        <v>3.662475641333654E-2</v>
      </c>
      <c r="AA206">
        <v>189480</v>
      </c>
      <c r="AB206">
        <v>17366</v>
      </c>
      <c r="AD206" t="s">
        <v>1</v>
      </c>
      <c r="AE206">
        <v>44</v>
      </c>
      <c r="AF206">
        <v>9</v>
      </c>
      <c r="AH206" t="s">
        <v>6175</v>
      </c>
      <c r="AI206" t="s">
        <v>6174</v>
      </c>
      <c r="AK206" t="s">
        <v>6173</v>
      </c>
      <c r="AL206">
        <v>6</v>
      </c>
      <c r="AM206" s="5">
        <f t="shared" si="27"/>
        <v>0.23076923076923078</v>
      </c>
      <c r="AN206" s="4">
        <f t="shared" si="28"/>
        <v>3.4951795648501444E-4</v>
      </c>
      <c r="AO206" s="3"/>
      <c r="AP206">
        <v>0</v>
      </c>
      <c r="AQ206" t="s">
        <v>6172</v>
      </c>
      <c r="AR206" t="s">
        <v>0</v>
      </c>
      <c r="AS206" t="s">
        <v>6171</v>
      </c>
      <c r="AT206" s="2" t="s">
        <v>9</v>
      </c>
      <c r="AU206" s="1">
        <f t="shared" si="29"/>
        <v>2.5742184876281082</v>
      </c>
      <c r="AV206" s="1">
        <f t="shared" si="30"/>
        <v>1.8487137184910778</v>
      </c>
      <c r="AW206" s="1">
        <f t="shared" si="31"/>
        <v>1.1232089493540474</v>
      </c>
    </row>
    <row r="207" spans="1:49" x14ac:dyDescent="0.2">
      <c r="A207">
        <v>205</v>
      </c>
      <c r="B207" t="s">
        <v>6170</v>
      </c>
      <c r="C207" t="s">
        <v>6169</v>
      </c>
      <c r="D207" t="s">
        <v>6168</v>
      </c>
      <c r="F207" t="s">
        <v>6167</v>
      </c>
      <c r="G207" t="s">
        <v>6</v>
      </c>
      <c r="H207" t="s">
        <v>5</v>
      </c>
      <c r="I207" t="s">
        <v>220</v>
      </c>
      <c r="J207">
        <v>60012370</v>
      </c>
      <c r="K207" t="s">
        <v>1740</v>
      </c>
      <c r="L207" t="s">
        <v>1739</v>
      </c>
      <c r="M207" t="s">
        <v>146</v>
      </c>
      <c r="N207">
        <v>3</v>
      </c>
      <c r="O207" t="s">
        <v>6166</v>
      </c>
      <c r="P207" t="s">
        <v>6165</v>
      </c>
      <c r="Q207" t="s">
        <v>6164</v>
      </c>
      <c r="R207" s="7">
        <v>35400</v>
      </c>
      <c r="S207" s="8">
        <f t="shared" si="24"/>
        <v>1996</v>
      </c>
      <c r="T207" s="8">
        <v>1996</v>
      </c>
      <c r="U207" s="8">
        <f t="shared" si="25"/>
        <v>26</v>
      </c>
      <c r="V207" s="7">
        <v>1996</v>
      </c>
      <c r="W207" t="s">
        <v>410</v>
      </c>
      <c r="X207" s="2">
        <v>1.3720000000000001</v>
      </c>
      <c r="Y207" s="6">
        <f t="shared" si="26"/>
        <v>3.662475641333654E-2</v>
      </c>
      <c r="AA207">
        <v>189480</v>
      </c>
      <c r="AB207">
        <v>17366</v>
      </c>
      <c r="AD207" t="s">
        <v>1</v>
      </c>
      <c r="AE207">
        <v>44</v>
      </c>
      <c r="AF207">
        <v>9</v>
      </c>
      <c r="AH207" t="s">
        <v>6163</v>
      </c>
      <c r="AI207" t="s">
        <v>6162</v>
      </c>
      <c r="AK207" t="s">
        <v>6161</v>
      </c>
      <c r="AL207">
        <v>85</v>
      </c>
      <c r="AM207" s="5">
        <f t="shared" si="27"/>
        <v>3.2692307692307692</v>
      </c>
      <c r="AN207" s="4">
        <f t="shared" si="28"/>
        <v>4.951504383537704E-3</v>
      </c>
      <c r="AO207" s="3"/>
      <c r="AP207">
        <v>0</v>
      </c>
      <c r="AQ207" t="s">
        <v>605</v>
      </c>
      <c r="AR207" t="s">
        <v>6160</v>
      </c>
      <c r="AS207" t="s">
        <v>604</v>
      </c>
      <c r="AT207" s="2" t="s">
        <v>9</v>
      </c>
      <c r="AU207" s="1">
        <f t="shared" si="29"/>
        <v>2.7122780804396887</v>
      </c>
      <c r="AV207" s="1">
        <f t="shared" si="30"/>
        <v>2.0788130398437121</v>
      </c>
      <c r="AW207" s="1">
        <f t="shared" si="31"/>
        <v>1.4453479992477356</v>
      </c>
    </row>
    <row r="208" spans="1:49" x14ac:dyDescent="0.2">
      <c r="A208">
        <v>206</v>
      </c>
      <c r="B208" t="s">
        <v>6159</v>
      </c>
      <c r="C208" t="s">
        <v>6158</v>
      </c>
      <c r="D208" t="s">
        <v>6157</v>
      </c>
      <c r="F208" t="s">
        <v>6156</v>
      </c>
      <c r="G208" t="s">
        <v>6</v>
      </c>
      <c r="H208" t="s">
        <v>5</v>
      </c>
      <c r="I208" t="s">
        <v>6155</v>
      </c>
      <c r="J208">
        <v>60011520</v>
      </c>
      <c r="K208" t="s">
        <v>6154</v>
      </c>
      <c r="L208" t="s">
        <v>185</v>
      </c>
      <c r="M208" t="s">
        <v>19</v>
      </c>
      <c r="N208">
        <v>4</v>
      </c>
      <c r="O208" t="s">
        <v>6153</v>
      </c>
      <c r="P208" t="s">
        <v>6152</v>
      </c>
      <c r="Q208" t="s">
        <v>6151</v>
      </c>
      <c r="R208" s="7">
        <v>35400</v>
      </c>
      <c r="S208" s="8">
        <f t="shared" si="24"/>
        <v>1996</v>
      </c>
      <c r="T208" s="8">
        <v>1996</v>
      </c>
      <c r="U208" s="8">
        <f t="shared" si="25"/>
        <v>26</v>
      </c>
      <c r="V208" s="7">
        <v>1996</v>
      </c>
      <c r="W208" t="s">
        <v>410</v>
      </c>
      <c r="X208" s="2">
        <v>1.3720000000000001</v>
      </c>
      <c r="Y208" s="6">
        <f t="shared" si="26"/>
        <v>3.662475641333654E-2</v>
      </c>
      <c r="AA208">
        <v>189480</v>
      </c>
      <c r="AB208">
        <v>17366</v>
      </c>
      <c r="AD208" t="s">
        <v>1</v>
      </c>
      <c r="AE208">
        <v>44</v>
      </c>
      <c r="AF208">
        <v>9</v>
      </c>
      <c r="AH208" t="s">
        <v>6150</v>
      </c>
      <c r="AI208" t="s">
        <v>6149</v>
      </c>
      <c r="AK208" t="s">
        <v>6148</v>
      </c>
      <c r="AL208">
        <v>15</v>
      </c>
      <c r="AM208" s="5">
        <f t="shared" si="27"/>
        <v>0.57692307692307687</v>
      </c>
      <c r="AN208" s="4">
        <f t="shared" si="28"/>
        <v>8.7379489121253596E-4</v>
      </c>
      <c r="AO208" s="3"/>
      <c r="AP208">
        <v>0</v>
      </c>
      <c r="AQ208" t="s">
        <v>6147</v>
      </c>
      <c r="AR208" t="s">
        <v>0</v>
      </c>
      <c r="AS208" t="s">
        <v>6146</v>
      </c>
      <c r="AT208" s="2" t="s">
        <v>9</v>
      </c>
      <c r="AU208" s="1">
        <f t="shared" si="29"/>
        <v>2.5899467956699338</v>
      </c>
      <c r="AV208" s="1">
        <f t="shared" si="30"/>
        <v>1.874927565227454</v>
      </c>
      <c r="AW208" s="1">
        <f t="shared" si="31"/>
        <v>1.1599083347849739</v>
      </c>
    </row>
    <row r="209" spans="1:49" x14ac:dyDescent="0.2">
      <c r="A209">
        <v>207</v>
      </c>
      <c r="B209" t="s">
        <v>6145</v>
      </c>
      <c r="C209" t="s">
        <v>6144</v>
      </c>
      <c r="D209" t="s">
        <v>6143</v>
      </c>
      <c r="F209" t="s">
        <v>6142</v>
      </c>
      <c r="G209" t="s">
        <v>6</v>
      </c>
      <c r="H209" t="s">
        <v>5</v>
      </c>
      <c r="I209" t="s">
        <v>6141</v>
      </c>
      <c r="J209" t="s">
        <v>6140</v>
      </c>
      <c r="K209" t="s">
        <v>6139</v>
      </c>
      <c r="L209" t="s">
        <v>6138</v>
      </c>
      <c r="M209" t="s">
        <v>6137</v>
      </c>
      <c r="N209">
        <v>4</v>
      </c>
      <c r="O209" t="s">
        <v>6136</v>
      </c>
      <c r="P209" t="s">
        <v>6135</v>
      </c>
      <c r="Q209" t="s">
        <v>6134</v>
      </c>
      <c r="R209" s="7">
        <v>35400</v>
      </c>
      <c r="S209" s="8">
        <f t="shared" si="24"/>
        <v>1996</v>
      </c>
      <c r="T209" s="8">
        <v>1996</v>
      </c>
      <c r="U209" s="8">
        <f t="shared" si="25"/>
        <v>26</v>
      </c>
      <c r="V209" s="7">
        <v>1996</v>
      </c>
      <c r="W209" t="s">
        <v>711</v>
      </c>
      <c r="X209" s="2">
        <v>2.141</v>
      </c>
      <c r="Y209" s="6">
        <f t="shared" si="26"/>
        <v>5.7152772216438434E-2</v>
      </c>
      <c r="AA209">
        <v>1962892</v>
      </c>
      <c r="AB209">
        <v>17360</v>
      </c>
      <c r="AD209" t="s">
        <v>1</v>
      </c>
      <c r="AE209">
        <v>34</v>
      </c>
      <c r="AF209">
        <v>5</v>
      </c>
      <c r="AH209" t="s">
        <v>6133</v>
      </c>
      <c r="AI209" t="s">
        <v>6132</v>
      </c>
      <c r="AK209" t="s">
        <v>6131</v>
      </c>
      <c r="AL209">
        <v>47</v>
      </c>
      <c r="AM209" s="5">
        <f t="shared" si="27"/>
        <v>1.8076923076923077</v>
      </c>
      <c r="AN209" s="4">
        <f t="shared" si="28"/>
        <v>2.7378906591326128E-3</v>
      </c>
      <c r="AO209" s="3"/>
      <c r="AP209">
        <v>0</v>
      </c>
      <c r="AQ209" t="s">
        <v>21</v>
      </c>
      <c r="AR209" t="s">
        <v>6130</v>
      </c>
      <c r="AS209" t="s">
        <v>20</v>
      </c>
      <c r="AT209" s="2" t="s">
        <v>9</v>
      </c>
      <c r="AU209" s="1">
        <f t="shared" si="29"/>
        <v>4.0828307749246688</v>
      </c>
      <c r="AV209" s="1">
        <f t="shared" si="30"/>
        <v>2.9945331437785523</v>
      </c>
      <c r="AW209" s="1">
        <f t="shared" si="31"/>
        <v>1.906235512632436</v>
      </c>
    </row>
    <row r="210" spans="1:49" x14ac:dyDescent="0.2">
      <c r="A210">
        <v>208</v>
      </c>
      <c r="B210" t="s">
        <v>6129</v>
      </c>
      <c r="C210" t="s">
        <v>6128</v>
      </c>
      <c r="D210" t="s">
        <v>6127</v>
      </c>
      <c r="F210" t="s">
        <v>6126</v>
      </c>
      <c r="G210" t="s">
        <v>6</v>
      </c>
      <c r="H210" t="s">
        <v>5</v>
      </c>
      <c r="I210" t="s">
        <v>6125</v>
      </c>
      <c r="J210">
        <v>60103695</v>
      </c>
      <c r="K210" t="s">
        <v>6124</v>
      </c>
      <c r="L210" t="s">
        <v>639</v>
      </c>
      <c r="M210" t="s">
        <v>250</v>
      </c>
      <c r="N210">
        <v>3</v>
      </c>
      <c r="O210" t="s">
        <v>6123</v>
      </c>
      <c r="P210" t="s">
        <v>6122</v>
      </c>
      <c r="Q210" t="s">
        <v>6121</v>
      </c>
      <c r="R210" s="7">
        <v>35400</v>
      </c>
      <c r="S210" s="8">
        <f t="shared" si="24"/>
        <v>1996</v>
      </c>
      <c r="T210" s="8">
        <v>1996</v>
      </c>
      <c r="U210" s="8">
        <f t="shared" si="25"/>
        <v>26</v>
      </c>
      <c r="V210" s="7">
        <v>1996</v>
      </c>
      <c r="W210" t="s">
        <v>711</v>
      </c>
      <c r="X210" s="2">
        <v>2.141</v>
      </c>
      <c r="Y210" s="6">
        <f t="shared" si="26"/>
        <v>5.7152772216438434E-2</v>
      </c>
      <c r="AA210">
        <v>1962892</v>
      </c>
      <c r="AB210">
        <v>17360</v>
      </c>
      <c r="AD210" t="s">
        <v>1</v>
      </c>
      <c r="AE210">
        <v>34</v>
      </c>
      <c r="AF210">
        <v>5</v>
      </c>
      <c r="AH210" t="s">
        <v>6120</v>
      </c>
      <c r="AI210" t="s">
        <v>6119</v>
      </c>
      <c r="AK210" t="s">
        <v>6118</v>
      </c>
      <c r="AL210">
        <v>12</v>
      </c>
      <c r="AM210" s="5">
        <f t="shared" si="27"/>
        <v>0.46153846153846156</v>
      </c>
      <c r="AN210" s="4">
        <f t="shared" si="28"/>
        <v>6.9903591297002887E-4</v>
      </c>
      <c r="AO210" s="3"/>
      <c r="AP210">
        <v>0</v>
      </c>
      <c r="AR210" t="s">
        <v>0</v>
      </c>
      <c r="AT210" s="2" t="s">
        <v>9</v>
      </c>
      <c r="AU210" s="1">
        <f t="shared" si="29"/>
        <v>4.0216651325397912</v>
      </c>
      <c r="AV210" s="1">
        <f t="shared" si="30"/>
        <v>2.8925904064704229</v>
      </c>
      <c r="AW210" s="1">
        <f t="shared" si="31"/>
        <v>1.7635156804010552</v>
      </c>
    </row>
    <row r="211" spans="1:49" x14ac:dyDescent="0.2">
      <c r="A211">
        <v>209</v>
      </c>
      <c r="B211" t="s">
        <v>6117</v>
      </c>
      <c r="C211" t="s">
        <v>6116</v>
      </c>
      <c r="D211" t="s">
        <v>6115</v>
      </c>
      <c r="F211" t="s">
        <v>6114</v>
      </c>
      <c r="G211" t="s">
        <v>6</v>
      </c>
      <c r="H211" t="s">
        <v>5</v>
      </c>
      <c r="I211" t="s">
        <v>6113</v>
      </c>
      <c r="J211">
        <v>60009037</v>
      </c>
      <c r="K211" t="s">
        <v>34</v>
      </c>
      <c r="L211" t="s">
        <v>33</v>
      </c>
      <c r="M211" t="s">
        <v>2</v>
      </c>
      <c r="N211">
        <v>4</v>
      </c>
      <c r="O211" t="s">
        <v>6112</v>
      </c>
      <c r="P211" t="s">
        <v>6111</v>
      </c>
      <c r="Q211" t="s">
        <v>6110</v>
      </c>
      <c r="R211" s="7">
        <v>35400</v>
      </c>
      <c r="S211" s="8">
        <f t="shared" si="24"/>
        <v>1996</v>
      </c>
      <c r="T211" s="8">
        <v>1996</v>
      </c>
      <c r="U211" s="8">
        <f t="shared" si="25"/>
        <v>26</v>
      </c>
      <c r="V211" s="7">
        <v>1996</v>
      </c>
      <c r="W211" t="s">
        <v>711</v>
      </c>
      <c r="X211" s="2">
        <v>2.141</v>
      </c>
      <c r="Y211" s="6">
        <f t="shared" si="26"/>
        <v>5.7152772216438434E-2</v>
      </c>
      <c r="AA211">
        <v>1962892</v>
      </c>
      <c r="AB211">
        <v>17360</v>
      </c>
      <c r="AD211" t="s">
        <v>1</v>
      </c>
      <c r="AE211">
        <v>34</v>
      </c>
      <c r="AF211">
        <v>5</v>
      </c>
      <c r="AH211" t="s">
        <v>6109</v>
      </c>
      <c r="AI211" t="s">
        <v>6108</v>
      </c>
      <c r="AK211" t="s">
        <v>6107</v>
      </c>
      <c r="AL211">
        <v>12</v>
      </c>
      <c r="AM211" s="5">
        <f t="shared" si="27"/>
        <v>0.46153846153846156</v>
      </c>
      <c r="AN211" s="4">
        <f t="shared" si="28"/>
        <v>6.9903591297002887E-4</v>
      </c>
      <c r="AO211" s="3"/>
      <c r="AP211">
        <v>0</v>
      </c>
      <c r="AQ211" t="s">
        <v>6106</v>
      </c>
      <c r="AR211" t="s">
        <v>0</v>
      </c>
      <c r="AS211" t="s">
        <v>53</v>
      </c>
      <c r="AT211" s="2" t="s">
        <v>9</v>
      </c>
      <c r="AU211" s="1">
        <f t="shared" si="29"/>
        <v>4.0216651325397912</v>
      </c>
      <c r="AV211" s="1">
        <f t="shared" si="30"/>
        <v>2.8925904064704229</v>
      </c>
      <c r="AW211" s="1">
        <f t="shared" si="31"/>
        <v>1.7635156804010552</v>
      </c>
    </row>
    <row r="212" spans="1:49" x14ac:dyDescent="0.2">
      <c r="A212">
        <v>210</v>
      </c>
      <c r="B212" t="s">
        <v>6105</v>
      </c>
      <c r="C212" t="s">
        <v>6104</v>
      </c>
      <c r="D212" t="s">
        <v>6103</v>
      </c>
      <c r="F212" t="s">
        <v>6102</v>
      </c>
      <c r="G212" t="s">
        <v>6</v>
      </c>
      <c r="H212" t="s">
        <v>5</v>
      </c>
      <c r="I212" t="s">
        <v>6101</v>
      </c>
      <c r="J212">
        <v>60104244</v>
      </c>
      <c r="K212" t="s">
        <v>6100</v>
      </c>
      <c r="L212" t="s">
        <v>6099</v>
      </c>
      <c r="M212" t="s">
        <v>41</v>
      </c>
      <c r="N212">
        <v>1</v>
      </c>
      <c r="O212" t="s">
        <v>6098</v>
      </c>
      <c r="P212">
        <v>54679304800</v>
      </c>
      <c r="Q212">
        <v>60104244</v>
      </c>
      <c r="R212" s="7">
        <v>35400</v>
      </c>
      <c r="S212" s="8">
        <f t="shared" si="24"/>
        <v>1996</v>
      </c>
      <c r="T212" s="8">
        <v>1996</v>
      </c>
      <c r="U212" s="8">
        <f t="shared" si="25"/>
        <v>26</v>
      </c>
      <c r="V212" s="7">
        <v>1996</v>
      </c>
      <c r="W212" t="s">
        <v>150</v>
      </c>
      <c r="X212" s="2">
        <v>1.6519999999999999</v>
      </c>
      <c r="Y212" s="6">
        <f t="shared" si="26"/>
        <v>4.409919649769093E-2</v>
      </c>
      <c r="AA212" t="s">
        <v>149</v>
      </c>
      <c r="AB212">
        <v>17337</v>
      </c>
      <c r="AD212" t="s">
        <v>1</v>
      </c>
      <c r="AE212">
        <v>44</v>
      </c>
      <c r="AF212">
        <v>9</v>
      </c>
      <c r="AH212" t="s">
        <v>6097</v>
      </c>
      <c r="AI212" t="s">
        <v>6096</v>
      </c>
      <c r="AK212" t="s">
        <v>6095</v>
      </c>
      <c r="AL212">
        <v>13</v>
      </c>
      <c r="AM212" s="5">
        <f t="shared" si="27"/>
        <v>0.5</v>
      </c>
      <c r="AN212" s="4">
        <f t="shared" si="28"/>
        <v>7.572889057175312E-4</v>
      </c>
      <c r="AO212" s="3"/>
      <c r="AP212">
        <v>0</v>
      </c>
      <c r="AQ212" t="s">
        <v>80</v>
      </c>
      <c r="AR212" t="s">
        <v>0</v>
      </c>
      <c r="AS212" t="s">
        <v>622</v>
      </c>
      <c r="AT212" s="2" t="s">
        <v>9</v>
      </c>
      <c r="AU212" s="1">
        <f t="shared" si="29"/>
        <v>3.1096624220098912</v>
      </c>
      <c r="AV212" s="1">
        <f t="shared" si="30"/>
        <v>2.2428242701704231</v>
      </c>
      <c r="AW212" s="1">
        <f t="shared" si="31"/>
        <v>1.375986118330955</v>
      </c>
    </row>
    <row r="213" spans="1:49" x14ac:dyDescent="0.2">
      <c r="A213">
        <v>211</v>
      </c>
      <c r="B213" t="s">
        <v>6094</v>
      </c>
      <c r="C213" t="s">
        <v>6093</v>
      </c>
      <c r="D213" t="s">
        <v>6092</v>
      </c>
      <c r="F213" t="s">
        <v>6091</v>
      </c>
      <c r="G213" t="s">
        <v>6</v>
      </c>
      <c r="H213" t="s">
        <v>5</v>
      </c>
      <c r="I213" t="s">
        <v>6090</v>
      </c>
      <c r="J213">
        <v>60003892</v>
      </c>
      <c r="K213" t="s">
        <v>176</v>
      </c>
      <c r="L213" t="s">
        <v>175</v>
      </c>
      <c r="M213" t="s">
        <v>2</v>
      </c>
      <c r="N213">
        <v>1</v>
      </c>
      <c r="O213" t="s">
        <v>6089</v>
      </c>
      <c r="P213">
        <v>8044871500</v>
      </c>
      <c r="Q213">
        <v>60003892</v>
      </c>
      <c r="R213" s="7">
        <v>35400</v>
      </c>
      <c r="S213" s="8">
        <f t="shared" si="24"/>
        <v>1996</v>
      </c>
      <c r="T213" s="8">
        <v>1996</v>
      </c>
      <c r="U213" s="8">
        <f t="shared" si="25"/>
        <v>26</v>
      </c>
      <c r="V213" s="7">
        <v>1996</v>
      </c>
      <c r="W213" t="s">
        <v>150</v>
      </c>
      <c r="X213" s="2">
        <v>1.6519999999999999</v>
      </c>
      <c r="Y213" s="6">
        <f t="shared" si="26"/>
        <v>4.409919649769093E-2</v>
      </c>
      <c r="AA213" t="s">
        <v>149</v>
      </c>
      <c r="AB213">
        <v>17337</v>
      </c>
      <c r="AD213" t="s">
        <v>1</v>
      </c>
      <c r="AE213">
        <v>44</v>
      </c>
      <c r="AF213">
        <v>9</v>
      </c>
      <c r="AH213" t="s">
        <v>6088</v>
      </c>
      <c r="AI213" t="s">
        <v>6087</v>
      </c>
      <c r="AK213" t="s">
        <v>6086</v>
      </c>
      <c r="AL213">
        <v>14</v>
      </c>
      <c r="AM213" s="5">
        <f t="shared" si="27"/>
        <v>0.53846153846153844</v>
      </c>
      <c r="AN213" s="4">
        <f t="shared" si="28"/>
        <v>8.1554189846503363E-4</v>
      </c>
      <c r="AO213" s="3"/>
      <c r="AP213">
        <v>0</v>
      </c>
      <c r="AQ213" t="s">
        <v>21</v>
      </c>
      <c r="AR213" t="s">
        <v>6085</v>
      </c>
      <c r="AS213" t="s">
        <v>20</v>
      </c>
      <c r="AT213" s="2" t="s">
        <v>9</v>
      </c>
      <c r="AU213" s="1">
        <f t="shared" si="29"/>
        <v>3.1114100117923158</v>
      </c>
      <c r="AV213" s="1">
        <f t="shared" si="30"/>
        <v>2.2457369198077983</v>
      </c>
      <c r="AW213" s="1">
        <f t="shared" si="31"/>
        <v>1.3800638278232802</v>
      </c>
    </row>
    <row r="214" spans="1:49" x14ac:dyDescent="0.2">
      <c r="A214">
        <v>212</v>
      </c>
      <c r="B214" t="s">
        <v>6084</v>
      </c>
      <c r="C214" t="s">
        <v>6083</v>
      </c>
      <c r="D214" t="s">
        <v>6082</v>
      </c>
      <c r="F214" t="s">
        <v>6081</v>
      </c>
      <c r="G214" t="s">
        <v>6</v>
      </c>
      <c r="H214" t="s">
        <v>5</v>
      </c>
      <c r="I214" t="s">
        <v>326</v>
      </c>
      <c r="J214">
        <v>60018279</v>
      </c>
      <c r="K214" t="s">
        <v>258</v>
      </c>
      <c r="L214" t="s">
        <v>257</v>
      </c>
      <c r="M214" t="s">
        <v>44</v>
      </c>
      <c r="N214">
        <v>1</v>
      </c>
      <c r="O214" t="s">
        <v>6080</v>
      </c>
      <c r="P214">
        <v>7004503266</v>
      </c>
      <c r="Q214">
        <v>60018279</v>
      </c>
      <c r="R214" s="7">
        <v>35400</v>
      </c>
      <c r="S214" s="8">
        <f t="shared" si="24"/>
        <v>1996</v>
      </c>
      <c r="T214" s="8">
        <v>1996</v>
      </c>
      <c r="U214" s="8">
        <f t="shared" si="25"/>
        <v>26</v>
      </c>
      <c r="V214" s="7">
        <v>1996</v>
      </c>
      <c r="W214" t="s">
        <v>150</v>
      </c>
      <c r="X214" s="2">
        <v>1.6519999999999999</v>
      </c>
      <c r="Y214" s="6">
        <f t="shared" si="26"/>
        <v>4.409919649769093E-2</v>
      </c>
      <c r="AA214" t="s">
        <v>149</v>
      </c>
      <c r="AB214">
        <v>17337</v>
      </c>
      <c r="AD214" t="s">
        <v>1</v>
      </c>
      <c r="AE214">
        <v>44</v>
      </c>
      <c r="AF214">
        <v>9</v>
      </c>
      <c r="AH214" t="s">
        <v>6079</v>
      </c>
      <c r="AI214" t="s">
        <v>6078</v>
      </c>
      <c r="AK214" t="s">
        <v>6077</v>
      </c>
      <c r="AL214">
        <v>13</v>
      </c>
      <c r="AM214" s="5">
        <f t="shared" si="27"/>
        <v>0.5</v>
      </c>
      <c r="AN214" s="4">
        <f t="shared" si="28"/>
        <v>7.572889057175312E-4</v>
      </c>
      <c r="AO214" s="3"/>
      <c r="AP214">
        <v>0</v>
      </c>
      <c r="AR214" t="s">
        <v>0</v>
      </c>
      <c r="AT214" s="2" t="s">
        <v>9</v>
      </c>
      <c r="AU214" s="1">
        <f t="shared" si="29"/>
        <v>3.1096624220098912</v>
      </c>
      <c r="AV214" s="1">
        <f t="shared" si="30"/>
        <v>2.2428242701704231</v>
      </c>
      <c r="AW214" s="1">
        <f t="shared" si="31"/>
        <v>1.375986118330955</v>
      </c>
    </row>
    <row r="215" spans="1:49" x14ac:dyDescent="0.2">
      <c r="A215">
        <v>213</v>
      </c>
      <c r="B215" t="s">
        <v>6076</v>
      </c>
      <c r="C215" t="s">
        <v>6075</v>
      </c>
      <c r="D215" t="s">
        <v>6074</v>
      </c>
      <c r="F215" t="s">
        <v>6073</v>
      </c>
      <c r="G215" t="s">
        <v>6</v>
      </c>
      <c r="H215" t="s">
        <v>5</v>
      </c>
      <c r="I215" t="s">
        <v>6072</v>
      </c>
      <c r="J215">
        <v>60017161</v>
      </c>
      <c r="K215" t="s">
        <v>2843</v>
      </c>
      <c r="L215" t="s">
        <v>469</v>
      </c>
      <c r="M215" t="s">
        <v>468</v>
      </c>
      <c r="N215">
        <v>1</v>
      </c>
      <c r="O215" t="s">
        <v>6071</v>
      </c>
      <c r="P215">
        <v>7006646156</v>
      </c>
      <c r="Q215">
        <v>60017161</v>
      </c>
      <c r="R215" s="7">
        <v>35400</v>
      </c>
      <c r="S215" s="8">
        <f t="shared" si="24"/>
        <v>1996</v>
      </c>
      <c r="T215" s="8">
        <v>1996</v>
      </c>
      <c r="U215" s="8">
        <f t="shared" si="25"/>
        <v>26</v>
      </c>
      <c r="V215" s="7">
        <v>1996</v>
      </c>
      <c r="W215" t="s">
        <v>150</v>
      </c>
      <c r="X215" s="2">
        <v>1.6519999999999999</v>
      </c>
      <c r="Y215" s="6">
        <f t="shared" si="26"/>
        <v>4.409919649769093E-2</v>
      </c>
      <c r="AA215" t="s">
        <v>149</v>
      </c>
      <c r="AB215">
        <v>17337</v>
      </c>
      <c r="AD215" t="s">
        <v>1</v>
      </c>
      <c r="AE215">
        <v>44</v>
      </c>
      <c r="AF215">
        <v>9</v>
      </c>
      <c r="AH215" t="s">
        <v>6070</v>
      </c>
      <c r="AI215" t="s">
        <v>6069</v>
      </c>
      <c r="AK215" t="s">
        <v>6068</v>
      </c>
      <c r="AL215">
        <v>3</v>
      </c>
      <c r="AM215" s="5">
        <f t="shared" si="27"/>
        <v>0.11538461538461539</v>
      </c>
      <c r="AN215" s="4">
        <f t="shared" si="28"/>
        <v>1.7475897824250722E-4</v>
      </c>
      <c r="AO215" s="3"/>
      <c r="AP215">
        <v>0</v>
      </c>
      <c r="AQ215" t="s">
        <v>6067</v>
      </c>
      <c r="AR215" t="s">
        <v>0</v>
      </c>
      <c r="AS215" t="s">
        <v>404</v>
      </c>
      <c r="AT215" s="2" t="s">
        <v>9</v>
      </c>
      <c r="AU215" s="1">
        <f t="shared" si="29"/>
        <v>3.0921865241856401</v>
      </c>
      <c r="AV215" s="1">
        <f t="shared" si="30"/>
        <v>2.2136977737966719</v>
      </c>
      <c r="AW215" s="1">
        <f t="shared" si="31"/>
        <v>1.3352090234077032</v>
      </c>
    </row>
    <row r="216" spans="1:49" x14ac:dyDescent="0.2">
      <c r="A216">
        <v>214</v>
      </c>
      <c r="B216" t="s">
        <v>6066</v>
      </c>
      <c r="C216" t="s">
        <v>6065</v>
      </c>
      <c r="D216" t="s">
        <v>6064</v>
      </c>
      <c r="F216" t="s">
        <v>6063</v>
      </c>
      <c r="G216" t="s">
        <v>6</v>
      </c>
      <c r="H216" t="s">
        <v>5</v>
      </c>
      <c r="I216" t="s">
        <v>6062</v>
      </c>
      <c r="J216" t="s">
        <v>6061</v>
      </c>
      <c r="K216" t="s">
        <v>6060</v>
      </c>
      <c r="L216" t="s">
        <v>6059</v>
      </c>
      <c r="M216" t="s">
        <v>5690</v>
      </c>
      <c r="N216">
        <v>9</v>
      </c>
      <c r="O216" t="s">
        <v>6058</v>
      </c>
      <c r="P216" t="s">
        <v>6057</v>
      </c>
      <c r="Q216" t="s">
        <v>6056</v>
      </c>
      <c r="R216" s="7">
        <v>35400</v>
      </c>
      <c r="S216" s="8">
        <f t="shared" si="24"/>
        <v>1996</v>
      </c>
      <c r="T216" s="8">
        <v>1996</v>
      </c>
      <c r="U216" s="8">
        <f t="shared" si="25"/>
        <v>26</v>
      </c>
      <c r="V216" s="7">
        <v>1996</v>
      </c>
      <c r="W216" t="s">
        <v>4269</v>
      </c>
      <c r="X216" s="2">
        <v>0.78200000000000003</v>
      </c>
      <c r="Y216" s="6">
        <f t="shared" si="26"/>
        <v>2.0875043378446919E-2</v>
      </c>
      <c r="AA216">
        <v>189316</v>
      </c>
      <c r="AB216">
        <v>19901</v>
      </c>
      <c r="AD216" t="s">
        <v>1</v>
      </c>
      <c r="AE216">
        <v>42</v>
      </c>
      <c r="AF216">
        <v>3</v>
      </c>
      <c r="AH216" t="s">
        <v>6055</v>
      </c>
      <c r="AI216" t="s">
        <v>6054</v>
      </c>
      <c r="AK216" t="s">
        <v>6053</v>
      </c>
      <c r="AL216">
        <v>17</v>
      </c>
      <c r="AM216" s="5">
        <f t="shared" si="27"/>
        <v>0.65384615384615385</v>
      </c>
      <c r="AN216" s="4">
        <f t="shared" si="28"/>
        <v>9.9030087670754093E-4</v>
      </c>
      <c r="AO216" s="3"/>
      <c r="AP216">
        <v>0</v>
      </c>
      <c r="AR216" t="s">
        <v>0</v>
      </c>
      <c r="AT216" s="2">
        <v>3.863</v>
      </c>
      <c r="AU216" s="1">
        <f t="shared" si="29"/>
        <v>1.4909620627925104</v>
      </c>
      <c r="AV216" s="1">
        <f t="shared" si="30"/>
        <v>1.093267212757723</v>
      </c>
      <c r="AW216" s="1">
        <f t="shared" si="31"/>
        <v>0.69557236272293543</v>
      </c>
    </row>
    <row r="217" spans="1:49" x14ac:dyDescent="0.2">
      <c r="A217">
        <v>215</v>
      </c>
      <c r="B217" t="s">
        <v>6052</v>
      </c>
      <c r="C217" t="s">
        <v>6051</v>
      </c>
      <c r="D217" t="s">
        <v>6050</v>
      </c>
      <c r="F217" t="s">
        <v>6049</v>
      </c>
      <c r="G217" t="s">
        <v>6</v>
      </c>
      <c r="H217" t="s">
        <v>5</v>
      </c>
      <c r="I217" t="s">
        <v>6048</v>
      </c>
      <c r="J217">
        <v>60076904</v>
      </c>
      <c r="K217" t="s">
        <v>157</v>
      </c>
      <c r="L217" t="s">
        <v>156</v>
      </c>
      <c r="M217" t="s">
        <v>2</v>
      </c>
      <c r="N217">
        <v>1</v>
      </c>
      <c r="O217" t="s">
        <v>6047</v>
      </c>
      <c r="P217">
        <v>7102001903</v>
      </c>
      <c r="Q217">
        <v>60076904</v>
      </c>
      <c r="R217" s="7">
        <v>35400</v>
      </c>
      <c r="S217" s="8">
        <f t="shared" si="24"/>
        <v>1996</v>
      </c>
      <c r="T217" s="8">
        <v>1996</v>
      </c>
      <c r="U217" s="8">
        <f t="shared" si="25"/>
        <v>26</v>
      </c>
      <c r="V217" s="7">
        <v>1996</v>
      </c>
      <c r="W217" t="s">
        <v>150</v>
      </c>
      <c r="X217" s="2">
        <v>1.6519999999999999</v>
      </c>
      <c r="Y217" s="6">
        <f t="shared" si="26"/>
        <v>4.409919649769093E-2</v>
      </c>
      <c r="AA217" t="s">
        <v>149</v>
      </c>
      <c r="AB217">
        <v>17337</v>
      </c>
      <c r="AD217" t="s">
        <v>1</v>
      </c>
      <c r="AE217">
        <v>44</v>
      </c>
      <c r="AF217">
        <v>9</v>
      </c>
      <c r="AH217" t="s">
        <v>6046</v>
      </c>
      <c r="AI217" t="s">
        <v>6045</v>
      </c>
      <c r="AK217" t="s">
        <v>6044</v>
      </c>
      <c r="AL217">
        <v>1</v>
      </c>
      <c r="AM217" s="5">
        <f t="shared" si="27"/>
        <v>3.8461538461538464E-2</v>
      </c>
      <c r="AN217" s="4">
        <f t="shared" si="28"/>
        <v>5.8252992747502406E-5</v>
      </c>
      <c r="AO217" s="3"/>
      <c r="AP217">
        <v>0</v>
      </c>
      <c r="AQ217" t="s">
        <v>105</v>
      </c>
      <c r="AR217" t="s">
        <v>0</v>
      </c>
      <c r="AS217" t="s">
        <v>104</v>
      </c>
      <c r="AT217" s="2" t="s">
        <v>9</v>
      </c>
      <c r="AU217" s="1">
        <f t="shared" si="29"/>
        <v>3.0886913446207904</v>
      </c>
      <c r="AV217" s="1">
        <f t="shared" si="30"/>
        <v>2.2078724745219218</v>
      </c>
      <c r="AW217" s="1">
        <f t="shared" si="31"/>
        <v>1.327053604423053</v>
      </c>
    </row>
    <row r="218" spans="1:49" x14ac:dyDescent="0.2">
      <c r="A218">
        <v>216</v>
      </c>
      <c r="B218" t="s">
        <v>6043</v>
      </c>
      <c r="C218" t="s">
        <v>6042</v>
      </c>
      <c r="D218" t="s">
        <v>6041</v>
      </c>
      <c r="F218" t="s">
        <v>6040</v>
      </c>
      <c r="G218" t="s">
        <v>6</v>
      </c>
      <c r="H218" t="s">
        <v>5</v>
      </c>
      <c r="I218" t="s">
        <v>242</v>
      </c>
      <c r="J218">
        <v>60104081</v>
      </c>
      <c r="K218" t="s">
        <v>6039</v>
      </c>
      <c r="L218" t="s">
        <v>6038</v>
      </c>
      <c r="M218" t="s">
        <v>25</v>
      </c>
      <c r="N218">
        <v>1</v>
      </c>
      <c r="O218" t="s">
        <v>6037</v>
      </c>
      <c r="P218">
        <v>56016990100</v>
      </c>
      <c r="Q218">
        <v>60104081</v>
      </c>
      <c r="R218" s="7">
        <v>35400</v>
      </c>
      <c r="S218" s="8">
        <f t="shared" si="24"/>
        <v>1996</v>
      </c>
      <c r="T218" s="8">
        <v>1996</v>
      </c>
      <c r="U218" s="8">
        <f t="shared" si="25"/>
        <v>26</v>
      </c>
      <c r="V218" s="7">
        <v>1996</v>
      </c>
      <c r="W218" t="s">
        <v>150</v>
      </c>
      <c r="X218" s="2">
        <v>1.6519999999999999</v>
      </c>
      <c r="Y218" s="6">
        <f t="shared" si="26"/>
        <v>4.409919649769093E-2</v>
      </c>
      <c r="AA218" t="s">
        <v>149</v>
      </c>
      <c r="AB218">
        <v>17337</v>
      </c>
      <c r="AD218" t="s">
        <v>1</v>
      </c>
      <c r="AE218">
        <v>44</v>
      </c>
      <c r="AF218">
        <v>9</v>
      </c>
      <c r="AH218" t="s">
        <v>6036</v>
      </c>
      <c r="AI218" t="s">
        <v>6035</v>
      </c>
      <c r="AK218" t="s">
        <v>6034</v>
      </c>
      <c r="AL218">
        <v>4</v>
      </c>
      <c r="AM218" s="5">
        <f t="shared" si="27"/>
        <v>0.15384615384615385</v>
      </c>
      <c r="AN218" s="4">
        <f t="shared" si="28"/>
        <v>2.3301197099000962E-4</v>
      </c>
      <c r="AO218" s="3"/>
      <c r="AP218">
        <v>0</v>
      </c>
      <c r="AR218" t="s">
        <v>0</v>
      </c>
      <c r="AT218" s="2" t="s">
        <v>9</v>
      </c>
      <c r="AU218" s="1">
        <f t="shared" si="29"/>
        <v>3.0939341139680656</v>
      </c>
      <c r="AV218" s="1">
        <f t="shared" si="30"/>
        <v>2.2166104234340471</v>
      </c>
      <c r="AW218" s="1">
        <f t="shared" si="31"/>
        <v>1.3392867329000284</v>
      </c>
    </row>
    <row r="219" spans="1:49" x14ac:dyDescent="0.2">
      <c r="A219">
        <v>217</v>
      </c>
      <c r="B219" t="s">
        <v>6033</v>
      </c>
      <c r="C219" t="s">
        <v>6032</v>
      </c>
      <c r="D219" t="s">
        <v>6031</v>
      </c>
      <c r="F219" t="s">
        <v>6030</v>
      </c>
      <c r="G219" t="s">
        <v>6</v>
      </c>
      <c r="H219" t="s">
        <v>5</v>
      </c>
      <c r="I219" t="s">
        <v>6029</v>
      </c>
      <c r="J219" t="s">
        <v>6028</v>
      </c>
      <c r="K219" t="s">
        <v>6027</v>
      </c>
      <c r="L219" t="s">
        <v>6026</v>
      </c>
      <c r="M219" t="s">
        <v>51</v>
      </c>
      <c r="N219">
        <v>4</v>
      </c>
      <c r="O219" t="s">
        <v>6025</v>
      </c>
      <c r="P219" t="s">
        <v>6024</v>
      </c>
      <c r="Q219" t="s">
        <v>6023</v>
      </c>
      <c r="R219" s="7">
        <v>35400</v>
      </c>
      <c r="S219" s="8">
        <f t="shared" si="24"/>
        <v>1996</v>
      </c>
      <c r="T219" s="8">
        <v>1996</v>
      </c>
      <c r="U219" s="8">
        <f t="shared" si="25"/>
        <v>26</v>
      </c>
      <c r="V219" s="7">
        <v>1996</v>
      </c>
      <c r="W219" t="s">
        <v>4269</v>
      </c>
      <c r="X219" s="2">
        <v>0.78200000000000003</v>
      </c>
      <c r="Y219" s="6">
        <f t="shared" si="26"/>
        <v>2.0875043378446919E-2</v>
      </c>
      <c r="AA219">
        <v>189316</v>
      </c>
      <c r="AB219">
        <v>19901</v>
      </c>
      <c r="AD219" t="s">
        <v>1</v>
      </c>
      <c r="AE219">
        <v>42</v>
      </c>
      <c r="AF219">
        <v>3</v>
      </c>
      <c r="AH219" t="s">
        <v>6022</v>
      </c>
      <c r="AI219" t="s">
        <v>6021</v>
      </c>
      <c r="AK219" t="s">
        <v>6020</v>
      </c>
      <c r="AL219">
        <v>2</v>
      </c>
      <c r="AM219" s="5">
        <f t="shared" si="27"/>
        <v>7.6923076923076927E-2</v>
      </c>
      <c r="AN219" s="4">
        <f t="shared" si="28"/>
        <v>1.1650598549500481E-4</v>
      </c>
      <c r="AO219" s="3"/>
      <c r="AP219">
        <v>0</v>
      </c>
      <c r="AR219" t="s">
        <v>0</v>
      </c>
      <c r="AT219" s="2">
        <v>3.863</v>
      </c>
      <c r="AU219" s="1">
        <f t="shared" si="29"/>
        <v>1.4647482160561343</v>
      </c>
      <c r="AV219" s="1">
        <f t="shared" si="30"/>
        <v>1.0495774681970962</v>
      </c>
      <c r="AW219" s="1">
        <f t="shared" si="31"/>
        <v>0.63440672033805789</v>
      </c>
    </row>
    <row r="220" spans="1:49" x14ac:dyDescent="0.2">
      <c r="A220">
        <v>218</v>
      </c>
      <c r="B220" t="s">
        <v>6019</v>
      </c>
      <c r="C220" t="s">
        <v>6018</v>
      </c>
      <c r="D220" t="s">
        <v>6017</v>
      </c>
      <c r="F220" t="s">
        <v>6016</v>
      </c>
      <c r="G220" t="s">
        <v>6</v>
      </c>
      <c r="H220" t="s">
        <v>5</v>
      </c>
      <c r="I220" t="s">
        <v>6015</v>
      </c>
      <c r="J220">
        <v>60001271</v>
      </c>
      <c r="K220" t="s">
        <v>148</v>
      </c>
      <c r="L220" t="s">
        <v>147</v>
      </c>
      <c r="M220" t="s">
        <v>44</v>
      </c>
      <c r="N220">
        <v>1</v>
      </c>
      <c r="O220" t="s">
        <v>6014</v>
      </c>
      <c r="P220">
        <v>7403990802</v>
      </c>
      <c r="Q220">
        <v>60001271</v>
      </c>
      <c r="R220" s="7">
        <v>35400</v>
      </c>
      <c r="S220" s="8">
        <f t="shared" si="24"/>
        <v>1996</v>
      </c>
      <c r="T220" s="8">
        <v>1996</v>
      </c>
      <c r="U220" s="8">
        <f t="shared" si="25"/>
        <v>26</v>
      </c>
      <c r="V220" s="7">
        <v>1996</v>
      </c>
      <c r="W220" t="s">
        <v>150</v>
      </c>
      <c r="X220" s="2">
        <v>1.6519999999999999</v>
      </c>
      <c r="Y220" s="6">
        <f t="shared" si="26"/>
        <v>4.409919649769093E-2</v>
      </c>
      <c r="AA220" t="s">
        <v>149</v>
      </c>
      <c r="AB220">
        <v>17337</v>
      </c>
      <c r="AD220" t="s">
        <v>1</v>
      </c>
      <c r="AE220">
        <v>44</v>
      </c>
      <c r="AF220">
        <v>9</v>
      </c>
      <c r="AH220" t="s">
        <v>6013</v>
      </c>
      <c r="AI220" t="s">
        <v>6012</v>
      </c>
      <c r="AK220" t="s">
        <v>6011</v>
      </c>
      <c r="AL220">
        <v>8</v>
      </c>
      <c r="AM220" s="5">
        <f t="shared" si="27"/>
        <v>0.30769230769230771</v>
      </c>
      <c r="AN220" s="4">
        <f t="shared" si="28"/>
        <v>4.6602394198001925E-4</v>
      </c>
      <c r="AO220" s="3"/>
      <c r="AP220">
        <v>0</v>
      </c>
      <c r="AR220" t="s">
        <v>0</v>
      </c>
      <c r="AT220" s="2" t="s">
        <v>9</v>
      </c>
      <c r="AU220" s="1">
        <f t="shared" si="29"/>
        <v>3.1009244730977654</v>
      </c>
      <c r="AV220" s="1">
        <f t="shared" si="30"/>
        <v>2.2282610219835473</v>
      </c>
      <c r="AW220" s="1">
        <f t="shared" si="31"/>
        <v>1.3555975708693291</v>
      </c>
    </row>
    <row r="221" spans="1:49" x14ac:dyDescent="0.2">
      <c r="A221">
        <v>219</v>
      </c>
      <c r="B221" t="s">
        <v>6010</v>
      </c>
      <c r="C221" t="s">
        <v>6009</v>
      </c>
      <c r="D221" t="s">
        <v>6008</v>
      </c>
      <c r="F221" t="s">
        <v>6007</v>
      </c>
      <c r="G221" t="s">
        <v>6</v>
      </c>
      <c r="H221" t="s">
        <v>5</v>
      </c>
      <c r="I221" t="s">
        <v>600</v>
      </c>
      <c r="J221">
        <v>60019544</v>
      </c>
      <c r="K221" t="s">
        <v>599</v>
      </c>
      <c r="L221" t="s">
        <v>598</v>
      </c>
      <c r="M221" t="s">
        <v>7</v>
      </c>
      <c r="N221">
        <v>1</v>
      </c>
      <c r="O221" t="s">
        <v>6006</v>
      </c>
      <c r="P221">
        <v>35586058800</v>
      </c>
      <c r="Q221">
        <v>60019544</v>
      </c>
      <c r="R221" s="7">
        <v>35400</v>
      </c>
      <c r="S221" s="8">
        <f t="shared" si="24"/>
        <v>1996</v>
      </c>
      <c r="T221" s="8">
        <v>1996</v>
      </c>
      <c r="U221" s="8">
        <f t="shared" si="25"/>
        <v>26</v>
      </c>
      <c r="V221" s="7">
        <v>1996</v>
      </c>
      <c r="W221" t="s">
        <v>150</v>
      </c>
      <c r="X221" s="2">
        <v>1.6519999999999999</v>
      </c>
      <c r="Y221" s="6">
        <f t="shared" si="26"/>
        <v>4.409919649769093E-2</v>
      </c>
      <c r="AA221" t="s">
        <v>149</v>
      </c>
      <c r="AB221">
        <v>17337</v>
      </c>
      <c r="AD221" t="s">
        <v>1</v>
      </c>
      <c r="AE221">
        <v>44</v>
      </c>
      <c r="AF221">
        <v>9</v>
      </c>
      <c r="AH221" t="s">
        <v>6005</v>
      </c>
      <c r="AI221" t="s">
        <v>6004</v>
      </c>
      <c r="AK221" t="s">
        <v>6003</v>
      </c>
      <c r="AL221">
        <v>30</v>
      </c>
      <c r="AM221" s="5">
        <f t="shared" si="27"/>
        <v>1.1538461538461537</v>
      </c>
      <c r="AN221" s="4">
        <f t="shared" si="28"/>
        <v>1.7475897824250719E-3</v>
      </c>
      <c r="AO221" s="3"/>
      <c r="AP221">
        <v>0</v>
      </c>
      <c r="AQ221" t="s">
        <v>6002</v>
      </c>
      <c r="AR221" t="s">
        <v>0</v>
      </c>
      <c r="AS221" t="s">
        <v>6001</v>
      </c>
      <c r="AT221" s="2" t="s">
        <v>9</v>
      </c>
      <c r="AU221" s="1">
        <f t="shared" si="29"/>
        <v>3.1393714483111173</v>
      </c>
      <c r="AV221" s="1">
        <f t="shared" si="30"/>
        <v>2.2923393140058002</v>
      </c>
      <c r="AW221" s="1">
        <f t="shared" si="31"/>
        <v>1.4453071797004828</v>
      </c>
    </row>
    <row r="222" spans="1:49" x14ac:dyDescent="0.2">
      <c r="A222">
        <v>220</v>
      </c>
      <c r="B222" t="s">
        <v>6000</v>
      </c>
      <c r="C222" t="s">
        <v>5999</v>
      </c>
      <c r="D222" t="s">
        <v>5998</v>
      </c>
      <c r="F222" t="s">
        <v>5997</v>
      </c>
      <c r="G222" t="s">
        <v>6</v>
      </c>
      <c r="H222" t="s">
        <v>5</v>
      </c>
      <c r="I222" t="s">
        <v>5996</v>
      </c>
      <c r="J222" t="s">
        <v>5995</v>
      </c>
      <c r="K222" t="s">
        <v>5994</v>
      </c>
      <c r="L222" t="s">
        <v>5993</v>
      </c>
      <c r="M222" t="s">
        <v>81</v>
      </c>
      <c r="N222">
        <v>2</v>
      </c>
      <c r="O222" t="s">
        <v>5992</v>
      </c>
      <c r="P222" t="s">
        <v>5991</v>
      </c>
      <c r="Q222" t="s">
        <v>5990</v>
      </c>
      <c r="R222" s="7">
        <v>35400</v>
      </c>
      <c r="S222" s="8">
        <f t="shared" si="24"/>
        <v>1996</v>
      </c>
      <c r="T222" s="8">
        <v>1996</v>
      </c>
      <c r="U222" s="8">
        <f t="shared" si="25"/>
        <v>26</v>
      </c>
      <c r="V222" s="7">
        <v>1996</v>
      </c>
      <c r="W222" t="s">
        <v>3823</v>
      </c>
      <c r="X222" s="2">
        <v>1.159</v>
      </c>
      <c r="Y222" s="6">
        <f t="shared" si="26"/>
        <v>3.093884306345266E-2</v>
      </c>
      <c r="AA222">
        <v>8853010</v>
      </c>
      <c r="AB222">
        <v>12998</v>
      </c>
      <c r="AD222" t="s">
        <v>1</v>
      </c>
      <c r="AE222">
        <v>43</v>
      </c>
      <c r="AF222">
        <v>5</v>
      </c>
      <c r="AH222" t="s">
        <v>5989</v>
      </c>
      <c r="AI222" t="s">
        <v>5988</v>
      </c>
      <c r="AK222" t="s">
        <v>5987</v>
      </c>
      <c r="AL222">
        <v>3</v>
      </c>
      <c r="AM222" s="5">
        <f t="shared" si="27"/>
        <v>0.11538461538461539</v>
      </c>
      <c r="AN222" s="4">
        <f t="shared" si="28"/>
        <v>1.7475897824250722E-4</v>
      </c>
      <c r="AO222" s="3"/>
      <c r="AP222">
        <v>0</v>
      </c>
      <c r="AQ222" t="s">
        <v>80</v>
      </c>
      <c r="AR222" t="s">
        <v>0</v>
      </c>
      <c r="AS222" t="s">
        <v>622</v>
      </c>
      <c r="AT222" s="2" t="s">
        <v>9</v>
      </c>
      <c r="AU222" s="1">
        <f t="shared" si="29"/>
        <v>2.1709617837889614</v>
      </c>
      <c r="AV222" s="1">
        <f t="shared" si="30"/>
        <v>1.5556801020847584</v>
      </c>
      <c r="AW222" s="1">
        <f t="shared" si="31"/>
        <v>0.94039842038055532</v>
      </c>
    </row>
    <row r="223" spans="1:49" x14ac:dyDescent="0.2">
      <c r="A223">
        <v>221</v>
      </c>
      <c r="B223" t="s">
        <v>5986</v>
      </c>
      <c r="C223" t="s">
        <v>5985</v>
      </c>
      <c r="D223" t="s">
        <v>5984</v>
      </c>
      <c r="F223" t="s">
        <v>5983</v>
      </c>
      <c r="G223" t="s">
        <v>6</v>
      </c>
      <c r="H223" t="s">
        <v>5</v>
      </c>
      <c r="I223" t="s">
        <v>4916</v>
      </c>
      <c r="J223">
        <v>60017293</v>
      </c>
      <c r="K223" t="s">
        <v>425</v>
      </c>
      <c r="L223" t="s">
        <v>424</v>
      </c>
      <c r="M223" t="s">
        <v>42</v>
      </c>
      <c r="N223">
        <v>3</v>
      </c>
      <c r="O223" t="s">
        <v>4915</v>
      </c>
      <c r="P223" t="s">
        <v>4914</v>
      </c>
      <c r="Q223" t="s">
        <v>423</v>
      </c>
      <c r="R223" s="7">
        <v>35400</v>
      </c>
      <c r="S223" s="8">
        <f t="shared" si="24"/>
        <v>1996</v>
      </c>
      <c r="T223" s="8">
        <v>1996</v>
      </c>
      <c r="U223" s="8">
        <f t="shared" si="25"/>
        <v>26</v>
      </c>
      <c r="V223" s="7">
        <v>1996</v>
      </c>
      <c r="W223" t="s">
        <v>356</v>
      </c>
      <c r="X223" s="2">
        <v>0.65500000000000003</v>
      </c>
      <c r="Y223" s="6">
        <f t="shared" si="26"/>
        <v>1.7484850911614749E-2</v>
      </c>
      <c r="AA223">
        <v>189375</v>
      </c>
      <c r="AB223">
        <v>26051</v>
      </c>
      <c r="AD223" t="s">
        <v>1</v>
      </c>
      <c r="AE223">
        <v>38</v>
      </c>
      <c r="AF223">
        <v>3</v>
      </c>
      <c r="AH223" t="s">
        <v>5982</v>
      </c>
      <c r="AI223" t="s">
        <v>5981</v>
      </c>
      <c r="AK223" t="s">
        <v>5980</v>
      </c>
      <c r="AL223">
        <v>6</v>
      </c>
      <c r="AM223" s="5">
        <f t="shared" si="27"/>
        <v>0.23076923076923078</v>
      </c>
      <c r="AN223" s="4">
        <f t="shared" si="28"/>
        <v>3.4951795648501444E-4</v>
      </c>
      <c r="AO223" s="3"/>
      <c r="AP223">
        <v>0</v>
      </c>
      <c r="AR223" t="s">
        <v>0</v>
      </c>
      <c r="AT223" s="2" t="s">
        <v>9</v>
      </c>
      <c r="AU223" s="1">
        <f t="shared" si="29"/>
        <v>1.2344251025075827</v>
      </c>
      <c r="AV223" s="1">
        <f t="shared" si="30"/>
        <v>0.89171844340498807</v>
      </c>
      <c r="AW223" s="1">
        <f t="shared" si="31"/>
        <v>0.5490117843023935</v>
      </c>
    </row>
    <row r="224" spans="1:49" x14ac:dyDescent="0.2">
      <c r="A224">
        <v>222</v>
      </c>
      <c r="B224" t="s">
        <v>5979</v>
      </c>
      <c r="C224" t="s">
        <v>5978</v>
      </c>
      <c r="D224" t="s">
        <v>5977</v>
      </c>
      <c r="F224" t="s">
        <v>5976</v>
      </c>
      <c r="G224" t="s">
        <v>6</v>
      </c>
      <c r="H224" t="s">
        <v>5</v>
      </c>
      <c r="I224" t="s">
        <v>5975</v>
      </c>
      <c r="J224" t="s">
        <v>5970</v>
      </c>
      <c r="K224" t="s">
        <v>5974</v>
      </c>
      <c r="L224" t="s">
        <v>5973</v>
      </c>
      <c r="M224" t="s">
        <v>13</v>
      </c>
      <c r="N224">
        <v>2</v>
      </c>
      <c r="O224" t="s">
        <v>5972</v>
      </c>
      <c r="P224" t="s">
        <v>5971</v>
      </c>
      <c r="Q224" t="s">
        <v>5970</v>
      </c>
      <c r="R224" s="7">
        <v>35400</v>
      </c>
      <c r="S224" s="8">
        <f t="shared" si="24"/>
        <v>1996</v>
      </c>
      <c r="T224" s="8">
        <v>1996</v>
      </c>
      <c r="U224" s="8">
        <f t="shared" si="25"/>
        <v>26</v>
      </c>
      <c r="V224" s="7">
        <v>1996</v>
      </c>
      <c r="W224" t="s">
        <v>410</v>
      </c>
      <c r="X224" s="2">
        <v>1.3720000000000001</v>
      </c>
      <c r="Y224" s="6">
        <f t="shared" si="26"/>
        <v>3.662475641333654E-2</v>
      </c>
      <c r="AA224">
        <v>189480</v>
      </c>
      <c r="AB224">
        <v>17366</v>
      </c>
      <c r="AD224" t="s">
        <v>1</v>
      </c>
      <c r="AE224">
        <v>44</v>
      </c>
      <c r="AF224">
        <v>8</v>
      </c>
      <c r="AH224" t="s">
        <v>4874</v>
      </c>
      <c r="AI224" t="s">
        <v>5969</v>
      </c>
      <c r="AK224" t="s">
        <v>5968</v>
      </c>
      <c r="AL224">
        <v>2</v>
      </c>
      <c r="AM224" s="5">
        <f t="shared" si="27"/>
        <v>7.6923076923076927E-2</v>
      </c>
      <c r="AN224" s="4">
        <f t="shared" si="28"/>
        <v>1.1650598549500481E-4</v>
      </c>
      <c r="AO224" s="3"/>
      <c r="AP224">
        <v>0</v>
      </c>
      <c r="AR224" t="s">
        <v>0</v>
      </c>
      <c r="AT224" s="2" t="s">
        <v>9</v>
      </c>
      <c r="AU224" s="1">
        <f t="shared" si="29"/>
        <v>2.5672281284984075</v>
      </c>
      <c r="AV224" s="1">
        <f t="shared" si="30"/>
        <v>1.8370631199415774</v>
      </c>
      <c r="AW224" s="1">
        <f t="shared" si="31"/>
        <v>1.1068981113847467</v>
      </c>
    </row>
    <row r="225" spans="1:49" x14ac:dyDescent="0.2">
      <c r="A225">
        <v>223</v>
      </c>
      <c r="B225" t="s">
        <v>5967</v>
      </c>
      <c r="C225" t="s">
        <v>5966</v>
      </c>
      <c r="D225" t="s">
        <v>5965</v>
      </c>
      <c r="F225" t="s">
        <v>5964</v>
      </c>
      <c r="G225" t="s">
        <v>6</v>
      </c>
      <c r="H225" t="s">
        <v>5</v>
      </c>
      <c r="I225" t="s">
        <v>5963</v>
      </c>
      <c r="J225">
        <v>60025778</v>
      </c>
      <c r="K225" t="s">
        <v>96</v>
      </c>
      <c r="L225" t="s">
        <v>95</v>
      </c>
      <c r="M225" t="s">
        <v>2</v>
      </c>
      <c r="N225">
        <v>3</v>
      </c>
      <c r="O225" t="s">
        <v>5962</v>
      </c>
      <c r="P225" t="s">
        <v>5961</v>
      </c>
      <c r="Q225" t="s">
        <v>94</v>
      </c>
      <c r="R225" s="7">
        <v>35400</v>
      </c>
      <c r="S225" s="8">
        <f t="shared" si="24"/>
        <v>1996</v>
      </c>
      <c r="T225" s="8">
        <v>1996</v>
      </c>
      <c r="U225" s="8">
        <f t="shared" si="25"/>
        <v>26</v>
      </c>
      <c r="V225" s="7">
        <v>1996</v>
      </c>
      <c r="W225" t="s">
        <v>150</v>
      </c>
      <c r="X225" s="2">
        <v>1.6519999999999999</v>
      </c>
      <c r="Y225" s="6">
        <f t="shared" si="26"/>
        <v>4.409919649769093E-2</v>
      </c>
      <c r="AA225" t="s">
        <v>149</v>
      </c>
      <c r="AB225">
        <v>17337</v>
      </c>
      <c r="AD225" t="s">
        <v>1</v>
      </c>
      <c r="AE225">
        <v>44</v>
      </c>
      <c r="AF225">
        <v>8</v>
      </c>
      <c r="AH225" t="s">
        <v>5960</v>
      </c>
      <c r="AI225" t="s">
        <v>5959</v>
      </c>
      <c r="AK225" t="s">
        <v>5958</v>
      </c>
      <c r="AL225">
        <v>38</v>
      </c>
      <c r="AM225" s="5">
        <f t="shared" si="27"/>
        <v>1.4615384615384615</v>
      </c>
      <c r="AN225" s="4">
        <f t="shared" si="28"/>
        <v>2.2136137244050912E-3</v>
      </c>
      <c r="AO225" s="3"/>
      <c r="AP225">
        <v>0</v>
      </c>
      <c r="AR225" t="s">
        <v>0</v>
      </c>
      <c r="AT225" s="2" t="s">
        <v>9</v>
      </c>
      <c r="AU225" s="1">
        <f t="shared" si="29"/>
        <v>3.1533521665705182</v>
      </c>
      <c r="AV225" s="1">
        <f t="shared" si="30"/>
        <v>2.3156405111048008</v>
      </c>
      <c r="AW225" s="1">
        <f t="shared" si="31"/>
        <v>1.4779288556390842</v>
      </c>
    </row>
    <row r="226" spans="1:49" x14ac:dyDescent="0.2">
      <c r="A226">
        <v>224</v>
      </c>
      <c r="B226" t="s">
        <v>5957</v>
      </c>
      <c r="C226" t="s">
        <v>5956</v>
      </c>
      <c r="D226" t="s">
        <v>5955</v>
      </c>
      <c r="F226" t="s">
        <v>5954</v>
      </c>
      <c r="G226" t="s">
        <v>6</v>
      </c>
      <c r="H226" t="s">
        <v>5</v>
      </c>
      <c r="I226" t="s">
        <v>5953</v>
      </c>
      <c r="J226" t="s">
        <v>5952</v>
      </c>
      <c r="K226" t="s">
        <v>5951</v>
      </c>
      <c r="L226" t="s">
        <v>5950</v>
      </c>
      <c r="M226" t="s">
        <v>276</v>
      </c>
      <c r="N226">
        <v>3</v>
      </c>
      <c r="O226" t="s">
        <v>565</v>
      </c>
      <c r="P226" t="s">
        <v>564</v>
      </c>
      <c r="Q226" t="s">
        <v>5949</v>
      </c>
      <c r="R226" s="7">
        <v>35400</v>
      </c>
      <c r="S226" s="8">
        <f t="shared" si="24"/>
        <v>1996</v>
      </c>
      <c r="T226" s="8">
        <v>1996</v>
      </c>
      <c r="U226" s="8">
        <f t="shared" si="25"/>
        <v>26</v>
      </c>
      <c r="V226" s="7">
        <v>1996</v>
      </c>
      <c r="W226" t="s">
        <v>356</v>
      </c>
      <c r="X226" s="2">
        <v>0.65500000000000003</v>
      </c>
      <c r="Y226" s="6">
        <f t="shared" si="26"/>
        <v>1.7484850911614749E-2</v>
      </c>
      <c r="AA226">
        <v>189375</v>
      </c>
      <c r="AB226">
        <v>26051</v>
      </c>
      <c r="AD226" t="s">
        <v>1</v>
      </c>
      <c r="AE226">
        <v>38</v>
      </c>
      <c r="AF226">
        <v>3</v>
      </c>
      <c r="AH226" t="s">
        <v>5948</v>
      </c>
      <c r="AI226" t="s">
        <v>5947</v>
      </c>
      <c r="AK226" t="s">
        <v>5946</v>
      </c>
      <c r="AL226">
        <v>86</v>
      </c>
      <c r="AM226" s="5">
        <f t="shared" si="27"/>
        <v>3.3076923076923075</v>
      </c>
      <c r="AN226" s="4">
        <f t="shared" si="28"/>
        <v>5.0097573762852062E-3</v>
      </c>
      <c r="AO226" s="3"/>
      <c r="AP226">
        <v>0</v>
      </c>
      <c r="AR226" t="s">
        <v>0</v>
      </c>
      <c r="AT226" s="2" t="s">
        <v>9</v>
      </c>
      <c r="AU226" s="1">
        <f t="shared" si="29"/>
        <v>1.3742322851015885</v>
      </c>
      <c r="AV226" s="1">
        <f t="shared" si="30"/>
        <v>1.1247304143949977</v>
      </c>
      <c r="AW226" s="1">
        <f t="shared" si="31"/>
        <v>0.87522854368840686</v>
      </c>
    </row>
    <row r="227" spans="1:49" x14ac:dyDescent="0.2">
      <c r="A227">
        <v>225</v>
      </c>
      <c r="B227" t="s">
        <v>5945</v>
      </c>
      <c r="C227" t="s">
        <v>5944</v>
      </c>
      <c r="D227" t="s">
        <v>5943</v>
      </c>
      <c r="F227" t="s">
        <v>5942</v>
      </c>
      <c r="G227" t="s">
        <v>6</v>
      </c>
      <c r="H227" t="s">
        <v>5</v>
      </c>
      <c r="I227" t="s">
        <v>5941</v>
      </c>
      <c r="J227">
        <v>60005429</v>
      </c>
      <c r="K227" t="s">
        <v>389</v>
      </c>
      <c r="L227" t="s">
        <v>388</v>
      </c>
      <c r="M227" t="s">
        <v>146</v>
      </c>
      <c r="N227">
        <v>2</v>
      </c>
      <c r="O227" t="s">
        <v>387</v>
      </c>
      <c r="P227" t="s">
        <v>386</v>
      </c>
      <c r="Q227" t="s">
        <v>385</v>
      </c>
      <c r="R227" s="7">
        <v>35400</v>
      </c>
      <c r="S227" s="8">
        <f t="shared" si="24"/>
        <v>1996</v>
      </c>
      <c r="T227" s="8">
        <v>1996</v>
      </c>
      <c r="U227" s="8">
        <f t="shared" si="25"/>
        <v>26</v>
      </c>
      <c r="V227" s="7">
        <v>1996</v>
      </c>
      <c r="W227" t="s">
        <v>3963</v>
      </c>
      <c r="X227" s="2">
        <v>1.365</v>
      </c>
      <c r="Y227" s="6">
        <f t="shared" si="26"/>
        <v>3.6437895411227675E-2</v>
      </c>
      <c r="AA227">
        <v>189545</v>
      </c>
      <c r="AB227">
        <v>17393</v>
      </c>
      <c r="AD227" t="s">
        <v>1</v>
      </c>
      <c r="AE227">
        <v>45</v>
      </c>
      <c r="AF227">
        <v>3</v>
      </c>
      <c r="AH227" t="s">
        <v>5940</v>
      </c>
      <c r="AI227" t="s">
        <v>5939</v>
      </c>
      <c r="AK227" t="s">
        <v>5938</v>
      </c>
      <c r="AL227">
        <v>135</v>
      </c>
      <c r="AM227" s="5">
        <f t="shared" si="27"/>
        <v>5.1923076923076925</v>
      </c>
      <c r="AN227" s="4">
        <f t="shared" si="28"/>
        <v>7.8641540209128252E-3</v>
      </c>
      <c r="AO227" s="3"/>
      <c r="AP227">
        <v>0</v>
      </c>
      <c r="AR227" t="s">
        <v>5937</v>
      </c>
      <c r="AT227" s="2" t="s">
        <v>9</v>
      </c>
      <c r="AU227" s="1">
        <f t="shared" si="29"/>
        <v>2.7865772994133216</v>
      </c>
      <c r="AV227" s="1">
        <f t="shared" si="30"/>
        <v>2.2151024716070249</v>
      </c>
      <c r="AW227" s="1">
        <f t="shared" si="31"/>
        <v>1.643627643800728</v>
      </c>
    </row>
    <row r="228" spans="1:49" x14ac:dyDescent="0.2">
      <c r="A228">
        <v>226</v>
      </c>
      <c r="B228" t="s">
        <v>5936</v>
      </c>
      <c r="C228" t="s">
        <v>5935</v>
      </c>
      <c r="D228" t="s">
        <v>5934</v>
      </c>
      <c r="F228" t="s">
        <v>5933</v>
      </c>
      <c r="G228" t="s">
        <v>6</v>
      </c>
      <c r="H228" t="s">
        <v>5</v>
      </c>
      <c r="I228" t="s">
        <v>5932</v>
      </c>
      <c r="J228" t="s">
        <v>5931</v>
      </c>
      <c r="K228" t="s">
        <v>5930</v>
      </c>
      <c r="L228" t="s">
        <v>5929</v>
      </c>
      <c r="M228" t="s">
        <v>720</v>
      </c>
      <c r="N228">
        <v>4</v>
      </c>
      <c r="O228" t="s">
        <v>5928</v>
      </c>
      <c r="P228" t="s">
        <v>5927</v>
      </c>
      <c r="Q228" t="s">
        <v>5926</v>
      </c>
      <c r="R228" s="7">
        <v>35400</v>
      </c>
      <c r="S228" s="8">
        <f t="shared" si="24"/>
        <v>1996</v>
      </c>
      <c r="T228" s="8">
        <v>1996</v>
      </c>
      <c r="U228" s="8">
        <f t="shared" si="25"/>
        <v>26</v>
      </c>
      <c r="V228" s="7">
        <v>1996</v>
      </c>
      <c r="W228" t="s">
        <v>3963</v>
      </c>
      <c r="X228" s="2">
        <v>1.365</v>
      </c>
      <c r="Y228" s="6">
        <f t="shared" si="26"/>
        <v>3.6437895411227675E-2</v>
      </c>
      <c r="AA228">
        <v>189545</v>
      </c>
      <c r="AB228">
        <v>17393</v>
      </c>
      <c r="AD228" t="s">
        <v>1</v>
      </c>
      <c r="AE228">
        <v>45</v>
      </c>
      <c r="AF228">
        <v>3</v>
      </c>
      <c r="AH228" t="s">
        <v>5925</v>
      </c>
      <c r="AI228" t="s">
        <v>5924</v>
      </c>
      <c r="AK228" t="s">
        <v>5923</v>
      </c>
      <c r="AL228">
        <v>24</v>
      </c>
      <c r="AM228" s="5">
        <f t="shared" si="27"/>
        <v>0.92307692307692313</v>
      </c>
      <c r="AN228" s="4">
        <f t="shared" si="28"/>
        <v>1.3980718259400577E-3</v>
      </c>
      <c r="AO228" s="3"/>
      <c r="AP228">
        <v>0</v>
      </c>
      <c r="AR228" t="s">
        <v>0</v>
      </c>
      <c r="AT228" s="2" t="s">
        <v>9</v>
      </c>
      <c r="AU228" s="1">
        <f t="shared" si="29"/>
        <v>2.5925948335641387</v>
      </c>
      <c r="AV228" s="1">
        <f t="shared" si="30"/>
        <v>1.8917983618583867</v>
      </c>
      <c r="AW228" s="1">
        <f t="shared" si="31"/>
        <v>1.1910018901526342</v>
      </c>
    </row>
    <row r="229" spans="1:49" x14ac:dyDescent="0.2">
      <c r="A229">
        <v>227</v>
      </c>
      <c r="B229" t="s">
        <v>5922</v>
      </c>
      <c r="C229" t="s">
        <v>5921</v>
      </c>
      <c r="D229" t="s">
        <v>5920</v>
      </c>
      <c r="F229" t="s">
        <v>5919</v>
      </c>
      <c r="G229" t="s">
        <v>6</v>
      </c>
      <c r="H229" t="s">
        <v>5</v>
      </c>
      <c r="I229" t="s">
        <v>370</v>
      </c>
      <c r="J229" t="s">
        <v>5918</v>
      </c>
      <c r="K229" t="s">
        <v>5917</v>
      </c>
      <c r="L229" t="s">
        <v>5916</v>
      </c>
      <c r="M229" t="s">
        <v>5915</v>
      </c>
      <c r="N229">
        <v>3</v>
      </c>
      <c r="O229" t="s">
        <v>5914</v>
      </c>
      <c r="P229" t="s">
        <v>5913</v>
      </c>
      <c r="Q229" t="s">
        <v>5912</v>
      </c>
      <c r="R229" s="7">
        <v>35400</v>
      </c>
      <c r="S229" s="8">
        <f t="shared" si="24"/>
        <v>1996</v>
      </c>
      <c r="T229" s="8">
        <v>1996</v>
      </c>
      <c r="U229" s="8">
        <f t="shared" si="25"/>
        <v>26</v>
      </c>
      <c r="V229" s="7">
        <v>1996</v>
      </c>
      <c r="W229" t="s">
        <v>150</v>
      </c>
      <c r="X229" s="2">
        <v>1.6519999999999999</v>
      </c>
      <c r="Y229" s="6">
        <f t="shared" si="26"/>
        <v>4.409919649769093E-2</v>
      </c>
      <c r="AA229" t="s">
        <v>149</v>
      </c>
      <c r="AB229">
        <v>17337</v>
      </c>
      <c r="AD229" t="s">
        <v>1</v>
      </c>
      <c r="AE229">
        <v>44</v>
      </c>
      <c r="AF229">
        <v>8</v>
      </c>
      <c r="AH229" t="s">
        <v>5911</v>
      </c>
      <c r="AI229" t="s">
        <v>5910</v>
      </c>
      <c r="AK229" t="s">
        <v>5909</v>
      </c>
      <c r="AL229">
        <v>31</v>
      </c>
      <c r="AM229" s="5">
        <f t="shared" si="27"/>
        <v>1.1923076923076923</v>
      </c>
      <c r="AN229" s="4">
        <f t="shared" si="28"/>
        <v>1.8058427751725746E-3</v>
      </c>
      <c r="AO229" s="3"/>
      <c r="AP229">
        <v>0</v>
      </c>
      <c r="AQ229" t="s">
        <v>5908</v>
      </c>
      <c r="AR229" t="s">
        <v>0</v>
      </c>
      <c r="AS229" t="s">
        <v>5907</v>
      </c>
      <c r="AT229" s="2" t="s">
        <v>9</v>
      </c>
      <c r="AU229" s="1">
        <f t="shared" si="29"/>
        <v>3.1411190380935419</v>
      </c>
      <c r="AV229" s="1">
        <f t="shared" si="30"/>
        <v>2.2952519636431754</v>
      </c>
      <c r="AW229" s="1">
        <f t="shared" si="31"/>
        <v>1.4493848891928081</v>
      </c>
    </row>
    <row r="230" spans="1:49" x14ac:dyDescent="0.2">
      <c r="A230">
        <v>228</v>
      </c>
      <c r="B230" t="s">
        <v>5906</v>
      </c>
      <c r="C230" t="s">
        <v>5905</v>
      </c>
      <c r="F230" t="s">
        <v>5904</v>
      </c>
      <c r="G230" t="s">
        <v>6</v>
      </c>
      <c r="H230" t="s">
        <v>5</v>
      </c>
      <c r="I230" t="s">
        <v>5903</v>
      </c>
      <c r="J230" t="s">
        <v>5902</v>
      </c>
      <c r="K230" t="s">
        <v>5901</v>
      </c>
      <c r="L230" t="s">
        <v>5900</v>
      </c>
      <c r="M230" t="s">
        <v>5899</v>
      </c>
      <c r="N230">
        <v>2</v>
      </c>
      <c r="O230" t="s">
        <v>5898</v>
      </c>
      <c r="P230" t="s">
        <v>5897</v>
      </c>
      <c r="Q230" t="s">
        <v>5896</v>
      </c>
      <c r="R230" s="7">
        <v>35400</v>
      </c>
      <c r="S230" s="8">
        <f t="shared" si="24"/>
        <v>1996</v>
      </c>
      <c r="T230" s="8">
        <v>1996</v>
      </c>
      <c r="U230" s="8">
        <f t="shared" si="25"/>
        <v>26</v>
      </c>
      <c r="V230" s="7">
        <v>1996</v>
      </c>
      <c r="W230" t="s">
        <v>3963</v>
      </c>
      <c r="X230" s="2">
        <v>1.365</v>
      </c>
      <c r="Y230" s="6">
        <f t="shared" si="26"/>
        <v>3.6437895411227675E-2</v>
      </c>
      <c r="AA230">
        <v>189545</v>
      </c>
      <c r="AB230">
        <v>17393</v>
      </c>
      <c r="AD230" t="s">
        <v>1</v>
      </c>
      <c r="AE230">
        <v>45</v>
      </c>
      <c r="AF230">
        <v>3</v>
      </c>
      <c r="AH230" t="s">
        <v>5895</v>
      </c>
      <c r="AI230" t="s">
        <v>5894</v>
      </c>
      <c r="AK230" t="s">
        <v>5893</v>
      </c>
      <c r="AL230">
        <v>3</v>
      </c>
      <c r="AM230" s="5">
        <f t="shared" si="27"/>
        <v>0.11538461538461539</v>
      </c>
      <c r="AN230" s="4">
        <f t="shared" si="28"/>
        <v>1.7475897824250722E-4</v>
      </c>
      <c r="AO230" s="3"/>
      <c r="AP230">
        <v>0</v>
      </c>
      <c r="AR230" t="s">
        <v>0</v>
      </c>
      <c r="AT230" s="2" t="s">
        <v>9</v>
      </c>
      <c r="AU230" s="1">
        <f t="shared" si="29"/>
        <v>2.5558954481332123</v>
      </c>
      <c r="AV230" s="1">
        <f t="shared" si="30"/>
        <v>1.830632719473509</v>
      </c>
      <c r="AW230" s="1">
        <f t="shared" si="31"/>
        <v>1.1053699908138057</v>
      </c>
    </row>
    <row r="231" spans="1:49" x14ac:dyDescent="0.2">
      <c r="A231">
        <v>229</v>
      </c>
      <c r="B231" t="s">
        <v>5892</v>
      </c>
      <c r="C231" t="s">
        <v>5891</v>
      </c>
      <c r="D231" t="s">
        <v>5890</v>
      </c>
      <c r="F231" t="s">
        <v>5889</v>
      </c>
      <c r="G231" t="s">
        <v>6</v>
      </c>
      <c r="H231" t="s">
        <v>5</v>
      </c>
      <c r="I231" t="s">
        <v>5888</v>
      </c>
      <c r="J231" t="s">
        <v>5887</v>
      </c>
      <c r="K231" t="s">
        <v>5886</v>
      </c>
      <c r="L231" t="s">
        <v>5885</v>
      </c>
      <c r="M231" t="s">
        <v>13</v>
      </c>
      <c r="N231">
        <v>4</v>
      </c>
      <c r="O231" t="s">
        <v>5884</v>
      </c>
      <c r="P231" t="s">
        <v>5883</v>
      </c>
      <c r="Q231" t="s">
        <v>5882</v>
      </c>
      <c r="R231" s="7">
        <v>35400</v>
      </c>
      <c r="S231" s="8">
        <f t="shared" si="24"/>
        <v>1996</v>
      </c>
      <c r="T231" s="8">
        <v>1996</v>
      </c>
      <c r="U231" s="8">
        <f t="shared" si="25"/>
        <v>26</v>
      </c>
      <c r="V231" s="7">
        <v>1996</v>
      </c>
      <c r="W231" t="s">
        <v>356</v>
      </c>
      <c r="X231" s="2">
        <v>0.65500000000000003</v>
      </c>
      <c r="Y231" s="6">
        <f t="shared" si="26"/>
        <v>1.7484850911614749E-2</v>
      </c>
      <c r="AA231">
        <v>189375</v>
      </c>
      <c r="AB231">
        <v>26051</v>
      </c>
      <c r="AD231" t="s">
        <v>1</v>
      </c>
      <c r="AE231">
        <v>38</v>
      </c>
      <c r="AF231">
        <v>3</v>
      </c>
      <c r="AH231" t="s">
        <v>5881</v>
      </c>
      <c r="AI231" t="s">
        <v>5880</v>
      </c>
      <c r="AK231" t="s">
        <v>5879</v>
      </c>
      <c r="AL231">
        <v>55</v>
      </c>
      <c r="AM231" s="5">
        <f t="shared" si="27"/>
        <v>2.1153846153846154</v>
      </c>
      <c r="AN231" s="4">
        <f t="shared" si="28"/>
        <v>3.2039146011126323E-3</v>
      </c>
      <c r="AO231" s="3"/>
      <c r="AP231">
        <v>0</v>
      </c>
      <c r="AR231" t="s">
        <v>0</v>
      </c>
      <c r="AT231" s="2" t="s">
        <v>9</v>
      </c>
      <c r="AU231" s="1">
        <f t="shared" si="29"/>
        <v>1.3200570018464113</v>
      </c>
      <c r="AV231" s="1">
        <f t="shared" si="30"/>
        <v>1.034438275636369</v>
      </c>
      <c r="AW231" s="1">
        <f t="shared" si="31"/>
        <v>0.74881954942632667</v>
      </c>
    </row>
    <row r="232" spans="1:49" x14ac:dyDescent="0.2">
      <c r="A232">
        <v>230</v>
      </c>
      <c r="B232" t="s">
        <v>5878</v>
      </c>
      <c r="C232" t="s">
        <v>5877</v>
      </c>
      <c r="D232" t="s">
        <v>5876</v>
      </c>
      <c r="F232" t="s">
        <v>5875</v>
      </c>
      <c r="G232" t="s">
        <v>6</v>
      </c>
      <c r="H232" t="s">
        <v>5</v>
      </c>
      <c r="I232" t="s">
        <v>5874</v>
      </c>
      <c r="J232">
        <v>60108318</v>
      </c>
      <c r="K232" t="s">
        <v>5873</v>
      </c>
      <c r="L232" t="s">
        <v>5872</v>
      </c>
      <c r="M232" t="s">
        <v>2</v>
      </c>
      <c r="N232">
        <v>3</v>
      </c>
      <c r="O232" t="s">
        <v>5871</v>
      </c>
      <c r="P232" t="s">
        <v>5870</v>
      </c>
      <c r="Q232" t="s">
        <v>5869</v>
      </c>
      <c r="R232" s="7">
        <v>35400</v>
      </c>
      <c r="S232" s="8">
        <f t="shared" si="24"/>
        <v>1996</v>
      </c>
      <c r="T232" s="8">
        <v>1996</v>
      </c>
      <c r="U232" s="8">
        <f t="shared" si="25"/>
        <v>26</v>
      </c>
      <c r="V232" s="7">
        <v>1996</v>
      </c>
      <c r="W232" t="s">
        <v>3963</v>
      </c>
      <c r="X232" s="2">
        <v>1.365</v>
      </c>
      <c r="Y232" s="6">
        <f t="shared" si="26"/>
        <v>3.6437895411227675E-2</v>
      </c>
      <c r="AA232">
        <v>189545</v>
      </c>
      <c r="AB232">
        <v>17393</v>
      </c>
      <c r="AD232" t="s">
        <v>1</v>
      </c>
      <c r="AE232">
        <v>45</v>
      </c>
      <c r="AF232">
        <v>3</v>
      </c>
      <c r="AH232" t="s">
        <v>5868</v>
      </c>
      <c r="AI232" t="s">
        <v>5867</v>
      </c>
      <c r="AK232" t="s">
        <v>5866</v>
      </c>
      <c r="AL232">
        <v>78</v>
      </c>
      <c r="AM232" s="5">
        <f t="shared" si="27"/>
        <v>3</v>
      </c>
      <c r="AN232" s="4">
        <f t="shared" si="28"/>
        <v>4.5437334343051876E-3</v>
      </c>
      <c r="AO232" s="3"/>
      <c r="AP232">
        <v>0</v>
      </c>
      <c r="AR232" t="s">
        <v>0</v>
      </c>
      <c r="AT232" s="2" t="s">
        <v>9</v>
      </c>
      <c r="AU232" s="1">
        <f t="shared" si="29"/>
        <v>2.6869646818150925</v>
      </c>
      <c r="AV232" s="1">
        <f t="shared" si="30"/>
        <v>2.0490814422766435</v>
      </c>
      <c r="AW232" s="1">
        <f t="shared" si="31"/>
        <v>1.4111982027381933</v>
      </c>
    </row>
    <row r="233" spans="1:49" x14ac:dyDescent="0.2">
      <c r="A233">
        <v>231</v>
      </c>
      <c r="B233" t="s">
        <v>5865</v>
      </c>
      <c r="C233" t="s">
        <v>5864</v>
      </c>
      <c r="D233" t="s">
        <v>5863</v>
      </c>
      <c r="F233" t="s">
        <v>5862</v>
      </c>
      <c r="G233" t="s">
        <v>6</v>
      </c>
      <c r="H233" t="s">
        <v>5</v>
      </c>
      <c r="I233" t="s">
        <v>3700</v>
      </c>
      <c r="J233">
        <v>60076904</v>
      </c>
      <c r="K233" t="s">
        <v>157</v>
      </c>
      <c r="L233" t="s">
        <v>156</v>
      </c>
      <c r="M233" t="s">
        <v>2</v>
      </c>
      <c r="N233">
        <v>1</v>
      </c>
      <c r="O233" t="s">
        <v>3699</v>
      </c>
      <c r="P233">
        <v>7005725380</v>
      </c>
      <c r="Q233">
        <v>60076904</v>
      </c>
      <c r="R233" s="7">
        <v>35400</v>
      </c>
      <c r="S233" s="8">
        <f t="shared" si="24"/>
        <v>1996</v>
      </c>
      <c r="T233" s="8">
        <v>1996</v>
      </c>
      <c r="U233" s="8">
        <f t="shared" si="25"/>
        <v>26</v>
      </c>
      <c r="V233" s="7">
        <v>1996</v>
      </c>
      <c r="W233" t="s">
        <v>150</v>
      </c>
      <c r="X233" s="2">
        <v>1.6519999999999999</v>
      </c>
      <c r="Y233" s="6">
        <f t="shared" si="26"/>
        <v>4.409919649769093E-2</v>
      </c>
      <c r="AA233" t="s">
        <v>149</v>
      </c>
      <c r="AB233">
        <v>17337</v>
      </c>
      <c r="AD233" t="s">
        <v>1</v>
      </c>
      <c r="AE233">
        <v>44</v>
      </c>
      <c r="AF233">
        <v>8</v>
      </c>
      <c r="AH233" t="s">
        <v>5861</v>
      </c>
      <c r="AI233" t="s">
        <v>5860</v>
      </c>
      <c r="AK233" t="s">
        <v>5859</v>
      </c>
      <c r="AL233">
        <v>2</v>
      </c>
      <c r="AM233" s="5">
        <f t="shared" si="27"/>
        <v>7.6923076923076927E-2</v>
      </c>
      <c r="AN233" s="4">
        <f t="shared" si="28"/>
        <v>1.1650598549500481E-4</v>
      </c>
      <c r="AO233" s="3"/>
      <c r="AP233">
        <v>0</v>
      </c>
      <c r="AR233" t="s">
        <v>0</v>
      </c>
      <c r="AT233" s="2" t="s">
        <v>9</v>
      </c>
      <c r="AU233" s="1">
        <f t="shared" si="29"/>
        <v>3.090438934403215</v>
      </c>
      <c r="AV233" s="1">
        <f t="shared" si="30"/>
        <v>2.2107851241592971</v>
      </c>
      <c r="AW233" s="1">
        <f t="shared" si="31"/>
        <v>1.3311313139153782</v>
      </c>
    </row>
    <row r="234" spans="1:49" x14ac:dyDescent="0.2">
      <c r="A234">
        <v>232</v>
      </c>
      <c r="B234" t="s">
        <v>5858</v>
      </c>
      <c r="C234" t="s">
        <v>5857</v>
      </c>
      <c r="D234" t="s">
        <v>5856</v>
      </c>
      <c r="F234" t="s">
        <v>5855</v>
      </c>
      <c r="G234" t="s">
        <v>6</v>
      </c>
      <c r="H234" t="s">
        <v>5</v>
      </c>
      <c r="I234" t="s">
        <v>5854</v>
      </c>
      <c r="J234" t="s">
        <v>5853</v>
      </c>
      <c r="K234" t="s">
        <v>5852</v>
      </c>
      <c r="L234" t="s">
        <v>5851</v>
      </c>
      <c r="M234" t="s">
        <v>81</v>
      </c>
      <c r="N234">
        <v>2</v>
      </c>
      <c r="O234" t="s">
        <v>5850</v>
      </c>
      <c r="P234" t="s">
        <v>5849</v>
      </c>
      <c r="Q234" t="s">
        <v>5848</v>
      </c>
      <c r="R234" s="7">
        <v>35400</v>
      </c>
      <c r="S234" s="8">
        <f t="shared" si="24"/>
        <v>1996</v>
      </c>
      <c r="T234" s="8">
        <v>1996</v>
      </c>
      <c r="U234" s="8">
        <f t="shared" si="25"/>
        <v>26</v>
      </c>
      <c r="V234" s="7">
        <v>1996</v>
      </c>
      <c r="W234" t="s">
        <v>3963</v>
      </c>
      <c r="X234" s="2">
        <v>1.365</v>
      </c>
      <c r="Y234" s="6">
        <f t="shared" si="26"/>
        <v>3.6437895411227675E-2</v>
      </c>
      <c r="AA234">
        <v>189545</v>
      </c>
      <c r="AB234">
        <v>17393</v>
      </c>
      <c r="AD234" t="s">
        <v>1</v>
      </c>
      <c r="AE234">
        <v>45</v>
      </c>
      <c r="AF234">
        <v>3</v>
      </c>
      <c r="AH234" t="s">
        <v>5847</v>
      </c>
      <c r="AI234" t="s">
        <v>5846</v>
      </c>
      <c r="AK234" t="s">
        <v>5845</v>
      </c>
      <c r="AL234">
        <v>9</v>
      </c>
      <c r="AM234" s="5">
        <f t="shared" si="27"/>
        <v>0.34615384615384615</v>
      </c>
      <c r="AN234" s="4">
        <f t="shared" si="28"/>
        <v>5.2427693472752157E-4</v>
      </c>
      <c r="AO234" s="3"/>
      <c r="AP234">
        <v>0</v>
      </c>
      <c r="AQ234" t="s">
        <v>80</v>
      </c>
      <c r="AR234" t="s">
        <v>0</v>
      </c>
      <c r="AS234" t="s">
        <v>622</v>
      </c>
      <c r="AT234" s="2" t="s">
        <v>9</v>
      </c>
      <c r="AU234" s="1">
        <f t="shared" si="29"/>
        <v>2.5663809868277627</v>
      </c>
      <c r="AV234" s="1">
        <f t="shared" si="30"/>
        <v>1.8481086172977599</v>
      </c>
      <c r="AW234" s="1">
        <f t="shared" si="31"/>
        <v>1.1298362477677566</v>
      </c>
    </row>
    <row r="235" spans="1:49" x14ac:dyDescent="0.2">
      <c r="A235">
        <v>233</v>
      </c>
      <c r="B235" t="s">
        <v>5844</v>
      </c>
      <c r="C235" t="s">
        <v>5843</v>
      </c>
      <c r="D235" t="s">
        <v>5842</v>
      </c>
      <c r="F235" t="s">
        <v>5841</v>
      </c>
      <c r="G235" t="s">
        <v>6</v>
      </c>
      <c r="H235" t="s">
        <v>5</v>
      </c>
      <c r="I235" t="s">
        <v>5840</v>
      </c>
      <c r="J235" t="s">
        <v>5839</v>
      </c>
      <c r="K235" t="s">
        <v>5838</v>
      </c>
      <c r="L235" t="s">
        <v>5837</v>
      </c>
      <c r="M235" t="s">
        <v>5836</v>
      </c>
      <c r="N235">
        <v>6</v>
      </c>
      <c r="O235" t="s">
        <v>5835</v>
      </c>
      <c r="P235" t="s">
        <v>5834</v>
      </c>
      <c r="Q235" t="s">
        <v>5833</v>
      </c>
      <c r="R235" s="7">
        <v>35400</v>
      </c>
      <c r="S235" s="8">
        <f t="shared" si="24"/>
        <v>1996</v>
      </c>
      <c r="T235" s="8">
        <v>1996</v>
      </c>
      <c r="U235" s="8">
        <f t="shared" si="25"/>
        <v>26</v>
      </c>
      <c r="V235" s="7">
        <v>1996</v>
      </c>
      <c r="W235" t="s">
        <v>356</v>
      </c>
      <c r="X235" s="2">
        <v>0.65500000000000003</v>
      </c>
      <c r="Y235" s="6">
        <f t="shared" si="26"/>
        <v>1.7484850911614749E-2</v>
      </c>
      <c r="AA235">
        <v>189375</v>
      </c>
      <c r="AB235">
        <v>26051</v>
      </c>
      <c r="AD235" t="s">
        <v>1</v>
      </c>
      <c r="AE235">
        <v>38</v>
      </c>
      <c r="AF235">
        <v>3</v>
      </c>
      <c r="AH235" t="s">
        <v>5832</v>
      </c>
      <c r="AI235" t="s">
        <v>5831</v>
      </c>
      <c r="AK235" t="s">
        <v>5830</v>
      </c>
      <c r="AL235">
        <v>12</v>
      </c>
      <c r="AM235" s="5">
        <f t="shared" si="27"/>
        <v>0.46153846153846156</v>
      </c>
      <c r="AN235" s="4">
        <f t="shared" si="28"/>
        <v>6.9903591297002887E-4</v>
      </c>
      <c r="AO235" s="3"/>
      <c r="AP235">
        <v>0</v>
      </c>
      <c r="AR235" t="s">
        <v>0</v>
      </c>
      <c r="AT235" s="2" t="s">
        <v>9</v>
      </c>
      <c r="AU235" s="1">
        <f t="shared" si="29"/>
        <v>1.2449106412021331</v>
      </c>
      <c r="AV235" s="1">
        <f t="shared" si="30"/>
        <v>0.90919434122923892</v>
      </c>
      <c r="AW235" s="1">
        <f t="shared" si="31"/>
        <v>0.5734780412563445</v>
      </c>
    </row>
    <row r="236" spans="1:49" x14ac:dyDescent="0.2">
      <c r="A236">
        <v>234</v>
      </c>
      <c r="B236" t="s">
        <v>5829</v>
      </c>
      <c r="C236" t="s">
        <v>5828</v>
      </c>
      <c r="D236" t="s">
        <v>5827</v>
      </c>
      <c r="F236" t="s">
        <v>5826</v>
      </c>
      <c r="G236" t="s">
        <v>6</v>
      </c>
      <c r="H236" t="s">
        <v>5</v>
      </c>
      <c r="I236" t="s">
        <v>5825</v>
      </c>
      <c r="J236" t="s">
        <v>5824</v>
      </c>
      <c r="K236" t="s">
        <v>5823</v>
      </c>
      <c r="L236" t="s">
        <v>5822</v>
      </c>
      <c r="M236" t="s">
        <v>5821</v>
      </c>
      <c r="N236">
        <v>2</v>
      </c>
      <c r="O236" t="s">
        <v>5820</v>
      </c>
      <c r="P236" t="s">
        <v>5819</v>
      </c>
      <c r="Q236" t="s">
        <v>5818</v>
      </c>
      <c r="R236" s="7">
        <v>35400</v>
      </c>
      <c r="S236" s="8">
        <f t="shared" si="24"/>
        <v>1996</v>
      </c>
      <c r="T236" s="8">
        <v>1996</v>
      </c>
      <c r="U236" s="8">
        <f t="shared" si="25"/>
        <v>26</v>
      </c>
      <c r="V236" s="7">
        <v>1996</v>
      </c>
      <c r="W236" t="s">
        <v>3963</v>
      </c>
      <c r="X236" s="2">
        <v>1.365</v>
      </c>
      <c r="Y236" s="6">
        <f t="shared" si="26"/>
        <v>3.6437895411227675E-2</v>
      </c>
      <c r="AA236">
        <v>189545</v>
      </c>
      <c r="AB236">
        <v>17393</v>
      </c>
      <c r="AD236" t="s">
        <v>1</v>
      </c>
      <c r="AE236">
        <v>45</v>
      </c>
      <c r="AF236">
        <v>3</v>
      </c>
      <c r="AH236" t="s">
        <v>5817</v>
      </c>
      <c r="AI236" t="s">
        <v>5816</v>
      </c>
      <c r="AK236" t="s">
        <v>5815</v>
      </c>
      <c r="AL236">
        <v>3</v>
      </c>
      <c r="AM236" s="5">
        <f t="shared" si="27"/>
        <v>0.11538461538461539</v>
      </c>
      <c r="AN236" s="4">
        <f t="shared" si="28"/>
        <v>1.7475897824250722E-4</v>
      </c>
      <c r="AO236" s="3"/>
      <c r="AP236">
        <v>0</v>
      </c>
      <c r="AR236" t="s">
        <v>0</v>
      </c>
      <c r="AT236" s="2" t="s">
        <v>9</v>
      </c>
      <c r="AU236" s="1">
        <f t="shared" si="29"/>
        <v>2.5558954481332123</v>
      </c>
      <c r="AV236" s="1">
        <f t="shared" si="30"/>
        <v>1.830632719473509</v>
      </c>
      <c r="AW236" s="1">
        <f t="shared" si="31"/>
        <v>1.1053699908138057</v>
      </c>
    </row>
    <row r="237" spans="1:49" x14ac:dyDescent="0.2">
      <c r="A237">
        <v>235</v>
      </c>
      <c r="B237" t="s">
        <v>5814</v>
      </c>
      <c r="C237" t="s">
        <v>5813</v>
      </c>
      <c r="D237" t="s">
        <v>5812</v>
      </c>
      <c r="F237" t="s">
        <v>5811</v>
      </c>
      <c r="G237" t="s">
        <v>6</v>
      </c>
      <c r="H237" t="s">
        <v>5</v>
      </c>
      <c r="I237" t="s">
        <v>5810</v>
      </c>
      <c r="J237">
        <v>60014153</v>
      </c>
      <c r="K237" t="s">
        <v>5809</v>
      </c>
      <c r="L237" t="s">
        <v>5808</v>
      </c>
      <c r="M237" t="s">
        <v>86</v>
      </c>
      <c r="N237">
        <v>3</v>
      </c>
      <c r="O237" t="s">
        <v>5807</v>
      </c>
      <c r="P237" t="s">
        <v>5806</v>
      </c>
      <c r="Q237" t="s">
        <v>5805</v>
      </c>
      <c r="R237" s="7">
        <v>35400</v>
      </c>
      <c r="S237" s="8">
        <f t="shared" si="24"/>
        <v>1996</v>
      </c>
      <c r="T237" s="8">
        <v>1996</v>
      </c>
      <c r="U237" s="8">
        <f t="shared" si="25"/>
        <v>26</v>
      </c>
      <c r="V237" s="7">
        <v>1996</v>
      </c>
      <c r="W237" t="s">
        <v>150</v>
      </c>
      <c r="X237" s="2">
        <v>1.6519999999999999</v>
      </c>
      <c r="Y237" s="6">
        <f t="shared" si="26"/>
        <v>4.409919649769093E-2</v>
      </c>
      <c r="AA237" t="s">
        <v>149</v>
      </c>
      <c r="AB237">
        <v>17337</v>
      </c>
      <c r="AD237" t="s">
        <v>1</v>
      </c>
      <c r="AE237">
        <v>44</v>
      </c>
      <c r="AF237">
        <v>8</v>
      </c>
      <c r="AH237" t="s">
        <v>5804</v>
      </c>
      <c r="AI237" t="s">
        <v>5803</v>
      </c>
      <c r="AK237" t="s">
        <v>5802</v>
      </c>
      <c r="AL237">
        <v>94</v>
      </c>
      <c r="AM237" s="5">
        <f t="shared" si="27"/>
        <v>3.6153846153846154</v>
      </c>
      <c r="AN237" s="4">
        <f t="shared" si="28"/>
        <v>5.4757813182652257E-3</v>
      </c>
      <c r="AO237" s="3"/>
      <c r="AP237">
        <v>0</v>
      </c>
      <c r="AR237" t="s">
        <v>0</v>
      </c>
      <c r="AT237" s="2" t="s">
        <v>9</v>
      </c>
      <c r="AU237" s="1">
        <f t="shared" si="29"/>
        <v>3.2512171943863217</v>
      </c>
      <c r="AV237" s="1">
        <f t="shared" si="30"/>
        <v>2.4787488907978079</v>
      </c>
      <c r="AW237" s="1">
        <f t="shared" si="31"/>
        <v>1.7062805872092937</v>
      </c>
    </row>
    <row r="238" spans="1:49" x14ac:dyDescent="0.2">
      <c r="A238">
        <v>236</v>
      </c>
      <c r="B238" t="s">
        <v>5801</v>
      </c>
      <c r="C238" t="s">
        <v>5800</v>
      </c>
      <c r="D238" t="s">
        <v>5799</v>
      </c>
      <c r="F238" t="s">
        <v>5798</v>
      </c>
      <c r="G238" t="s">
        <v>6</v>
      </c>
      <c r="H238" t="s">
        <v>5</v>
      </c>
      <c r="I238" t="s">
        <v>5797</v>
      </c>
      <c r="J238">
        <v>60027561</v>
      </c>
      <c r="K238" t="s">
        <v>733</v>
      </c>
      <c r="L238" t="s">
        <v>516</v>
      </c>
      <c r="M238" t="s">
        <v>2</v>
      </c>
      <c r="N238">
        <v>1</v>
      </c>
      <c r="O238" t="s">
        <v>5796</v>
      </c>
      <c r="P238">
        <v>7406565241</v>
      </c>
      <c r="Q238">
        <v>60027561</v>
      </c>
      <c r="R238" s="7">
        <v>35400</v>
      </c>
      <c r="S238" s="8">
        <f t="shared" si="24"/>
        <v>1996</v>
      </c>
      <c r="T238" s="8">
        <v>1996</v>
      </c>
      <c r="U238" s="8">
        <f t="shared" si="25"/>
        <v>26</v>
      </c>
      <c r="V238" s="7">
        <v>1996</v>
      </c>
      <c r="W238" t="s">
        <v>150</v>
      </c>
      <c r="X238" s="2">
        <v>1.6519999999999999</v>
      </c>
      <c r="Y238" s="6">
        <f t="shared" si="26"/>
        <v>4.409919649769093E-2</v>
      </c>
      <c r="AA238" t="s">
        <v>149</v>
      </c>
      <c r="AB238">
        <v>17337</v>
      </c>
      <c r="AD238" t="s">
        <v>1</v>
      </c>
      <c r="AE238">
        <v>44</v>
      </c>
      <c r="AF238">
        <v>8</v>
      </c>
      <c r="AH238" t="s">
        <v>5795</v>
      </c>
      <c r="AI238" t="s">
        <v>5794</v>
      </c>
      <c r="AK238" t="s">
        <v>5793</v>
      </c>
      <c r="AL238">
        <v>25</v>
      </c>
      <c r="AM238" s="5">
        <f t="shared" si="27"/>
        <v>0.96153846153846156</v>
      </c>
      <c r="AN238" s="4">
        <f t="shared" si="28"/>
        <v>1.4563248186875602E-3</v>
      </c>
      <c r="AO238" s="3"/>
      <c r="AP238">
        <v>0</v>
      </c>
      <c r="AQ238" t="s">
        <v>5792</v>
      </c>
      <c r="AR238" t="s">
        <v>5791</v>
      </c>
      <c r="AS238" t="s">
        <v>5790</v>
      </c>
      <c r="AT238" s="2" t="s">
        <v>9</v>
      </c>
      <c r="AU238" s="1">
        <f t="shared" si="29"/>
        <v>3.1306334993989915</v>
      </c>
      <c r="AV238" s="1">
        <f t="shared" si="30"/>
        <v>2.2777760658189243</v>
      </c>
      <c r="AW238" s="1">
        <f t="shared" si="31"/>
        <v>1.424918632238857</v>
      </c>
    </row>
    <row r="239" spans="1:49" x14ac:dyDescent="0.2">
      <c r="A239">
        <v>237</v>
      </c>
      <c r="B239" t="s">
        <v>5789</v>
      </c>
      <c r="C239" t="s">
        <v>5788</v>
      </c>
      <c r="D239" t="s">
        <v>5787</v>
      </c>
      <c r="F239" t="s">
        <v>5786</v>
      </c>
      <c r="G239" t="s">
        <v>6</v>
      </c>
      <c r="H239" t="s">
        <v>5</v>
      </c>
      <c r="I239" t="s">
        <v>5785</v>
      </c>
      <c r="J239">
        <v>60005429</v>
      </c>
      <c r="K239" t="s">
        <v>389</v>
      </c>
      <c r="L239" t="s">
        <v>388</v>
      </c>
      <c r="M239" t="s">
        <v>146</v>
      </c>
      <c r="N239">
        <v>2</v>
      </c>
      <c r="O239" t="s">
        <v>5784</v>
      </c>
      <c r="P239" t="s">
        <v>5783</v>
      </c>
      <c r="Q239" t="s">
        <v>385</v>
      </c>
      <c r="R239" s="7">
        <v>35400</v>
      </c>
      <c r="S239" s="8">
        <f t="shared" si="24"/>
        <v>1996</v>
      </c>
      <c r="T239" s="8">
        <v>1996</v>
      </c>
      <c r="U239" s="8">
        <f t="shared" si="25"/>
        <v>26</v>
      </c>
      <c r="V239" s="7">
        <v>1996</v>
      </c>
      <c r="W239" t="s">
        <v>356</v>
      </c>
      <c r="X239" s="2">
        <v>0.65500000000000003</v>
      </c>
      <c r="Y239" s="6">
        <f t="shared" si="26"/>
        <v>1.7484850911614749E-2</v>
      </c>
      <c r="AA239">
        <v>189375</v>
      </c>
      <c r="AB239">
        <v>26051</v>
      </c>
      <c r="AD239" t="s">
        <v>1</v>
      </c>
      <c r="AE239">
        <v>38</v>
      </c>
      <c r="AF239">
        <v>3</v>
      </c>
      <c r="AH239" t="s">
        <v>5782</v>
      </c>
      <c r="AI239" t="s">
        <v>5781</v>
      </c>
      <c r="AK239" t="s">
        <v>5780</v>
      </c>
      <c r="AL239">
        <v>19</v>
      </c>
      <c r="AM239" s="5">
        <f t="shared" si="27"/>
        <v>0.73076923076923073</v>
      </c>
      <c r="AN239" s="4">
        <f t="shared" si="28"/>
        <v>1.1068068622025456E-3</v>
      </c>
      <c r="AO239" s="3"/>
      <c r="AP239">
        <v>0</v>
      </c>
      <c r="AR239" t="s">
        <v>0</v>
      </c>
      <c r="AT239" s="2" t="s">
        <v>9</v>
      </c>
      <c r="AU239" s="1">
        <f t="shared" si="29"/>
        <v>1.2571437696791086</v>
      </c>
      <c r="AV239" s="1">
        <f t="shared" si="30"/>
        <v>0.92958288869086458</v>
      </c>
      <c r="AW239" s="1">
        <f t="shared" si="31"/>
        <v>0.6020220077026206</v>
      </c>
    </row>
    <row r="240" spans="1:49" x14ac:dyDescent="0.2">
      <c r="A240">
        <v>238</v>
      </c>
      <c r="B240" t="s">
        <v>5779</v>
      </c>
      <c r="C240" t="s">
        <v>5778</v>
      </c>
      <c r="D240" t="s">
        <v>5777</v>
      </c>
      <c r="F240" t="s">
        <v>5776</v>
      </c>
      <c r="G240" t="s">
        <v>6</v>
      </c>
      <c r="H240" t="s">
        <v>5</v>
      </c>
      <c r="I240" t="s">
        <v>5775</v>
      </c>
      <c r="J240">
        <v>60083541</v>
      </c>
      <c r="K240" t="s">
        <v>5774</v>
      </c>
      <c r="L240" t="s">
        <v>5773</v>
      </c>
      <c r="M240" t="s">
        <v>42</v>
      </c>
      <c r="N240">
        <v>6</v>
      </c>
      <c r="O240" t="s">
        <v>5772</v>
      </c>
      <c r="P240" t="s">
        <v>5771</v>
      </c>
      <c r="Q240" t="s">
        <v>5770</v>
      </c>
      <c r="R240" s="7">
        <v>35400</v>
      </c>
      <c r="S240" s="8">
        <f t="shared" si="24"/>
        <v>1996</v>
      </c>
      <c r="T240" s="8">
        <v>1996</v>
      </c>
      <c r="U240" s="8">
        <f t="shared" si="25"/>
        <v>26</v>
      </c>
      <c r="V240" s="7">
        <v>1996</v>
      </c>
      <c r="W240" t="s">
        <v>356</v>
      </c>
      <c r="X240" s="2">
        <v>0.65500000000000003</v>
      </c>
      <c r="Y240" s="6">
        <f t="shared" si="26"/>
        <v>1.7484850911614749E-2</v>
      </c>
      <c r="AA240">
        <v>189375</v>
      </c>
      <c r="AB240">
        <v>26051</v>
      </c>
      <c r="AD240" t="s">
        <v>1</v>
      </c>
      <c r="AE240">
        <v>38</v>
      </c>
      <c r="AF240">
        <v>3</v>
      </c>
      <c r="AH240" t="s">
        <v>5769</v>
      </c>
      <c r="AI240" t="s">
        <v>5768</v>
      </c>
      <c r="AK240" t="s">
        <v>5767</v>
      </c>
      <c r="AL240">
        <v>6</v>
      </c>
      <c r="AM240" s="5">
        <f t="shared" si="27"/>
        <v>0.23076923076923078</v>
      </c>
      <c r="AN240" s="4">
        <f t="shared" si="28"/>
        <v>3.4951795648501444E-4</v>
      </c>
      <c r="AO240" s="3"/>
      <c r="AP240">
        <v>0</v>
      </c>
      <c r="AR240" t="s">
        <v>0</v>
      </c>
      <c r="AT240" s="2" t="s">
        <v>9</v>
      </c>
      <c r="AU240" s="1">
        <f t="shared" si="29"/>
        <v>1.2344251025075827</v>
      </c>
      <c r="AV240" s="1">
        <f t="shared" si="30"/>
        <v>0.89171844340498807</v>
      </c>
      <c r="AW240" s="1">
        <f t="shared" si="31"/>
        <v>0.5490117843023935</v>
      </c>
    </row>
    <row r="241" spans="1:49" x14ac:dyDescent="0.2">
      <c r="A241">
        <v>239</v>
      </c>
      <c r="B241" t="s">
        <v>5766</v>
      </c>
      <c r="C241" t="s">
        <v>5765</v>
      </c>
      <c r="D241" t="s">
        <v>5764</v>
      </c>
      <c r="F241" t="s">
        <v>5763</v>
      </c>
      <c r="G241" t="s">
        <v>6</v>
      </c>
      <c r="H241" t="s">
        <v>5</v>
      </c>
      <c r="I241" t="s">
        <v>5762</v>
      </c>
      <c r="J241" t="s">
        <v>5761</v>
      </c>
      <c r="K241" t="s">
        <v>5760</v>
      </c>
      <c r="L241" t="s">
        <v>5759</v>
      </c>
      <c r="M241" t="s">
        <v>13</v>
      </c>
      <c r="N241">
        <v>2</v>
      </c>
      <c r="O241" t="s">
        <v>5758</v>
      </c>
      <c r="P241" t="s">
        <v>5757</v>
      </c>
      <c r="Q241" t="s">
        <v>5756</v>
      </c>
      <c r="R241" s="7">
        <v>35400</v>
      </c>
      <c r="S241" s="8">
        <f t="shared" si="24"/>
        <v>1996</v>
      </c>
      <c r="T241" s="8">
        <v>1996</v>
      </c>
      <c r="U241" s="8">
        <f t="shared" si="25"/>
        <v>26</v>
      </c>
      <c r="V241" s="7">
        <v>1996</v>
      </c>
      <c r="W241" t="s">
        <v>150</v>
      </c>
      <c r="X241" s="2">
        <v>1.6519999999999999</v>
      </c>
      <c r="Y241" s="6">
        <f t="shared" si="26"/>
        <v>4.409919649769093E-2</v>
      </c>
      <c r="AA241" t="s">
        <v>149</v>
      </c>
      <c r="AB241">
        <v>17337</v>
      </c>
      <c r="AD241" t="s">
        <v>1</v>
      </c>
      <c r="AE241">
        <v>44</v>
      </c>
      <c r="AF241">
        <v>8</v>
      </c>
      <c r="AH241" t="s">
        <v>5755</v>
      </c>
      <c r="AI241" t="s">
        <v>5754</v>
      </c>
      <c r="AK241" t="s">
        <v>5753</v>
      </c>
      <c r="AL241">
        <v>21</v>
      </c>
      <c r="AM241" s="5">
        <f t="shared" si="27"/>
        <v>0.80769230769230771</v>
      </c>
      <c r="AN241" s="4">
        <f t="shared" si="28"/>
        <v>1.2233128476975504E-3</v>
      </c>
      <c r="AO241" s="3"/>
      <c r="AP241">
        <v>0</v>
      </c>
      <c r="AR241" t="s">
        <v>0</v>
      </c>
      <c r="AT241" s="2" t="s">
        <v>9</v>
      </c>
      <c r="AU241" s="1">
        <f t="shared" si="29"/>
        <v>3.1236431402692917</v>
      </c>
      <c r="AV241" s="1">
        <f t="shared" si="30"/>
        <v>2.2661254672694238</v>
      </c>
      <c r="AW241" s="1">
        <f t="shared" si="31"/>
        <v>1.4086077942695563</v>
      </c>
    </row>
    <row r="242" spans="1:49" x14ac:dyDescent="0.2">
      <c r="A242">
        <v>240</v>
      </c>
      <c r="B242" t="s">
        <v>5752</v>
      </c>
      <c r="C242" t="s">
        <v>5751</v>
      </c>
      <c r="D242" t="s">
        <v>5750</v>
      </c>
      <c r="F242" t="s">
        <v>5749</v>
      </c>
      <c r="G242" t="s">
        <v>6</v>
      </c>
      <c r="H242" t="s">
        <v>5</v>
      </c>
      <c r="I242" t="s">
        <v>5748</v>
      </c>
      <c r="J242" t="s">
        <v>5747</v>
      </c>
      <c r="K242" t="s">
        <v>5746</v>
      </c>
      <c r="L242" t="s">
        <v>5745</v>
      </c>
      <c r="M242" t="s">
        <v>13</v>
      </c>
      <c r="N242">
        <v>2</v>
      </c>
      <c r="O242" t="s">
        <v>5744</v>
      </c>
      <c r="P242" t="s">
        <v>5743</v>
      </c>
      <c r="Q242" t="s">
        <v>5742</v>
      </c>
      <c r="R242" s="7">
        <v>35400</v>
      </c>
      <c r="S242" s="8">
        <f t="shared" si="24"/>
        <v>1996</v>
      </c>
      <c r="T242" s="8">
        <v>1996</v>
      </c>
      <c r="U242" s="8">
        <f t="shared" si="25"/>
        <v>26</v>
      </c>
      <c r="V242" s="7">
        <v>1996</v>
      </c>
      <c r="W242" t="s">
        <v>150</v>
      </c>
      <c r="X242" s="2">
        <v>1.6519999999999999</v>
      </c>
      <c r="Y242" s="6">
        <f t="shared" si="26"/>
        <v>4.409919649769093E-2</v>
      </c>
      <c r="AA242" t="s">
        <v>149</v>
      </c>
      <c r="AB242">
        <v>17337</v>
      </c>
      <c r="AD242" t="s">
        <v>1</v>
      </c>
      <c r="AE242">
        <v>44</v>
      </c>
      <c r="AF242">
        <v>8</v>
      </c>
      <c r="AH242" t="s">
        <v>5741</v>
      </c>
      <c r="AI242" t="s">
        <v>5740</v>
      </c>
      <c r="AK242" t="s">
        <v>5739</v>
      </c>
      <c r="AL242">
        <v>6</v>
      </c>
      <c r="AM242" s="5">
        <f t="shared" si="27"/>
        <v>0.23076923076923078</v>
      </c>
      <c r="AN242" s="4">
        <f t="shared" si="28"/>
        <v>3.4951795648501444E-4</v>
      </c>
      <c r="AO242" s="3"/>
      <c r="AP242">
        <v>0</v>
      </c>
      <c r="AQ242" t="s">
        <v>24</v>
      </c>
      <c r="AR242" t="s">
        <v>5738</v>
      </c>
      <c r="AS242" t="s">
        <v>23</v>
      </c>
      <c r="AT242" s="2" t="s">
        <v>9</v>
      </c>
      <c r="AU242" s="1">
        <f t="shared" si="29"/>
        <v>3.0974292935329153</v>
      </c>
      <c r="AV242" s="1">
        <f t="shared" si="30"/>
        <v>2.2224357227087972</v>
      </c>
      <c r="AW242" s="1">
        <f t="shared" si="31"/>
        <v>1.3474421518846789</v>
      </c>
    </row>
    <row r="243" spans="1:49" x14ac:dyDescent="0.2">
      <c r="A243">
        <v>241</v>
      </c>
      <c r="B243" t="s">
        <v>5737</v>
      </c>
      <c r="C243" t="s">
        <v>5736</v>
      </c>
      <c r="D243" t="s">
        <v>5735</v>
      </c>
      <c r="F243" t="s">
        <v>5734</v>
      </c>
      <c r="G243" t="s">
        <v>6</v>
      </c>
      <c r="H243" t="s">
        <v>5</v>
      </c>
      <c r="I243" t="s">
        <v>5733</v>
      </c>
      <c r="J243">
        <v>60012370</v>
      </c>
      <c r="K243" t="s">
        <v>1740</v>
      </c>
      <c r="L243" t="s">
        <v>1739</v>
      </c>
      <c r="M243" t="s">
        <v>146</v>
      </c>
      <c r="N243">
        <v>2</v>
      </c>
      <c r="O243" t="s">
        <v>5732</v>
      </c>
      <c r="P243" t="s">
        <v>5731</v>
      </c>
      <c r="Q243" t="s">
        <v>3984</v>
      </c>
      <c r="R243" s="7">
        <v>35400</v>
      </c>
      <c r="S243" s="8">
        <f t="shared" si="24"/>
        <v>1996</v>
      </c>
      <c r="T243" s="8">
        <v>1996</v>
      </c>
      <c r="U243" s="8">
        <f t="shared" si="25"/>
        <v>26</v>
      </c>
      <c r="V243" s="7">
        <v>1996</v>
      </c>
      <c r="W243" t="s">
        <v>150</v>
      </c>
      <c r="X243" s="2">
        <v>1.6519999999999999</v>
      </c>
      <c r="Y243" s="6">
        <f t="shared" si="26"/>
        <v>4.409919649769093E-2</v>
      </c>
      <c r="AA243" t="s">
        <v>149</v>
      </c>
      <c r="AB243">
        <v>17337</v>
      </c>
      <c r="AD243" t="s">
        <v>1</v>
      </c>
      <c r="AE243">
        <v>44</v>
      </c>
      <c r="AF243">
        <v>8</v>
      </c>
      <c r="AH243" t="s">
        <v>5730</v>
      </c>
      <c r="AI243" t="s">
        <v>5729</v>
      </c>
      <c r="AK243" t="s">
        <v>5728</v>
      </c>
      <c r="AL243">
        <v>23</v>
      </c>
      <c r="AM243" s="5">
        <f t="shared" si="27"/>
        <v>0.88461538461538458</v>
      </c>
      <c r="AN243" s="4">
        <f t="shared" si="28"/>
        <v>1.3398188331925553E-3</v>
      </c>
      <c r="AO243" s="3"/>
      <c r="AP243">
        <v>0</v>
      </c>
      <c r="AR243" t="s">
        <v>5727</v>
      </c>
      <c r="AT243" s="2" t="s">
        <v>9</v>
      </c>
      <c r="AU243" s="1">
        <f t="shared" si="29"/>
        <v>3.1271383198341418</v>
      </c>
      <c r="AV243" s="1">
        <f t="shared" si="30"/>
        <v>2.2719507665441743</v>
      </c>
      <c r="AW243" s="1">
        <f t="shared" si="31"/>
        <v>1.4167632132542067</v>
      </c>
    </row>
    <row r="244" spans="1:49" x14ac:dyDescent="0.2">
      <c r="A244">
        <v>242</v>
      </c>
      <c r="B244" t="s">
        <v>5726</v>
      </c>
      <c r="C244" t="s">
        <v>5725</v>
      </c>
      <c r="D244" t="s">
        <v>5724</v>
      </c>
      <c r="F244" t="s">
        <v>5723</v>
      </c>
      <c r="G244" t="s">
        <v>6</v>
      </c>
      <c r="H244" t="s">
        <v>5</v>
      </c>
      <c r="I244" t="s">
        <v>5722</v>
      </c>
      <c r="J244">
        <v>60030551</v>
      </c>
      <c r="K244" t="s">
        <v>128</v>
      </c>
      <c r="L244" t="s">
        <v>121</v>
      </c>
      <c r="M244" t="s">
        <v>2</v>
      </c>
      <c r="N244">
        <v>2</v>
      </c>
      <c r="O244" t="s">
        <v>5721</v>
      </c>
      <c r="P244" t="s">
        <v>5720</v>
      </c>
      <c r="Q244" t="s">
        <v>127</v>
      </c>
      <c r="R244" s="7">
        <v>35400</v>
      </c>
      <c r="S244" s="8">
        <f t="shared" si="24"/>
        <v>1996</v>
      </c>
      <c r="T244" s="8">
        <v>1996</v>
      </c>
      <c r="U244" s="8">
        <f t="shared" si="25"/>
        <v>26</v>
      </c>
      <c r="V244" s="7">
        <v>1996</v>
      </c>
      <c r="W244" t="s">
        <v>356</v>
      </c>
      <c r="X244" s="2">
        <v>0.65500000000000003</v>
      </c>
      <c r="Y244" s="6">
        <f t="shared" si="26"/>
        <v>1.7484850911614749E-2</v>
      </c>
      <c r="AA244">
        <v>189375</v>
      </c>
      <c r="AB244">
        <v>26051</v>
      </c>
      <c r="AD244" t="s">
        <v>1</v>
      </c>
      <c r="AE244">
        <v>38</v>
      </c>
      <c r="AF244">
        <v>3</v>
      </c>
      <c r="AH244" t="s">
        <v>5719</v>
      </c>
      <c r="AI244" t="s">
        <v>5718</v>
      </c>
      <c r="AK244" t="s">
        <v>5717</v>
      </c>
      <c r="AL244">
        <v>97</v>
      </c>
      <c r="AM244" s="5">
        <f t="shared" si="27"/>
        <v>3.7307692307692308</v>
      </c>
      <c r="AN244" s="4">
        <f t="shared" si="28"/>
        <v>5.6505402965077332E-3</v>
      </c>
      <c r="AO244" s="3"/>
      <c r="AP244">
        <v>0</v>
      </c>
      <c r="AR244" t="s">
        <v>0</v>
      </c>
      <c r="AT244" s="2" t="s">
        <v>9</v>
      </c>
      <c r="AU244" s="1">
        <f t="shared" si="29"/>
        <v>1.3934557727082642</v>
      </c>
      <c r="AV244" s="1">
        <f t="shared" si="30"/>
        <v>1.1567695604061241</v>
      </c>
      <c r="AW244" s="1">
        <f t="shared" si="31"/>
        <v>0.92008334810398384</v>
      </c>
    </row>
    <row r="245" spans="1:49" x14ac:dyDescent="0.2">
      <c r="A245">
        <v>243</v>
      </c>
      <c r="B245" t="s">
        <v>5716</v>
      </c>
      <c r="C245" t="s">
        <v>5715</v>
      </c>
      <c r="D245" t="s">
        <v>5714</v>
      </c>
      <c r="F245" t="s">
        <v>5713</v>
      </c>
      <c r="G245" t="s">
        <v>6</v>
      </c>
      <c r="H245" t="s">
        <v>5</v>
      </c>
      <c r="I245" t="s">
        <v>2935</v>
      </c>
      <c r="J245">
        <v>60021032</v>
      </c>
      <c r="K245" t="s">
        <v>2934</v>
      </c>
      <c r="L245" t="s">
        <v>2933</v>
      </c>
      <c r="M245" t="s">
        <v>2</v>
      </c>
      <c r="N245">
        <v>2</v>
      </c>
      <c r="O245" t="s">
        <v>2932</v>
      </c>
      <c r="P245" t="s">
        <v>2931</v>
      </c>
      <c r="Q245" t="s">
        <v>2930</v>
      </c>
      <c r="R245" s="7">
        <v>35400</v>
      </c>
      <c r="S245" s="8">
        <f t="shared" si="24"/>
        <v>1996</v>
      </c>
      <c r="T245" s="8">
        <v>1996</v>
      </c>
      <c r="U245" s="8">
        <f t="shared" si="25"/>
        <v>26</v>
      </c>
      <c r="V245" s="7">
        <v>1996</v>
      </c>
      <c r="W245" t="s">
        <v>150</v>
      </c>
      <c r="X245" s="2">
        <v>1.6519999999999999</v>
      </c>
      <c r="Y245" s="6">
        <f t="shared" si="26"/>
        <v>4.409919649769093E-2</v>
      </c>
      <c r="AA245" t="s">
        <v>149</v>
      </c>
      <c r="AB245">
        <v>17337</v>
      </c>
      <c r="AD245" t="s">
        <v>1</v>
      </c>
      <c r="AE245">
        <v>44</v>
      </c>
      <c r="AF245">
        <v>8</v>
      </c>
      <c r="AH245" t="s">
        <v>5712</v>
      </c>
      <c r="AI245" t="s">
        <v>5711</v>
      </c>
      <c r="AK245" t="s">
        <v>5710</v>
      </c>
      <c r="AL245">
        <v>100</v>
      </c>
      <c r="AM245" s="5">
        <f t="shared" si="27"/>
        <v>3.8461538461538463</v>
      </c>
      <c r="AN245" s="4">
        <f t="shared" si="28"/>
        <v>5.8252992747502407E-3</v>
      </c>
      <c r="AO245" s="3"/>
      <c r="AP245">
        <v>0</v>
      </c>
      <c r="AQ245" t="s">
        <v>341</v>
      </c>
      <c r="AR245" t="s">
        <v>0</v>
      </c>
      <c r="AS245" t="s">
        <v>340</v>
      </c>
      <c r="AT245" s="2" t="s">
        <v>9</v>
      </c>
      <c r="AU245" s="1">
        <f t="shared" si="29"/>
        <v>3.2617027330808721</v>
      </c>
      <c r="AV245" s="1">
        <f t="shared" si="30"/>
        <v>2.4962247886220585</v>
      </c>
      <c r="AW245" s="1">
        <f t="shared" si="31"/>
        <v>1.7307468441632445</v>
      </c>
    </row>
    <row r="246" spans="1:49" x14ac:dyDescent="0.2">
      <c r="A246">
        <v>244</v>
      </c>
      <c r="B246" t="s">
        <v>5709</v>
      </c>
      <c r="C246" t="s">
        <v>5708</v>
      </c>
      <c r="D246" t="s">
        <v>5707</v>
      </c>
      <c r="F246" t="s">
        <v>5706</v>
      </c>
      <c r="G246" t="s">
        <v>6</v>
      </c>
      <c r="H246" t="s">
        <v>5</v>
      </c>
      <c r="I246" t="s">
        <v>245</v>
      </c>
      <c r="J246">
        <v>60020739</v>
      </c>
      <c r="K246" t="s">
        <v>5705</v>
      </c>
      <c r="L246" t="s">
        <v>5704</v>
      </c>
      <c r="M246" t="s">
        <v>44</v>
      </c>
      <c r="N246">
        <v>3</v>
      </c>
      <c r="O246" t="s">
        <v>5703</v>
      </c>
      <c r="P246" t="s">
        <v>5702</v>
      </c>
      <c r="Q246" t="s">
        <v>5701</v>
      </c>
      <c r="R246" s="7">
        <v>35400</v>
      </c>
      <c r="S246" s="8">
        <f t="shared" si="24"/>
        <v>1996</v>
      </c>
      <c r="T246" s="8">
        <v>1996</v>
      </c>
      <c r="U246" s="8">
        <f t="shared" si="25"/>
        <v>26</v>
      </c>
      <c r="V246" s="7">
        <v>1996</v>
      </c>
      <c r="W246" t="s">
        <v>150</v>
      </c>
      <c r="X246" s="2">
        <v>1.6519999999999999</v>
      </c>
      <c r="Y246" s="6">
        <f t="shared" si="26"/>
        <v>4.409919649769093E-2</v>
      </c>
      <c r="AA246" t="s">
        <v>149</v>
      </c>
      <c r="AB246">
        <v>17337</v>
      </c>
      <c r="AD246" t="s">
        <v>1</v>
      </c>
      <c r="AE246">
        <v>44</v>
      </c>
      <c r="AF246">
        <v>8</v>
      </c>
      <c r="AH246" t="s">
        <v>5700</v>
      </c>
      <c r="AI246" t="s">
        <v>5699</v>
      </c>
      <c r="AK246" t="s">
        <v>5698</v>
      </c>
      <c r="AL246">
        <v>9</v>
      </c>
      <c r="AM246" s="5">
        <f t="shared" si="27"/>
        <v>0.34615384615384615</v>
      </c>
      <c r="AN246" s="4">
        <f t="shared" si="28"/>
        <v>5.2427693472752157E-4</v>
      </c>
      <c r="AO246" s="3"/>
      <c r="AP246">
        <v>0</v>
      </c>
      <c r="AR246" t="s">
        <v>0</v>
      </c>
      <c r="AT246" s="2" t="s">
        <v>9</v>
      </c>
      <c r="AU246" s="1">
        <f t="shared" si="29"/>
        <v>3.1026720628801909</v>
      </c>
      <c r="AV246" s="1">
        <f t="shared" si="30"/>
        <v>2.2311736716209225</v>
      </c>
      <c r="AW246" s="1">
        <f t="shared" si="31"/>
        <v>1.3596752803616543</v>
      </c>
    </row>
    <row r="247" spans="1:49" x14ac:dyDescent="0.2">
      <c r="A247">
        <v>245</v>
      </c>
      <c r="B247" t="s">
        <v>5697</v>
      </c>
      <c r="C247" t="s">
        <v>5696</v>
      </c>
      <c r="D247" t="s">
        <v>5695</v>
      </c>
      <c r="F247" t="s">
        <v>5694</v>
      </c>
      <c r="G247" t="s">
        <v>6</v>
      </c>
      <c r="H247" t="s">
        <v>5</v>
      </c>
      <c r="I247" t="s">
        <v>270</v>
      </c>
      <c r="J247" t="s">
        <v>5693</v>
      </c>
      <c r="K247" t="s">
        <v>5692</v>
      </c>
      <c r="L247" t="s">
        <v>5691</v>
      </c>
      <c r="M247" t="s">
        <v>5690</v>
      </c>
      <c r="N247">
        <v>3</v>
      </c>
      <c r="O247" t="s">
        <v>5689</v>
      </c>
      <c r="P247" t="s">
        <v>5688</v>
      </c>
      <c r="Q247" t="s">
        <v>5687</v>
      </c>
      <c r="R247" s="7">
        <v>35400</v>
      </c>
      <c r="S247" s="8">
        <f t="shared" si="24"/>
        <v>1996</v>
      </c>
      <c r="T247" s="8">
        <v>1996</v>
      </c>
      <c r="U247" s="8">
        <f t="shared" si="25"/>
        <v>26</v>
      </c>
      <c r="V247" s="7">
        <v>1996</v>
      </c>
      <c r="W247" t="s">
        <v>356</v>
      </c>
      <c r="X247" s="2">
        <v>0.65500000000000003</v>
      </c>
      <c r="Y247" s="6">
        <f t="shared" si="26"/>
        <v>1.7484850911614749E-2</v>
      </c>
      <c r="AA247">
        <v>189375</v>
      </c>
      <c r="AB247">
        <v>26051</v>
      </c>
      <c r="AD247" t="s">
        <v>1</v>
      </c>
      <c r="AE247">
        <v>38</v>
      </c>
      <c r="AF247">
        <v>3</v>
      </c>
      <c r="AH247" t="s">
        <v>5686</v>
      </c>
      <c r="AI247" t="s">
        <v>5685</v>
      </c>
      <c r="AK247" t="s">
        <v>5684</v>
      </c>
      <c r="AL247">
        <v>58</v>
      </c>
      <c r="AM247" s="5">
        <f t="shared" si="27"/>
        <v>2.2307692307692308</v>
      </c>
      <c r="AN247" s="4">
        <f t="shared" si="28"/>
        <v>3.3786735793551394E-3</v>
      </c>
      <c r="AO247" s="3"/>
      <c r="AP247">
        <v>0</v>
      </c>
      <c r="AR247" t="s">
        <v>0</v>
      </c>
      <c r="AT247" s="2" t="s">
        <v>9</v>
      </c>
      <c r="AU247" s="1">
        <f t="shared" si="29"/>
        <v>1.3252997711936865</v>
      </c>
      <c r="AV247" s="1">
        <f t="shared" si="30"/>
        <v>1.0431762245484943</v>
      </c>
      <c r="AW247" s="1">
        <f t="shared" si="31"/>
        <v>0.76105267790330222</v>
      </c>
    </row>
    <row r="248" spans="1:49" x14ac:dyDescent="0.2">
      <c r="A248">
        <v>246</v>
      </c>
      <c r="B248" t="s">
        <v>5683</v>
      </c>
      <c r="C248" t="s">
        <v>5682</v>
      </c>
      <c r="D248" t="s">
        <v>5681</v>
      </c>
      <c r="F248" t="s">
        <v>5680</v>
      </c>
      <c r="G248" t="s">
        <v>6</v>
      </c>
      <c r="H248" t="s">
        <v>5</v>
      </c>
      <c r="I248" t="s">
        <v>407</v>
      </c>
      <c r="J248" t="s">
        <v>5679</v>
      </c>
      <c r="K248" t="s">
        <v>5678</v>
      </c>
      <c r="L248" t="s">
        <v>5677</v>
      </c>
      <c r="M248" t="s">
        <v>13</v>
      </c>
      <c r="N248">
        <v>4</v>
      </c>
      <c r="O248" t="s">
        <v>5676</v>
      </c>
      <c r="P248" t="s">
        <v>5675</v>
      </c>
      <c r="Q248" t="s">
        <v>5674</v>
      </c>
      <c r="R248" s="7">
        <v>35400</v>
      </c>
      <c r="S248" s="8">
        <f t="shared" si="24"/>
        <v>1996</v>
      </c>
      <c r="T248" s="8">
        <v>1996</v>
      </c>
      <c r="U248" s="8">
        <f t="shared" si="25"/>
        <v>26</v>
      </c>
      <c r="V248" s="7">
        <v>1996</v>
      </c>
      <c r="W248" t="s">
        <v>410</v>
      </c>
      <c r="X248" s="2">
        <v>1.3720000000000001</v>
      </c>
      <c r="Y248" s="6">
        <f t="shared" si="26"/>
        <v>3.662475641333654E-2</v>
      </c>
      <c r="AA248">
        <v>189480</v>
      </c>
      <c r="AB248">
        <v>17366</v>
      </c>
      <c r="AD248" t="s">
        <v>1</v>
      </c>
      <c r="AE248">
        <v>44</v>
      </c>
      <c r="AF248">
        <v>8</v>
      </c>
      <c r="AH248" t="s">
        <v>5673</v>
      </c>
      <c r="AI248" t="s">
        <v>5672</v>
      </c>
      <c r="AK248" t="s">
        <v>5671</v>
      </c>
      <c r="AL248">
        <v>9</v>
      </c>
      <c r="AM248" s="5">
        <f t="shared" si="27"/>
        <v>0.34615384615384615</v>
      </c>
      <c r="AN248" s="4">
        <f t="shared" si="28"/>
        <v>5.2427693472752157E-4</v>
      </c>
      <c r="AO248" s="3"/>
      <c r="AP248">
        <v>0</v>
      </c>
      <c r="AR248" t="s">
        <v>0</v>
      </c>
      <c r="AT248" s="2" t="s">
        <v>9</v>
      </c>
      <c r="AU248" s="1">
        <f t="shared" si="29"/>
        <v>2.5794612569753834</v>
      </c>
      <c r="AV248" s="1">
        <f t="shared" si="30"/>
        <v>1.8574516674032031</v>
      </c>
      <c r="AW248" s="1">
        <f t="shared" si="31"/>
        <v>1.1354420778310228</v>
      </c>
    </row>
    <row r="249" spans="1:49" x14ac:dyDescent="0.2">
      <c r="A249">
        <v>247</v>
      </c>
      <c r="B249" t="s">
        <v>5670</v>
      </c>
      <c r="C249" t="s">
        <v>5669</v>
      </c>
      <c r="D249" t="s">
        <v>5668</v>
      </c>
      <c r="F249" t="s">
        <v>5667</v>
      </c>
      <c r="G249" t="s">
        <v>6</v>
      </c>
      <c r="H249" t="s">
        <v>5</v>
      </c>
      <c r="I249" t="s">
        <v>5666</v>
      </c>
      <c r="J249" t="s">
        <v>5665</v>
      </c>
      <c r="K249" t="s">
        <v>5664</v>
      </c>
      <c r="L249" t="s">
        <v>5663</v>
      </c>
      <c r="M249" t="s">
        <v>357</v>
      </c>
      <c r="N249">
        <v>3</v>
      </c>
      <c r="O249" t="s">
        <v>5662</v>
      </c>
      <c r="P249" t="s">
        <v>5661</v>
      </c>
      <c r="Q249" t="s">
        <v>5660</v>
      </c>
      <c r="R249" s="7">
        <v>35400</v>
      </c>
      <c r="S249" s="8">
        <f t="shared" si="24"/>
        <v>1996</v>
      </c>
      <c r="T249" s="8">
        <v>1996</v>
      </c>
      <c r="U249" s="8">
        <f t="shared" si="25"/>
        <v>26</v>
      </c>
      <c r="V249" s="7">
        <v>1996</v>
      </c>
      <c r="W249" t="s">
        <v>356</v>
      </c>
      <c r="X249" s="2">
        <v>0.65500000000000003</v>
      </c>
      <c r="Y249" s="6">
        <f t="shared" si="26"/>
        <v>1.7484850911614749E-2</v>
      </c>
      <c r="AA249">
        <v>189375</v>
      </c>
      <c r="AB249">
        <v>26051</v>
      </c>
      <c r="AD249" t="s">
        <v>1</v>
      </c>
      <c r="AE249">
        <v>38</v>
      </c>
      <c r="AF249">
        <v>3</v>
      </c>
      <c r="AH249" t="s">
        <v>5659</v>
      </c>
      <c r="AI249" t="s">
        <v>5658</v>
      </c>
      <c r="AJ249" t="s">
        <v>5657</v>
      </c>
      <c r="AK249" t="s">
        <v>5656</v>
      </c>
      <c r="AL249">
        <v>30</v>
      </c>
      <c r="AM249" s="5">
        <f t="shared" si="27"/>
        <v>1.1538461538461537</v>
      </c>
      <c r="AN249" s="4">
        <f t="shared" si="28"/>
        <v>1.7475897824250719E-3</v>
      </c>
      <c r="AO249" s="3"/>
      <c r="AP249">
        <v>0</v>
      </c>
      <c r="AR249" t="s">
        <v>0</v>
      </c>
      <c r="AT249" s="2" t="s">
        <v>9</v>
      </c>
      <c r="AU249" s="1">
        <f t="shared" si="29"/>
        <v>1.2763672572857845</v>
      </c>
      <c r="AV249" s="1">
        <f t="shared" si="30"/>
        <v>0.96162203470199115</v>
      </c>
      <c r="AW249" s="1">
        <f t="shared" si="31"/>
        <v>0.64687681211819748</v>
      </c>
    </row>
    <row r="250" spans="1:49" x14ac:dyDescent="0.2">
      <c r="A250">
        <v>248</v>
      </c>
      <c r="B250" t="s">
        <v>5655</v>
      </c>
      <c r="C250" t="s">
        <v>5654</v>
      </c>
      <c r="D250" t="s">
        <v>5653</v>
      </c>
      <c r="F250" t="s">
        <v>5652</v>
      </c>
      <c r="G250" t="s">
        <v>6</v>
      </c>
      <c r="H250" t="s">
        <v>5</v>
      </c>
      <c r="I250" t="s">
        <v>5651</v>
      </c>
      <c r="J250" t="s">
        <v>5650</v>
      </c>
      <c r="K250" t="s">
        <v>5649</v>
      </c>
      <c r="L250" t="s">
        <v>5648</v>
      </c>
      <c r="M250" t="s">
        <v>18</v>
      </c>
      <c r="N250">
        <v>2</v>
      </c>
      <c r="O250" t="s">
        <v>5647</v>
      </c>
      <c r="P250" t="s">
        <v>5646</v>
      </c>
      <c r="Q250" t="s">
        <v>5645</v>
      </c>
      <c r="R250" s="7">
        <v>35400</v>
      </c>
      <c r="S250" s="8">
        <f t="shared" si="24"/>
        <v>1996</v>
      </c>
      <c r="T250" s="8">
        <v>1996</v>
      </c>
      <c r="U250" s="8">
        <f t="shared" si="25"/>
        <v>26</v>
      </c>
      <c r="V250" s="7">
        <v>1996</v>
      </c>
      <c r="W250" t="s">
        <v>356</v>
      </c>
      <c r="X250" s="2">
        <v>0.65500000000000003</v>
      </c>
      <c r="Y250" s="6">
        <f t="shared" si="26"/>
        <v>1.7484850911614749E-2</v>
      </c>
      <c r="AA250">
        <v>189375</v>
      </c>
      <c r="AB250">
        <v>26051</v>
      </c>
      <c r="AD250" t="s">
        <v>1</v>
      </c>
      <c r="AE250">
        <v>38</v>
      </c>
      <c r="AF250">
        <v>3</v>
      </c>
      <c r="AH250" t="s">
        <v>5644</v>
      </c>
      <c r="AI250" t="s">
        <v>5643</v>
      </c>
      <c r="AJ250" t="s">
        <v>5642</v>
      </c>
      <c r="AK250" t="s">
        <v>5641</v>
      </c>
      <c r="AL250">
        <v>18</v>
      </c>
      <c r="AM250" s="5">
        <f t="shared" si="27"/>
        <v>0.69230769230769229</v>
      </c>
      <c r="AN250" s="4">
        <f t="shared" si="28"/>
        <v>1.0485538694550431E-3</v>
      </c>
      <c r="AO250" s="3"/>
      <c r="AP250">
        <v>0</v>
      </c>
      <c r="AQ250" t="s">
        <v>100</v>
      </c>
      <c r="AR250" t="s">
        <v>5640</v>
      </c>
      <c r="AS250" t="s">
        <v>99</v>
      </c>
      <c r="AT250" s="2" t="s">
        <v>9</v>
      </c>
      <c r="AU250" s="1">
        <f t="shared" si="29"/>
        <v>1.2553961798966835</v>
      </c>
      <c r="AV250" s="1">
        <f t="shared" si="30"/>
        <v>0.92667023905348955</v>
      </c>
      <c r="AW250" s="1">
        <f t="shared" si="31"/>
        <v>0.59794429821029549</v>
      </c>
    </row>
    <row r="251" spans="1:49" x14ac:dyDescent="0.2">
      <c r="A251">
        <v>249</v>
      </c>
      <c r="B251" t="s">
        <v>5639</v>
      </c>
      <c r="C251" t="s">
        <v>5638</v>
      </c>
      <c r="D251" t="s">
        <v>5637</v>
      </c>
      <c r="F251" t="s">
        <v>5636</v>
      </c>
      <c r="G251" t="s">
        <v>6</v>
      </c>
      <c r="H251" t="s">
        <v>5</v>
      </c>
      <c r="I251" t="s">
        <v>5635</v>
      </c>
      <c r="J251">
        <v>60101699</v>
      </c>
      <c r="K251" t="s">
        <v>296</v>
      </c>
      <c r="L251" t="s">
        <v>45</v>
      </c>
      <c r="M251" t="s">
        <v>44</v>
      </c>
      <c r="N251">
        <v>2</v>
      </c>
      <c r="O251" t="s">
        <v>5634</v>
      </c>
      <c r="P251" t="s">
        <v>5633</v>
      </c>
      <c r="Q251" t="s">
        <v>348</v>
      </c>
      <c r="R251" s="7">
        <v>35400</v>
      </c>
      <c r="S251" s="8">
        <f t="shared" si="24"/>
        <v>1996</v>
      </c>
      <c r="T251" s="8">
        <v>1996</v>
      </c>
      <c r="U251" s="8">
        <f t="shared" si="25"/>
        <v>26</v>
      </c>
      <c r="V251" s="7">
        <v>1996</v>
      </c>
      <c r="W251" t="s">
        <v>150</v>
      </c>
      <c r="X251" s="2">
        <v>1.6519999999999999</v>
      </c>
      <c r="Y251" s="6">
        <f t="shared" si="26"/>
        <v>4.409919649769093E-2</v>
      </c>
      <c r="AA251" t="s">
        <v>149</v>
      </c>
      <c r="AB251">
        <v>17337</v>
      </c>
      <c r="AD251" t="s">
        <v>1</v>
      </c>
      <c r="AE251">
        <v>44</v>
      </c>
      <c r="AF251">
        <v>8</v>
      </c>
      <c r="AH251" t="s">
        <v>5632</v>
      </c>
      <c r="AI251" t="s">
        <v>5631</v>
      </c>
      <c r="AK251" t="s">
        <v>5630</v>
      </c>
      <c r="AL251">
        <v>35</v>
      </c>
      <c r="AM251" s="5">
        <f t="shared" si="27"/>
        <v>1.3461538461538463</v>
      </c>
      <c r="AN251" s="4">
        <f t="shared" si="28"/>
        <v>2.0388547461625841E-3</v>
      </c>
      <c r="AO251" s="3"/>
      <c r="AP251">
        <v>0</v>
      </c>
      <c r="AR251" t="s">
        <v>0</v>
      </c>
      <c r="AT251" s="2" t="s">
        <v>9</v>
      </c>
      <c r="AU251" s="1">
        <f t="shared" si="29"/>
        <v>3.148109397223243</v>
      </c>
      <c r="AV251" s="1">
        <f t="shared" si="30"/>
        <v>2.3069025621926755</v>
      </c>
      <c r="AW251" s="1">
        <f t="shared" si="31"/>
        <v>1.4656957271621087</v>
      </c>
    </row>
    <row r="252" spans="1:49" x14ac:dyDescent="0.2">
      <c r="A252">
        <v>250</v>
      </c>
      <c r="B252" t="s">
        <v>5629</v>
      </c>
      <c r="C252" t="s">
        <v>5628</v>
      </c>
      <c r="D252" t="s">
        <v>5627</v>
      </c>
      <c r="F252" t="s">
        <v>5626</v>
      </c>
      <c r="G252" t="s">
        <v>6</v>
      </c>
      <c r="H252" t="s">
        <v>5</v>
      </c>
      <c r="I252" t="s">
        <v>5625</v>
      </c>
      <c r="J252">
        <v>60122280</v>
      </c>
      <c r="K252" t="s">
        <v>5624</v>
      </c>
      <c r="L252" t="s">
        <v>287</v>
      </c>
      <c r="M252" t="s">
        <v>42</v>
      </c>
      <c r="N252">
        <v>4</v>
      </c>
      <c r="O252" t="s">
        <v>5623</v>
      </c>
      <c r="P252" t="s">
        <v>5622</v>
      </c>
      <c r="Q252" t="s">
        <v>5621</v>
      </c>
      <c r="R252" s="7">
        <v>35400</v>
      </c>
      <c r="S252" s="8">
        <f t="shared" si="24"/>
        <v>1996</v>
      </c>
      <c r="T252" s="8">
        <v>1996</v>
      </c>
      <c r="U252" s="8">
        <f t="shared" si="25"/>
        <v>26</v>
      </c>
      <c r="V252" s="7">
        <v>1996</v>
      </c>
      <c r="W252" t="s">
        <v>356</v>
      </c>
      <c r="X252" s="2">
        <v>0.65500000000000003</v>
      </c>
      <c r="Y252" s="6">
        <f t="shared" si="26"/>
        <v>1.7484850911614749E-2</v>
      </c>
      <c r="AA252">
        <v>189375</v>
      </c>
      <c r="AB252">
        <v>26051</v>
      </c>
      <c r="AD252" t="s">
        <v>1</v>
      </c>
      <c r="AE252">
        <v>38</v>
      </c>
      <c r="AF252">
        <v>3</v>
      </c>
      <c r="AH252" t="s">
        <v>5620</v>
      </c>
      <c r="AI252" t="s">
        <v>5619</v>
      </c>
      <c r="AJ252" t="s">
        <v>5618</v>
      </c>
      <c r="AK252" t="s">
        <v>5617</v>
      </c>
      <c r="AL252">
        <v>0</v>
      </c>
      <c r="AM252" s="5">
        <f t="shared" si="27"/>
        <v>0</v>
      </c>
      <c r="AN252" s="4">
        <f t="shared" si="28"/>
        <v>0</v>
      </c>
      <c r="AO252" s="3"/>
      <c r="AP252">
        <v>0</v>
      </c>
      <c r="AQ252" t="s">
        <v>5616</v>
      </c>
      <c r="AR252" t="s">
        <v>5615</v>
      </c>
      <c r="AS252" t="s">
        <v>5614</v>
      </c>
      <c r="AT252" s="2" t="s">
        <v>9</v>
      </c>
      <c r="AU252" s="1">
        <f t="shared" si="29"/>
        <v>1.2239395638130324</v>
      </c>
      <c r="AV252" s="1">
        <f t="shared" si="30"/>
        <v>0.87424254558073744</v>
      </c>
      <c r="AW252" s="1">
        <f t="shared" si="31"/>
        <v>0.52454552734844251</v>
      </c>
    </row>
    <row r="253" spans="1:49" x14ac:dyDescent="0.2">
      <c r="A253">
        <v>251</v>
      </c>
      <c r="B253" t="s">
        <v>5613</v>
      </c>
      <c r="C253" t="s">
        <v>5612</v>
      </c>
      <c r="D253" t="s">
        <v>5611</v>
      </c>
      <c r="F253" t="s">
        <v>5610</v>
      </c>
      <c r="G253" t="s">
        <v>6</v>
      </c>
      <c r="H253" t="s">
        <v>5</v>
      </c>
      <c r="I253" t="s">
        <v>5609</v>
      </c>
      <c r="J253">
        <v>60003088</v>
      </c>
      <c r="K253" t="s">
        <v>2542</v>
      </c>
      <c r="L253" t="s">
        <v>106</v>
      </c>
      <c r="M253" t="s">
        <v>2</v>
      </c>
      <c r="N253">
        <v>3</v>
      </c>
      <c r="O253" t="s">
        <v>5608</v>
      </c>
      <c r="P253" t="s">
        <v>5607</v>
      </c>
      <c r="Q253" t="s">
        <v>5606</v>
      </c>
      <c r="R253" s="7">
        <v>35400</v>
      </c>
      <c r="S253" s="8">
        <f t="shared" si="24"/>
        <v>1996</v>
      </c>
      <c r="T253" s="8">
        <v>1996</v>
      </c>
      <c r="U253" s="8">
        <f t="shared" si="25"/>
        <v>26</v>
      </c>
      <c r="V253" s="7">
        <v>1996</v>
      </c>
      <c r="W253" t="s">
        <v>150</v>
      </c>
      <c r="X253" s="2">
        <v>1.6519999999999999</v>
      </c>
      <c r="Y253" s="6">
        <f t="shared" si="26"/>
        <v>4.409919649769093E-2</v>
      </c>
      <c r="AA253" t="s">
        <v>149</v>
      </c>
      <c r="AB253">
        <v>17337</v>
      </c>
      <c r="AD253" t="s">
        <v>1</v>
      </c>
      <c r="AE253">
        <v>44</v>
      </c>
      <c r="AF253">
        <v>8</v>
      </c>
      <c r="AH253" t="s">
        <v>5605</v>
      </c>
      <c r="AI253" t="s">
        <v>5604</v>
      </c>
      <c r="AK253" t="s">
        <v>5603</v>
      </c>
      <c r="AL253">
        <v>4</v>
      </c>
      <c r="AM253" s="5">
        <f t="shared" si="27"/>
        <v>0.15384615384615385</v>
      </c>
      <c r="AN253" s="4">
        <f t="shared" si="28"/>
        <v>2.3301197099000962E-4</v>
      </c>
      <c r="AO253" s="3"/>
      <c r="AP253">
        <v>0</v>
      </c>
      <c r="AR253" t="s">
        <v>0</v>
      </c>
      <c r="AT253" s="2" t="s">
        <v>9</v>
      </c>
      <c r="AU253" s="1">
        <f t="shared" si="29"/>
        <v>3.0939341139680656</v>
      </c>
      <c r="AV253" s="1">
        <f t="shared" si="30"/>
        <v>2.2166104234340471</v>
      </c>
      <c r="AW253" s="1">
        <f t="shared" si="31"/>
        <v>1.3392867329000284</v>
      </c>
    </row>
    <row r="254" spans="1:49" x14ac:dyDescent="0.2">
      <c r="A254">
        <v>252</v>
      </c>
      <c r="B254" t="s">
        <v>5602</v>
      </c>
      <c r="C254" t="s">
        <v>5601</v>
      </c>
      <c r="D254" t="s">
        <v>5600</v>
      </c>
      <c r="F254" t="s">
        <v>5599</v>
      </c>
      <c r="G254" t="s">
        <v>6</v>
      </c>
      <c r="H254" t="s">
        <v>5</v>
      </c>
      <c r="I254" t="s">
        <v>5598</v>
      </c>
      <c r="J254">
        <v>60005429</v>
      </c>
      <c r="K254" t="s">
        <v>389</v>
      </c>
      <c r="L254" t="s">
        <v>388</v>
      </c>
      <c r="M254" t="s">
        <v>146</v>
      </c>
      <c r="N254">
        <v>2</v>
      </c>
      <c r="O254" t="s">
        <v>5597</v>
      </c>
      <c r="P254" t="s">
        <v>5596</v>
      </c>
      <c r="Q254" t="s">
        <v>385</v>
      </c>
      <c r="R254" s="7">
        <v>35400</v>
      </c>
      <c r="S254" s="8">
        <f t="shared" si="24"/>
        <v>1996</v>
      </c>
      <c r="T254" s="8">
        <v>1996</v>
      </c>
      <c r="U254" s="8">
        <f t="shared" si="25"/>
        <v>26</v>
      </c>
      <c r="V254" s="7">
        <v>1996</v>
      </c>
      <c r="W254" t="s">
        <v>150</v>
      </c>
      <c r="X254" s="2">
        <v>1.6519999999999999</v>
      </c>
      <c r="Y254" s="6">
        <f t="shared" si="26"/>
        <v>4.409919649769093E-2</v>
      </c>
      <c r="AA254" t="s">
        <v>149</v>
      </c>
      <c r="AB254">
        <v>17337</v>
      </c>
      <c r="AD254" t="s">
        <v>1</v>
      </c>
      <c r="AE254">
        <v>44</v>
      </c>
      <c r="AF254">
        <v>8</v>
      </c>
      <c r="AH254" t="s">
        <v>5595</v>
      </c>
      <c r="AI254" t="s">
        <v>5594</v>
      </c>
      <c r="AK254" t="s">
        <v>5593</v>
      </c>
      <c r="AL254">
        <v>30</v>
      </c>
      <c r="AM254" s="5">
        <f t="shared" si="27"/>
        <v>1.1538461538461537</v>
      </c>
      <c r="AN254" s="4">
        <f t="shared" si="28"/>
        <v>1.7475897824250719E-3</v>
      </c>
      <c r="AO254" s="3"/>
      <c r="AP254">
        <v>0</v>
      </c>
      <c r="AQ254" t="s">
        <v>605</v>
      </c>
      <c r="AR254" t="s">
        <v>5592</v>
      </c>
      <c r="AS254" t="s">
        <v>604</v>
      </c>
      <c r="AT254" s="2" t="s">
        <v>9</v>
      </c>
      <c r="AU254" s="1">
        <f t="shared" si="29"/>
        <v>3.1393714483111173</v>
      </c>
      <c r="AV254" s="1">
        <f t="shared" si="30"/>
        <v>2.2923393140058002</v>
      </c>
      <c r="AW254" s="1">
        <f t="shared" si="31"/>
        <v>1.4453071797004828</v>
      </c>
    </row>
    <row r="255" spans="1:49" x14ac:dyDescent="0.2">
      <c r="A255">
        <v>253</v>
      </c>
      <c r="B255" t="s">
        <v>5591</v>
      </c>
      <c r="C255" t="s">
        <v>5590</v>
      </c>
      <c r="D255" t="s">
        <v>5589</v>
      </c>
      <c r="F255" t="s">
        <v>5588</v>
      </c>
      <c r="G255" t="s">
        <v>6</v>
      </c>
      <c r="H255" t="s">
        <v>5</v>
      </c>
      <c r="I255" t="s">
        <v>5587</v>
      </c>
      <c r="J255">
        <v>100739161</v>
      </c>
      <c r="K255" t="s">
        <v>5586</v>
      </c>
      <c r="M255" t="s">
        <v>42</v>
      </c>
      <c r="N255">
        <v>2</v>
      </c>
      <c r="O255" t="s">
        <v>5585</v>
      </c>
      <c r="P255" t="s">
        <v>5584</v>
      </c>
      <c r="Q255" t="s">
        <v>5583</v>
      </c>
      <c r="R255" s="7">
        <v>35400</v>
      </c>
      <c r="S255" s="8">
        <f t="shared" si="24"/>
        <v>1996</v>
      </c>
      <c r="T255" s="8">
        <v>1996</v>
      </c>
      <c r="U255" s="8">
        <f t="shared" si="25"/>
        <v>26</v>
      </c>
      <c r="V255" s="7">
        <v>1996</v>
      </c>
      <c r="W255" t="s">
        <v>356</v>
      </c>
      <c r="X255" s="2">
        <v>0.65500000000000003</v>
      </c>
      <c r="Y255" s="6">
        <f t="shared" si="26"/>
        <v>1.7484850911614749E-2</v>
      </c>
      <c r="AA255">
        <v>189375</v>
      </c>
      <c r="AB255">
        <v>26051</v>
      </c>
      <c r="AD255" t="s">
        <v>1</v>
      </c>
      <c r="AE255">
        <v>38</v>
      </c>
      <c r="AF255">
        <v>3</v>
      </c>
      <c r="AH255" t="s">
        <v>5582</v>
      </c>
      <c r="AI255" t="s">
        <v>5581</v>
      </c>
      <c r="AK255" t="s">
        <v>5580</v>
      </c>
      <c r="AL255">
        <v>0</v>
      </c>
      <c r="AM255" s="5">
        <f t="shared" si="27"/>
        <v>0</v>
      </c>
      <c r="AN255" s="4">
        <f t="shared" si="28"/>
        <v>0</v>
      </c>
      <c r="AO255" s="3"/>
      <c r="AP255">
        <v>0</v>
      </c>
      <c r="AR255" t="s">
        <v>0</v>
      </c>
      <c r="AT255" s="2" t="s">
        <v>9</v>
      </c>
      <c r="AU255" s="1">
        <f t="shared" si="29"/>
        <v>1.2239395638130324</v>
      </c>
      <c r="AV255" s="1">
        <f t="shared" si="30"/>
        <v>0.87424254558073744</v>
      </c>
      <c r="AW255" s="1">
        <f t="shared" si="31"/>
        <v>0.52454552734844251</v>
      </c>
    </row>
    <row r="256" spans="1:49" x14ac:dyDescent="0.2">
      <c r="A256">
        <v>254</v>
      </c>
      <c r="B256" t="s">
        <v>5579</v>
      </c>
      <c r="C256" t="s">
        <v>5578</v>
      </c>
      <c r="F256" t="s">
        <v>5577</v>
      </c>
      <c r="G256" t="s">
        <v>6</v>
      </c>
      <c r="H256" t="s">
        <v>5</v>
      </c>
      <c r="I256" t="s">
        <v>29</v>
      </c>
      <c r="J256">
        <v>60013682</v>
      </c>
      <c r="K256" t="s">
        <v>5471</v>
      </c>
      <c r="L256" t="s">
        <v>2009</v>
      </c>
      <c r="M256" t="s">
        <v>17</v>
      </c>
      <c r="N256">
        <v>3</v>
      </c>
      <c r="O256" t="s">
        <v>5576</v>
      </c>
      <c r="P256" t="s">
        <v>5575</v>
      </c>
      <c r="Q256" t="s">
        <v>5468</v>
      </c>
      <c r="R256" s="7">
        <v>35400</v>
      </c>
      <c r="S256" s="8">
        <f t="shared" si="24"/>
        <v>1996</v>
      </c>
      <c r="T256" s="8">
        <v>1996</v>
      </c>
      <c r="U256" s="8">
        <f t="shared" si="25"/>
        <v>26</v>
      </c>
      <c r="V256" s="7">
        <v>1996</v>
      </c>
      <c r="W256" t="s">
        <v>3901</v>
      </c>
      <c r="X256" s="2">
        <v>0.9</v>
      </c>
      <c r="Y256" s="6">
        <f t="shared" si="26"/>
        <v>2.4024985985424845E-2</v>
      </c>
      <c r="AA256">
        <v>9630252</v>
      </c>
      <c r="AB256">
        <v>29614</v>
      </c>
      <c r="AD256" t="s">
        <v>1</v>
      </c>
      <c r="AE256">
        <v>5</v>
      </c>
      <c r="AF256">
        <v>3</v>
      </c>
      <c r="AH256" t="s">
        <v>5574</v>
      </c>
      <c r="AI256" t="s">
        <v>5573</v>
      </c>
      <c r="AK256" t="s">
        <v>5572</v>
      </c>
      <c r="AL256">
        <v>63</v>
      </c>
      <c r="AM256" s="5">
        <f t="shared" si="27"/>
        <v>2.4230769230769229</v>
      </c>
      <c r="AN256" s="4">
        <f t="shared" si="28"/>
        <v>3.6699385430926513E-3</v>
      </c>
      <c r="AO256" s="3"/>
      <c r="AP256">
        <v>0</v>
      </c>
      <c r="AR256" t="s">
        <v>0</v>
      </c>
      <c r="AT256" s="2" t="s">
        <v>9</v>
      </c>
      <c r="AU256" s="1">
        <f t="shared" si="29"/>
        <v>1.7918471752725187</v>
      </c>
      <c r="AV256" s="1">
        <f t="shared" si="30"/>
        <v>1.3847462264258747</v>
      </c>
      <c r="AW256" s="1">
        <f t="shared" si="31"/>
        <v>0.97764527757923081</v>
      </c>
    </row>
    <row r="257" spans="1:49" x14ac:dyDescent="0.2">
      <c r="A257">
        <v>255</v>
      </c>
      <c r="B257" t="s">
        <v>5571</v>
      </c>
      <c r="C257" t="s">
        <v>5570</v>
      </c>
      <c r="F257" t="s">
        <v>5569</v>
      </c>
      <c r="G257" t="s">
        <v>6</v>
      </c>
      <c r="H257" t="s">
        <v>5</v>
      </c>
      <c r="I257" t="s">
        <v>5568</v>
      </c>
      <c r="J257" t="s">
        <v>5558</v>
      </c>
      <c r="K257" t="s">
        <v>5557</v>
      </c>
      <c r="L257" t="s">
        <v>5556</v>
      </c>
      <c r="M257" t="s">
        <v>13</v>
      </c>
      <c r="N257">
        <v>2</v>
      </c>
      <c r="O257" t="s">
        <v>5567</v>
      </c>
      <c r="P257" t="s">
        <v>5566</v>
      </c>
      <c r="Q257" t="s">
        <v>5565</v>
      </c>
      <c r="R257" s="7">
        <v>35400</v>
      </c>
      <c r="S257" s="8">
        <f t="shared" si="24"/>
        <v>1996</v>
      </c>
      <c r="T257" s="8">
        <v>1996</v>
      </c>
      <c r="U257" s="8">
        <f t="shared" si="25"/>
        <v>26</v>
      </c>
      <c r="V257" s="7">
        <v>1996</v>
      </c>
      <c r="W257" t="s">
        <v>3901</v>
      </c>
      <c r="X257" s="2">
        <v>0.9</v>
      </c>
      <c r="Y257" s="6">
        <f t="shared" si="26"/>
        <v>2.4024985985424845E-2</v>
      </c>
      <c r="AA257">
        <v>9630252</v>
      </c>
      <c r="AB257">
        <v>29614</v>
      </c>
      <c r="AD257" t="s">
        <v>1</v>
      </c>
      <c r="AE257">
        <v>5</v>
      </c>
      <c r="AF257">
        <v>3</v>
      </c>
      <c r="AH257" t="s">
        <v>5564</v>
      </c>
      <c r="AI257" t="s">
        <v>5563</v>
      </c>
      <c r="AK257" t="s">
        <v>5562</v>
      </c>
      <c r="AL257">
        <v>8</v>
      </c>
      <c r="AM257" s="5">
        <f t="shared" si="27"/>
        <v>0.30769230769230771</v>
      </c>
      <c r="AN257" s="4">
        <f t="shared" si="28"/>
        <v>4.6602394198001925E-4</v>
      </c>
      <c r="AO257" s="3"/>
      <c r="AP257">
        <v>0</v>
      </c>
      <c r="AR257" t="s">
        <v>0</v>
      </c>
      <c r="AT257" s="2" t="s">
        <v>9</v>
      </c>
      <c r="AU257" s="1">
        <f t="shared" si="29"/>
        <v>1.6957297372391396</v>
      </c>
      <c r="AV257" s="1">
        <f t="shared" si="30"/>
        <v>1.2245504963702432</v>
      </c>
      <c r="AW257" s="1">
        <f t="shared" si="31"/>
        <v>0.75337125550134665</v>
      </c>
    </row>
    <row r="258" spans="1:49" x14ac:dyDescent="0.2">
      <c r="A258">
        <v>256</v>
      </c>
      <c r="B258" t="s">
        <v>5561</v>
      </c>
      <c r="C258" t="s">
        <v>5560</v>
      </c>
      <c r="F258" t="s">
        <v>5559</v>
      </c>
      <c r="G258" t="s">
        <v>6</v>
      </c>
      <c r="H258" t="s">
        <v>5</v>
      </c>
      <c r="I258" t="s">
        <v>60</v>
      </c>
      <c r="J258" t="s">
        <v>5558</v>
      </c>
      <c r="K258" t="s">
        <v>5557</v>
      </c>
      <c r="L258" t="s">
        <v>5556</v>
      </c>
      <c r="M258" t="s">
        <v>13</v>
      </c>
      <c r="N258">
        <v>2</v>
      </c>
      <c r="O258" t="s">
        <v>5555</v>
      </c>
      <c r="P258" t="s">
        <v>5554</v>
      </c>
      <c r="Q258" t="s">
        <v>5553</v>
      </c>
      <c r="R258" s="7">
        <v>35400</v>
      </c>
      <c r="S258" s="8">
        <f t="shared" ref="S258:S321" si="32">YEAR(R258)</f>
        <v>1996</v>
      </c>
      <c r="T258" s="8">
        <v>1996</v>
      </c>
      <c r="U258" s="8">
        <f t="shared" ref="U258:U321" si="33">2022-T258</f>
        <v>26</v>
      </c>
      <c r="V258" s="7">
        <v>1996</v>
      </c>
      <c r="W258" t="s">
        <v>3901</v>
      </c>
      <c r="X258" s="2">
        <v>0.9</v>
      </c>
      <c r="Y258" s="6">
        <f t="shared" ref="Y258:Y321" si="34">(X258-$Z$3)/($Z$2-$Z$3)</f>
        <v>2.4024985985424845E-2</v>
      </c>
      <c r="AA258">
        <v>9630252</v>
      </c>
      <c r="AB258">
        <v>29614</v>
      </c>
      <c r="AD258" t="s">
        <v>1</v>
      </c>
      <c r="AE258">
        <v>5</v>
      </c>
      <c r="AF258">
        <v>3</v>
      </c>
      <c r="AH258" t="s">
        <v>5552</v>
      </c>
      <c r="AI258" t="s">
        <v>5551</v>
      </c>
      <c r="AK258" t="s">
        <v>5550</v>
      </c>
      <c r="AL258">
        <v>11</v>
      </c>
      <c r="AM258" s="5">
        <f t="shared" ref="AM258:AM321" si="35">AL258/U258</f>
        <v>0.42307692307692307</v>
      </c>
      <c r="AN258" s="4">
        <f t="shared" ref="AN258:AN321" si="36">(AM258-$AO$3)/($AO$2-$AO$3)</f>
        <v>6.4078292022252644E-4</v>
      </c>
      <c r="AO258" s="3"/>
      <c r="AP258">
        <v>0</v>
      </c>
      <c r="AR258" t="s">
        <v>0</v>
      </c>
      <c r="AT258" s="2" t="s">
        <v>9</v>
      </c>
      <c r="AU258" s="1">
        <f t="shared" ref="AU258:AU321" si="37">(Y258*0.7+AN258*0.3)*100</f>
        <v>1.7009725065864147</v>
      </c>
      <c r="AV258" s="1">
        <f t="shared" ref="AV258:AV321" si="38">(Y258*0.5+AN258*0.5)*100</f>
        <v>1.2332884452823685</v>
      </c>
      <c r="AW258" s="1">
        <f t="shared" ref="AW258:AW321" si="39">(Y258*0.3+AN258*0.7)*100</f>
        <v>0.7656043839783222</v>
      </c>
    </row>
    <row r="259" spans="1:49" x14ac:dyDescent="0.2">
      <c r="A259">
        <v>257</v>
      </c>
      <c r="B259" t="s">
        <v>5549</v>
      </c>
      <c r="C259" t="s">
        <v>5548</v>
      </c>
      <c r="F259" t="s">
        <v>5547</v>
      </c>
      <c r="G259" t="s">
        <v>6</v>
      </c>
      <c r="H259" t="s">
        <v>5</v>
      </c>
      <c r="I259" t="s">
        <v>4090</v>
      </c>
      <c r="J259">
        <v>60032179</v>
      </c>
      <c r="K259" t="s">
        <v>58</v>
      </c>
      <c r="L259" t="s">
        <v>57</v>
      </c>
      <c r="M259" t="s">
        <v>2</v>
      </c>
      <c r="N259">
        <v>2</v>
      </c>
      <c r="O259" t="s">
        <v>4086</v>
      </c>
      <c r="P259" t="s">
        <v>4085</v>
      </c>
      <c r="Q259" t="s">
        <v>509</v>
      </c>
      <c r="R259" s="7">
        <v>35400</v>
      </c>
      <c r="S259" s="8">
        <f t="shared" si="32"/>
        <v>1996</v>
      </c>
      <c r="T259" s="8">
        <v>1996</v>
      </c>
      <c r="U259" s="8">
        <f t="shared" si="33"/>
        <v>26</v>
      </c>
      <c r="V259" s="7">
        <v>1996</v>
      </c>
      <c r="W259" t="s">
        <v>3901</v>
      </c>
      <c r="X259" s="2">
        <v>0.9</v>
      </c>
      <c r="Y259" s="6">
        <f t="shared" si="34"/>
        <v>2.4024985985424845E-2</v>
      </c>
      <c r="AA259">
        <v>9630252</v>
      </c>
      <c r="AB259">
        <v>29614</v>
      </c>
      <c r="AD259" t="s">
        <v>1</v>
      </c>
      <c r="AE259">
        <v>5</v>
      </c>
      <c r="AF259">
        <v>3</v>
      </c>
      <c r="AH259" t="s">
        <v>5546</v>
      </c>
      <c r="AI259" t="s">
        <v>5545</v>
      </c>
      <c r="AK259" t="s">
        <v>5544</v>
      </c>
      <c r="AL259">
        <v>39</v>
      </c>
      <c r="AM259" s="5">
        <f t="shared" si="35"/>
        <v>1.5</v>
      </c>
      <c r="AN259" s="4">
        <f t="shared" si="36"/>
        <v>2.2718667171525938E-3</v>
      </c>
      <c r="AO259" s="3"/>
      <c r="AP259">
        <v>0</v>
      </c>
      <c r="AR259" t="s">
        <v>0</v>
      </c>
      <c r="AT259" s="2" t="s">
        <v>9</v>
      </c>
      <c r="AU259" s="1">
        <f t="shared" si="37"/>
        <v>1.749905020494317</v>
      </c>
      <c r="AV259" s="1">
        <f t="shared" si="38"/>
        <v>1.314842635128872</v>
      </c>
      <c r="AW259" s="1">
        <f t="shared" si="39"/>
        <v>0.87978024976342695</v>
      </c>
    </row>
    <row r="260" spans="1:49" x14ac:dyDescent="0.2">
      <c r="A260">
        <v>258</v>
      </c>
      <c r="B260" t="s">
        <v>5543</v>
      </c>
      <c r="C260" t="s">
        <v>5542</v>
      </c>
      <c r="F260" t="s">
        <v>5541</v>
      </c>
      <c r="G260" t="s">
        <v>6</v>
      </c>
      <c r="H260" t="s">
        <v>5</v>
      </c>
      <c r="I260" t="s">
        <v>5540</v>
      </c>
      <c r="J260">
        <v>60005722</v>
      </c>
      <c r="K260" t="s">
        <v>5539</v>
      </c>
      <c r="L260" t="s">
        <v>647</v>
      </c>
      <c r="M260" t="s">
        <v>289</v>
      </c>
      <c r="N260">
        <v>2</v>
      </c>
      <c r="O260" t="s">
        <v>5538</v>
      </c>
      <c r="P260" t="s">
        <v>5537</v>
      </c>
      <c r="Q260" t="s">
        <v>5536</v>
      </c>
      <c r="R260" s="7">
        <v>35400</v>
      </c>
      <c r="S260" s="8">
        <f t="shared" si="32"/>
        <v>1996</v>
      </c>
      <c r="T260" s="8">
        <v>1996</v>
      </c>
      <c r="U260" s="8">
        <f t="shared" si="33"/>
        <v>26</v>
      </c>
      <c r="V260" s="7">
        <v>1996</v>
      </c>
      <c r="W260" t="s">
        <v>3901</v>
      </c>
      <c r="X260" s="2">
        <v>0.9</v>
      </c>
      <c r="Y260" s="6">
        <f t="shared" si="34"/>
        <v>2.4024985985424845E-2</v>
      </c>
      <c r="AA260">
        <v>9630252</v>
      </c>
      <c r="AB260">
        <v>29614</v>
      </c>
      <c r="AD260" t="s">
        <v>1</v>
      </c>
      <c r="AE260">
        <v>5</v>
      </c>
      <c r="AF260">
        <v>3</v>
      </c>
      <c r="AH260" t="s">
        <v>5535</v>
      </c>
      <c r="AI260" t="s">
        <v>5534</v>
      </c>
      <c r="AK260" t="s">
        <v>5533</v>
      </c>
      <c r="AL260">
        <v>153</v>
      </c>
      <c r="AM260" s="5">
        <f t="shared" si="35"/>
        <v>5.884615384615385</v>
      </c>
      <c r="AN260" s="4">
        <f t="shared" si="36"/>
        <v>8.9127078903678686E-3</v>
      </c>
      <c r="AO260" s="3"/>
      <c r="AP260">
        <v>0</v>
      </c>
      <c r="AR260" t="s">
        <v>0</v>
      </c>
      <c r="AT260" s="2" t="s">
        <v>9</v>
      </c>
      <c r="AU260" s="1">
        <f t="shared" si="37"/>
        <v>1.949130255690775</v>
      </c>
      <c r="AV260" s="1">
        <f t="shared" si="38"/>
        <v>1.6468846937896358</v>
      </c>
      <c r="AW260" s="1">
        <f t="shared" si="39"/>
        <v>1.3446391318884963</v>
      </c>
    </row>
    <row r="261" spans="1:49" x14ac:dyDescent="0.2">
      <c r="A261">
        <v>259</v>
      </c>
      <c r="B261" t="s">
        <v>5532</v>
      </c>
      <c r="C261" t="s">
        <v>5531</v>
      </c>
      <c r="F261" t="s">
        <v>5530</v>
      </c>
      <c r="G261" t="s">
        <v>6</v>
      </c>
      <c r="H261" t="s">
        <v>5</v>
      </c>
      <c r="I261" t="s">
        <v>5529</v>
      </c>
      <c r="J261" t="s">
        <v>5528</v>
      </c>
      <c r="K261" t="s">
        <v>5527</v>
      </c>
      <c r="L261" t="s">
        <v>461</v>
      </c>
      <c r="M261" t="s">
        <v>90</v>
      </c>
      <c r="N261">
        <v>4</v>
      </c>
      <c r="O261" t="s">
        <v>5526</v>
      </c>
      <c r="P261" t="s">
        <v>5525</v>
      </c>
      <c r="Q261" t="s">
        <v>5524</v>
      </c>
      <c r="R261" s="7">
        <v>35400</v>
      </c>
      <c r="S261" s="8">
        <f t="shared" si="32"/>
        <v>1996</v>
      </c>
      <c r="T261" s="8">
        <v>1996</v>
      </c>
      <c r="U261" s="8">
        <f t="shared" si="33"/>
        <v>26</v>
      </c>
      <c r="V261" s="7">
        <v>1996</v>
      </c>
      <c r="W261" t="s">
        <v>3838</v>
      </c>
      <c r="X261" s="2">
        <v>1.137</v>
      </c>
      <c r="Y261" s="6">
        <f t="shared" si="34"/>
        <v>3.0351565628253384E-2</v>
      </c>
      <c r="AA261">
        <v>189251</v>
      </c>
      <c r="AB261">
        <v>17336</v>
      </c>
      <c r="AD261" t="s">
        <v>1</v>
      </c>
      <c r="AE261">
        <v>32</v>
      </c>
      <c r="AF261">
        <v>3</v>
      </c>
      <c r="AH261" t="s">
        <v>5523</v>
      </c>
      <c r="AI261" t="s">
        <v>5522</v>
      </c>
      <c r="AK261" t="s">
        <v>5521</v>
      </c>
      <c r="AL261">
        <v>5</v>
      </c>
      <c r="AM261" s="5">
        <f t="shared" si="35"/>
        <v>0.19230769230769232</v>
      </c>
      <c r="AN261" s="4">
        <f t="shared" si="36"/>
        <v>2.9126496373751206E-4</v>
      </c>
      <c r="AO261" s="3"/>
      <c r="AP261">
        <v>0</v>
      </c>
      <c r="AR261" t="s">
        <v>0</v>
      </c>
      <c r="AT261" s="2" t="s">
        <v>9</v>
      </c>
      <c r="AU261" s="1">
        <f t="shared" si="37"/>
        <v>2.1333475428898621</v>
      </c>
      <c r="AV261" s="1">
        <f t="shared" si="38"/>
        <v>1.5321415295995449</v>
      </c>
      <c r="AW261" s="1">
        <f t="shared" si="39"/>
        <v>0.93093551630922744</v>
      </c>
    </row>
    <row r="262" spans="1:49" x14ac:dyDescent="0.2">
      <c r="A262">
        <v>260</v>
      </c>
      <c r="B262" t="s">
        <v>5520</v>
      </c>
      <c r="C262" t="s">
        <v>5519</v>
      </c>
      <c r="D262" t="s">
        <v>5518</v>
      </c>
      <c r="F262" t="s">
        <v>5517</v>
      </c>
      <c r="G262" t="s">
        <v>6</v>
      </c>
      <c r="H262" t="s">
        <v>5</v>
      </c>
      <c r="I262" t="s">
        <v>5516</v>
      </c>
      <c r="J262">
        <v>60020547</v>
      </c>
      <c r="K262" t="s">
        <v>731</v>
      </c>
      <c r="L262" t="s">
        <v>730</v>
      </c>
      <c r="M262" t="s">
        <v>2</v>
      </c>
      <c r="N262">
        <v>3</v>
      </c>
      <c r="O262" t="s">
        <v>5515</v>
      </c>
      <c r="P262" t="s">
        <v>5514</v>
      </c>
      <c r="Q262" t="s">
        <v>999</v>
      </c>
      <c r="R262" s="7">
        <v>35400</v>
      </c>
      <c r="S262" s="8">
        <f t="shared" si="32"/>
        <v>1996</v>
      </c>
      <c r="T262" s="8">
        <v>1996</v>
      </c>
      <c r="U262" s="8">
        <f t="shared" si="33"/>
        <v>26</v>
      </c>
      <c r="V262" s="7">
        <v>1996</v>
      </c>
      <c r="W262" t="s">
        <v>150</v>
      </c>
      <c r="X262" s="2">
        <v>1.6519999999999999</v>
      </c>
      <c r="Y262" s="6">
        <f t="shared" si="34"/>
        <v>4.409919649769093E-2</v>
      </c>
      <c r="AA262" t="s">
        <v>149</v>
      </c>
      <c r="AB262">
        <v>17337</v>
      </c>
      <c r="AD262" t="s">
        <v>1</v>
      </c>
      <c r="AE262">
        <v>44</v>
      </c>
      <c r="AF262">
        <v>7</v>
      </c>
      <c r="AH262" t="s">
        <v>5513</v>
      </c>
      <c r="AI262" t="s">
        <v>5512</v>
      </c>
      <c r="AK262" t="s">
        <v>5511</v>
      </c>
      <c r="AL262">
        <v>32</v>
      </c>
      <c r="AM262" s="5">
        <f t="shared" si="35"/>
        <v>1.2307692307692308</v>
      </c>
      <c r="AN262" s="4">
        <f t="shared" si="36"/>
        <v>1.864095767920077E-3</v>
      </c>
      <c r="AO262" s="3"/>
      <c r="AP262">
        <v>0</v>
      </c>
      <c r="AR262" t="s">
        <v>0</v>
      </c>
      <c r="AT262" s="2" t="s">
        <v>9</v>
      </c>
      <c r="AU262" s="1">
        <f t="shared" si="37"/>
        <v>3.1428666278759678</v>
      </c>
      <c r="AV262" s="1">
        <f t="shared" si="38"/>
        <v>2.2981646132805502</v>
      </c>
      <c r="AW262" s="1">
        <f t="shared" si="39"/>
        <v>1.4534625986851333</v>
      </c>
    </row>
    <row r="263" spans="1:49" x14ac:dyDescent="0.2">
      <c r="A263">
        <v>261</v>
      </c>
      <c r="B263" t="s">
        <v>5510</v>
      </c>
      <c r="C263" t="s">
        <v>5509</v>
      </c>
      <c r="D263" t="s">
        <v>5508</v>
      </c>
      <c r="F263" t="s">
        <v>5507</v>
      </c>
      <c r="G263" t="s">
        <v>6</v>
      </c>
      <c r="H263" t="s">
        <v>5</v>
      </c>
      <c r="I263" t="s">
        <v>5506</v>
      </c>
      <c r="J263">
        <v>60002947</v>
      </c>
      <c r="K263" t="s">
        <v>275</v>
      </c>
      <c r="L263" t="s">
        <v>274</v>
      </c>
      <c r="M263" t="s">
        <v>273</v>
      </c>
      <c r="N263">
        <v>1</v>
      </c>
      <c r="O263" t="s">
        <v>5505</v>
      </c>
      <c r="P263">
        <v>7004716169</v>
      </c>
      <c r="Q263">
        <v>60002947</v>
      </c>
      <c r="R263" s="7">
        <v>35400</v>
      </c>
      <c r="S263" s="8">
        <f t="shared" si="32"/>
        <v>1996</v>
      </c>
      <c r="T263" s="8">
        <v>1996</v>
      </c>
      <c r="U263" s="8">
        <f t="shared" si="33"/>
        <v>26</v>
      </c>
      <c r="V263" s="7">
        <v>1996</v>
      </c>
      <c r="W263" t="s">
        <v>150</v>
      </c>
      <c r="X263" s="2">
        <v>1.6519999999999999</v>
      </c>
      <c r="Y263" s="6">
        <f t="shared" si="34"/>
        <v>4.409919649769093E-2</v>
      </c>
      <c r="AA263" t="s">
        <v>149</v>
      </c>
      <c r="AB263">
        <v>17337</v>
      </c>
      <c r="AD263" t="s">
        <v>1</v>
      </c>
      <c r="AE263">
        <v>44</v>
      </c>
      <c r="AF263">
        <v>7</v>
      </c>
      <c r="AH263" t="s">
        <v>5504</v>
      </c>
      <c r="AI263" t="s">
        <v>5503</v>
      </c>
      <c r="AK263" t="s">
        <v>5502</v>
      </c>
      <c r="AL263">
        <v>17</v>
      </c>
      <c r="AM263" s="5">
        <f t="shared" si="35"/>
        <v>0.65384615384615385</v>
      </c>
      <c r="AN263" s="4">
        <f t="shared" si="36"/>
        <v>9.9030087670754093E-4</v>
      </c>
      <c r="AO263" s="3"/>
      <c r="AP263">
        <v>0</v>
      </c>
      <c r="AR263" t="s">
        <v>0</v>
      </c>
      <c r="AT263" s="2" t="s">
        <v>9</v>
      </c>
      <c r="AU263" s="1">
        <f t="shared" si="37"/>
        <v>3.116652781139591</v>
      </c>
      <c r="AV263" s="1">
        <f t="shared" si="38"/>
        <v>2.2544748687199236</v>
      </c>
      <c r="AW263" s="1">
        <f t="shared" si="39"/>
        <v>1.3922969563002556</v>
      </c>
    </row>
    <row r="264" spans="1:49" x14ac:dyDescent="0.2">
      <c r="A264">
        <v>262</v>
      </c>
      <c r="B264" t="s">
        <v>5501</v>
      </c>
      <c r="C264" t="s">
        <v>5500</v>
      </c>
      <c r="D264" t="s">
        <v>5499</v>
      </c>
      <c r="F264" t="s">
        <v>5498</v>
      </c>
      <c r="G264" t="s">
        <v>6</v>
      </c>
      <c r="H264" t="s">
        <v>5</v>
      </c>
      <c r="I264" t="s">
        <v>5497</v>
      </c>
      <c r="J264">
        <v>60009037</v>
      </c>
      <c r="K264" t="s">
        <v>34</v>
      </c>
      <c r="L264" t="s">
        <v>33</v>
      </c>
      <c r="M264" t="s">
        <v>2</v>
      </c>
      <c r="N264">
        <v>6</v>
      </c>
      <c r="O264" t="s">
        <v>5496</v>
      </c>
      <c r="P264" t="s">
        <v>5495</v>
      </c>
      <c r="Q264" t="s">
        <v>5494</v>
      </c>
      <c r="R264" s="7">
        <v>35400</v>
      </c>
      <c r="S264" s="8">
        <f t="shared" si="32"/>
        <v>1996</v>
      </c>
      <c r="T264" s="8">
        <v>1996</v>
      </c>
      <c r="U264" s="8">
        <f t="shared" si="33"/>
        <v>26</v>
      </c>
      <c r="V264" s="7">
        <v>1996</v>
      </c>
      <c r="W264" t="s">
        <v>410</v>
      </c>
      <c r="X264" s="2">
        <v>1.3720000000000001</v>
      </c>
      <c r="Y264" s="6">
        <f t="shared" si="34"/>
        <v>3.662475641333654E-2</v>
      </c>
      <c r="AA264">
        <v>189480</v>
      </c>
      <c r="AB264">
        <v>17366</v>
      </c>
      <c r="AD264" t="s">
        <v>1</v>
      </c>
      <c r="AE264">
        <v>44</v>
      </c>
      <c r="AF264" t="s">
        <v>5297</v>
      </c>
      <c r="AH264" t="s">
        <v>5493</v>
      </c>
      <c r="AI264" t="s">
        <v>5492</v>
      </c>
      <c r="AK264" t="s">
        <v>5491</v>
      </c>
      <c r="AL264">
        <v>7</v>
      </c>
      <c r="AM264" s="5">
        <f t="shared" si="35"/>
        <v>0.26923076923076922</v>
      </c>
      <c r="AN264" s="4">
        <f t="shared" si="36"/>
        <v>4.0777094923251682E-4</v>
      </c>
      <c r="AO264" s="3"/>
      <c r="AP264">
        <v>0</v>
      </c>
      <c r="AQ264" t="s">
        <v>54</v>
      </c>
      <c r="AR264" t="s">
        <v>0</v>
      </c>
      <c r="AS264" t="s">
        <v>53</v>
      </c>
      <c r="AT264" s="2" t="s">
        <v>9</v>
      </c>
      <c r="AU264" s="1">
        <f t="shared" si="37"/>
        <v>2.5759660774105333</v>
      </c>
      <c r="AV264" s="1">
        <f t="shared" si="38"/>
        <v>1.8516263681284526</v>
      </c>
      <c r="AW264" s="1">
        <f t="shared" si="39"/>
        <v>1.1272866588463724</v>
      </c>
    </row>
    <row r="265" spans="1:49" x14ac:dyDescent="0.2">
      <c r="A265">
        <v>263</v>
      </c>
      <c r="B265" t="s">
        <v>5490</v>
      </c>
      <c r="C265" t="s">
        <v>5489</v>
      </c>
      <c r="F265" t="s">
        <v>5488</v>
      </c>
      <c r="G265" t="s">
        <v>6</v>
      </c>
      <c r="H265" t="s">
        <v>5</v>
      </c>
      <c r="I265" t="s">
        <v>5487</v>
      </c>
      <c r="J265" t="s">
        <v>5486</v>
      </c>
      <c r="K265" t="s">
        <v>5485</v>
      </c>
      <c r="L265" t="s">
        <v>5484</v>
      </c>
      <c r="M265" t="s">
        <v>13</v>
      </c>
      <c r="N265">
        <v>3</v>
      </c>
      <c r="O265" t="s">
        <v>5483</v>
      </c>
      <c r="P265" t="s">
        <v>5482</v>
      </c>
      <c r="Q265" t="s">
        <v>5481</v>
      </c>
      <c r="R265" s="7">
        <v>35400</v>
      </c>
      <c r="S265" s="8">
        <f t="shared" si="32"/>
        <v>1996</v>
      </c>
      <c r="T265" s="8">
        <v>1996</v>
      </c>
      <c r="U265" s="8">
        <f t="shared" si="33"/>
        <v>26</v>
      </c>
      <c r="V265" s="7">
        <v>1996</v>
      </c>
      <c r="W265" t="s">
        <v>3838</v>
      </c>
      <c r="X265" s="2">
        <v>1.137</v>
      </c>
      <c r="Y265" s="6">
        <f t="shared" si="34"/>
        <v>3.0351565628253384E-2</v>
      </c>
      <c r="AA265">
        <v>189251</v>
      </c>
      <c r="AB265">
        <v>17336</v>
      </c>
      <c r="AD265" t="s">
        <v>1</v>
      </c>
      <c r="AE265">
        <v>32</v>
      </c>
      <c r="AF265">
        <v>3</v>
      </c>
      <c r="AH265" t="s">
        <v>5480</v>
      </c>
      <c r="AI265" t="s">
        <v>5479</v>
      </c>
      <c r="AK265" t="s">
        <v>5478</v>
      </c>
      <c r="AL265">
        <v>22</v>
      </c>
      <c r="AM265" s="5">
        <f t="shared" si="35"/>
        <v>0.84615384615384615</v>
      </c>
      <c r="AN265" s="4">
        <f t="shared" si="36"/>
        <v>1.2815658404450529E-3</v>
      </c>
      <c r="AO265" s="3"/>
      <c r="AP265">
        <v>0</v>
      </c>
      <c r="AQ265" t="s">
        <v>54</v>
      </c>
      <c r="AR265" t="s">
        <v>5477</v>
      </c>
      <c r="AS265" t="s">
        <v>53</v>
      </c>
      <c r="AT265" s="2" t="s">
        <v>9</v>
      </c>
      <c r="AU265" s="1">
        <f t="shared" si="37"/>
        <v>2.1630565691910886</v>
      </c>
      <c r="AV265" s="1">
        <f t="shared" si="38"/>
        <v>1.5816565734349217</v>
      </c>
      <c r="AW265" s="1">
        <f t="shared" si="39"/>
        <v>1.0002565776787553</v>
      </c>
    </row>
    <row r="266" spans="1:49" x14ac:dyDescent="0.2">
      <c r="A266">
        <v>264</v>
      </c>
      <c r="B266" t="s">
        <v>5476</v>
      </c>
      <c r="C266" t="s">
        <v>5475</v>
      </c>
      <c r="D266" t="s">
        <v>5474</v>
      </c>
      <c r="F266" t="s">
        <v>5473</v>
      </c>
      <c r="G266" t="s">
        <v>6</v>
      </c>
      <c r="H266" t="s">
        <v>5</v>
      </c>
      <c r="I266" t="s">
        <v>5472</v>
      </c>
      <c r="J266">
        <v>60013682</v>
      </c>
      <c r="K266" t="s">
        <v>5471</v>
      </c>
      <c r="L266" t="s">
        <v>2009</v>
      </c>
      <c r="M266" t="s">
        <v>17</v>
      </c>
      <c r="N266">
        <v>3</v>
      </c>
      <c r="O266" t="s">
        <v>5470</v>
      </c>
      <c r="P266" t="s">
        <v>5469</v>
      </c>
      <c r="Q266" t="s">
        <v>5468</v>
      </c>
      <c r="R266" s="7">
        <v>35400</v>
      </c>
      <c r="S266" s="8">
        <f t="shared" si="32"/>
        <v>1996</v>
      </c>
      <c r="T266" s="8">
        <v>1996</v>
      </c>
      <c r="U266" s="8">
        <f t="shared" si="33"/>
        <v>26</v>
      </c>
      <c r="V266" s="7">
        <v>1996</v>
      </c>
      <c r="W266" t="s">
        <v>150</v>
      </c>
      <c r="X266" s="2">
        <v>1.6519999999999999</v>
      </c>
      <c r="Y266" s="6">
        <f t="shared" si="34"/>
        <v>4.409919649769093E-2</v>
      </c>
      <c r="AA266" t="s">
        <v>149</v>
      </c>
      <c r="AB266">
        <v>17337</v>
      </c>
      <c r="AD266" t="s">
        <v>1</v>
      </c>
      <c r="AE266">
        <v>44</v>
      </c>
      <c r="AF266">
        <v>7</v>
      </c>
      <c r="AH266" t="s">
        <v>5467</v>
      </c>
      <c r="AI266" t="s">
        <v>5466</v>
      </c>
      <c r="AK266" t="s">
        <v>5465</v>
      </c>
      <c r="AL266">
        <v>38</v>
      </c>
      <c r="AM266" s="5">
        <f t="shared" si="35"/>
        <v>1.4615384615384615</v>
      </c>
      <c r="AN266" s="4">
        <f t="shared" si="36"/>
        <v>2.2136137244050912E-3</v>
      </c>
      <c r="AO266" s="3"/>
      <c r="AP266">
        <v>0</v>
      </c>
      <c r="AR266" t="s">
        <v>0</v>
      </c>
      <c r="AT266" s="2" t="s">
        <v>9</v>
      </c>
      <c r="AU266" s="1">
        <f t="shared" si="37"/>
        <v>3.1533521665705182</v>
      </c>
      <c r="AV266" s="1">
        <f t="shared" si="38"/>
        <v>2.3156405111048008</v>
      </c>
      <c r="AW266" s="1">
        <f t="shared" si="39"/>
        <v>1.4779288556390842</v>
      </c>
    </row>
    <row r="267" spans="1:49" x14ac:dyDescent="0.2">
      <c r="A267">
        <v>265</v>
      </c>
      <c r="B267" t="s">
        <v>5464</v>
      </c>
      <c r="C267" t="s">
        <v>5463</v>
      </c>
      <c r="D267" t="s">
        <v>5462</v>
      </c>
      <c r="F267" t="s">
        <v>5461</v>
      </c>
      <c r="G267" t="s">
        <v>6</v>
      </c>
      <c r="H267" t="s">
        <v>5</v>
      </c>
      <c r="I267" t="s">
        <v>671</v>
      </c>
      <c r="J267">
        <v>60005244</v>
      </c>
      <c r="K267" t="s">
        <v>284</v>
      </c>
      <c r="L267" t="s">
        <v>283</v>
      </c>
      <c r="M267" t="s">
        <v>35</v>
      </c>
      <c r="N267">
        <v>3</v>
      </c>
      <c r="O267" t="s">
        <v>5460</v>
      </c>
      <c r="P267" t="s">
        <v>5459</v>
      </c>
      <c r="Q267" t="s">
        <v>282</v>
      </c>
      <c r="R267" s="7">
        <v>35400</v>
      </c>
      <c r="S267" s="8">
        <f t="shared" si="32"/>
        <v>1996</v>
      </c>
      <c r="T267" s="8">
        <v>1996</v>
      </c>
      <c r="U267" s="8">
        <f t="shared" si="33"/>
        <v>26</v>
      </c>
      <c r="V267" s="7">
        <v>1996</v>
      </c>
      <c r="W267" t="s">
        <v>150</v>
      </c>
      <c r="X267" s="2">
        <v>1.6519999999999999</v>
      </c>
      <c r="Y267" s="6">
        <f t="shared" si="34"/>
        <v>4.409919649769093E-2</v>
      </c>
      <c r="AA267" t="s">
        <v>149</v>
      </c>
      <c r="AB267">
        <v>17337</v>
      </c>
      <c r="AD267" t="s">
        <v>1</v>
      </c>
      <c r="AE267">
        <v>44</v>
      </c>
      <c r="AF267">
        <v>7</v>
      </c>
      <c r="AH267" t="s">
        <v>5458</v>
      </c>
      <c r="AI267" t="s">
        <v>5457</v>
      </c>
      <c r="AK267" t="s">
        <v>5456</v>
      </c>
      <c r="AL267">
        <v>23</v>
      </c>
      <c r="AM267" s="5">
        <f t="shared" si="35"/>
        <v>0.88461538461538458</v>
      </c>
      <c r="AN267" s="4">
        <f t="shared" si="36"/>
        <v>1.3398188331925553E-3</v>
      </c>
      <c r="AO267" s="3"/>
      <c r="AP267">
        <v>0</v>
      </c>
      <c r="AR267" t="s">
        <v>0</v>
      </c>
      <c r="AT267" s="2" t="s">
        <v>9</v>
      </c>
      <c r="AU267" s="1">
        <f t="shared" si="37"/>
        <v>3.1271383198341418</v>
      </c>
      <c r="AV267" s="1">
        <f t="shared" si="38"/>
        <v>2.2719507665441743</v>
      </c>
      <c r="AW267" s="1">
        <f t="shared" si="39"/>
        <v>1.4167632132542067</v>
      </c>
    </row>
    <row r="268" spans="1:49" x14ac:dyDescent="0.2">
      <c r="A268">
        <v>266</v>
      </c>
      <c r="B268" t="s">
        <v>5455</v>
      </c>
      <c r="C268" t="s">
        <v>5454</v>
      </c>
      <c r="D268" t="s">
        <v>5453</v>
      </c>
      <c r="F268" t="s">
        <v>5452</v>
      </c>
      <c r="G268" t="s">
        <v>6</v>
      </c>
      <c r="H268" t="s">
        <v>5</v>
      </c>
      <c r="I268" t="s">
        <v>979</v>
      </c>
      <c r="J268">
        <v>60000221</v>
      </c>
      <c r="K268" t="s">
        <v>4</v>
      </c>
      <c r="L268" t="s">
        <v>3</v>
      </c>
      <c r="M268" t="s">
        <v>2</v>
      </c>
      <c r="N268">
        <v>4</v>
      </c>
      <c r="O268" t="s">
        <v>5451</v>
      </c>
      <c r="P268" t="s">
        <v>5450</v>
      </c>
      <c r="Q268" t="s">
        <v>5449</v>
      </c>
      <c r="R268" s="7">
        <v>35400</v>
      </c>
      <c r="S268" s="8">
        <f t="shared" si="32"/>
        <v>1996</v>
      </c>
      <c r="T268" s="8">
        <v>1996</v>
      </c>
      <c r="U268" s="8">
        <f t="shared" si="33"/>
        <v>26</v>
      </c>
      <c r="V268" s="7">
        <v>1996</v>
      </c>
      <c r="W268" t="s">
        <v>410</v>
      </c>
      <c r="X268" s="2">
        <v>1.3720000000000001</v>
      </c>
      <c r="Y268" s="6">
        <f t="shared" si="34"/>
        <v>3.662475641333654E-2</v>
      </c>
      <c r="AA268">
        <v>189480</v>
      </c>
      <c r="AB268">
        <v>17366</v>
      </c>
      <c r="AD268" t="s">
        <v>1</v>
      </c>
      <c r="AE268">
        <v>44</v>
      </c>
      <c r="AF268" t="s">
        <v>5434</v>
      </c>
      <c r="AH268" t="s">
        <v>5448</v>
      </c>
      <c r="AI268" t="s">
        <v>5447</v>
      </c>
      <c r="AK268" t="s">
        <v>5446</v>
      </c>
      <c r="AL268">
        <v>2</v>
      </c>
      <c r="AM268" s="5">
        <f t="shared" si="35"/>
        <v>7.6923076923076927E-2</v>
      </c>
      <c r="AN268" s="4">
        <f t="shared" si="36"/>
        <v>1.1650598549500481E-4</v>
      </c>
      <c r="AO268" s="3"/>
      <c r="AP268">
        <v>0</v>
      </c>
      <c r="AQ268" t="s">
        <v>716</v>
      </c>
      <c r="AR268" t="s">
        <v>5445</v>
      </c>
      <c r="AS268" t="s">
        <v>715</v>
      </c>
      <c r="AT268" s="2" t="s">
        <v>9</v>
      </c>
      <c r="AU268" s="1">
        <f t="shared" si="37"/>
        <v>2.5672281284984075</v>
      </c>
      <c r="AV268" s="1">
        <f t="shared" si="38"/>
        <v>1.8370631199415774</v>
      </c>
      <c r="AW268" s="1">
        <f t="shared" si="39"/>
        <v>1.1068981113847467</v>
      </c>
    </row>
    <row r="269" spans="1:49" x14ac:dyDescent="0.2">
      <c r="A269">
        <v>267</v>
      </c>
      <c r="B269" t="s">
        <v>5444</v>
      </c>
      <c r="C269" t="s">
        <v>5443</v>
      </c>
      <c r="D269" t="s">
        <v>5442</v>
      </c>
      <c r="F269" t="s">
        <v>5441</v>
      </c>
      <c r="G269" t="s">
        <v>6</v>
      </c>
      <c r="H269" t="s">
        <v>5</v>
      </c>
      <c r="I269" t="s">
        <v>520</v>
      </c>
      <c r="J269" t="s">
        <v>5440</v>
      </c>
      <c r="K269" t="s">
        <v>5439</v>
      </c>
      <c r="L269" t="s">
        <v>5438</v>
      </c>
      <c r="M269" t="s">
        <v>126</v>
      </c>
      <c r="N269">
        <v>6</v>
      </c>
      <c r="O269" t="s">
        <v>5437</v>
      </c>
      <c r="P269" t="s">
        <v>5436</v>
      </c>
      <c r="Q269" t="s">
        <v>5435</v>
      </c>
      <c r="R269" s="7">
        <v>35400</v>
      </c>
      <c r="S269" s="8">
        <f t="shared" si="32"/>
        <v>1996</v>
      </c>
      <c r="T269" s="8">
        <v>1996</v>
      </c>
      <c r="U269" s="8">
        <f t="shared" si="33"/>
        <v>26</v>
      </c>
      <c r="V269" s="7">
        <v>1996</v>
      </c>
      <c r="W269" t="s">
        <v>410</v>
      </c>
      <c r="X269" s="2">
        <v>1.3720000000000001</v>
      </c>
      <c r="Y269" s="6">
        <f t="shared" si="34"/>
        <v>3.662475641333654E-2</v>
      </c>
      <c r="AA269">
        <v>189480</v>
      </c>
      <c r="AB269">
        <v>17366</v>
      </c>
      <c r="AD269" t="s">
        <v>1</v>
      </c>
      <c r="AE269">
        <v>44</v>
      </c>
      <c r="AF269" t="s">
        <v>5434</v>
      </c>
      <c r="AH269" t="s">
        <v>5433</v>
      </c>
      <c r="AI269" t="s">
        <v>5432</v>
      </c>
      <c r="AK269" t="s">
        <v>5431</v>
      </c>
      <c r="AL269">
        <v>35</v>
      </c>
      <c r="AM269" s="5">
        <f t="shared" si="35"/>
        <v>1.3461538461538463</v>
      </c>
      <c r="AN269" s="4">
        <f t="shared" si="36"/>
        <v>2.0388547461625841E-3</v>
      </c>
      <c r="AO269" s="3"/>
      <c r="AP269">
        <v>0</v>
      </c>
      <c r="AQ269" t="s">
        <v>54</v>
      </c>
      <c r="AR269" t="s">
        <v>5430</v>
      </c>
      <c r="AS269" t="s">
        <v>53</v>
      </c>
      <c r="AT269" s="2" t="s">
        <v>9</v>
      </c>
      <c r="AU269" s="1">
        <f t="shared" si="37"/>
        <v>2.6248985913184351</v>
      </c>
      <c r="AV269" s="1">
        <f t="shared" si="38"/>
        <v>1.9331805579749561</v>
      </c>
      <c r="AW269" s="1">
        <f t="shared" si="39"/>
        <v>1.241462524631477</v>
      </c>
    </row>
    <row r="270" spans="1:49" x14ac:dyDescent="0.2">
      <c r="A270">
        <v>268</v>
      </c>
      <c r="B270" t="s">
        <v>5429</v>
      </c>
      <c r="C270" t="s">
        <v>5428</v>
      </c>
      <c r="D270" t="s">
        <v>5427</v>
      </c>
      <c r="F270" t="s">
        <v>5426</v>
      </c>
      <c r="G270" t="s">
        <v>6</v>
      </c>
      <c r="H270" t="s">
        <v>5</v>
      </c>
      <c r="I270" t="s">
        <v>5425</v>
      </c>
      <c r="J270">
        <v>60007903</v>
      </c>
      <c r="K270" t="s">
        <v>5424</v>
      </c>
      <c r="L270" t="s">
        <v>5423</v>
      </c>
      <c r="M270" t="s">
        <v>191</v>
      </c>
      <c r="N270">
        <v>3</v>
      </c>
      <c r="O270" t="s">
        <v>5422</v>
      </c>
      <c r="P270" t="s">
        <v>5421</v>
      </c>
      <c r="Q270" t="s">
        <v>5420</v>
      </c>
      <c r="R270" s="7">
        <v>35400</v>
      </c>
      <c r="S270" s="8">
        <f t="shared" si="32"/>
        <v>1996</v>
      </c>
      <c r="T270" s="8">
        <v>1996</v>
      </c>
      <c r="U270" s="8">
        <f t="shared" si="33"/>
        <v>26</v>
      </c>
      <c r="V270" s="7">
        <v>1996</v>
      </c>
      <c r="W270" t="s">
        <v>410</v>
      </c>
      <c r="X270" s="2">
        <v>1.3720000000000001</v>
      </c>
      <c r="Y270" s="6">
        <f t="shared" si="34"/>
        <v>3.662475641333654E-2</v>
      </c>
      <c r="AA270">
        <v>189480</v>
      </c>
      <c r="AB270">
        <v>17366</v>
      </c>
      <c r="AD270" t="s">
        <v>1</v>
      </c>
      <c r="AE270">
        <v>44</v>
      </c>
      <c r="AF270" t="s">
        <v>5297</v>
      </c>
      <c r="AH270" t="s">
        <v>5419</v>
      </c>
      <c r="AI270" t="s">
        <v>5418</v>
      </c>
      <c r="AK270" t="s">
        <v>5417</v>
      </c>
      <c r="AL270">
        <v>36</v>
      </c>
      <c r="AM270" s="5">
        <f t="shared" si="35"/>
        <v>1.3846153846153846</v>
      </c>
      <c r="AN270" s="4">
        <f t="shared" si="36"/>
        <v>2.0971077389100863E-3</v>
      </c>
      <c r="AO270" s="3"/>
      <c r="AP270">
        <v>0</v>
      </c>
      <c r="AR270" t="s">
        <v>0</v>
      </c>
      <c r="AT270" s="2" t="s">
        <v>9</v>
      </c>
      <c r="AU270" s="1">
        <f t="shared" si="37"/>
        <v>2.6266461811008601</v>
      </c>
      <c r="AV270" s="1">
        <f t="shared" si="38"/>
        <v>1.9360932076123314</v>
      </c>
      <c r="AW270" s="1">
        <f t="shared" si="39"/>
        <v>1.2455402341238022</v>
      </c>
    </row>
    <row r="271" spans="1:49" x14ac:dyDescent="0.2">
      <c r="A271">
        <v>269</v>
      </c>
      <c r="B271" t="s">
        <v>5416</v>
      </c>
      <c r="C271" t="s">
        <v>5415</v>
      </c>
      <c r="D271" t="s">
        <v>5414</v>
      </c>
      <c r="F271" t="s">
        <v>5413</v>
      </c>
      <c r="G271" t="s">
        <v>6</v>
      </c>
      <c r="H271" t="s">
        <v>5</v>
      </c>
      <c r="I271" t="s">
        <v>5412</v>
      </c>
      <c r="J271" t="s">
        <v>5411</v>
      </c>
      <c r="K271" t="s">
        <v>5410</v>
      </c>
      <c r="L271" t="s">
        <v>5409</v>
      </c>
      <c r="M271" t="s">
        <v>13</v>
      </c>
      <c r="N271">
        <v>2</v>
      </c>
      <c r="O271" t="s">
        <v>5408</v>
      </c>
      <c r="P271" t="s">
        <v>5407</v>
      </c>
      <c r="Q271" t="s">
        <v>5406</v>
      </c>
      <c r="R271" s="7">
        <v>35400</v>
      </c>
      <c r="S271" s="8">
        <f t="shared" si="32"/>
        <v>1996</v>
      </c>
      <c r="T271" s="8">
        <v>1996</v>
      </c>
      <c r="U271" s="8">
        <f t="shared" si="33"/>
        <v>26</v>
      </c>
      <c r="V271" s="7">
        <v>1996</v>
      </c>
      <c r="W271" t="s">
        <v>5405</v>
      </c>
      <c r="X271" s="2">
        <v>1.778</v>
      </c>
      <c r="Y271" s="6">
        <f t="shared" si="34"/>
        <v>4.7462694535650413E-2</v>
      </c>
      <c r="AA271">
        <v>10577149</v>
      </c>
      <c r="AB271">
        <v>25534</v>
      </c>
      <c r="AD271" t="s">
        <v>1</v>
      </c>
      <c r="AE271">
        <v>5</v>
      </c>
      <c r="AF271">
        <v>7</v>
      </c>
      <c r="AH271" t="s">
        <v>5404</v>
      </c>
      <c r="AI271" t="s">
        <v>5403</v>
      </c>
      <c r="AK271" t="s">
        <v>5402</v>
      </c>
      <c r="AL271">
        <v>36</v>
      </c>
      <c r="AM271" s="5">
        <f t="shared" si="35"/>
        <v>1.3846153846153846</v>
      </c>
      <c r="AN271" s="4">
        <f t="shared" si="36"/>
        <v>2.0971077389100863E-3</v>
      </c>
      <c r="AO271" s="3"/>
      <c r="AP271">
        <v>0</v>
      </c>
      <c r="AQ271" t="s">
        <v>24</v>
      </c>
      <c r="AR271" t="s">
        <v>5401</v>
      </c>
      <c r="AS271" t="s">
        <v>23</v>
      </c>
      <c r="AT271" s="2">
        <v>10.856</v>
      </c>
      <c r="AU271" s="1">
        <f t="shared" si="37"/>
        <v>3.3853018496628313</v>
      </c>
      <c r="AV271" s="1">
        <f t="shared" si="38"/>
        <v>2.4779901137280249</v>
      </c>
      <c r="AW271" s="1">
        <f t="shared" si="39"/>
        <v>1.5706783777932183</v>
      </c>
    </row>
    <row r="272" spans="1:49" x14ac:dyDescent="0.2">
      <c r="A272">
        <v>270</v>
      </c>
      <c r="B272" t="s">
        <v>5400</v>
      </c>
      <c r="C272" t="s">
        <v>5399</v>
      </c>
      <c r="D272" t="s">
        <v>5398</v>
      </c>
      <c r="F272" t="s">
        <v>5397</v>
      </c>
      <c r="G272" t="s">
        <v>6</v>
      </c>
      <c r="H272" t="s">
        <v>5</v>
      </c>
      <c r="I272" t="s">
        <v>5396</v>
      </c>
      <c r="J272">
        <v>60005837</v>
      </c>
      <c r="K272" t="s">
        <v>5395</v>
      </c>
      <c r="L272" t="s">
        <v>290</v>
      </c>
      <c r="M272" t="s">
        <v>2</v>
      </c>
      <c r="N272">
        <v>1</v>
      </c>
      <c r="O272" t="s">
        <v>5394</v>
      </c>
      <c r="P272">
        <v>7601334771</v>
      </c>
      <c r="Q272">
        <v>60005837</v>
      </c>
      <c r="R272" s="7">
        <v>35400</v>
      </c>
      <c r="S272" s="8">
        <f t="shared" si="32"/>
        <v>1996</v>
      </c>
      <c r="T272" s="8">
        <v>1996</v>
      </c>
      <c r="U272" s="8">
        <f t="shared" si="33"/>
        <v>26</v>
      </c>
      <c r="V272" s="7">
        <v>1996</v>
      </c>
      <c r="W272" t="s">
        <v>711</v>
      </c>
      <c r="X272" s="2">
        <v>2.141</v>
      </c>
      <c r="Y272" s="6">
        <f t="shared" si="34"/>
        <v>5.7152772216438434E-2</v>
      </c>
      <c r="AA272">
        <v>1962892</v>
      </c>
      <c r="AB272">
        <v>17360</v>
      </c>
      <c r="AD272" t="s">
        <v>1</v>
      </c>
      <c r="AE272">
        <v>34</v>
      </c>
      <c r="AF272">
        <v>4</v>
      </c>
      <c r="AH272" t="s">
        <v>5393</v>
      </c>
      <c r="AI272" t="s">
        <v>5392</v>
      </c>
      <c r="AK272" t="s">
        <v>5391</v>
      </c>
      <c r="AL272">
        <v>5</v>
      </c>
      <c r="AM272" s="5">
        <f t="shared" si="35"/>
        <v>0.19230769230769232</v>
      </c>
      <c r="AN272" s="4">
        <f t="shared" si="36"/>
        <v>2.9126496373751206E-4</v>
      </c>
      <c r="AO272" s="3"/>
      <c r="AP272">
        <v>0</v>
      </c>
      <c r="AR272" t="s">
        <v>0</v>
      </c>
      <c r="AT272" s="2" t="s">
        <v>9</v>
      </c>
      <c r="AU272" s="1">
        <f t="shared" si="37"/>
        <v>4.0094320040628153</v>
      </c>
      <c r="AV272" s="1">
        <f t="shared" si="38"/>
        <v>2.8722018590087974</v>
      </c>
      <c r="AW272" s="1">
        <f t="shared" si="39"/>
        <v>1.7349717139547787</v>
      </c>
    </row>
    <row r="273" spans="1:49" x14ac:dyDescent="0.2">
      <c r="A273">
        <v>271</v>
      </c>
      <c r="B273" t="s">
        <v>5390</v>
      </c>
      <c r="C273" t="s">
        <v>5389</v>
      </c>
      <c r="D273" t="s">
        <v>5388</v>
      </c>
      <c r="F273" t="s">
        <v>5387</v>
      </c>
      <c r="G273" t="s">
        <v>6</v>
      </c>
      <c r="H273" t="s">
        <v>5</v>
      </c>
      <c r="I273" t="s">
        <v>5386</v>
      </c>
      <c r="J273">
        <v>60017103</v>
      </c>
      <c r="K273" t="s">
        <v>5385</v>
      </c>
      <c r="L273" t="s">
        <v>5384</v>
      </c>
      <c r="M273" t="s">
        <v>97</v>
      </c>
      <c r="N273">
        <v>2</v>
      </c>
      <c r="O273" t="s">
        <v>5383</v>
      </c>
      <c r="P273" t="s">
        <v>5382</v>
      </c>
      <c r="Q273" t="s">
        <v>5381</v>
      </c>
      <c r="R273" s="7">
        <v>35400</v>
      </c>
      <c r="S273" s="8">
        <f t="shared" si="32"/>
        <v>1996</v>
      </c>
      <c r="T273" s="8">
        <v>1996</v>
      </c>
      <c r="U273" s="8">
        <f t="shared" si="33"/>
        <v>26</v>
      </c>
      <c r="V273" s="7">
        <v>1996</v>
      </c>
      <c r="W273" t="s">
        <v>150</v>
      </c>
      <c r="X273" s="2">
        <v>1.6519999999999999</v>
      </c>
      <c r="Y273" s="6">
        <f t="shared" si="34"/>
        <v>4.409919649769093E-2</v>
      </c>
      <c r="AA273" t="s">
        <v>149</v>
      </c>
      <c r="AB273">
        <v>17337</v>
      </c>
      <c r="AD273" t="s">
        <v>1</v>
      </c>
      <c r="AE273">
        <v>44</v>
      </c>
      <c r="AF273">
        <v>7</v>
      </c>
      <c r="AH273" t="s">
        <v>5380</v>
      </c>
      <c r="AI273" t="s">
        <v>5379</v>
      </c>
      <c r="AK273" t="s">
        <v>5378</v>
      </c>
      <c r="AL273">
        <v>146</v>
      </c>
      <c r="AM273" s="5">
        <f t="shared" si="35"/>
        <v>5.615384615384615</v>
      </c>
      <c r="AN273" s="4">
        <f t="shared" si="36"/>
        <v>8.5049369411353496E-3</v>
      </c>
      <c r="AO273" s="3"/>
      <c r="AP273">
        <v>0</v>
      </c>
      <c r="AQ273" t="s">
        <v>5377</v>
      </c>
      <c r="AR273" t="s">
        <v>5376</v>
      </c>
      <c r="AS273" t="s">
        <v>5375</v>
      </c>
      <c r="AT273" s="2" t="s">
        <v>9</v>
      </c>
      <c r="AU273" s="1">
        <f t="shared" si="37"/>
        <v>3.3420918630724259</v>
      </c>
      <c r="AV273" s="1">
        <f t="shared" si="38"/>
        <v>2.630206671941314</v>
      </c>
      <c r="AW273" s="1">
        <f t="shared" si="39"/>
        <v>1.9183214808102023</v>
      </c>
    </row>
    <row r="274" spans="1:49" x14ac:dyDescent="0.2">
      <c r="A274">
        <v>272</v>
      </c>
      <c r="B274" t="s">
        <v>5374</v>
      </c>
      <c r="C274" t="s">
        <v>5373</v>
      </c>
      <c r="D274" t="s">
        <v>5372</v>
      </c>
      <c r="F274" t="s">
        <v>5371</v>
      </c>
      <c r="G274" t="s">
        <v>6</v>
      </c>
      <c r="H274" t="s">
        <v>5</v>
      </c>
      <c r="I274" t="s">
        <v>5370</v>
      </c>
      <c r="J274">
        <v>60014313</v>
      </c>
      <c r="K274" t="s">
        <v>491</v>
      </c>
      <c r="L274" t="s">
        <v>490</v>
      </c>
      <c r="M274" t="s">
        <v>2</v>
      </c>
      <c r="N274">
        <v>1</v>
      </c>
      <c r="O274" t="s">
        <v>5369</v>
      </c>
      <c r="P274">
        <v>7006791463</v>
      </c>
      <c r="Q274">
        <v>60014313</v>
      </c>
      <c r="R274" s="7">
        <v>35400</v>
      </c>
      <c r="S274" s="8">
        <f t="shared" si="32"/>
        <v>1996</v>
      </c>
      <c r="T274" s="8">
        <v>1996</v>
      </c>
      <c r="U274" s="8">
        <f t="shared" si="33"/>
        <v>26</v>
      </c>
      <c r="V274" s="7">
        <v>1996</v>
      </c>
      <c r="W274" t="s">
        <v>150</v>
      </c>
      <c r="X274" s="2">
        <v>1.6519999999999999</v>
      </c>
      <c r="Y274" s="6">
        <f t="shared" si="34"/>
        <v>4.409919649769093E-2</v>
      </c>
      <c r="AA274" t="s">
        <v>149</v>
      </c>
      <c r="AB274">
        <v>17337</v>
      </c>
      <c r="AD274" t="s">
        <v>1</v>
      </c>
      <c r="AE274">
        <v>44</v>
      </c>
      <c r="AF274">
        <v>7</v>
      </c>
      <c r="AH274" t="s">
        <v>5368</v>
      </c>
      <c r="AI274" t="s">
        <v>5367</v>
      </c>
      <c r="AK274" t="s">
        <v>5366</v>
      </c>
      <c r="AL274">
        <v>46</v>
      </c>
      <c r="AM274" s="5">
        <f t="shared" si="35"/>
        <v>1.7692307692307692</v>
      </c>
      <c r="AN274" s="4">
        <f t="shared" si="36"/>
        <v>2.6796376663851106E-3</v>
      </c>
      <c r="AO274" s="3"/>
      <c r="AP274">
        <v>0</v>
      </c>
      <c r="AR274" t="s">
        <v>5365</v>
      </c>
      <c r="AT274" s="2" t="s">
        <v>9</v>
      </c>
      <c r="AU274" s="1">
        <f t="shared" si="37"/>
        <v>3.1673328848299183</v>
      </c>
      <c r="AV274" s="1">
        <f t="shared" si="38"/>
        <v>2.338941708203802</v>
      </c>
      <c r="AW274" s="1">
        <f t="shared" si="39"/>
        <v>1.5105505315776857</v>
      </c>
    </row>
    <row r="275" spans="1:49" x14ac:dyDescent="0.2">
      <c r="A275">
        <v>273</v>
      </c>
      <c r="B275" t="s">
        <v>5364</v>
      </c>
      <c r="C275" t="s">
        <v>5363</v>
      </c>
      <c r="D275" t="s">
        <v>5362</v>
      </c>
      <c r="F275" t="s">
        <v>5361</v>
      </c>
      <c r="G275" t="s">
        <v>6</v>
      </c>
      <c r="H275" t="s">
        <v>5</v>
      </c>
      <c r="I275" t="s">
        <v>5360</v>
      </c>
      <c r="J275" t="s">
        <v>5354</v>
      </c>
      <c r="K275" t="s">
        <v>5359</v>
      </c>
      <c r="L275" t="s">
        <v>5358</v>
      </c>
      <c r="M275" t="s">
        <v>5357</v>
      </c>
      <c r="N275">
        <v>2</v>
      </c>
      <c r="O275" t="s">
        <v>5356</v>
      </c>
      <c r="P275" t="s">
        <v>5355</v>
      </c>
      <c r="Q275" t="s">
        <v>5354</v>
      </c>
      <c r="R275" s="7">
        <v>35400</v>
      </c>
      <c r="S275" s="8">
        <f t="shared" si="32"/>
        <v>1996</v>
      </c>
      <c r="T275" s="8">
        <v>1996</v>
      </c>
      <c r="U275" s="8">
        <f t="shared" si="33"/>
        <v>26</v>
      </c>
      <c r="V275" s="7">
        <v>1996</v>
      </c>
      <c r="W275" t="s">
        <v>150</v>
      </c>
      <c r="X275" s="2">
        <v>1.6519999999999999</v>
      </c>
      <c r="Y275" s="6">
        <f t="shared" si="34"/>
        <v>4.409919649769093E-2</v>
      </c>
      <c r="AA275" t="s">
        <v>149</v>
      </c>
      <c r="AB275">
        <v>17337</v>
      </c>
      <c r="AD275" t="s">
        <v>1</v>
      </c>
      <c r="AE275">
        <v>44</v>
      </c>
      <c r="AF275">
        <v>7</v>
      </c>
      <c r="AH275" t="s">
        <v>5353</v>
      </c>
      <c r="AI275" t="s">
        <v>5352</v>
      </c>
      <c r="AK275" t="s">
        <v>5351</v>
      </c>
      <c r="AL275">
        <v>9</v>
      </c>
      <c r="AM275" s="5">
        <f t="shared" si="35"/>
        <v>0.34615384615384615</v>
      </c>
      <c r="AN275" s="4">
        <f t="shared" si="36"/>
        <v>5.2427693472752157E-4</v>
      </c>
      <c r="AO275" s="3"/>
      <c r="AP275">
        <v>0</v>
      </c>
      <c r="AQ275" t="s">
        <v>5350</v>
      </c>
      <c r="AR275" t="s">
        <v>5349</v>
      </c>
      <c r="AS275" t="s">
        <v>5348</v>
      </c>
      <c r="AT275" s="2" t="s">
        <v>9</v>
      </c>
      <c r="AU275" s="1">
        <f t="shared" si="37"/>
        <v>3.1026720628801909</v>
      </c>
      <c r="AV275" s="1">
        <f t="shared" si="38"/>
        <v>2.2311736716209225</v>
      </c>
      <c r="AW275" s="1">
        <f t="shared" si="39"/>
        <v>1.3596752803616543</v>
      </c>
    </row>
    <row r="276" spans="1:49" x14ac:dyDescent="0.2">
      <c r="A276">
        <v>274</v>
      </c>
      <c r="B276" t="s">
        <v>5347</v>
      </c>
      <c r="C276" t="s">
        <v>5346</v>
      </c>
      <c r="D276" t="s">
        <v>5345</v>
      </c>
      <c r="F276" t="s">
        <v>5344</v>
      </c>
      <c r="G276" t="s">
        <v>6</v>
      </c>
      <c r="H276" t="s">
        <v>5</v>
      </c>
      <c r="I276" t="s">
        <v>5343</v>
      </c>
      <c r="J276">
        <v>60076904</v>
      </c>
      <c r="K276" t="s">
        <v>157</v>
      </c>
      <c r="L276" t="s">
        <v>156</v>
      </c>
      <c r="M276" t="s">
        <v>2</v>
      </c>
      <c r="N276">
        <v>11</v>
      </c>
      <c r="O276" t="s">
        <v>5342</v>
      </c>
      <c r="P276" t="s">
        <v>5341</v>
      </c>
      <c r="Q276" t="s">
        <v>5340</v>
      </c>
      <c r="R276" s="7">
        <v>35400</v>
      </c>
      <c r="S276" s="8">
        <f t="shared" si="32"/>
        <v>1996</v>
      </c>
      <c r="T276" s="8">
        <v>1996</v>
      </c>
      <c r="U276" s="8">
        <f t="shared" si="33"/>
        <v>26</v>
      </c>
      <c r="V276" s="7">
        <v>1996</v>
      </c>
      <c r="W276" t="s">
        <v>410</v>
      </c>
      <c r="X276" s="2">
        <v>1.3720000000000001</v>
      </c>
      <c r="Y276" s="6">
        <f t="shared" si="34"/>
        <v>3.662475641333654E-2</v>
      </c>
      <c r="AA276">
        <v>189480</v>
      </c>
      <c r="AB276">
        <v>17366</v>
      </c>
      <c r="AD276" t="s">
        <v>1</v>
      </c>
      <c r="AE276">
        <v>44</v>
      </c>
      <c r="AF276" t="s">
        <v>5297</v>
      </c>
      <c r="AH276" t="s">
        <v>5339</v>
      </c>
      <c r="AI276" t="s">
        <v>5338</v>
      </c>
      <c r="AK276" t="s">
        <v>5337</v>
      </c>
      <c r="AL276">
        <v>6</v>
      </c>
      <c r="AM276" s="5">
        <f t="shared" si="35"/>
        <v>0.23076923076923078</v>
      </c>
      <c r="AN276" s="4">
        <f t="shared" si="36"/>
        <v>3.4951795648501444E-4</v>
      </c>
      <c r="AO276" s="3"/>
      <c r="AP276">
        <v>0</v>
      </c>
      <c r="AR276" t="s">
        <v>0</v>
      </c>
      <c r="AT276" s="2" t="s">
        <v>9</v>
      </c>
      <c r="AU276" s="1">
        <f t="shared" si="37"/>
        <v>2.5742184876281082</v>
      </c>
      <c r="AV276" s="1">
        <f t="shared" si="38"/>
        <v>1.8487137184910778</v>
      </c>
      <c r="AW276" s="1">
        <f t="shared" si="39"/>
        <v>1.1232089493540474</v>
      </c>
    </row>
    <row r="277" spans="1:49" x14ac:dyDescent="0.2">
      <c r="A277">
        <v>275</v>
      </c>
      <c r="B277" t="s">
        <v>5336</v>
      </c>
      <c r="C277" t="s">
        <v>5335</v>
      </c>
      <c r="D277" t="s">
        <v>5334</v>
      </c>
      <c r="F277" t="s">
        <v>5333</v>
      </c>
      <c r="G277" t="s">
        <v>6</v>
      </c>
      <c r="H277" t="s">
        <v>5</v>
      </c>
      <c r="I277" t="s">
        <v>5332</v>
      </c>
      <c r="J277">
        <v>60007592</v>
      </c>
      <c r="K277" t="s">
        <v>450</v>
      </c>
      <c r="L277" t="s">
        <v>449</v>
      </c>
      <c r="M277" t="s">
        <v>179</v>
      </c>
      <c r="N277">
        <v>1</v>
      </c>
      <c r="O277" t="s">
        <v>5331</v>
      </c>
      <c r="P277">
        <v>7102336728</v>
      </c>
      <c r="Q277">
        <v>60007592</v>
      </c>
      <c r="R277" s="7">
        <v>35400</v>
      </c>
      <c r="S277" s="8">
        <f t="shared" si="32"/>
        <v>1996</v>
      </c>
      <c r="T277" s="8">
        <v>1996</v>
      </c>
      <c r="U277" s="8">
        <f t="shared" si="33"/>
        <v>26</v>
      </c>
      <c r="V277" s="7">
        <v>1996</v>
      </c>
      <c r="W277" t="s">
        <v>711</v>
      </c>
      <c r="X277" s="2">
        <v>2.141</v>
      </c>
      <c r="Y277" s="6">
        <f t="shared" si="34"/>
        <v>5.7152772216438434E-2</v>
      </c>
      <c r="AA277">
        <v>1962892</v>
      </c>
      <c r="AB277">
        <v>17360</v>
      </c>
      <c r="AD277" t="s">
        <v>1</v>
      </c>
      <c r="AE277">
        <v>34</v>
      </c>
      <c r="AF277">
        <v>4</v>
      </c>
      <c r="AH277" t="s">
        <v>5330</v>
      </c>
      <c r="AI277" t="s">
        <v>5329</v>
      </c>
      <c r="AK277" t="s">
        <v>5328</v>
      </c>
      <c r="AL277">
        <v>77</v>
      </c>
      <c r="AM277" s="5">
        <f t="shared" si="35"/>
        <v>2.9615384615384617</v>
      </c>
      <c r="AN277" s="4">
        <f t="shared" si="36"/>
        <v>4.4854804415576854E-3</v>
      </c>
      <c r="AO277" s="3"/>
      <c r="AP277">
        <v>0</v>
      </c>
      <c r="AQ277" t="s">
        <v>5327</v>
      </c>
      <c r="AR277" t="s">
        <v>0</v>
      </c>
      <c r="AS277" t="s">
        <v>5326</v>
      </c>
      <c r="AT277" s="2" t="s">
        <v>9</v>
      </c>
      <c r="AU277" s="1">
        <f t="shared" si="37"/>
        <v>4.1352584683974207</v>
      </c>
      <c r="AV277" s="1">
        <f t="shared" si="38"/>
        <v>3.0819126328998059</v>
      </c>
      <c r="AW277" s="1">
        <f t="shared" si="39"/>
        <v>2.028566797402191</v>
      </c>
    </row>
    <row r="278" spans="1:49" x14ac:dyDescent="0.2">
      <c r="A278">
        <v>276</v>
      </c>
      <c r="B278" t="s">
        <v>5325</v>
      </c>
      <c r="C278" t="s">
        <v>5324</v>
      </c>
      <c r="D278" t="s">
        <v>5323</v>
      </c>
      <c r="F278" t="s">
        <v>5322</v>
      </c>
      <c r="G278" t="s">
        <v>6</v>
      </c>
      <c r="H278" t="s">
        <v>5</v>
      </c>
      <c r="I278" t="s">
        <v>5321</v>
      </c>
      <c r="J278">
        <v>60001439</v>
      </c>
      <c r="K278" t="s">
        <v>134</v>
      </c>
      <c r="L278" t="s">
        <v>133</v>
      </c>
      <c r="M278" t="s">
        <v>2</v>
      </c>
      <c r="N278">
        <v>2</v>
      </c>
      <c r="O278" t="s">
        <v>5320</v>
      </c>
      <c r="P278" t="s">
        <v>5319</v>
      </c>
      <c r="Q278" t="s">
        <v>198</v>
      </c>
      <c r="R278" s="7">
        <v>35400</v>
      </c>
      <c r="S278" s="8">
        <f t="shared" si="32"/>
        <v>1996</v>
      </c>
      <c r="T278" s="8">
        <v>1996</v>
      </c>
      <c r="U278" s="8">
        <f t="shared" si="33"/>
        <v>26</v>
      </c>
      <c r="V278" s="7">
        <v>1996</v>
      </c>
      <c r="W278" t="s">
        <v>150</v>
      </c>
      <c r="X278" s="2">
        <v>1.6519999999999999</v>
      </c>
      <c r="Y278" s="6">
        <f t="shared" si="34"/>
        <v>4.409919649769093E-2</v>
      </c>
      <c r="AA278" t="s">
        <v>149</v>
      </c>
      <c r="AB278">
        <v>17337</v>
      </c>
      <c r="AD278" t="s">
        <v>1</v>
      </c>
      <c r="AE278">
        <v>44</v>
      </c>
      <c r="AF278">
        <v>7</v>
      </c>
      <c r="AH278" t="s">
        <v>5318</v>
      </c>
      <c r="AI278" t="s">
        <v>5317</v>
      </c>
      <c r="AK278" t="s">
        <v>5316</v>
      </c>
      <c r="AL278">
        <v>86</v>
      </c>
      <c r="AM278" s="5">
        <f t="shared" si="35"/>
        <v>3.3076923076923075</v>
      </c>
      <c r="AN278" s="4">
        <f t="shared" si="36"/>
        <v>5.0097573762852062E-3</v>
      </c>
      <c r="AO278" s="3"/>
      <c r="AP278">
        <v>0</v>
      </c>
      <c r="AR278" t="s">
        <v>0</v>
      </c>
      <c r="AT278" s="2" t="s">
        <v>9</v>
      </c>
      <c r="AU278" s="1">
        <f t="shared" si="37"/>
        <v>3.2372364761269217</v>
      </c>
      <c r="AV278" s="1">
        <f t="shared" si="38"/>
        <v>2.4554476936988068</v>
      </c>
      <c r="AW278" s="1">
        <f t="shared" si="39"/>
        <v>1.6736589112706923</v>
      </c>
    </row>
    <row r="279" spans="1:49" x14ac:dyDescent="0.2">
      <c r="A279">
        <v>277</v>
      </c>
      <c r="B279" t="s">
        <v>5315</v>
      </c>
      <c r="C279" t="s">
        <v>5314</v>
      </c>
      <c r="F279" t="s">
        <v>5313</v>
      </c>
      <c r="G279" t="s">
        <v>6</v>
      </c>
      <c r="H279" t="s">
        <v>5</v>
      </c>
      <c r="I279" t="s">
        <v>5312</v>
      </c>
      <c r="J279">
        <v>60027384</v>
      </c>
      <c r="K279" t="s">
        <v>5311</v>
      </c>
      <c r="L279" t="s">
        <v>374</v>
      </c>
      <c r="M279" t="s">
        <v>25</v>
      </c>
      <c r="N279">
        <v>1</v>
      </c>
      <c r="O279" t="s">
        <v>5310</v>
      </c>
      <c r="P279">
        <v>35608121500</v>
      </c>
      <c r="Q279">
        <v>60027384</v>
      </c>
      <c r="R279" s="7">
        <v>35400</v>
      </c>
      <c r="S279" s="8">
        <f t="shared" si="32"/>
        <v>1996</v>
      </c>
      <c r="T279" s="8">
        <v>1996</v>
      </c>
      <c r="U279" s="8">
        <f t="shared" si="33"/>
        <v>26</v>
      </c>
      <c r="V279" s="7">
        <v>1996</v>
      </c>
      <c r="W279" t="s">
        <v>5309</v>
      </c>
      <c r="X279" s="2">
        <v>0.81499999999999995</v>
      </c>
      <c r="Y279" s="6">
        <f t="shared" si="34"/>
        <v>2.1755959531245827E-2</v>
      </c>
      <c r="AA279">
        <v>10709908</v>
      </c>
      <c r="AB279">
        <v>17316</v>
      </c>
      <c r="AD279" t="s">
        <v>1</v>
      </c>
      <c r="AE279">
        <v>3</v>
      </c>
      <c r="AF279">
        <v>7</v>
      </c>
      <c r="AH279" t="s">
        <v>5308</v>
      </c>
      <c r="AI279" t="s">
        <v>5307</v>
      </c>
      <c r="AK279" t="s">
        <v>5306</v>
      </c>
      <c r="AL279">
        <v>1</v>
      </c>
      <c r="AM279" s="5">
        <f t="shared" si="35"/>
        <v>3.8461538461538464E-2</v>
      </c>
      <c r="AN279" s="4">
        <f t="shared" si="36"/>
        <v>5.8252992747502406E-5</v>
      </c>
      <c r="AO279" s="3"/>
      <c r="AP279">
        <v>0</v>
      </c>
      <c r="AR279" t="s">
        <v>0</v>
      </c>
      <c r="AT279" s="2">
        <v>3.109</v>
      </c>
      <c r="AU279" s="1">
        <f t="shared" si="37"/>
        <v>1.5246647569696328</v>
      </c>
      <c r="AV279" s="1">
        <f t="shared" si="38"/>
        <v>1.0907106261996666</v>
      </c>
      <c r="AW279" s="1">
        <f t="shared" si="39"/>
        <v>0.65675649542969994</v>
      </c>
    </row>
    <row r="280" spans="1:49" x14ac:dyDescent="0.2">
      <c r="A280">
        <v>278</v>
      </c>
      <c r="B280" t="s">
        <v>5305</v>
      </c>
      <c r="C280" t="s">
        <v>5304</v>
      </c>
      <c r="D280" t="s">
        <v>5303</v>
      </c>
      <c r="F280" t="s">
        <v>5302</v>
      </c>
      <c r="G280" t="s">
        <v>6</v>
      </c>
      <c r="H280" t="s">
        <v>5</v>
      </c>
      <c r="I280" t="s">
        <v>5301</v>
      </c>
      <c r="N280">
        <v>8</v>
      </c>
      <c r="O280" t="s">
        <v>5300</v>
      </c>
      <c r="P280" t="s">
        <v>5299</v>
      </c>
      <c r="Q280" t="s">
        <v>5298</v>
      </c>
      <c r="R280" s="7">
        <v>35400</v>
      </c>
      <c r="S280" s="8">
        <f t="shared" si="32"/>
        <v>1996</v>
      </c>
      <c r="T280" s="8">
        <v>1996</v>
      </c>
      <c r="U280" s="8">
        <f t="shared" si="33"/>
        <v>26</v>
      </c>
      <c r="V280" s="7">
        <v>1996</v>
      </c>
      <c r="W280" t="s">
        <v>410</v>
      </c>
      <c r="X280" s="2">
        <v>1.3720000000000001</v>
      </c>
      <c r="Y280" s="6">
        <f t="shared" si="34"/>
        <v>3.662475641333654E-2</v>
      </c>
      <c r="AA280">
        <v>189480</v>
      </c>
      <c r="AB280">
        <v>17366</v>
      </c>
      <c r="AD280" t="s">
        <v>1</v>
      </c>
      <c r="AE280">
        <v>44</v>
      </c>
      <c r="AF280" t="s">
        <v>5297</v>
      </c>
      <c r="AH280" t="s">
        <v>5296</v>
      </c>
      <c r="AI280" t="s">
        <v>5295</v>
      </c>
      <c r="AK280" t="s">
        <v>5294</v>
      </c>
      <c r="AL280">
        <v>13</v>
      </c>
      <c r="AM280" s="5">
        <f t="shared" si="35"/>
        <v>0.5</v>
      </c>
      <c r="AN280" s="4">
        <f t="shared" si="36"/>
        <v>7.572889057175312E-4</v>
      </c>
      <c r="AO280" s="3"/>
      <c r="AP280">
        <v>0</v>
      </c>
      <c r="AQ280" t="s">
        <v>5293</v>
      </c>
      <c r="AR280" t="s">
        <v>0</v>
      </c>
      <c r="AS280" t="s">
        <v>5292</v>
      </c>
      <c r="AT280" s="2" t="s">
        <v>9</v>
      </c>
      <c r="AU280" s="1">
        <f t="shared" si="37"/>
        <v>2.5864516161050837</v>
      </c>
      <c r="AV280" s="1">
        <f t="shared" si="38"/>
        <v>1.8691022659527035</v>
      </c>
      <c r="AW280" s="1">
        <f t="shared" si="39"/>
        <v>1.1517529158003235</v>
      </c>
    </row>
    <row r="281" spans="1:49" x14ac:dyDescent="0.2">
      <c r="A281">
        <v>279</v>
      </c>
      <c r="B281" t="s">
        <v>5291</v>
      </c>
      <c r="C281" t="s">
        <v>5290</v>
      </c>
      <c r="F281" t="s">
        <v>5289</v>
      </c>
      <c r="G281" t="s">
        <v>6</v>
      </c>
      <c r="H281" t="s">
        <v>5</v>
      </c>
      <c r="I281" t="s">
        <v>5288</v>
      </c>
      <c r="J281">
        <v>60023813</v>
      </c>
      <c r="K281" t="s">
        <v>5287</v>
      </c>
      <c r="L281" t="s">
        <v>293</v>
      </c>
      <c r="M281" t="s">
        <v>35</v>
      </c>
      <c r="N281">
        <v>3</v>
      </c>
      <c r="O281" t="s">
        <v>5286</v>
      </c>
      <c r="P281" t="s">
        <v>5285</v>
      </c>
      <c r="Q281" t="s">
        <v>5284</v>
      </c>
      <c r="R281" s="7">
        <v>35400</v>
      </c>
      <c r="S281" s="8">
        <f t="shared" si="32"/>
        <v>1996</v>
      </c>
      <c r="T281" s="8">
        <v>1996</v>
      </c>
      <c r="U281" s="8">
        <f t="shared" si="33"/>
        <v>26</v>
      </c>
      <c r="V281" s="7">
        <v>1996</v>
      </c>
      <c r="W281" t="s">
        <v>3838</v>
      </c>
      <c r="X281" s="2">
        <v>1.137</v>
      </c>
      <c r="Y281" s="6">
        <f t="shared" si="34"/>
        <v>3.0351565628253384E-2</v>
      </c>
      <c r="AA281">
        <v>189251</v>
      </c>
      <c r="AB281">
        <v>17336</v>
      </c>
      <c r="AD281" t="s">
        <v>1</v>
      </c>
      <c r="AE281">
        <v>32</v>
      </c>
      <c r="AF281">
        <v>3</v>
      </c>
      <c r="AH281" t="s">
        <v>5283</v>
      </c>
      <c r="AI281" t="s">
        <v>5282</v>
      </c>
      <c r="AK281" t="s">
        <v>5281</v>
      </c>
      <c r="AL281">
        <v>1</v>
      </c>
      <c r="AM281" s="5">
        <f t="shared" si="35"/>
        <v>3.8461538461538464E-2</v>
      </c>
      <c r="AN281" s="4">
        <f t="shared" si="36"/>
        <v>5.8252992747502406E-5</v>
      </c>
      <c r="AO281" s="3"/>
      <c r="AP281">
        <v>0</v>
      </c>
      <c r="AR281" t="s">
        <v>0</v>
      </c>
      <c r="AT281" s="2" t="s">
        <v>9</v>
      </c>
      <c r="AU281" s="1">
        <f t="shared" si="37"/>
        <v>2.1263571837601618</v>
      </c>
      <c r="AV281" s="1">
        <f t="shared" si="38"/>
        <v>1.5204909310500443</v>
      </c>
      <c r="AW281" s="1">
        <f t="shared" si="39"/>
        <v>0.91462467833992678</v>
      </c>
    </row>
    <row r="282" spans="1:49" x14ac:dyDescent="0.2">
      <c r="A282">
        <v>280</v>
      </c>
      <c r="B282" t="s">
        <v>5280</v>
      </c>
      <c r="C282" t="s">
        <v>5279</v>
      </c>
      <c r="D282" t="s">
        <v>5278</v>
      </c>
      <c r="F282" t="s">
        <v>5277</v>
      </c>
      <c r="G282" t="s">
        <v>6</v>
      </c>
      <c r="H282" t="s">
        <v>5</v>
      </c>
      <c r="I282" t="s">
        <v>5276</v>
      </c>
      <c r="J282">
        <v>60025778</v>
      </c>
      <c r="K282" t="s">
        <v>96</v>
      </c>
      <c r="L282" t="s">
        <v>95</v>
      </c>
      <c r="M282" t="s">
        <v>2</v>
      </c>
      <c r="N282">
        <v>1</v>
      </c>
      <c r="O282" t="s">
        <v>5275</v>
      </c>
      <c r="P282">
        <v>7005706117</v>
      </c>
      <c r="Q282">
        <v>60025778</v>
      </c>
      <c r="R282" s="7">
        <v>35400</v>
      </c>
      <c r="S282" s="8">
        <f t="shared" si="32"/>
        <v>1996</v>
      </c>
      <c r="T282" s="8">
        <v>1996</v>
      </c>
      <c r="U282" s="8">
        <f t="shared" si="33"/>
        <v>26</v>
      </c>
      <c r="V282" s="7">
        <v>1996</v>
      </c>
      <c r="W282" t="s">
        <v>711</v>
      </c>
      <c r="X282" s="2">
        <v>2.141</v>
      </c>
      <c r="Y282" s="6">
        <f t="shared" si="34"/>
        <v>5.7152772216438434E-2</v>
      </c>
      <c r="AA282">
        <v>1962892</v>
      </c>
      <c r="AB282">
        <v>17360</v>
      </c>
      <c r="AD282" t="s">
        <v>1</v>
      </c>
      <c r="AE282">
        <v>34</v>
      </c>
      <c r="AF282">
        <v>4</v>
      </c>
      <c r="AH282" t="s">
        <v>5274</v>
      </c>
      <c r="AI282" t="s">
        <v>5273</v>
      </c>
      <c r="AK282" t="s">
        <v>5272</v>
      </c>
      <c r="AL282">
        <v>5</v>
      </c>
      <c r="AM282" s="5">
        <f t="shared" si="35"/>
        <v>0.19230769230769232</v>
      </c>
      <c r="AN282" s="4">
        <f t="shared" si="36"/>
        <v>2.9126496373751206E-4</v>
      </c>
      <c r="AO282" s="3"/>
      <c r="AP282">
        <v>0</v>
      </c>
      <c r="AQ282" t="s">
        <v>21</v>
      </c>
      <c r="AR282" t="s">
        <v>5271</v>
      </c>
      <c r="AS282" t="s">
        <v>20</v>
      </c>
      <c r="AT282" s="2" t="s">
        <v>9</v>
      </c>
      <c r="AU282" s="1">
        <f t="shared" si="37"/>
        <v>4.0094320040628153</v>
      </c>
      <c r="AV282" s="1">
        <f t="shared" si="38"/>
        <v>2.8722018590087974</v>
      </c>
      <c r="AW282" s="1">
        <f t="shared" si="39"/>
        <v>1.7349717139547787</v>
      </c>
    </row>
    <row r="283" spans="1:49" x14ac:dyDescent="0.2">
      <c r="A283">
        <v>281</v>
      </c>
      <c r="B283" t="s">
        <v>5270</v>
      </c>
      <c r="C283" t="s">
        <v>5269</v>
      </c>
      <c r="D283" t="s">
        <v>5268</v>
      </c>
      <c r="F283" t="s">
        <v>5267</v>
      </c>
      <c r="G283" t="s">
        <v>6</v>
      </c>
      <c r="H283" t="s">
        <v>5</v>
      </c>
      <c r="I283" t="s">
        <v>5266</v>
      </c>
      <c r="J283">
        <v>60019000</v>
      </c>
      <c r="K283" t="s">
        <v>638</v>
      </c>
      <c r="L283" t="s">
        <v>637</v>
      </c>
      <c r="M283" t="s">
        <v>41</v>
      </c>
      <c r="N283">
        <v>2</v>
      </c>
      <c r="O283" t="s">
        <v>5265</v>
      </c>
      <c r="P283" t="s">
        <v>5264</v>
      </c>
      <c r="Q283" t="s">
        <v>5263</v>
      </c>
      <c r="R283" s="7">
        <v>35400</v>
      </c>
      <c r="S283" s="8">
        <f t="shared" si="32"/>
        <v>1996</v>
      </c>
      <c r="T283" s="8">
        <v>1996</v>
      </c>
      <c r="U283" s="8">
        <f t="shared" si="33"/>
        <v>26</v>
      </c>
      <c r="V283" s="7">
        <v>1996</v>
      </c>
      <c r="W283" t="s">
        <v>150</v>
      </c>
      <c r="X283" s="2">
        <v>1.6519999999999999</v>
      </c>
      <c r="Y283" s="6">
        <f t="shared" si="34"/>
        <v>4.409919649769093E-2</v>
      </c>
      <c r="AA283" t="s">
        <v>149</v>
      </c>
      <c r="AB283">
        <v>17337</v>
      </c>
      <c r="AD283" t="s">
        <v>1</v>
      </c>
      <c r="AE283">
        <v>44</v>
      </c>
      <c r="AF283">
        <v>7</v>
      </c>
      <c r="AH283" t="s">
        <v>5262</v>
      </c>
      <c r="AI283" t="s">
        <v>5261</v>
      </c>
      <c r="AK283" t="s">
        <v>5260</v>
      </c>
      <c r="AL283">
        <v>1</v>
      </c>
      <c r="AM283" s="5">
        <f t="shared" si="35"/>
        <v>3.8461538461538464E-2</v>
      </c>
      <c r="AN283" s="4">
        <f t="shared" si="36"/>
        <v>5.8252992747502406E-5</v>
      </c>
      <c r="AO283" s="3"/>
      <c r="AP283">
        <v>0</v>
      </c>
      <c r="AR283" t="s">
        <v>0</v>
      </c>
      <c r="AT283" s="2" t="s">
        <v>9</v>
      </c>
      <c r="AU283" s="1">
        <f t="shared" si="37"/>
        <v>3.0886913446207904</v>
      </c>
      <c r="AV283" s="1">
        <f t="shared" si="38"/>
        <v>2.2078724745219218</v>
      </c>
      <c r="AW283" s="1">
        <f t="shared" si="39"/>
        <v>1.327053604423053</v>
      </c>
    </row>
    <row r="284" spans="1:49" x14ac:dyDescent="0.2">
      <c r="A284">
        <v>282</v>
      </c>
      <c r="B284" t="s">
        <v>5259</v>
      </c>
      <c r="C284" t="s">
        <v>5258</v>
      </c>
      <c r="F284" t="s">
        <v>5257</v>
      </c>
      <c r="G284" t="s">
        <v>6</v>
      </c>
      <c r="H284" t="s">
        <v>5</v>
      </c>
      <c r="I284" t="s">
        <v>5256</v>
      </c>
      <c r="J284">
        <v>60003218</v>
      </c>
      <c r="K284" t="s">
        <v>5255</v>
      </c>
      <c r="L284" t="s">
        <v>592</v>
      </c>
      <c r="M284" t="s">
        <v>44</v>
      </c>
      <c r="N284">
        <v>3</v>
      </c>
      <c r="O284" t="s">
        <v>5254</v>
      </c>
      <c r="P284" t="s">
        <v>5253</v>
      </c>
      <c r="Q284" t="s">
        <v>5252</v>
      </c>
      <c r="R284" s="7">
        <v>35400</v>
      </c>
      <c r="S284" s="8">
        <f t="shared" si="32"/>
        <v>1996</v>
      </c>
      <c r="T284" s="8">
        <v>1996</v>
      </c>
      <c r="U284" s="8">
        <f t="shared" si="33"/>
        <v>26</v>
      </c>
      <c r="V284" s="7">
        <v>1996</v>
      </c>
      <c r="W284" t="s">
        <v>298</v>
      </c>
      <c r="X284" s="2">
        <v>0.62</v>
      </c>
      <c r="Y284" s="6">
        <f t="shared" si="34"/>
        <v>1.6550545901070447E-2</v>
      </c>
      <c r="AA284">
        <v>189464</v>
      </c>
      <c r="AB284">
        <v>17364</v>
      </c>
      <c r="AD284" t="s">
        <v>1</v>
      </c>
      <c r="AE284">
        <v>32</v>
      </c>
      <c r="AF284" t="s">
        <v>5251</v>
      </c>
      <c r="AH284" t="s">
        <v>5250</v>
      </c>
      <c r="AI284" t="s">
        <v>5249</v>
      </c>
      <c r="AK284" t="s">
        <v>5248</v>
      </c>
      <c r="AL284">
        <v>4</v>
      </c>
      <c r="AM284" s="5">
        <f t="shared" si="35"/>
        <v>0.15384615384615385</v>
      </c>
      <c r="AN284" s="4">
        <f t="shared" si="36"/>
        <v>2.3301197099000962E-4</v>
      </c>
      <c r="AO284" s="3"/>
      <c r="AP284">
        <v>0</v>
      </c>
      <c r="AR284" t="s">
        <v>0</v>
      </c>
      <c r="AT284" s="2">
        <v>1.7</v>
      </c>
      <c r="AU284" s="1">
        <f t="shared" si="37"/>
        <v>1.1655285722046316</v>
      </c>
      <c r="AV284" s="1">
        <f t="shared" si="38"/>
        <v>0.83917789360302275</v>
      </c>
      <c r="AW284" s="1">
        <f t="shared" si="39"/>
        <v>0.51282721500141404</v>
      </c>
    </row>
    <row r="285" spans="1:49" x14ac:dyDescent="0.2">
      <c r="A285">
        <v>283</v>
      </c>
      <c r="B285" t="s">
        <v>5247</v>
      </c>
      <c r="C285" t="s">
        <v>5246</v>
      </c>
      <c r="D285" t="s">
        <v>5245</v>
      </c>
      <c r="F285" t="s">
        <v>5244</v>
      </c>
      <c r="G285" t="s">
        <v>6</v>
      </c>
      <c r="H285" t="s">
        <v>5</v>
      </c>
      <c r="I285" t="s">
        <v>5243</v>
      </c>
      <c r="J285">
        <v>60005429</v>
      </c>
      <c r="K285" t="s">
        <v>389</v>
      </c>
      <c r="L285" t="s">
        <v>388</v>
      </c>
      <c r="M285" t="s">
        <v>146</v>
      </c>
      <c r="N285">
        <v>2</v>
      </c>
      <c r="O285" t="s">
        <v>5242</v>
      </c>
      <c r="P285" t="s">
        <v>5241</v>
      </c>
      <c r="Q285" t="s">
        <v>385</v>
      </c>
      <c r="R285" s="7">
        <v>35400</v>
      </c>
      <c r="S285" s="8">
        <f t="shared" si="32"/>
        <v>1996</v>
      </c>
      <c r="T285" s="8">
        <v>1996</v>
      </c>
      <c r="U285" s="8">
        <f t="shared" si="33"/>
        <v>26</v>
      </c>
      <c r="V285" s="7">
        <v>1996</v>
      </c>
      <c r="W285" t="s">
        <v>150</v>
      </c>
      <c r="X285" s="2">
        <v>1.6519999999999999</v>
      </c>
      <c r="Y285" s="6">
        <f t="shared" si="34"/>
        <v>4.409919649769093E-2</v>
      </c>
      <c r="AA285" t="s">
        <v>149</v>
      </c>
      <c r="AB285">
        <v>17337</v>
      </c>
      <c r="AD285" t="s">
        <v>1</v>
      </c>
      <c r="AE285">
        <v>44</v>
      </c>
      <c r="AF285">
        <v>7</v>
      </c>
      <c r="AH285" t="s">
        <v>5240</v>
      </c>
      <c r="AI285" t="s">
        <v>5239</v>
      </c>
      <c r="AK285" t="s">
        <v>5238</v>
      </c>
      <c r="AL285">
        <v>13</v>
      </c>
      <c r="AM285" s="5">
        <f t="shared" si="35"/>
        <v>0.5</v>
      </c>
      <c r="AN285" s="4">
        <f t="shared" si="36"/>
        <v>7.572889057175312E-4</v>
      </c>
      <c r="AO285" s="3"/>
      <c r="AP285">
        <v>0</v>
      </c>
      <c r="AQ285" t="s">
        <v>605</v>
      </c>
      <c r="AR285" t="s">
        <v>5237</v>
      </c>
      <c r="AS285" t="s">
        <v>604</v>
      </c>
      <c r="AT285" s="2" t="s">
        <v>9</v>
      </c>
      <c r="AU285" s="1">
        <f t="shared" si="37"/>
        <v>3.1096624220098912</v>
      </c>
      <c r="AV285" s="1">
        <f t="shared" si="38"/>
        <v>2.2428242701704231</v>
      </c>
      <c r="AW285" s="1">
        <f t="shared" si="39"/>
        <v>1.375986118330955</v>
      </c>
    </row>
    <row r="286" spans="1:49" x14ac:dyDescent="0.2">
      <c r="A286">
        <v>284</v>
      </c>
      <c r="B286" t="s">
        <v>5236</v>
      </c>
      <c r="C286" t="s">
        <v>5235</v>
      </c>
      <c r="D286" t="s">
        <v>5234</v>
      </c>
      <c r="F286" t="s">
        <v>5233</v>
      </c>
      <c r="G286" t="s">
        <v>6</v>
      </c>
      <c r="H286" t="s">
        <v>5</v>
      </c>
      <c r="I286" t="s">
        <v>5232</v>
      </c>
      <c r="J286">
        <v>60027550</v>
      </c>
      <c r="K286" t="s">
        <v>113</v>
      </c>
      <c r="L286" t="s">
        <v>112</v>
      </c>
      <c r="M286" t="s">
        <v>2</v>
      </c>
      <c r="N286">
        <v>2</v>
      </c>
      <c r="O286" t="s">
        <v>5231</v>
      </c>
      <c r="P286" t="s">
        <v>5230</v>
      </c>
      <c r="Q286" t="s">
        <v>261</v>
      </c>
      <c r="R286" s="7">
        <v>35400</v>
      </c>
      <c r="S286" s="8">
        <f t="shared" si="32"/>
        <v>1996</v>
      </c>
      <c r="T286" s="8">
        <v>1996</v>
      </c>
      <c r="U286" s="8">
        <f t="shared" si="33"/>
        <v>26</v>
      </c>
      <c r="V286" s="7">
        <v>1996</v>
      </c>
      <c r="W286" t="s">
        <v>150</v>
      </c>
      <c r="X286" s="2">
        <v>1.6519999999999999</v>
      </c>
      <c r="Y286" s="6">
        <f t="shared" si="34"/>
        <v>4.409919649769093E-2</v>
      </c>
      <c r="AA286" t="s">
        <v>149</v>
      </c>
      <c r="AB286">
        <v>17337</v>
      </c>
      <c r="AD286" t="s">
        <v>1</v>
      </c>
      <c r="AE286">
        <v>44</v>
      </c>
      <c r="AF286">
        <v>7</v>
      </c>
      <c r="AH286" t="s">
        <v>5229</v>
      </c>
      <c r="AI286" t="s">
        <v>5228</v>
      </c>
      <c r="AK286" t="s">
        <v>5227</v>
      </c>
      <c r="AL286">
        <v>69</v>
      </c>
      <c r="AM286" s="5">
        <f t="shared" si="35"/>
        <v>2.6538461538461537</v>
      </c>
      <c r="AN286" s="4">
        <f t="shared" si="36"/>
        <v>4.0194564995776659E-3</v>
      </c>
      <c r="AO286" s="3"/>
      <c r="AP286">
        <v>0</v>
      </c>
      <c r="AR286" t="s">
        <v>0</v>
      </c>
      <c r="AT286" s="2" t="s">
        <v>9</v>
      </c>
      <c r="AU286" s="1">
        <f t="shared" si="37"/>
        <v>3.2075274498256952</v>
      </c>
      <c r="AV286" s="1">
        <f t="shared" si="38"/>
        <v>2.4059326498634301</v>
      </c>
      <c r="AW286" s="1">
        <f t="shared" si="39"/>
        <v>1.6043378499011645</v>
      </c>
    </row>
    <row r="287" spans="1:49" x14ac:dyDescent="0.2">
      <c r="A287">
        <v>285</v>
      </c>
      <c r="B287" t="s">
        <v>5226</v>
      </c>
      <c r="F287" t="s">
        <v>5225</v>
      </c>
      <c r="G287" t="s">
        <v>6</v>
      </c>
      <c r="H287" t="s">
        <v>5</v>
      </c>
      <c r="I287" t="s">
        <v>4561</v>
      </c>
      <c r="J287">
        <v>60013789</v>
      </c>
      <c r="K287" t="s">
        <v>5224</v>
      </c>
      <c r="L287" t="s">
        <v>36</v>
      </c>
      <c r="M287" t="s">
        <v>35</v>
      </c>
      <c r="N287">
        <v>3</v>
      </c>
      <c r="O287" t="s">
        <v>5223</v>
      </c>
      <c r="P287" t="s">
        <v>5222</v>
      </c>
      <c r="Q287" t="s">
        <v>5221</v>
      </c>
      <c r="R287" s="7">
        <v>35400</v>
      </c>
      <c r="S287" s="8">
        <f t="shared" si="32"/>
        <v>1996</v>
      </c>
      <c r="T287" s="8">
        <v>1996</v>
      </c>
      <c r="U287" s="8">
        <f t="shared" si="33"/>
        <v>26</v>
      </c>
      <c r="V287" s="7">
        <v>1996</v>
      </c>
      <c r="W287" t="s">
        <v>853</v>
      </c>
      <c r="X287" s="2">
        <v>0.26700000000000002</v>
      </c>
      <c r="Y287" s="6">
        <f t="shared" si="34"/>
        <v>7.1274125090093707E-3</v>
      </c>
      <c r="AA287">
        <v>10224653</v>
      </c>
      <c r="AB287">
        <v>24184</v>
      </c>
      <c r="AD287" t="s">
        <v>1</v>
      </c>
      <c r="AE287">
        <v>5</v>
      </c>
      <c r="AF287">
        <v>1</v>
      </c>
      <c r="AH287" t="s">
        <v>5220</v>
      </c>
      <c r="AI287" t="s">
        <v>5219</v>
      </c>
      <c r="AJ287" t="s">
        <v>5218</v>
      </c>
      <c r="AK287" t="s">
        <v>5217</v>
      </c>
      <c r="AL287">
        <v>3</v>
      </c>
      <c r="AM287" s="5">
        <f t="shared" si="35"/>
        <v>0.11538461538461539</v>
      </c>
      <c r="AN287" s="4">
        <f t="shared" si="36"/>
        <v>1.7475897824250722E-4</v>
      </c>
      <c r="AO287" s="3"/>
      <c r="AP287">
        <v>0</v>
      </c>
      <c r="AR287" t="s">
        <v>0</v>
      </c>
      <c r="AT287" s="2">
        <v>1.014</v>
      </c>
      <c r="AU287" s="1">
        <f t="shared" si="37"/>
        <v>0.50416164497793114</v>
      </c>
      <c r="AV287" s="1">
        <f t="shared" si="38"/>
        <v>0.36510857436259392</v>
      </c>
      <c r="AW287" s="1">
        <f t="shared" si="39"/>
        <v>0.22605550374725658</v>
      </c>
    </row>
    <row r="288" spans="1:49" x14ac:dyDescent="0.2">
      <c r="A288">
        <v>286</v>
      </c>
      <c r="B288" t="s">
        <v>5216</v>
      </c>
      <c r="C288" t="s">
        <v>5215</v>
      </c>
      <c r="D288" t="s">
        <v>5214</v>
      </c>
      <c r="F288" t="s">
        <v>5213</v>
      </c>
      <c r="G288" t="s">
        <v>6</v>
      </c>
      <c r="H288" t="s">
        <v>5</v>
      </c>
      <c r="I288" t="s">
        <v>5212</v>
      </c>
      <c r="J288" t="s">
        <v>5211</v>
      </c>
      <c r="K288" t="s">
        <v>5210</v>
      </c>
      <c r="L288" t="s">
        <v>5209</v>
      </c>
      <c r="M288" t="s">
        <v>126</v>
      </c>
      <c r="N288">
        <v>3</v>
      </c>
      <c r="O288" t="s">
        <v>5208</v>
      </c>
      <c r="P288" t="s">
        <v>5207</v>
      </c>
      <c r="Q288" t="s">
        <v>5206</v>
      </c>
      <c r="R288" s="7">
        <v>35400</v>
      </c>
      <c r="S288" s="8">
        <f t="shared" si="32"/>
        <v>1996</v>
      </c>
      <c r="T288" s="8">
        <v>1996</v>
      </c>
      <c r="U288" s="8">
        <f t="shared" si="33"/>
        <v>26</v>
      </c>
      <c r="V288" s="7">
        <v>1996</v>
      </c>
      <c r="W288" t="s">
        <v>4067</v>
      </c>
      <c r="X288" s="2">
        <v>0.82</v>
      </c>
      <c r="Y288" s="6">
        <f t="shared" si="34"/>
        <v>2.1889431675609299E-2</v>
      </c>
      <c r="AA288">
        <v>189456</v>
      </c>
      <c r="AB288">
        <v>15361</v>
      </c>
      <c r="AD288" t="s">
        <v>1</v>
      </c>
      <c r="AE288">
        <v>45</v>
      </c>
      <c r="AF288">
        <v>3</v>
      </c>
      <c r="AH288" t="s">
        <v>5205</v>
      </c>
      <c r="AI288" t="s">
        <v>5204</v>
      </c>
      <c r="AK288" t="s">
        <v>5203</v>
      </c>
      <c r="AL288">
        <v>6</v>
      </c>
      <c r="AM288" s="5">
        <f t="shared" si="35"/>
        <v>0.23076923076923078</v>
      </c>
      <c r="AN288" s="4">
        <f t="shared" si="36"/>
        <v>3.4951795648501444E-4</v>
      </c>
      <c r="AO288" s="3"/>
      <c r="AP288">
        <v>0</v>
      </c>
      <c r="AR288" t="s">
        <v>0</v>
      </c>
      <c r="AT288" s="2" t="s">
        <v>9</v>
      </c>
      <c r="AU288" s="1">
        <f t="shared" si="37"/>
        <v>1.5427457559872011</v>
      </c>
      <c r="AV288" s="1">
        <f t="shared" si="38"/>
        <v>1.1119474816047157</v>
      </c>
      <c r="AW288" s="1">
        <f t="shared" si="39"/>
        <v>0.68114920722222994</v>
      </c>
    </row>
    <row r="289" spans="1:49" x14ac:dyDescent="0.2">
      <c r="A289">
        <v>287</v>
      </c>
      <c r="B289" t="s">
        <v>5202</v>
      </c>
      <c r="C289" t="s">
        <v>5201</v>
      </c>
      <c r="D289" t="s">
        <v>5200</v>
      </c>
      <c r="F289" t="s">
        <v>5199</v>
      </c>
      <c r="G289" t="s">
        <v>6</v>
      </c>
      <c r="H289" t="s">
        <v>5</v>
      </c>
      <c r="I289" t="s">
        <v>5198</v>
      </c>
      <c r="J289">
        <v>60014264</v>
      </c>
      <c r="K289" t="s">
        <v>5197</v>
      </c>
      <c r="L289" t="s">
        <v>5196</v>
      </c>
      <c r="M289" t="s">
        <v>30</v>
      </c>
      <c r="N289">
        <v>2</v>
      </c>
      <c r="O289" t="s">
        <v>5195</v>
      </c>
      <c r="P289" t="s">
        <v>5194</v>
      </c>
      <c r="Q289" t="s">
        <v>5193</v>
      </c>
      <c r="R289" s="7">
        <v>35400</v>
      </c>
      <c r="S289" s="8">
        <f t="shared" si="32"/>
        <v>1996</v>
      </c>
      <c r="T289" s="8">
        <v>1996</v>
      </c>
      <c r="U289" s="8">
        <f t="shared" si="33"/>
        <v>26</v>
      </c>
      <c r="V289" s="7">
        <v>1996</v>
      </c>
      <c r="W289" t="s">
        <v>410</v>
      </c>
      <c r="X289" s="2">
        <v>1.3720000000000001</v>
      </c>
      <c r="Y289" s="6">
        <f t="shared" si="34"/>
        <v>3.662475641333654E-2</v>
      </c>
      <c r="AA289">
        <v>189480</v>
      </c>
      <c r="AB289">
        <v>17366</v>
      </c>
      <c r="AD289" t="s">
        <v>1</v>
      </c>
      <c r="AE289">
        <v>44</v>
      </c>
      <c r="AF289">
        <v>6</v>
      </c>
      <c r="AH289" t="s">
        <v>5192</v>
      </c>
      <c r="AI289" t="s">
        <v>5191</v>
      </c>
      <c r="AK289" t="s">
        <v>5190</v>
      </c>
      <c r="AL289">
        <v>78</v>
      </c>
      <c r="AM289" s="5">
        <f t="shared" si="35"/>
        <v>3</v>
      </c>
      <c r="AN289" s="4">
        <f t="shared" si="36"/>
        <v>4.5437334343051876E-3</v>
      </c>
      <c r="AO289" s="3"/>
      <c r="AP289">
        <v>0</v>
      </c>
      <c r="AR289" t="s">
        <v>0</v>
      </c>
      <c r="AT289" s="2" t="s">
        <v>9</v>
      </c>
      <c r="AU289" s="1">
        <f t="shared" si="37"/>
        <v>2.7000449519627132</v>
      </c>
      <c r="AV289" s="1">
        <f t="shared" si="38"/>
        <v>2.0584244923820867</v>
      </c>
      <c r="AW289" s="1">
        <f t="shared" si="39"/>
        <v>1.4168040328014595</v>
      </c>
    </row>
    <row r="290" spans="1:49" x14ac:dyDescent="0.2">
      <c r="A290">
        <v>288</v>
      </c>
      <c r="B290" t="s">
        <v>5189</v>
      </c>
      <c r="C290" t="s">
        <v>5188</v>
      </c>
      <c r="D290" t="s">
        <v>5187</v>
      </c>
      <c r="F290" t="s">
        <v>5186</v>
      </c>
      <c r="G290" t="s">
        <v>6</v>
      </c>
      <c r="H290" t="s">
        <v>5</v>
      </c>
      <c r="I290" t="s">
        <v>5185</v>
      </c>
      <c r="J290">
        <v>60002798</v>
      </c>
      <c r="K290" t="s">
        <v>5184</v>
      </c>
      <c r="L290" t="s">
        <v>391</v>
      </c>
      <c r="M290" t="s">
        <v>391</v>
      </c>
      <c r="N290">
        <v>2</v>
      </c>
      <c r="O290" t="s">
        <v>5183</v>
      </c>
      <c r="P290" t="s">
        <v>5182</v>
      </c>
      <c r="Q290" t="s">
        <v>5181</v>
      </c>
      <c r="R290" s="7">
        <v>35400</v>
      </c>
      <c r="S290" s="8">
        <f t="shared" si="32"/>
        <v>1996</v>
      </c>
      <c r="T290" s="8">
        <v>1996</v>
      </c>
      <c r="U290" s="8">
        <f t="shared" si="33"/>
        <v>26</v>
      </c>
      <c r="V290" s="7">
        <v>1996</v>
      </c>
      <c r="W290" t="s">
        <v>4269</v>
      </c>
      <c r="X290" s="2">
        <v>0.78200000000000003</v>
      </c>
      <c r="Y290" s="6">
        <f t="shared" si="34"/>
        <v>2.0875043378446919E-2</v>
      </c>
      <c r="AA290">
        <v>189316</v>
      </c>
      <c r="AB290">
        <v>19901</v>
      </c>
      <c r="AD290" t="s">
        <v>1</v>
      </c>
      <c r="AE290">
        <v>42</v>
      </c>
      <c r="AF290">
        <v>2</v>
      </c>
      <c r="AH290" t="s">
        <v>5180</v>
      </c>
      <c r="AI290" t="s">
        <v>5179</v>
      </c>
      <c r="AK290" t="s">
        <v>5178</v>
      </c>
      <c r="AL290">
        <v>2</v>
      </c>
      <c r="AM290" s="5">
        <f t="shared" si="35"/>
        <v>7.6923076923076927E-2</v>
      </c>
      <c r="AN290" s="4">
        <f t="shared" si="36"/>
        <v>1.1650598549500481E-4</v>
      </c>
      <c r="AO290" s="3"/>
      <c r="AP290">
        <v>0</v>
      </c>
      <c r="AR290" t="s">
        <v>0</v>
      </c>
      <c r="AT290" s="2">
        <v>3.863</v>
      </c>
      <c r="AU290" s="1">
        <f t="shared" si="37"/>
        <v>1.4647482160561343</v>
      </c>
      <c r="AV290" s="1">
        <f t="shared" si="38"/>
        <v>1.0495774681970962</v>
      </c>
      <c r="AW290" s="1">
        <f t="shared" si="39"/>
        <v>0.63440672033805789</v>
      </c>
    </row>
    <row r="291" spans="1:49" x14ac:dyDescent="0.2">
      <c r="A291">
        <v>289</v>
      </c>
      <c r="B291" t="s">
        <v>5177</v>
      </c>
      <c r="C291" t="s">
        <v>5176</v>
      </c>
      <c r="D291" t="s">
        <v>5175</v>
      </c>
      <c r="F291" t="s">
        <v>5174</v>
      </c>
      <c r="G291" t="s">
        <v>6</v>
      </c>
      <c r="H291" t="s">
        <v>5</v>
      </c>
      <c r="I291" t="s">
        <v>5173</v>
      </c>
      <c r="J291">
        <v>60011754</v>
      </c>
      <c r="K291" t="s">
        <v>400</v>
      </c>
      <c r="L291" t="s">
        <v>399</v>
      </c>
      <c r="M291" t="s">
        <v>2</v>
      </c>
      <c r="N291">
        <v>1</v>
      </c>
      <c r="O291" t="s">
        <v>5172</v>
      </c>
      <c r="P291">
        <v>54680124200</v>
      </c>
      <c r="Q291">
        <v>60011754</v>
      </c>
      <c r="R291" s="7">
        <v>35400</v>
      </c>
      <c r="S291" s="8">
        <f t="shared" si="32"/>
        <v>1996</v>
      </c>
      <c r="T291" s="8">
        <v>1996</v>
      </c>
      <c r="U291" s="8">
        <f t="shared" si="33"/>
        <v>26</v>
      </c>
      <c r="V291" s="7">
        <v>1996</v>
      </c>
      <c r="W291" t="s">
        <v>4083</v>
      </c>
      <c r="X291" s="2">
        <v>0.46</v>
      </c>
      <c r="Y291" s="6">
        <f t="shared" si="34"/>
        <v>1.2279437281439364E-2</v>
      </c>
      <c r="AA291">
        <v>933813</v>
      </c>
      <c r="AB291">
        <v>28031</v>
      </c>
      <c r="AD291" t="s">
        <v>1</v>
      </c>
      <c r="AE291">
        <v>24</v>
      </c>
      <c r="AF291">
        <v>3</v>
      </c>
      <c r="AH291" t="s">
        <v>5171</v>
      </c>
      <c r="AI291" t="s">
        <v>5170</v>
      </c>
      <c r="AK291" t="s">
        <v>5169</v>
      </c>
      <c r="AL291">
        <v>2</v>
      </c>
      <c r="AM291" s="5">
        <f t="shared" si="35"/>
        <v>7.6923076923076927E-2</v>
      </c>
      <c r="AN291" s="4">
        <f t="shared" si="36"/>
        <v>1.1650598549500481E-4</v>
      </c>
      <c r="AO291" s="3"/>
      <c r="AP291">
        <v>0</v>
      </c>
      <c r="AQ291" t="s">
        <v>24</v>
      </c>
      <c r="AR291" t="s">
        <v>5168</v>
      </c>
      <c r="AS291" t="s">
        <v>23</v>
      </c>
      <c r="AT291" s="2">
        <v>1.222</v>
      </c>
      <c r="AU291" s="1">
        <f t="shared" si="37"/>
        <v>0.86305578926560556</v>
      </c>
      <c r="AV291" s="1">
        <f t="shared" si="38"/>
        <v>0.61979716334671842</v>
      </c>
      <c r="AW291" s="1">
        <f t="shared" si="39"/>
        <v>0.37653853742783122</v>
      </c>
    </row>
    <row r="292" spans="1:49" x14ac:dyDescent="0.2">
      <c r="A292">
        <v>290</v>
      </c>
      <c r="B292" t="s">
        <v>5167</v>
      </c>
      <c r="C292" t="s">
        <v>5166</v>
      </c>
      <c r="D292" t="s">
        <v>5165</v>
      </c>
      <c r="F292" t="s">
        <v>5164</v>
      </c>
      <c r="G292" t="s">
        <v>6</v>
      </c>
      <c r="H292" t="s">
        <v>5</v>
      </c>
      <c r="I292" t="s">
        <v>5163</v>
      </c>
      <c r="J292">
        <v>60000765</v>
      </c>
      <c r="K292" t="s">
        <v>187</v>
      </c>
      <c r="L292" t="s">
        <v>186</v>
      </c>
      <c r="M292" t="s">
        <v>30</v>
      </c>
      <c r="N292">
        <v>3</v>
      </c>
      <c r="O292" t="s">
        <v>5162</v>
      </c>
      <c r="P292" t="s">
        <v>5161</v>
      </c>
      <c r="Q292" t="s">
        <v>5160</v>
      </c>
      <c r="R292" s="7">
        <v>35400</v>
      </c>
      <c r="S292" s="8">
        <f t="shared" si="32"/>
        <v>1996</v>
      </c>
      <c r="T292" s="8">
        <v>1996</v>
      </c>
      <c r="U292" s="8">
        <f t="shared" si="33"/>
        <v>26</v>
      </c>
      <c r="V292" s="7">
        <v>1996</v>
      </c>
      <c r="W292" t="s">
        <v>410</v>
      </c>
      <c r="X292" s="2">
        <v>1.3720000000000001</v>
      </c>
      <c r="Y292" s="6">
        <f t="shared" si="34"/>
        <v>3.662475641333654E-2</v>
      </c>
      <c r="AA292">
        <v>189480</v>
      </c>
      <c r="AB292">
        <v>17366</v>
      </c>
      <c r="AD292" t="s">
        <v>1</v>
      </c>
      <c r="AE292">
        <v>44</v>
      </c>
      <c r="AF292">
        <v>6</v>
      </c>
      <c r="AH292" t="s">
        <v>5159</v>
      </c>
      <c r="AI292" t="s">
        <v>5158</v>
      </c>
      <c r="AK292" t="s">
        <v>5157</v>
      </c>
      <c r="AL292">
        <v>26</v>
      </c>
      <c r="AM292" s="5">
        <f t="shared" si="35"/>
        <v>1</v>
      </c>
      <c r="AN292" s="4">
        <f t="shared" si="36"/>
        <v>1.5145778114350624E-3</v>
      </c>
      <c r="AO292" s="3"/>
      <c r="AP292">
        <v>0</v>
      </c>
      <c r="AR292" t="s">
        <v>5156</v>
      </c>
      <c r="AT292" s="2" t="s">
        <v>9</v>
      </c>
      <c r="AU292" s="1">
        <f t="shared" si="37"/>
        <v>2.6091702832766095</v>
      </c>
      <c r="AV292" s="1">
        <f t="shared" si="38"/>
        <v>1.90696671123858</v>
      </c>
      <c r="AW292" s="1">
        <f t="shared" si="39"/>
        <v>1.2047631392005507</v>
      </c>
    </row>
    <row r="293" spans="1:49" x14ac:dyDescent="0.2">
      <c r="A293">
        <v>291</v>
      </c>
      <c r="B293" t="s">
        <v>5155</v>
      </c>
      <c r="C293" t="s">
        <v>5154</v>
      </c>
      <c r="D293" t="s">
        <v>5153</v>
      </c>
      <c r="F293" t="s">
        <v>5152</v>
      </c>
      <c r="G293" t="s">
        <v>6</v>
      </c>
      <c r="H293" t="s">
        <v>5</v>
      </c>
      <c r="I293" t="s">
        <v>5151</v>
      </c>
      <c r="J293">
        <v>60005681</v>
      </c>
      <c r="K293" t="s">
        <v>369</v>
      </c>
      <c r="L293" t="s">
        <v>192</v>
      </c>
      <c r="M293" t="s">
        <v>191</v>
      </c>
      <c r="N293">
        <v>4</v>
      </c>
      <c r="O293" t="s">
        <v>5150</v>
      </c>
      <c r="P293" t="s">
        <v>5149</v>
      </c>
      <c r="Q293" t="s">
        <v>5148</v>
      </c>
      <c r="R293" s="7">
        <v>35400</v>
      </c>
      <c r="S293" s="8">
        <f t="shared" si="32"/>
        <v>1996</v>
      </c>
      <c r="T293" s="8">
        <v>1996</v>
      </c>
      <c r="U293" s="8">
        <f t="shared" si="33"/>
        <v>26</v>
      </c>
      <c r="V293" s="7">
        <v>1996</v>
      </c>
      <c r="W293" t="s">
        <v>4083</v>
      </c>
      <c r="X293" s="2">
        <v>0.46</v>
      </c>
      <c r="Y293" s="6">
        <f t="shared" si="34"/>
        <v>1.2279437281439364E-2</v>
      </c>
      <c r="AA293">
        <v>933813</v>
      </c>
      <c r="AB293">
        <v>28031</v>
      </c>
      <c r="AD293" t="s">
        <v>1</v>
      </c>
      <c r="AE293">
        <v>24</v>
      </c>
      <c r="AF293">
        <v>3</v>
      </c>
      <c r="AH293" t="s">
        <v>5147</v>
      </c>
      <c r="AI293" t="s">
        <v>5146</v>
      </c>
      <c r="AK293" t="s">
        <v>5145</v>
      </c>
      <c r="AL293">
        <v>8</v>
      </c>
      <c r="AM293" s="5">
        <f t="shared" si="35"/>
        <v>0.30769230769230771</v>
      </c>
      <c r="AN293" s="4">
        <f t="shared" si="36"/>
        <v>4.6602394198001925E-4</v>
      </c>
      <c r="AO293" s="3"/>
      <c r="AP293">
        <v>0</v>
      </c>
      <c r="AQ293" t="s">
        <v>5144</v>
      </c>
      <c r="AR293" t="s">
        <v>0</v>
      </c>
      <c r="AS293" t="s">
        <v>5143</v>
      </c>
      <c r="AT293" s="2">
        <v>1.222</v>
      </c>
      <c r="AU293" s="1">
        <f t="shared" si="37"/>
        <v>0.87354132796015593</v>
      </c>
      <c r="AV293" s="1">
        <f t="shared" si="38"/>
        <v>0.63727306117096916</v>
      </c>
      <c r="AW293" s="1">
        <f t="shared" si="39"/>
        <v>0.40100479438178227</v>
      </c>
    </row>
    <row r="294" spans="1:49" x14ac:dyDescent="0.2">
      <c r="A294">
        <v>292</v>
      </c>
      <c r="B294" t="s">
        <v>5142</v>
      </c>
      <c r="C294" t="s">
        <v>5141</v>
      </c>
      <c r="D294" t="s">
        <v>5140</v>
      </c>
      <c r="F294" t="s">
        <v>5139</v>
      </c>
      <c r="G294" t="s">
        <v>6</v>
      </c>
      <c r="H294" t="s">
        <v>5</v>
      </c>
      <c r="I294" t="s">
        <v>5138</v>
      </c>
      <c r="J294">
        <v>60027271</v>
      </c>
      <c r="K294" t="s">
        <v>5137</v>
      </c>
      <c r="L294" t="s">
        <v>106</v>
      </c>
      <c r="M294" t="s">
        <v>2</v>
      </c>
      <c r="N294">
        <v>5</v>
      </c>
      <c r="O294" t="s">
        <v>5136</v>
      </c>
      <c r="P294" t="s">
        <v>5135</v>
      </c>
      <c r="Q294" t="s">
        <v>5134</v>
      </c>
      <c r="R294" s="7">
        <v>35400</v>
      </c>
      <c r="S294" s="8">
        <f t="shared" si="32"/>
        <v>1996</v>
      </c>
      <c r="T294" s="8">
        <v>1996</v>
      </c>
      <c r="U294" s="8">
        <f t="shared" si="33"/>
        <v>26</v>
      </c>
      <c r="V294" s="7">
        <v>1996</v>
      </c>
      <c r="W294" t="s">
        <v>4083</v>
      </c>
      <c r="X294" s="2">
        <v>0.46</v>
      </c>
      <c r="Y294" s="6">
        <f t="shared" si="34"/>
        <v>1.2279437281439364E-2</v>
      </c>
      <c r="AA294">
        <v>933813</v>
      </c>
      <c r="AB294">
        <v>28031</v>
      </c>
      <c r="AD294" t="s">
        <v>1</v>
      </c>
      <c r="AE294">
        <v>24</v>
      </c>
      <c r="AF294">
        <v>3</v>
      </c>
      <c r="AH294" t="s">
        <v>5133</v>
      </c>
      <c r="AI294" t="s">
        <v>5132</v>
      </c>
      <c r="AK294" t="s">
        <v>5131</v>
      </c>
      <c r="AL294">
        <v>7</v>
      </c>
      <c r="AM294" s="5">
        <f t="shared" si="35"/>
        <v>0.26923076923076922</v>
      </c>
      <c r="AN294" s="4">
        <f t="shared" si="36"/>
        <v>4.0777094923251682E-4</v>
      </c>
      <c r="AO294" s="3"/>
      <c r="AP294">
        <v>0</v>
      </c>
      <c r="AQ294" t="s">
        <v>210</v>
      </c>
      <c r="AR294" t="s">
        <v>5130</v>
      </c>
      <c r="AS294" t="s">
        <v>209</v>
      </c>
      <c r="AT294" s="2">
        <v>1.222</v>
      </c>
      <c r="AU294" s="1">
        <f t="shared" si="37"/>
        <v>0.87179373817773076</v>
      </c>
      <c r="AV294" s="1">
        <f t="shared" si="38"/>
        <v>0.63436041153359402</v>
      </c>
      <c r="AW294" s="1">
        <f t="shared" si="39"/>
        <v>0.39692708488945705</v>
      </c>
    </row>
    <row r="295" spans="1:49" x14ac:dyDescent="0.2">
      <c r="A295">
        <v>293</v>
      </c>
      <c r="B295" t="s">
        <v>5129</v>
      </c>
      <c r="F295" t="s">
        <v>5128</v>
      </c>
      <c r="G295" t="s">
        <v>6</v>
      </c>
      <c r="H295" t="s">
        <v>5</v>
      </c>
      <c r="I295" t="s">
        <v>5127</v>
      </c>
      <c r="N295">
        <v>1</v>
      </c>
      <c r="O295" t="s">
        <v>5126</v>
      </c>
      <c r="P295">
        <v>7004043728</v>
      </c>
      <c r="R295" s="7">
        <v>35400</v>
      </c>
      <c r="S295" s="8">
        <f t="shared" si="32"/>
        <v>1996</v>
      </c>
      <c r="T295" s="8">
        <v>1996</v>
      </c>
      <c r="U295" s="8">
        <f t="shared" si="33"/>
        <v>26</v>
      </c>
      <c r="V295" s="7">
        <v>1996</v>
      </c>
      <c r="W295" t="s">
        <v>687</v>
      </c>
      <c r="X295" s="2" t="s">
        <v>9</v>
      </c>
      <c r="Y295" s="6" t="e">
        <f t="shared" si="34"/>
        <v>#VALUE!</v>
      </c>
      <c r="AA295">
        <v>1477439</v>
      </c>
      <c r="AB295">
        <v>53559</v>
      </c>
      <c r="AD295" t="s">
        <v>1</v>
      </c>
      <c r="AE295">
        <v>20</v>
      </c>
      <c r="AF295">
        <v>6</v>
      </c>
      <c r="AH295" t="s">
        <v>5125</v>
      </c>
      <c r="AL295">
        <v>0</v>
      </c>
      <c r="AM295" s="5">
        <f t="shared" si="35"/>
        <v>0</v>
      </c>
      <c r="AN295" s="4">
        <f t="shared" si="36"/>
        <v>0</v>
      </c>
      <c r="AO295" s="3"/>
      <c r="AP295">
        <v>0</v>
      </c>
      <c r="AR295" t="s">
        <v>0</v>
      </c>
      <c r="AT295" s="2" t="s">
        <v>9</v>
      </c>
      <c r="AU295" s="1" t="e">
        <f t="shared" si="37"/>
        <v>#VALUE!</v>
      </c>
      <c r="AV295" s="1" t="e">
        <f t="shared" si="38"/>
        <v>#VALUE!</v>
      </c>
      <c r="AW295" s="1" t="e">
        <f t="shared" si="39"/>
        <v>#VALUE!</v>
      </c>
    </row>
    <row r="296" spans="1:49" x14ac:dyDescent="0.2">
      <c r="A296">
        <v>294</v>
      </c>
      <c r="B296" t="s">
        <v>5124</v>
      </c>
      <c r="F296" t="s">
        <v>5123</v>
      </c>
      <c r="G296" t="s">
        <v>6</v>
      </c>
      <c r="H296" t="s">
        <v>5</v>
      </c>
      <c r="I296" t="s">
        <v>5122</v>
      </c>
      <c r="J296" t="s">
        <v>5121</v>
      </c>
      <c r="K296" t="s">
        <v>5120</v>
      </c>
      <c r="L296" t="s">
        <v>5119</v>
      </c>
      <c r="M296" t="s">
        <v>5118</v>
      </c>
      <c r="N296">
        <v>2</v>
      </c>
      <c r="O296" t="s">
        <v>5117</v>
      </c>
      <c r="P296" t="s">
        <v>5116</v>
      </c>
      <c r="Q296" t="s">
        <v>5115</v>
      </c>
      <c r="R296" s="7">
        <v>35400</v>
      </c>
      <c r="S296" s="8">
        <f t="shared" si="32"/>
        <v>1996</v>
      </c>
      <c r="T296" s="8">
        <v>1996</v>
      </c>
      <c r="U296" s="8">
        <f t="shared" si="33"/>
        <v>26</v>
      </c>
      <c r="V296" s="7">
        <v>1996</v>
      </c>
      <c r="W296" t="s">
        <v>641</v>
      </c>
      <c r="X296" s="2">
        <v>0.14099999999999999</v>
      </c>
      <c r="Y296" s="6">
        <f t="shared" si="34"/>
        <v>3.7639144710498915E-3</v>
      </c>
      <c r="AA296">
        <v>7252986</v>
      </c>
      <c r="AB296">
        <v>18037</v>
      </c>
      <c r="AD296" t="s">
        <v>1</v>
      </c>
      <c r="AE296">
        <v>16</v>
      </c>
      <c r="AF296">
        <v>2</v>
      </c>
      <c r="AH296" t="s">
        <v>5114</v>
      </c>
      <c r="AI296" t="s">
        <v>5113</v>
      </c>
      <c r="AK296" t="s">
        <v>5112</v>
      </c>
      <c r="AL296">
        <v>3</v>
      </c>
      <c r="AM296" s="5">
        <f t="shared" si="35"/>
        <v>0.11538461538461539</v>
      </c>
      <c r="AN296" s="4">
        <f t="shared" si="36"/>
        <v>1.7475897824250722E-4</v>
      </c>
      <c r="AO296" s="3"/>
      <c r="AP296">
        <v>0</v>
      </c>
      <c r="AR296" t="s">
        <v>0</v>
      </c>
      <c r="AT296" s="2" t="s">
        <v>9</v>
      </c>
      <c r="AU296" s="1">
        <f t="shared" si="37"/>
        <v>0.26871678232076757</v>
      </c>
      <c r="AV296" s="1">
        <f t="shared" si="38"/>
        <v>0.19693367246461993</v>
      </c>
      <c r="AW296" s="1">
        <f t="shared" si="39"/>
        <v>0.12515056260847224</v>
      </c>
    </row>
    <row r="297" spans="1:49" x14ac:dyDescent="0.2">
      <c r="A297">
        <v>295</v>
      </c>
      <c r="B297" t="s">
        <v>5111</v>
      </c>
      <c r="C297" t="s">
        <v>5110</v>
      </c>
      <c r="D297" t="s">
        <v>5109</v>
      </c>
      <c r="F297" t="s">
        <v>5108</v>
      </c>
      <c r="G297" t="s">
        <v>6</v>
      </c>
      <c r="H297" t="s">
        <v>5</v>
      </c>
      <c r="I297" t="s">
        <v>5107</v>
      </c>
      <c r="J297">
        <v>60023456</v>
      </c>
      <c r="K297" t="s">
        <v>5106</v>
      </c>
      <c r="L297" t="s">
        <v>5105</v>
      </c>
      <c r="M297" t="s">
        <v>2</v>
      </c>
      <c r="N297">
        <v>1</v>
      </c>
      <c r="O297" t="s">
        <v>5104</v>
      </c>
      <c r="P297">
        <v>7004188330</v>
      </c>
      <c r="Q297">
        <v>60023456</v>
      </c>
      <c r="R297" s="7">
        <v>35400</v>
      </c>
      <c r="S297" s="8">
        <f t="shared" si="32"/>
        <v>1996</v>
      </c>
      <c r="T297" s="8">
        <v>1996</v>
      </c>
      <c r="U297" s="8">
        <f t="shared" si="33"/>
        <v>26</v>
      </c>
      <c r="V297" s="7">
        <v>1996</v>
      </c>
      <c r="W297" t="s">
        <v>3963</v>
      </c>
      <c r="X297" s="2">
        <v>1.365</v>
      </c>
      <c r="Y297" s="6">
        <f t="shared" si="34"/>
        <v>3.6437895411227675E-2</v>
      </c>
      <c r="AA297">
        <v>189545</v>
      </c>
      <c r="AB297">
        <v>17393</v>
      </c>
      <c r="AD297" t="s">
        <v>1</v>
      </c>
      <c r="AE297">
        <v>45</v>
      </c>
      <c r="AF297">
        <v>2</v>
      </c>
      <c r="AH297" t="s">
        <v>5103</v>
      </c>
      <c r="AI297" t="s">
        <v>5102</v>
      </c>
      <c r="AK297" t="s">
        <v>5101</v>
      </c>
      <c r="AL297">
        <v>99</v>
      </c>
      <c r="AM297" s="5">
        <f t="shared" si="35"/>
        <v>3.8076923076923075</v>
      </c>
      <c r="AN297" s="4">
        <f t="shared" si="36"/>
        <v>5.7670462820027376E-3</v>
      </c>
      <c r="AO297" s="3"/>
      <c r="AP297">
        <v>0</v>
      </c>
      <c r="AR297" t="s">
        <v>0</v>
      </c>
      <c r="AT297" s="2" t="s">
        <v>9</v>
      </c>
      <c r="AU297" s="1">
        <f t="shared" si="37"/>
        <v>2.7236640672460193</v>
      </c>
      <c r="AV297" s="1">
        <f t="shared" si="38"/>
        <v>2.1102470846615207</v>
      </c>
      <c r="AW297" s="1">
        <f t="shared" si="39"/>
        <v>1.4968301020770218</v>
      </c>
    </row>
    <row r="298" spans="1:49" x14ac:dyDescent="0.2">
      <c r="A298">
        <v>296</v>
      </c>
      <c r="B298" t="s">
        <v>5100</v>
      </c>
      <c r="C298" t="s">
        <v>5099</v>
      </c>
      <c r="D298" t="s">
        <v>5098</v>
      </c>
      <c r="F298" t="s">
        <v>5097</v>
      </c>
      <c r="G298" t="s">
        <v>6</v>
      </c>
      <c r="H298" t="s">
        <v>5</v>
      </c>
      <c r="I298" t="s">
        <v>5096</v>
      </c>
      <c r="J298">
        <v>60000745</v>
      </c>
      <c r="K298" t="s">
        <v>169</v>
      </c>
      <c r="L298" t="s">
        <v>168</v>
      </c>
      <c r="M298" t="s">
        <v>2</v>
      </c>
      <c r="N298">
        <v>4</v>
      </c>
      <c r="O298" t="s">
        <v>5095</v>
      </c>
      <c r="P298" t="s">
        <v>5094</v>
      </c>
      <c r="Q298" t="s">
        <v>2730</v>
      </c>
      <c r="R298" s="7">
        <v>35400</v>
      </c>
      <c r="S298" s="8">
        <f t="shared" si="32"/>
        <v>1996</v>
      </c>
      <c r="T298" s="8">
        <v>1996</v>
      </c>
      <c r="U298" s="8">
        <f t="shared" si="33"/>
        <v>26</v>
      </c>
      <c r="V298" s="7">
        <v>1996</v>
      </c>
      <c r="W298" t="s">
        <v>150</v>
      </c>
      <c r="X298" s="2">
        <v>1.6519999999999999</v>
      </c>
      <c r="Y298" s="6">
        <f t="shared" si="34"/>
        <v>4.409919649769093E-2</v>
      </c>
      <c r="AA298" t="s">
        <v>149</v>
      </c>
      <c r="AB298">
        <v>17337</v>
      </c>
      <c r="AD298" t="s">
        <v>1</v>
      </c>
      <c r="AE298">
        <v>44</v>
      </c>
      <c r="AF298">
        <v>5</v>
      </c>
      <c r="AH298" t="s">
        <v>5093</v>
      </c>
      <c r="AI298" t="s">
        <v>5092</v>
      </c>
      <c r="AK298" t="s">
        <v>5091</v>
      </c>
      <c r="AL298">
        <v>121</v>
      </c>
      <c r="AM298" s="5">
        <f t="shared" si="35"/>
        <v>4.6538461538461542</v>
      </c>
      <c r="AN298" s="4">
        <f t="shared" si="36"/>
        <v>7.0486121224477916E-3</v>
      </c>
      <c r="AO298" s="3"/>
      <c r="AP298">
        <v>0</v>
      </c>
      <c r="AR298" t="s">
        <v>0</v>
      </c>
      <c r="AT298" s="2" t="s">
        <v>9</v>
      </c>
      <c r="AU298" s="1">
        <f t="shared" si="37"/>
        <v>3.2984021185117984</v>
      </c>
      <c r="AV298" s="1">
        <f t="shared" si="38"/>
        <v>2.5573904310069362</v>
      </c>
      <c r="AW298" s="1">
        <f t="shared" si="39"/>
        <v>1.8163787435020733</v>
      </c>
    </row>
    <row r="299" spans="1:49" x14ac:dyDescent="0.2">
      <c r="A299">
        <v>297</v>
      </c>
      <c r="B299" t="s">
        <v>5090</v>
      </c>
      <c r="C299" t="s">
        <v>5089</v>
      </c>
      <c r="D299" t="s">
        <v>5088</v>
      </c>
      <c r="F299" t="s">
        <v>5087</v>
      </c>
      <c r="G299" t="s">
        <v>6</v>
      </c>
      <c r="H299" t="s">
        <v>5</v>
      </c>
      <c r="I299" t="s">
        <v>5086</v>
      </c>
      <c r="J299">
        <v>60032179</v>
      </c>
      <c r="K299" t="s">
        <v>58</v>
      </c>
      <c r="L299" t="s">
        <v>57</v>
      </c>
      <c r="M299" t="s">
        <v>2</v>
      </c>
      <c r="N299">
        <v>1</v>
      </c>
      <c r="O299" t="s">
        <v>5085</v>
      </c>
      <c r="P299">
        <v>7203078908</v>
      </c>
      <c r="Q299">
        <v>60032179</v>
      </c>
      <c r="R299" s="7">
        <v>35400</v>
      </c>
      <c r="S299" s="8">
        <f t="shared" si="32"/>
        <v>1996</v>
      </c>
      <c r="T299" s="8">
        <v>1996</v>
      </c>
      <c r="U299" s="8">
        <f t="shared" si="33"/>
        <v>26</v>
      </c>
      <c r="V299" s="7">
        <v>1996</v>
      </c>
      <c r="W299" t="s">
        <v>150</v>
      </c>
      <c r="X299" s="2">
        <v>1.6519999999999999</v>
      </c>
      <c r="Y299" s="6">
        <f t="shared" si="34"/>
        <v>4.409919649769093E-2</v>
      </c>
      <c r="AA299" t="s">
        <v>149</v>
      </c>
      <c r="AB299">
        <v>17337</v>
      </c>
      <c r="AD299" t="s">
        <v>1</v>
      </c>
      <c r="AE299">
        <v>44</v>
      </c>
      <c r="AF299">
        <v>5</v>
      </c>
      <c r="AH299" t="s">
        <v>5084</v>
      </c>
      <c r="AI299" t="s">
        <v>5083</v>
      </c>
      <c r="AK299" t="s">
        <v>5082</v>
      </c>
      <c r="AL299">
        <v>758</v>
      </c>
      <c r="AM299" s="5">
        <f t="shared" si="35"/>
        <v>29.153846153846153</v>
      </c>
      <c r="AN299" s="4">
        <f t="shared" si="36"/>
        <v>4.4155768502606822E-2</v>
      </c>
      <c r="AO299" s="3"/>
      <c r="AP299">
        <v>0</v>
      </c>
      <c r="AR299" t="s">
        <v>0</v>
      </c>
      <c r="AT299" s="2" t="s">
        <v>9</v>
      </c>
      <c r="AU299" s="1">
        <f t="shared" si="37"/>
        <v>4.4116168099165698</v>
      </c>
      <c r="AV299" s="1">
        <f t="shared" si="38"/>
        <v>4.4127482500148876</v>
      </c>
      <c r="AW299" s="1">
        <f t="shared" si="39"/>
        <v>4.4138796901132054</v>
      </c>
    </row>
    <row r="300" spans="1:49" x14ac:dyDescent="0.2">
      <c r="A300">
        <v>298</v>
      </c>
      <c r="B300" t="s">
        <v>5081</v>
      </c>
      <c r="C300" t="s">
        <v>5080</v>
      </c>
      <c r="D300" t="s">
        <v>5079</v>
      </c>
      <c r="F300" t="s">
        <v>5078</v>
      </c>
      <c r="G300" t="s">
        <v>6</v>
      </c>
      <c r="H300" t="s">
        <v>5</v>
      </c>
      <c r="I300" t="s">
        <v>5077</v>
      </c>
      <c r="J300">
        <v>100481655</v>
      </c>
      <c r="K300" t="s">
        <v>5076</v>
      </c>
      <c r="M300" t="s">
        <v>2</v>
      </c>
      <c r="N300">
        <v>1</v>
      </c>
      <c r="O300" t="s">
        <v>5075</v>
      </c>
      <c r="P300">
        <v>14320241900</v>
      </c>
      <c r="Q300">
        <v>100481655</v>
      </c>
      <c r="R300" s="7">
        <v>35400</v>
      </c>
      <c r="S300" s="8">
        <f t="shared" si="32"/>
        <v>1996</v>
      </c>
      <c r="T300" s="8">
        <v>1996</v>
      </c>
      <c r="U300" s="8">
        <f t="shared" si="33"/>
        <v>26</v>
      </c>
      <c r="V300" s="7">
        <v>1996</v>
      </c>
      <c r="W300" t="s">
        <v>150</v>
      </c>
      <c r="X300" s="2">
        <v>1.6519999999999999</v>
      </c>
      <c r="Y300" s="6">
        <f t="shared" si="34"/>
        <v>4.409919649769093E-2</v>
      </c>
      <c r="AA300" t="s">
        <v>149</v>
      </c>
      <c r="AB300">
        <v>17337</v>
      </c>
      <c r="AD300" t="s">
        <v>1</v>
      </c>
      <c r="AE300">
        <v>44</v>
      </c>
      <c r="AF300">
        <v>5</v>
      </c>
      <c r="AH300" t="s">
        <v>5074</v>
      </c>
      <c r="AI300" t="s">
        <v>5073</v>
      </c>
      <c r="AK300" t="s">
        <v>5072</v>
      </c>
      <c r="AL300">
        <v>1</v>
      </c>
      <c r="AM300" s="5">
        <f t="shared" si="35"/>
        <v>3.8461538461538464E-2</v>
      </c>
      <c r="AN300" s="4">
        <f t="shared" si="36"/>
        <v>5.8252992747502406E-5</v>
      </c>
      <c r="AO300" s="3"/>
      <c r="AP300">
        <v>0</v>
      </c>
      <c r="AR300" t="s">
        <v>0</v>
      </c>
      <c r="AT300" s="2" t="s">
        <v>9</v>
      </c>
      <c r="AU300" s="1">
        <f t="shared" si="37"/>
        <v>3.0886913446207904</v>
      </c>
      <c r="AV300" s="1">
        <f t="shared" si="38"/>
        <v>2.2078724745219218</v>
      </c>
      <c r="AW300" s="1">
        <f t="shared" si="39"/>
        <v>1.327053604423053</v>
      </c>
    </row>
    <row r="301" spans="1:49" x14ac:dyDescent="0.2">
      <c r="A301">
        <v>299</v>
      </c>
      <c r="B301" t="s">
        <v>5071</v>
      </c>
      <c r="C301" t="s">
        <v>5070</v>
      </c>
      <c r="D301" t="s">
        <v>5069</v>
      </c>
      <c r="F301" t="s">
        <v>5068</v>
      </c>
      <c r="G301" t="s">
        <v>6</v>
      </c>
      <c r="H301" t="s">
        <v>5</v>
      </c>
      <c r="I301" t="s">
        <v>5067</v>
      </c>
      <c r="J301">
        <v>60007592</v>
      </c>
      <c r="K301" t="s">
        <v>450</v>
      </c>
      <c r="L301" t="s">
        <v>449</v>
      </c>
      <c r="M301" t="s">
        <v>179</v>
      </c>
      <c r="N301">
        <v>2</v>
      </c>
      <c r="O301" t="s">
        <v>5066</v>
      </c>
      <c r="P301" t="s">
        <v>5065</v>
      </c>
      <c r="Q301" t="s">
        <v>5064</v>
      </c>
      <c r="R301" s="7">
        <v>35400</v>
      </c>
      <c r="S301" s="8">
        <f t="shared" si="32"/>
        <v>1996</v>
      </c>
      <c r="T301" s="8">
        <v>1996</v>
      </c>
      <c r="U301" s="8">
        <f t="shared" si="33"/>
        <v>26</v>
      </c>
      <c r="V301" s="7">
        <v>1996</v>
      </c>
      <c r="W301" t="s">
        <v>150</v>
      </c>
      <c r="X301" s="2">
        <v>1.6519999999999999</v>
      </c>
      <c r="Y301" s="6">
        <f t="shared" si="34"/>
        <v>4.409919649769093E-2</v>
      </c>
      <c r="AA301" t="s">
        <v>149</v>
      </c>
      <c r="AB301">
        <v>17337</v>
      </c>
      <c r="AD301" t="s">
        <v>1</v>
      </c>
      <c r="AE301">
        <v>44</v>
      </c>
      <c r="AF301">
        <v>5</v>
      </c>
      <c r="AH301" t="s">
        <v>5063</v>
      </c>
      <c r="AI301" t="s">
        <v>5062</v>
      </c>
      <c r="AK301" t="s">
        <v>5061</v>
      </c>
      <c r="AL301">
        <v>128</v>
      </c>
      <c r="AM301" s="5">
        <f t="shared" si="35"/>
        <v>4.9230769230769234</v>
      </c>
      <c r="AN301" s="4">
        <f t="shared" si="36"/>
        <v>7.456383071680308E-3</v>
      </c>
      <c r="AO301" s="3"/>
      <c r="AP301">
        <v>0</v>
      </c>
      <c r="AR301" t="s">
        <v>5060</v>
      </c>
      <c r="AS301" t="s">
        <v>5059</v>
      </c>
      <c r="AT301" s="2" t="s">
        <v>9</v>
      </c>
      <c r="AU301" s="1">
        <f t="shared" si="37"/>
        <v>3.3106352469887748</v>
      </c>
      <c r="AV301" s="1">
        <f t="shared" si="38"/>
        <v>2.5777789784685616</v>
      </c>
      <c r="AW301" s="1">
        <f t="shared" si="39"/>
        <v>1.8449227099483494</v>
      </c>
    </row>
    <row r="302" spans="1:49" x14ac:dyDescent="0.2">
      <c r="A302">
        <v>300</v>
      </c>
      <c r="B302" t="s">
        <v>5058</v>
      </c>
      <c r="C302" t="s">
        <v>5057</v>
      </c>
      <c r="D302" t="s">
        <v>5056</v>
      </c>
      <c r="F302" t="s">
        <v>5055</v>
      </c>
      <c r="G302" t="s">
        <v>6</v>
      </c>
      <c r="H302" t="s">
        <v>5</v>
      </c>
      <c r="I302" t="s">
        <v>721</v>
      </c>
      <c r="J302">
        <v>60001247</v>
      </c>
      <c r="K302" t="s">
        <v>532</v>
      </c>
      <c r="M302" t="s">
        <v>2</v>
      </c>
      <c r="N302">
        <v>2</v>
      </c>
      <c r="O302" t="s">
        <v>5054</v>
      </c>
      <c r="P302" t="s">
        <v>5053</v>
      </c>
      <c r="Q302" t="s">
        <v>2594</v>
      </c>
      <c r="R302" s="7">
        <v>35400</v>
      </c>
      <c r="S302" s="8">
        <f t="shared" si="32"/>
        <v>1996</v>
      </c>
      <c r="T302" s="8">
        <v>1996</v>
      </c>
      <c r="U302" s="8">
        <f t="shared" si="33"/>
        <v>26</v>
      </c>
      <c r="V302" s="7">
        <v>1996</v>
      </c>
      <c r="W302" t="s">
        <v>150</v>
      </c>
      <c r="X302" s="2">
        <v>1.6519999999999999</v>
      </c>
      <c r="Y302" s="6">
        <f t="shared" si="34"/>
        <v>4.409919649769093E-2</v>
      </c>
      <c r="AA302" t="s">
        <v>149</v>
      </c>
      <c r="AB302">
        <v>17337</v>
      </c>
      <c r="AD302" t="s">
        <v>1</v>
      </c>
      <c r="AE302">
        <v>44</v>
      </c>
      <c r="AF302">
        <v>5</v>
      </c>
      <c r="AH302" t="s">
        <v>5052</v>
      </c>
      <c r="AI302" t="s">
        <v>5051</v>
      </c>
      <c r="AK302" t="s">
        <v>5050</v>
      </c>
      <c r="AL302">
        <v>8</v>
      </c>
      <c r="AM302" s="5">
        <f t="shared" si="35"/>
        <v>0.30769230769230771</v>
      </c>
      <c r="AN302" s="4">
        <f t="shared" si="36"/>
        <v>4.6602394198001925E-4</v>
      </c>
      <c r="AO302" s="3"/>
      <c r="AP302">
        <v>0</v>
      </c>
      <c r="AQ302" t="s">
        <v>105</v>
      </c>
      <c r="AR302" t="s">
        <v>0</v>
      </c>
      <c r="AS302" t="s">
        <v>104</v>
      </c>
      <c r="AT302" s="2" t="s">
        <v>9</v>
      </c>
      <c r="AU302" s="1">
        <f t="shared" si="37"/>
        <v>3.1009244730977654</v>
      </c>
      <c r="AV302" s="1">
        <f t="shared" si="38"/>
        <v>2.2282610219835473</v>
      </c>
      <c r="AW302" s="1">
        <f t="shared" si="39"/>
        <v>1.3555975708693291</v>
      </c>
    </row>
    <row r="303" spans="1:49" x14ac:dyDescent="0.2">
      <c r="A303">
        <v>301</v>
      </c>
      <c r="B303" t="s">
        <v>5049</v>
      </c>
      <c r="C303" t="s">
        <v>5048</v>
      </c>
      <c r="D303" t="s">
        <v>5047</v>
      </c>
      <c r="F303" t="s">
        <v>5046</v>
      </c>
      <c r="G303" t="s">
        <v>6</v>
      </c>
      <c r="H303" t="s">
        <v>5</v>
      </c>
      <c r="I303" t="s">
        <v>5045</v>
      </c>
      <c r="J303" t="s">
        <v>5044</v>
      </c>
      <c r="K303" t="s">
        <v>5043</v>
      </c>
      <c r="L303" t="s">
        <v>5042</v>
      </c>
      <c r="M303" t="s">
        <v>126</v>
      </c>
      <c r="N303">
        <v>4</v>
      </c>
      <c r="O303" t="s">
        <v>5041</v>
      </c>
      <c r="P303" t="s">
        <v>5040</v>
      </c>
      <c r="Q303" t="s">
        <v>5039</v>
      </c>
      <c r="R303" s="7">
        <v>35400</v>
      </c>
      <c r="S303" s="8">
        <f t="shared" si="32"/>
        <v>1996</v>
      </c>
      <c r="T303" s="8">
        <v>1996</v>
      </c>
      <c r="U303" s="8">
        <f t="shared" si="33"/>
        <v>26</v>
      </c>
      <c r="V303" s="7">
        <v>1996</v>
      </c>
      <c r="W303" t="s">
        <v>150</v>
      </c>
      <c r="X303" s="2">
        <v>1.6519999999999999</v>
      </c>
      <c r="Y303" s="6">
        <f t="shared" si="34"/>
        <v>4.409919649769093E-2</v>
      </c>
      <c r="AA303" t="s">
        <v>149</v>
      </c>
      <c r="AB303">
        <v>17337</v>
      </c>
      <c r="AD303" t="s">
        <v>1</v>
      </c>
      <c r="AE303">
        <v>44</v>
      </c>
      <c r="AF303">
        <v>5</v>
      </c>
      <c r="AH303" t="s">
        <v>5038</v>
      </c>
      <c r="AI303" t="s">
        <v>5037</v>
      </c>
      <c r="AK303" t="s">
        <v>5036</v>
      </c>
      <c r="AL303">
        <v>13</v>
      </c>
      <c r="AM303" s="5">
        <f t="shared" si="35"/>
        <v>0.5</v>
      </c>
      <c r="AN303" s="4">
        <f t="shared" si="36"/>
        <v>7.572889057175312E-4</v>
      </c>
      <c r="AO303" s="3"/>
      <c r="AP303">
        <v>0</v>
      </c>
      <c r="AR303" t="s">
        <v>0</v>
      </c>
      <c r="AS303" t="s">
        <v>292</v>
      </c>
      <c r="AT303" s="2" t="s">
        <v>9</v>
      </c>
      <c r="AU303" s="1">
        <f t="shared" si="37"/>
        <v>3.1096624220098912</v>
      </c>
      <c r="AV303" s="1">
        <f t="shared" si="38"/>
        <v>2.2428242701704231</v>
      </c>
      <c r="AW303" s="1">
        <f t="shared" si="39"/>
        <v>1.375986118330955</v>
      </c>
    </row>
    <row r="304" spans="1:49" x14ac:dyDescent="0.2">
      <c r="A304">
        <v>302</v>
      </c>
      <c r="B304" t="s">
        <v>5035</v>
      </c>
      <c r="C304" t="s">
        <v>5034</v>
      </c>
      <c r="D304" t="s">
        <v>5033</v>
      </c>
      <c r="F304" t="s">
        <v>5032</v>
      </c>
      <c r="G304" t="s">
        <v>6</v>
      </c>
      <c r="H304" t="s">
        <v>5</v>
      </c>
      <c r="I304" t="s">
        <v>5031</v>
      </c>
      <c r="J304">
        <v>60005429</v>
      </c>
      <c r="K304" t="s">
        <v>389</v>
      </c>
      <c r="L304" t="s">
        <v>388</v>
      </c>
      <c r="M304" t="s">
        <v>146</v>
      </c>
      <c r="N304">
        <v>2</v>
      </c>
      <c r="O304" t="s">
        <v>5030</v>
      </c>
      <c r="P304" t="s">
        <v>5029</v>
      </c>
      <c r="Q304" t="s">
        <v>385</v>
      </c>
      <c r="R304" s="7">
        <v>35400</v>
      </c>
      <c r="S304" s="8">
        <f t="shared" si="32"/>
        <v>1996</v>
      </c>
      <c r="T304" s="8">
        <v>1996</v>
      </c>
      <c r="U304" s="8">
        <f t="shared" si="33"/>
        <v>26</v>
      </c>
      <c r="V304" s="7">
        <v>1996</v>
      </c>
      <c r="W304" t="s">
        <v>150</v>
      </c>
      <c r="X304" s="2">
        <v>1.6519999999999999</v>
      </c>
      <c r="Y304" s="6">
        <f t="shared" si="34"/>
        <v>4.409919649769093E-2</v>
      </c>
      <c r="AA304" t="s">
        <v>149</v>
      </c>
      <c r="AB304">
        <v>17337</v>
      </c>
      <c r="AD304" t="s">
        <v>1</v>
      </c>
      <c r="AE304">
        <v>44</v>
      </c>
      <c r="AF304">
        <v>5</v>
      </c>
      <c r="AH304" t="s">
        <v>5028</v>
      </c>
      <c r="AI304" t="s">
        <v>5027</v>
      </c>
      <c r="AK304" t="s">
        <v>5026</v>
      </c>
      <c r="AL304">
        <v>23</v>
      </c>
      <c r="AM304" s="5">
        <f t="shared" si="35"/>
        <v>0.88461538461538458</v>
      </c>
      <c r="AN304" s="4">
        <f t="shared" si="36"/>
        <v>1.3398188331925553E-3</v>
      </c>
      <c r="AO304" s="3"/>
      <c r="AP304">
        <v>0</v>
      </c>
      <c r="AQ304" t="s">
        <v>605</v>
      </c>
      <c r="AR304" t="s">
        <v>5025</v>
      </c>
      <c r="AS304" t="s">
        <v>604</v>
      </c>
      <c r="AT304" s="2" t="s">
        <v>9</v>
      </c>
      <c r="AU304" s="1">
        <f t="shared" si="37"/>
        <v>3.1271383198341418</v>
      </c>
      <c r="AV304" s="1">
        <f t="shared" si="38"/>
        <v>2.2719507665441743</v>
      </c>
      <c r="AW304" s="1">
        <f t="shared" si="39"/>
        <v>1.4167632132542067</v>
      </c>
    </row>
    <row r="305" spans="1:49" x14ac:dyDescent="0.2">
      <c r="A305">
        <v>303</v>
      </c>
      <c r="B305" t="s">
        <v>5024</v>
      </c>
      <c r="C305" t="s">
        <v>5023</v>
      </c>
      <c r="D305" t="s">
        <v>5022</v>
      </c>
      <c r="F305" t="s">
        <v>5021</v>
      </c>
      <c r="G305" t="s">
        <v>6</v>
      </c>
      <c r="H305" t="s">
        <v>5</v>
      </c>
      <c r="I305" t="s">
        <v>5020</v>
      </c>
      <c r="J305" t="s">
        <v>5019</v>
      </c>
      <c r="K305" t="s">
        <v>5018</v>
      </c>
      <c r="L305" t="s">
        <v>5017</v>
      </c>
      <c r="M305" t="s">
        <v>5016</v>
      </c>
      <c r="N305">
        <v>2</v>
      </c>
      <c r="O305" t="s">
        <v>5015</v>
      </c>
      <c r="P305" t="s">
        <v>5014</v>
      </c>
      <c r="Q305" t="s">
        <v>5013</v>
      </c>
      <c r="R305" s="7">
        <v>35400</v>
      </c>
      <c r="S305" s="8">
        <f t="shared" si="32"/>
        <v>1996</v>
      </c>
      <c r="T305" s="8">
        <v>1996</v>
      </c>
      <c r="U305" s="8">
        <f t="shared" si="33"/>
        <v>26</v>
      </c>
      <c r="V305" s="7">
        <v>1996</v>
      </c>
      <c r="W305" t="s">
        <v>150</v>
      </c>
      <c r="X305" s="2">
        <v>1.6519999999999999</v>
      </c>
      <c r="Y305" s="6">
        <f t="shared" si="34"/>
        <v>4.409919649769093E-2</v>
      </c>
      <c r="AA305" t="s">
        <v>149</v>
      </c>
      <c r="AB305">
        <v>17337</v>
      </c>
      <c r="AD305" t="s">
        <v>1</v>
      </c>
      <c r="AE305">
        <v>44</v>
      </c>
      <c r="AF305">
        <v>5</v>
      </c>
      <c r="AH305" t="s">
        <v>5012</v>
      </c>
      <c r="AI305" t="s">
        <v>5011</v>
      </c>
      <c r="AK305" t="s">
        <v>5010</v>
      </c>
      <c r="AL305">
        <v>34</v>
      </c>
      <c r="AM305" s="5">
        <f t="shared" si="35"/>
        <v>1.3076923076923077</v>
      </c>
      <c r="AN305" s="4">
        <f t="shared" si="36"/>
        <v>1.9806017534150819E-3</v>
      </c>
      <c r="AO305" s="3"/>
      <c r="AP305">
        <v>0</v>
      </c>
      <c r="AR305" t="s">
        <v>0</v>
      </c>
      <c r="AT305" s="2" t="s">
        <v>9</v>
      </c>
      <c r="AU305" s="1">
        <f t="shared" si="37"/>
        <v>3.1463618074408171</v>
      </c>
      <c r="AV305" s="1">
        <f t="shared" si="38"/>
        <v>2.3039899125553003</v>
      </c>
      <c r="AW305" s="1">
        <f t="shared" si="39"/>
        <v>1.4616180176697835</v>
      </c>
    </row>
    <row r="306" spans="1:49" x14ac:dyDescent="0.2">
      <c r="A306">
        <v>304</v>
      </c>
      <c r="B306" t="s">
        <v>5009</v>
      </c>
      <c r="C306" t="s">
        <v>5008</v>
      </c>
      <c r="D306" t="s">
        <v>5007</v>
      </c>
      <c r="F306" t="s">
        <v>5006</v>
      </c>
      <c r="G306" t="s">
        <v>6</v>
      </c>
      <c r="H306" t="s">
        <v>5</v>
      </c>
      <c r="I306" t="s">
        <v>378</v>
      </c>
      <c r="J306">
        <v>60010491</v>
      </c>
      <c r="K306" t="s">
        <v>377</v>
      </c>
      <c r="L306" t="s">
        <v>376</v>
      </c>
      <c r="M306" t="s">
        <v>2</v>
      </c>
      <c r="N306">
        <v>3</v>
      </c>
      <c r="O306" t="s">
        <v>5005</v>
      </c>
      <c r="P306" t="s">
        <v>681</v>
      </c>
      <c r="Q306" t="s">
        <v>375</v>
      </c>
      <c r="R306" s="7">
        <v>35400</v>
      </c>
      <c r="S306" s="8">
        <f t="shared" si="32"/>
        <v>1996</v>
      </c>
      <c r="T306" s="8">
        <v>1996</v>
      </c>
      <c r="U306" s="8">
        <f t="shared" si="33"/>
        <v>26</v>
      </c>
      <c r="V306" s="7">
        <v>1996</v>
      </c>
      <c r="W306" t="s">
        <v>150</v>
      </c>
      <c r="X306" s="2">
        <v>1.6519999999999999</v>
      </c>
      <c r="Y306" s="6">
        <f t="shared" si="34"/>
        <v>4.409919649769093E-2</v>
      </c>
      <c r="AA306" t="s">
        <v>149</v>
      </c>
      <c r="AB306">
        <v>17337</v>
      </c>
      <c r="AD306" t="s">
        <v>1</v>
      </c>
      <c r="AE306">
        <v>44</v>
      </c>
      <c r="AF306">
        <v>5</v>
      </c>
      <c r="AH306" t="s">
        <v>5004</v>
      </c>
      <c r="AI306" t="s">
        <v>5003</v>
      </c>
      <c r="AK306" t="s">
        <v>5002</v>
      </c>
      <c r="AL306">
        <v>84</v>
      </c>
      <c r="AM306" s="5">
        <f t="shared" si="35"/>
        <v>3.2307692307692308</v>
      </c>
      <c r="AN306" s="4">
        <f t="shared" si="36"/>
        <v>4.8932513907902018E-3</v>
      </c>
      <c r="AO306" s="3"/>
      <c r="AP306">
        <v>0</v>
      </c>
      <c r="AQ306" t="s">
        <v>105</v>
      </c>
      <c r="AR306" t="s">
        <v>5001</v>
      </c>
      <c r="AS306" t="s">
        <v>104</v>
      </c>
      <c r="AT306" s="2" t="s">
        <v>9</v>
      </c>
      <c r="AU306" s="1">
        <f t="shared" si="37"/>
        <v>3.2337412965620711</v>
      </c>
      <c r="AV306" s="1">
        <f t="shared" si="38"/>
        <v>2.4496223944240567</v>
      </c>
      <c r="AW306" s="1">
        <f t="shared" si="39"/>
        <v>1.6655034922860419</v>
      </c>
    </row>
    <row r="307" spans="1:49" x14ac:dyDescent="0.2">
      <c r="A307">
        <v>305</v>
      </c>
      <c r="B307" t="s">
        <v>5000</v>
      </c>
      <c r="C307" t="s">
        <v>4999</v>
      </c>
      <c r="D307" t="s">
        <v>4998</v>
      </c>
      <c r="F307" t="s">
        <v>4997</v>
      </c>
      <c r="G307" t="s">
        <v>6</v>
      </c>
      <c r="H307" t="s">
        <v>5</v>
      </c>
      <c r="I307" t="s">
        <v>4996</v>
      </c>
      <c r="J307">
        <v>60030838</v>
      </c>
      <c r="K307" t="s">
        <v>4995</v>
      </c>
      <c r="L307" t="s">
        <v>362</v>
      </c>
      <c r="M307" t="s">
        <v>41</v>
      </c>
      <c r="N307">
        <v>1</v>
      </c>
      <c r="O307" t="s">
        <v>4994</v>
      </c>
      <c r="P307">
        <v>7406720850</v>
      </c>
      <c r="Q307">
        <v>60030838</v>
      </c>
      <c r="R307" s="7">
        <v>35400</v>
      </c>
      <c r="S307" s="8">
        <f t="shared" si="32"/>
        <v>1996</v>
      </c>
      <c r="T307" s="8">
        <v>1996</v>
      </c>
      <c r="U307" s="8">
        <f t="shared" si="33"/>
        <v>26</v>
      </c>
      <c r="V307" s="7">
        <v>1996</v>
      </c>
      <c r="W307" t="s">
        <v>3963</v>
      </c>
      <c r="X307" s="2">
        <v>1.365</v>
      </c>
      <c r="Y307" s="6">
        <f t="shared" si="34"/>
        <v>3.6437895411227675E-2</v>
      </c>
      <c r="AA307">
        <v>189545</v>
      </c>
      <c r="AB307">
        <v>17393</v>
      </c>
      <c r="AD307" t="s">
        <v>1</v>
      </c>
      <c r="AE307">
        <v>45</v>
      </c>
      <c r="AF307">
        <v>2</v>
      </c>
      <c r="AH307" t="s">
        <v>4993</v>
      </c>
      <c r="AI307" t="s">
        <v>4992</v>
      </c>
      <c r="AK307" t="s">
        <v>4991</v>
      </c>
      <c r="AL307">
        <v>81</v>
      </c>
      <c r="AM307" s="5">
        <f t="shared" si="35"/>
        <v>3.1153846153846154</v>
      </c>
      <c r="AN307" s="4">
        <f t="shared" si="36"/>
        <v>4.7184924125476943E-3</v>
      </c>
      <c r="AO307" s="3"/>
      <c r="AP307">
        <v>0</v>
      </c>
      <c r="AR307" t="s">
        <v>0</v>
      </c>
      <c r="AT307" s="2" t="s">
        <v>9</v>
      </c>
      <c r="AU307" s="1">
        <f t="shared" si="37"/>
        <v>2.6922074511623677</v>
      </c>
      <c r="AV307" s="1">
        <f t="shared" si="38"/>
        <v>2.0578193911887683</v>
      </c>
      <c r="AW307" s="1">
        <f t="shared" si="39"/>
        <v>1.4234313312151687</v>
      </c>
    </row>
    <row r="308" spans="1:49" x14ac:dyDescent="0.2">
      <c r="A308">
        <v>306</v>
      </c>
      <c r="B308" t="s">
        <v>4990</v>
      </c>
      <c r="C308" t="s">
        <v>4989</v>
      </c>
      <c r="D308" t="s">
        <v>4988</v>
      </c>
      <c r="F308" t="s">
        <v>4987</v>
      </c>
      <c r="G308" t="s">
        <v>6</v>
      </c>
      <c r="H308" t="s">
        <v>5</v>
      </c>
      <c r="I308" t="s">
        <v>4986</v>
      </c>
      <c r="J308" t="s">
        <v>4985</v>
      </c>
      <c r="K308" t="s">
        <v>4984</v>
      </c>
      <c r="L308" t="s">
        <v>3722</v>
      </c>
      <c r="M308" t="s">
        <v>81</v>
      </c>
      <c r="N308">
        <v>2</v>
      </c>
      <c r="O308" t="s">
        <v>4983</v>
      </c>
      <c r="P308" t="s">
        <v>4982</v>
      </c>
      <c r="Q308" t="s">
        <v>4981</v>
      </c>
      <c r="R308" s="7">
        <v>35400</v>
      </c>
      <c r="S308" s="8">
        <f t="shared" si="32"/>
        <v>1996</v>
      </c>
      <c r="T308" s="8">
        <v>1996</v>
      </c>
      <c r="U308" s="8">
        <f t="shared" si="33"/>
        <v>26</v>
      </c>
      <c r="V308" s="7">
        <v>1996</v>
      </c>
      <c r="W308" t="s">
        <v>3963</v>
      </c>
      <c r="X308" s="2">
        <v>1.365</v>
      </c>
      <c r="Y308" s="6">
        <f t="shared" si="34"/>
        <v>3.6437895411227675E-2</v>
      </c>
      <c r="AA308">
        <v>189545</v>
      </c>
      <c r="AB308">
        <v>17393</v>
      </c>
      <c r="AD308" t="s">
        <v>1</v>
      </c>
      <c r="AE308">
        <v>45</v>
      </c>
      <c r="AF308">
        <v>2</v>
      </c>
      <c r="AH308" t="s">
        <v>4980</v>
      </c>
      <c r="AI308" t="s">
        <v>4979</v>
      </c>
      <c r="AK308" t="s">
        <v>4978</v>
      </c>
      <c r="AL308">
        <v>36</v>
      </c>
      <c r="AM308" s="5">
        <f t="shared" si="35"/>
        <v>1.3846153846153846</v>
      </c>
      <c r="AN308" s="4">
        <f t="shared" si="36"/>
        <v>2.0971077389100863E-3</v>
      </c>
      <c r="AO308" s="3"/>
      <c r="AP308">
        <v>0</v>
      </c>
      <c r="AQ308" t="s">
        <v>80</v>
      </c>
      <c r="AR308" t="s">
        <v>0</v>
      </c>
      <c r="AS308" t="s">
        <v>622</v>
      </c>
      <c r="AT308" s="2" t="s">
        <v>9</v>
      </c>
      <c r="AU308" s="1">
        <f t="shared" si="37"/>
        <v>2.6135659109532394</v>
      </c>
      <c r="AV308" s="1">
        <f t="shared" si="38"/>
        <v>1.9267501575068882</v>
      </c>
      <c r="AW308" s="1">
        <f t="shared" si="39"/>
        <v>1.2399344040605362</v>
      </c>
    </row>
    <row r="309" spans="1:49" x14ac:dyDescent="0.2">
      <c r="A309">
        <v>307</v>
      </c>
      <c r="B309" t="s">
        <v>4977</v>
      </c>
      <c r="C309" t="s">
        <v>4976</v>
      </c>
      <c r="D309" t="s">
        <v>4975</v>
      </c>
      <c r="F309" t="s">
        <v>4974</v>
      </c>
      <c r="G309" t="s">
        <v>6</v>
      </c>
      <c r="H309" t="s">
        <v>5</v>
      </c>
      <c r="I309" t="s">
        <v>4973</v>
      </c>
      <c r="J309">
        <v>60015457</v>
      </c>
      <c r="K309" t="s">
        <v>40</v>
      </c>
      <c r="L309" t="s">
        <v>39</v>
      </c>
      <c r="M309" t="s">
        <v>2</v>
      </c>
      <c r="N309">
        <v>2</v>
      </c>
      <c r="O309" t="s">
        <v>4972</v>
      </c>
      <c r="P309" t="s">
        <v>4971</v>
      </c>
      <c r="Q309" t="s">
        <v>4970</v>
      </c>
      <c r="R309" s="7">
        <v>35400</v>
      </c>
      <c r="S309" s="8">
        <f t="shared" si="32"/>
        <v>1996</v>
      </c>
      <c r="T309" s="8">
        <v>1996</v>
      </c>
      <c r="U309" s="8">
        <f t="shared" si="33"/>
        <v>26</v>
      </c>
      <c r="V309" s="7">
        <v>1996</v>
      </c>
      <c r="W309" t="s">
        <v>150</v>
      </c>
      <c r="X309" s="2">
        <v>1.6519999999999999</v>
      </c>
      <c r="Y309" s="6">
        <f t="shared" si="34"/>
        <v>4.409919649769093E-2</v>
      </c>
      <c r="AA309" t="s">
        <v>149</v>
      </c>
      <c r="AB309">
        <v>17337</v>
      </c>
      <c r="AD309" t="s">
        <v>1</v>
      </c>
      <c r="AE309">
        <v>44</v>
      </c>
      <c r="AF309">
        <v>5</v>
      </c>
      <c r="AH309" t="s">
        <v>4969</v>
      </c>
      <c r="AI309" t="s">
        <v>4968</v>
      </c>
      <c r="AK309" t="s">
        <v>4967</v>
      </c>
      <c r="AL309">
        <v>3</v>
      </c>
      <c r="AM309" s="5">
        <f t="shared" si="35"/>
        <v>0.11538461538461539</v>
      </c>
      <c r="AN309" s="4">
        <f t="shared" si="36"/>
        <v>1.7475897824250722E-4</v>
      </c>
      <c r="AO309" s="3"/>
      <c r="AP309">
        <v>0</v>
      </c>
      <c r="AR309" t="s">
        <v>0</v>
      </c>
      <c r="AT309" s="2" t="s">
        <v>9</v>
      </c>
      <c r="AU309" s="1">
        <f t="shared" si="37"/>
        <v>3.0921865241856401</v>
      </c>
      <c r="AV309" s="1">
        <f t="shared" si="38"/>
        <v>2.2136977737966719</v>
      </c>
      <c r="AW309" s="1">
        <f t="shared" si="39"/>
        <v>1.3352090234077032</v>
      </c>
    </row>
    <row r="310" spans="1:49" x14ac:dyDescent="0.2">
      <c r="A310">
        <v>308</v>
      </c>
      <c r="B310" t="s">
        <v>4966</v>
      </c>
      <c r="C310" t="s">
        <v>4965</v>
      </c>
      <c r="D310" t="s">
        <v>4964</v>
      </c>
      <c r="F310" t="s">
        <v>4963</v>
      </c>
      <c r="G310" t="s">
        <v>6</v>
      </c>
      <c r="H310" t="s">
        <v>5</v>
      </c>
      <c r="I310" t="s">
        <v>436</v>
      </c>
      <c r="J310" t="s">
        <v>435</v>
      </c>
      <c r="K310" t="s">
        <v>434</v>
      </c>
      <c r="L310" t="s">
        <v>91</v>
      </c>
      <c r="M310" t="s">
        <v>90</v>
      </c>
      <c r="N310">
        <v>3</v>
      </c>
      <c r="O310" t="s">
        <v>4962</v>
      </c>
      <c r="P310" t="s">
        <v>4961</v>
      </c>
      <c r="Q310" t="s">
        <v>4960</v>
      </c>
      <c r="R310" s="7">
        <v>35400</v>
      </c>
      <c r="S310" s="8">
        <f t="shared" si="32"/>
        <v>1996</v>
      </c>
      <c r="T310" s="8">
        <v>1996</v>
      </c>
      <c r="U310" s="8">
        <f t="shared" si="33"/>
        <v>26</v>
      </c>
      <c r="V310" s="7">
        <v>1996</v>
      </c>
      <c r="W310" t="s">
        <v>150</v>
      </c>
      <c r="X310" s="2">
        <v>1.6519999999999999</v>
      </c>
      <c r="Y310" s="6">
        <f t="shared" si="34"/>
        <v>4.409919649769093E-2</v>
      </c>
      <c r="AA310" t="s">
        <v>149</v>
      </c>
      <c r="AB310">
        <v>17337</v>
      </c>
      <c r="AD310" t="s">
        <v>1</v>
      </c>
      <c r="AE310">
        <v>44</v>
      </c>
      <c r="AF310">
        <v>5</v>
      </c>
      <c r="AH310" t="s">
        <v>4884</v>
      </c>
      <c r="AI310" t="s">
        <v>4959</v>
      </c>
      <c r="AK310" t="s">
        <v>4958</v>
      </c>
      <c r="AL310">
        <v>139</v>
      </c>
      <c r="AM310" s="5">
        <f t="shared" si="35"/>
        <v>5.3461538461538458</v>
      </c>
      <c r="AN310" s="4">
        <f t="shared" si="36"/>
        <v>8.0971659919028341E-3</v>
      </c>
      <c r="AO310" s="3"/>
      <c r="AP310">
        <v>0</v>
      </c>
      <c r="AR310" t="s">
        <v>0</v>
      </c>
      <c r="AT310" s="2" t="s">
        <v>9</v>
      </c>
      <c r="AU310" s="1">
        <f t="shared" si="37"/>
        <v>3.32985873459545</v>
      </c>
      <c r="AV310" s="1">
        <f t="shared" si="38"/>
        <v>2.6098181244796881</v>
      </c>
      <c r="AW310" s="1">
        <f t="shared" si="39"/>
        <v>1.8897775143639262</v>
      </c>
    </row>
    <row r="311" spans="1:49" x14ac:dyDescent="0.2">
      <c r="A311">
        <v>309</v>
      </c>
      <c r="B311" t="s">
        <v>4957</v>
      </c>
      <c r="C311" t="s">
        <v>4956</v>
      </c>
      <c r="F311" t="s">
        <v>4955</v>
      </c>
      <c r="G311" t="s">
        <v>6</v>
      </c>
      <c r="H311" t="s">
        <v>5</v>
      </c>
      <c r="I311" t="s">
        <v>4954</v>
      </c>
      <c r="J311" t="s">
        <v>4953</v>
      </c>
      <c r="K311" t="s">
        <v>4952</v>
      </c>
      <c r="L311" t="s">
        <v>4951</v>
      </c>
      <c r="M311" t="s">
        <v>720</v>
      </c>
      <c r="N311">
        <v>3</v>
      </c>
      <c r="O311" t="s">
        <v>4950</v>
      </c>
      <c r="P311" t="s">
        <v>4949</v>
      </c>
      <c r="Q311" t="s">
        <v>4948</v>
      </c>
      <c r="R311" s="7">
        <v>35400</v>
      </c>
      <c r="S311" s="8">
        <f t="shared" si="32"/>
        <v>1996</v>
      </c>
      <c r="T311" s="8">
        <v>1996</v>
      </c>
      <c r="U311" s="8">
        <f t="shared" si="33"/>
        <v>26</v>
      </c>
      <c r="V311" s="7">
        <v>1996</v>
      </c>
      <c r="W311" t="s">
        <v>694</v>
      </c>
      <c r="X311" s="2">
        <v>1.6379999999999999</v>
      </c>
      <c r="Y311" s="6">
        <f t="shared" si="34"/>
        <v>4.3725474493473214E-2</v>
      </c>
      <c r="AA311" t="s">
        <v>693</v>
      </c>
      <c r="AB311">
        <v>17391</v>
      </c>
      <c r="AD311" t="s">
        <v>1</v>
      </c>
      <c r="AE311">
        <v>44</v>
      </c>
      <c r="AF311">
        <v>5</v>
      </c>
      <c r="AH311" t="s">
        <v>4947</v>
      </c>
      <c r="AI311" t="s">
        <v>4946</v>
      </c>
      <c r="AK311" t="s">
        <v>4945</v>
      </c>
      <c r="AL311">
        <v>257</v>
      </c>
      <c r="AM311" s="5">
        <f t="shared" si="35"/>
        <v>9.884615384615385</v>
      </c>
      <c r="AN311" s="4">
        <f t="shared" si="36"/>
        <v>1.4971019136108118E-2</v>
      </c>
      <c r="AO311" s="3"/>
      <c r="AP311">
        <v>0</v>
      </c>
      <c r="AQ311" t="s">
        <v>210</v>
      </c>
      <c r="AR311" t="s">
        <v>0</v>
      </c>
      <c r="AS311" t="s">
        <v>209</v>
      </c>
      <c r="AT311" s="2">
        <v>4.931</v>
      </c>
      <c r="AU311" s="1">
        <f t="shared" si="37"/>
        <v>3.5099137886263683</v>
      </c>
      <c r="AV311" s="1">
        <f t="shared" si="38"/>
        <v>2.9348246814790668</v>
      </c>
      <c r="AW311" s="1">
        <f t="shared" si="39"/>
        <v>2.3597355743317645</v>
      </c>
    </row>
    <row r="312" spans="1:49" x14ac:dyDescent="0.2">
      <c r="A312">
        <v>310</v>
      </c>
      <c r="B312" t="s">
        <v>4944</v>
      </c>
      <c r="C312" t="s">
        <v>4943</v>
      </c>
      <c r="D312" t="s">
        <v>4942</v>
      </c>
      <c r="F312" t="s">
        <v>4941</v>
      </c>
      <c r="G312" t="s">
        <v>6</v>
      </c>
      <c r="H312" t="s">
        <v>5</v>
      </c>
      <c r="I312" t="s">
        <v>4940</v>
      </c>
      <c r="J312" t="s">
        <v>4939</v>
      </c>
      <c r="K312" t="s">
        <v>4938</v>
      </c>
      <c r="L312" t="s">
        <v>4937</v>
      </c>
      <c r="M312" t="s">
        <v>13</v>
      </c>
      <c r="N312">
        <v>4</v>
      </c>
      <c r="O312" t="s">
        <v>4936</v>
      </c>
      <c r="P312" t="s">
        <v>4935</v>
      </c>
      <c r="Q312" t="s">
        <v>4934</v>
      </c>
      <c r="R312" s="7">
        <v>35400</v>
      </c>
      <c r="S312" s="8">
        <f t="shared" si="32"/>
        <v>1996</v>
      </c>
      <c r="T312" s="8">
        <v>1996</v>
      </c>
      <c r="U312" s="8">
        <f t="shared" si="33"/>
        <v>26</v>
      </c>
      <c r="V312" s="7">
        <v>1996</v>
      </c>
      <c r="W312" t="s">
        <v>356</v>
      </c>
      <c r="X312" s="2">
        <v>0.65500000000000003</v>
      </c>
      <c r="Y312" s="6">
        <f t="shared" si="34"/>
        <v>1.7484850911614749E-2</v>
      </c>
      <c r="AA312">
        <v>189375</v>
      </c>
      <c r="AB312">
        <v>26051</v>
      </c>
      <c r="AD312" t="s">
        <v>1</v>
      </c>
      <c r="AE312">
        <v>38</v>
      </c>
      <c r="AF312">
        <v>2</v>
      </c>
      <c r="AH312" t="s">
        <v>4933</v>
      </c>
      <c r="AI312" t="s">
        <v>4932</v>
      </c>
      <c r="AK312" t="s">
        <v>4931</v>
      </c>
      <c r="AL312">
        <v>51</v>
      </c>
      <c r="AM312" s="5">
        <f t="shared" si="35"/>
        <v>1.9615384615384615</v>
      </c>
      <c r="AN312" s="4">
        <f t="shared" si="36"/>
        <v>2.9709026301226226E-3</v>
      </c>
      <c r="AO312" s="3"/>
      <c r="AP312">
        <v>0</v>
      </c>
      <c r="AR312" t="s">
        <v>0</v>
      </c>
      <c r="AT312" s="2" t="s">
        <v>9</v>
      </c>
      <c r="AU312" s="1">
        <f t="shared" si="37"/>
        <v>1.313066642716711</v>
      </c>
      <c r="AV312" s="1">
        <f t="shared" si="38"/>
        <v>1.0227876770868685</v>
      </c>
      <c r="AW312" s="1">
        <f t="shared" si="39"/>
        <v>0.73250871145702601</v>
      </c>
    </row>
    <row r="313" spans="1:49" x14ac:dyDescent="0.2">
      <c r="A313">
        <v>311</v>
      </c>
      <c r="B313" t="s">
        <v>4930</v>
      </c>
      <c r="C313" t="s">
        <v>4929</v>
      </c>
      <c r="D313" t="s">
        <v>4928</v>
      </c>
      <c r="F313" t="s">
        <v>4927</v>
      </c>
      <c r="G313" t="s">
        <v>6</v>
      </c>
      <c r="H313" t="s">
        <v>5</v>
      </c>
      <c r="I313" t="s">
        <v>4926</v>
      </c>
      <c r="J313">
        <v>60021285</v>
      </c>
      <c r="K313" t="s">
        <v>4216</v>
      </c>
      <c r="L313" t="s">
        <v>4925</v>
      </c>
      <c r="M313" t="s">
        <v>2</v>
      </c>
      <c r="N313">
        <v>2</v>
      </c>
      <c r="O313" t="s">
        <v>4924</v>
      </c>
      <c r="P313" t="s">
        <v>4923</v>
      </c>
      <c r="Q313" t="s">
        <v>4922</v>
      </c>
      <c r="R313" s="7">
        <v>35400</v>
      </c>
      <c r="S313" s="8">
        <f t="shared" si="32"/>
        <v>1996</v>
      </c>
      <c r="T313" s="8">
        <v>1996</v>
      </c>
      <c r="U313" s="8">
        <f t="shared" si="33"/>
        <v>26</v>
      </c>
      <c r="V313" s="7">
        <v>1996</v>
      </c>
      <c r="W313" t="s">
        <v>356</v>
      </c>
      <c r="X313" s="2">
        <v>0.65500000000000003</v>
      </c>
      <c r="Y313" s="6">
        <f t="shared" si="34"/>
        <v>1.7484850911614749E-2</v>
      </c>
      <c r="AA313">
        <v>189375</v>
      </c>
      <c r="AB313">
        <v>26051</v>
      </c>
      <c r="AD313" t="s">
        <v>1</v>
      </c>
      <c r="AE313">
        <v>38</v>
      </c>
      <c r="AF313">
        <v>2</v>
      </c>
      <c r="AH313" t="s">
        <v>1807</v>
      </c>
      <c r="AI313" t="s">
        <v>4921</v>
      </c>
      <c r="AK313" t="s">
        <v>4920</v>
      </c>
      <c r="AL313">
        <v>13</v>
      </c>
      <c r="AM313" s="5">
        <f t="shared" si="35"/>
        <v>0.5</v>
      </c>
      <c r="AN313" s="4">
        <f t="shared" si="36"/>
        <v>7.572889057175312E-4</v>
      </c>
      <c r="AO313" s="3"/>
      <c r="AP313">
        <v>0</v>
      </c>
      <c r="AR313" t="s">
        <v>0</v>
      </c>
      <c r="AT313" s="2" t="s">
        <v>9</v>
      </c>
      <c r="AU313" s="1">
        <f t="shared" si="37"/>
        <v>1.2466582309845582</v>
      </c>
      <c r="AV313" s="1">
        <f t="shared" si="38"/>
        <v>0.91210699086661395</v>
      </c>
      <c r="AW313" s="1">
        <f t="shared" si="39"/>
        <v>0.57755575074866961</v>
      </c>
    </row>
    <row r="314" spans="1:49" x14ac:dyDescent="0.2">
      <c r="A314">
        <v>312</v>
      </c>
      <c r="B314" t="s">
        <v>4919</v>
      </c>
      <c r="C314" t="s">
        <v>4918</v>
      </c>
      <c r="F314" t="s">
        <v>4917</v>
      </c>
      <c r="G314" t="s">
        <v>6</v>
      </c>
      <c r="H314" t="s">
        <v>5</v>
      </c>
      <c r="I314" t="s">
        <v>4916</v>
      </c>
      <c r="J314">
        <v>60017293</v>
      </c>
      <c r="K314" t="s">
        <v>425</v>
      </c>
      <c r="L314" t="s">
        <v>424</v>
      </c>
      <c r="M314" t="s">
        <v>42</v>
      </c>
      <c r="N314">
        <v>3</v>
      </c>
      <c r="O314" t="s">
        <v>4915</v>
      </c>
      <c r="P314" t="s">
        <v>4914</v>
      </c>
      <c r="Q314" t="s">
        <v>423</v>
      </c>
      <c r="R314" s="7">
        <v>35400</v>
      </c>
      <c r="S314" s="8">
        <f t="shared" si="32"/>
        <v>1996</v>
      </c>
      <c r="T314" s="8">
        <v>1996</v>
      </c>
      <c r="U314" s="8">
        <f t="shared" si="33"/>
        <v>26</v>
      </c>
      <c r="V314" s="7">
        <v>1996</v>
      </c>
      <c r="W314" t="s">
        <v>298</v>
      </c>
      <c r="X314" s="2">
        <v>0.62</v>
      </c>
      <c r="Y314" s="6">
        <f t="shared" si="34"/>
        <v>1.6550545901070447E-2</v>
      </c>
      <c r="AA314">
        <v>189464</v>
      </c>
      <c r="AB314">
        <v>17364</v>
      </c>
      <c r="AD314" t="s">
        <v>1</v>
      </c>
      <c r="AE314">
        <v>32</v>
      </c>
      <c r="AF314" t="s">
        <v>297</v>
      </c>
      <c r="AH314" t="s">
        <v>4913</v>
      </c>
      <c r="AI314" t="s">
        <v>4912</v>
      </c>
      <c r="AK314" t="s">
        <v>4911</v>
      </c>
      <c r="AL314">
        <v>6</v>
      </c>
      <c r="AM314" s="5">
        <f t="shared" si="35"/>
        <v>0.23076923076923078</v>
      </c>
      <c r="AN314" s="4">
        <f t="shared" si="36"/>
        <v>3.4951795648501444E-4</v>
      </c>
      <c r="AO314" s="3"/>
      <c r="AP314">
        <v>0</v>
      </c>
      <c r="AR314" t="s">
        <v>0</v>
      </c>
      <c r="AT314" s="2">
        <v>1.7</v>
      </c>
      <c r="AU314" s="1">
        <f t="shared" si="37"/>
        <v>1.1690237517694817</v>
      </c>
      <c r="AV314" s="1">
        <f t="shared" si="38"/>
        <v>0.84500319287777304</v>
      </c>
      <c r="AW314" s="1">
        <f t="shared" si="39"/>
        <v>0.52098263398606437</v>
      </c>
    </row>
    <row r="315" spans="1:49" x14ac:dyDescent="0.2">
      <c r="A315">
        <v>313</v>
      </c>
      <c r="B315" t="s">
        <v>4910</v>
      </c>
      <c r="C315" t="s">
        <v>4909</v>
      </c>
      <c r="F315" t="s">
        <v>4908</v>
      </c>
      <c r="G315" t="s">
        <v>6</v>
      </c>
      <c r="H315" t="s">
        <v>5</v>
      </c>
      <c r="I315" t="s">
        <v>4907</v>
      </c>
      <c r="J315" t="s">
        <v>4906</v>
      </c>
      <c r="K315" t="s">
        <v>4905</v>
      </c>
      <c r="L315" t="s">
        <v>4904</v>
      </c>
      <c r="M315" t="s">
        <v>413</v>
      </c>
      <c r="N315">
        <v>2</v>
      </c>
      <c r="O315" t="s">
        <v>4903</v>
      </c>
      <c r="P315" t="s">
        <v>4902</v>
      </c>
      <c r="Q315" t="s">
        <v>4901</v>
      </c>
      <c r="R315" s="7">
        <v>35400</v>
      </c>
      <c r="S315" s="8">
        <f t="shared" si="32"/>
        <v>1996</v>
      </c>
      <c r="T315" s="8">
        <v>1996</v>
      </c>
      <c r="U315" s="8">
        <f t="shared" si="33"/>
        <v>26</v>
      </c>
      <c r="V315" s="7">
        <v>1996</v>
      </c>
      <c r="W315" t="s">
        <v>694</v>
      </c>
      <c r="X315" s="2">
        <v>1.6379999999999999</v>
      </c>
      <c r="Y315" s="6">
        <f t="shared" si="34"/>
        <v>4.3725474493473214E-2</v>
      </c>
      <c r="AA315" t="s">
        <v>693</v>
      </c>
      <c r="AB315">
        <v>17391</v>
      </c>
      <c r="AD315" t="s">
        <v>1</v>
      </c>
      <c r="AE315">
        <v>44</v>
      </c>
      <c r="AF315">
        <v>5</v>
      </c>
      <c r="AH315" t="s">
        <v>4900</v>
      </c>
      <c r="AI315" t="s">
        <v>4899</v>
      </c>
      <c r="AK315" t="s">
        <v>4898</v>
      </c>
      <c r="AL315">
        <v>393</v>
      </c>
      <c r="AM315" s="5">
        <f t="shared" si="35"/>
        <v>15.115384615384615</v>
      </c>
      <c r="AN315" s="4">
        <f t="shared" si="36"/>
        <v>2.2893426149768442E-2</v>
      </c>
      <c r="AO315" s="3"/>
      <c r="AP315">
        <v>0</v>
      </c>
      <c r="AQ315" t="s">
        <v>24</v>
      </c>
      <c r="AR315" t="s">
        <v>4897</v>
      </c>
      <c r="AS315" t="s">
        <v>23</v>
      </c>
      <c r="AT315" s="2">
        <v>4.931</v>
      </c>
      <c r="AU315" s="1">
        <f t="shared" si="37"/>
        <v>3.7475859990361777</v>
      </c>
      <c r="AV315" s="1">
        <f t="shared" si="38"/>
        <v>3.330945032162083</v>
      </c>
      <c r="AW315" s="1">
        <f t="shared" si="39"/>
        <v>2.914304065287987</v>
      </c>
    </row>
    <row r="316" spans="1:49" x14ac:dyDescent="0.2">
      <c r="A316">
        <v>314</v>
      </c>
      <c r="B316" t="s">
        <v>4896</v>
      </c>
      <c r="C316" t="s">
        <v>4895</v>
      </c>
      <c r="D316" t="s">
        <v>4894</v>
      </c>
      <c r="F316" t="s">
        <v>4893</v>
      </c>
      <c r="G316" t="s">
        <v>6</v>
      </c>
      <c r="H316" t="s">
        <v>5</v>
      </c>
      <c r="I316" t="s">
        <v>4892</v>
      </c>
      <c r="J316" t="s">
        <v>4891</v>
      </c>
      <c r="K316" t="s">
        <v>4890</v>
      </c>
      <c r="L316" t="s">
        <v>4889</v>
      </c>
      <c r="M316" t="s">
        <v>4888</v>
      </c>
      <c r="N316">
        <v>7</v>
      </c>
      <c r="O316" t="s">
        <v>4887</v>
      </c>
      <c r="P316" t="s">
        <v>4886</v>
      </c>
      <c r="Q316" t="s">
        <v>4885</v>
      </c>
      <c r="R316" s="7">
        <v>35400</v>
      </c>
      <c r="S316" s="8">
        <f t="shared" si="32"/>
        <v>1996</v>
      </c>
      <c r="T316" s="8">
        <v>1996</v>
      </c>
      <c r="U316" s="8">
        <f t="shared" si="33"/>
        <v>26</v>
      </c>
      <c r="V316" s="7">
        <v>1996</v>
      </c>
      <c r="W316" t="s">
        <v>410</v>
      </c>
      <c r="X316" s="2">
        <v>1.3720000000000001</v>
      </c>
      <c r="Y316" s="6">
        <f t="shared" si="34"/>
        <v>3.662475641333654E-2</v>
      </c>
      <c r="AA316">
        <v>189480</v>
      </c>
      <c r="AB316">
        <v>17366</v>
      </c>
      <c r="AD316" t="s">
        <v>1</v>
      </c>
      <c r="AE316">
        <v>44</v>
      </c>
      <c r="AF316">
        <v>5</v>
      </c>
      <c r="AH316" t="s">
        <v>4884</v>
      </c>
      <c r="AI316" t="s">
        <v>4883</v>
      </c>
      <c r="AK316" t="s">
        <v>4882</v>
      </c>
      <c r="AL316">
        <v>13</v>
      </c>
      <c r="AM316" s="5">
        <f t="shared" si="35"/>
        <v>0.5</v>
      </c>
      <c r="AN316" s="4">
        <f t="shared" si="36"/>
        <v>7.572889057175312E-4</v>
      </c>
      <c r="AO316" s="3"/>
      <c r="AP316">
        <v>0</v>
      </c>
      <c r="AR316" t="s">
        <v>0</v>
      </c>
      <c r="AT316" s="2" t="s">
        <v>9</v>
      </c>
      <c r="AU316" s="1">
        <f t="shared" si="37"/>
        <v>2.5864516161050837</v>
      </c>
      <c r="AV316" s="1">
        <f t="shared" si="38"/>
        <v>1.8691022659527035</v>
      </c>
      <c r="AW316" s="1">
        <f t="shared" si="39"/>
        <v>1.1517529158003235</v>
      </c>
    </row>
    <row r="317" spans="1:49" x14ac:dyDescent="0.2">
      <c r="A317">
        <v>315</v>
      </c>
      <c r="B317" t="s">
        <v>4881</v>
      </c>
      <c r="C317" t="s">
        <v>4880</v>
      </c>
      <c r="F317" t="s">
        <v>4879</v>
      </c>
      <c r="G317" t="s">
        <v>6</v>
      </c>
      <c r="H317" t="s">
        <v>5</v>
      </c>
      <c r="I317" t="s">
        <v>4878</v>
      </c>
      <c r="J317">
        <v>105197271</v>
      </c>
      <c r="K317" t="s">
        <v>4877</v>
      </c>
      <c r="L317" t="s">
        <v>4876</v>
      </c>
      <c r="M317" t="s">
        <v>19</v>
      </c>
      <c r="N317">
        <v>1</v>
      </c>
      <c r="O317" t="s">
        <v>4875</v>
      </c>
      <c r="P317">
        <v>57213447960</v>
      </c>
      <c r="Q317">
        <v>105197271</v>
      </c>
      <c r="R317" s="7">
        <v>35400</v>
      </c>
      <c r="S317" s="8">
        <f t="shared" si="32"/>
        <v>1996</v>
      </c>
      <c r="T317" s="8">
        <v>1996</v>
      </c>
      <c r="U317" s="8">
        <f t="shared" si="33"/>
        <v>26</v>
      </c>
      <c r="V317" s="7">
        <v>1996</v>
      </c>
      <c r="W317" t="s">
        <v>298</v>
      </c>
      <c r="X317" s="2">
        <v>0.62</v>
      </c>
      <c r="Y317" s="6">
        <f t="shared" si="34"/>
        <v>1.6550545901070447E-2</v>
      </c>
      <c r="AA317">
        <v>189464</v>
      </c>
      <c r="AB317">
        <v>17364</v>
      </c>
      <c r="AD317" t="s">
        <v>1</v>
      </c>
      <c r="AE317">
        <v>32</v>
      </c>
      <c r="AF317" t="s">
        <v>297</v>
      </c>
      <c r="AH317" t="s">
        <v>4874</v>
      </c>
      <c r="AI317" t="s">
        <v>4873</v>
      </c>
      <c r="AK317" t="s">
        <v>4872</v>
      </c>
      <c r="AL317">
        <v>4</v>
      </c>
      <c r="AM317" s="5">
        <f t="shared" si="35"/>
        <v>0.15384615384615385</v>
      </c>
      <c r="AN317" s="4">
        <f t="shared" si="36"/>
        <v>2.3301197099000962E-4</v>
      </c>
      <c r="AO317" s="3"/>
      <c r="AP317">
        <v>0</v>
      </c>
      <c r="AR317" t="s">
        <v>0</v>
      </c>
      <c r="AT317" s="2">
        <v>1.7</v>
      </c>
      <c r="AU317" s="1">
        <f t="shared" si="37"/>
        <v>1.1655285722046316</v>
      </c>
      <c r="AV317" s="1">
        <f t="shared" si="38"/>
        <v>0.83917789360302275</v>
      </c>
      <c r="AW317" s="1">
        <f t="shared" si="39"/>
        <v>0.51282721500141404</v>
      </c>
    </row>
    <row r="318" spans="1:49" x14ac:dyDescent="0.2">
      <c r="A318">
        <v>316</v>
      </c>
      <c r="B318" t="s">
        <v>4871</v>
      </c>
      <c r="C318" t="s">
        <v>4870</v>
      </c>
      <c r="F318" t="s">
        <v>4869</v>
      </c>
      <c r="G318" t="s">
        <v>6</v>
      </c>
      <c r="H318" t="s">
        <v>5</v>
      </c>
      <c r="I318" t="s">
        <v>4868</v>
      </c>
      <c r="J318">
        <v>60028673</v>
      </c>
      <c r="K318" t="s">
        <v>514</v>
      </c>
      <c r="L318" t="s">
        <v>381</v>
      </c>
      <c r="M318" t="s">
        <v>30</v>
      </c>
      <c r="N318">
        <v>2</v>
      </c>
      <c r="O318" t="s">
        <v>4867</v>
      </c>
      <c r="P318" t="s">
        <v>4866</v>
      </c>
      <c r="Q318" t="s">
        <v>4865</v>
      </c>
      <c r="R318" s="7">
        <v>35400</v>
      </c>
      <c r="S318" s="8">
        <f t="shared" si="32"/>
        <v>1996</v>
      </c>
      <c r="T318" s="8">
        <v>1996</v>
      </c>
      <c r="U318" s="8">
        <f t="shared" si="33"/>
        <v>26</v>
      </c>
      <c r="V318" s="7">
        <v>1996</v>
      </c>
      <c r="W318" t="s">
        <v>298</v>
      </c>
      <c r="X318" s="2">
        <v>0.62</v>
      </c>
      <c r="Y318" s="6">
        <f t="shared" si="34"/>
        <v>1.6550545901070447E-2</v>
      </c>
      <c r="AA318">
        <v>189464</v>
      </c>
      <c r="AB318">
        <v>17364</v>
      </c>
      <c r="AD318" t="s">
        <v>1</v>
      </c>
      <c r="AE318">
        <v>32</v>
      </c>
      <c r="AF318" t="s">
        <v>297</v>
      </c>
      <c r="AH318" t="s">
        <v>4864</v>
      </c>
      <c r="AI318" t="s">
        <v>4863</v>
      </c>
      <c r="AK318" t="s">
        <v>4862</v>
      </c>
      <c r="AL318">
        <v>89</v>
      </c>
      <c r="AM318" s="5">
        <f t="shared" si="35"/>
        <v>3.4230769230769229</v>
      </c>
      <c r="AN318" s="4">
        <f t="shared" si="36"/>
        <v>5.1845163545277137E-3</v>
      </c>
      <c r="AO318" s="3"/>
      <c r="AP318">
        <v>0</v>
      </c>
      <c r="AR318" t="s">
        <v>0</v>
      </c>
      <c r="AT318" s="2">
        <v>1.7</v>
      </c>
      <c r="AU318" s="1">
        <f t="shared" si="37"/>
        <v>1.3140737037107626</v>
      </c>
      <c r="AV318" s="1">
        <f t="shared" si="38"/>
        <v>1.0867531127799079</v>
      </c>
      <c r="AW318" s="1">
        <f t="shared" si="39"/>
        <v>0.85943252184905328</v>
      </c>
    </row>
    <row r="319" spans="1:49" x14ac:dyDescent="0.2">
      <c r="A319">
        <v>317</v>
      </c>
      <c r="B319" t="s">
        <v>4861</v>
      </c>
      <c r="C319" t="s">
        <v>4860</v>
      </c>
      <c r="D319" t="s">
        <v>4859</v>
      </c>
      <c r="F319" t="s">
        <v>4858</v>
      </c>
      <c r="G319" t="s">
        <v>6</v>
      </c>
      <c r="H319" t="s">
        <v>5</v>
      </c>
      <c r="I319" t="s">
        <v>4857</v>
      </c>
      <c r="J319" t="s">
        <v>4856</v>
      </c>
      <c r="K319" t="s">
        <v>4855</v>
      </c>
      <c r="L319" t="s">
        <v>4854</v>
      </c>
      <c r="M319" t="s">
        <v>4853</v>
      </c>
      <c r="N319">
        <v>2</v>
      </c>
      <c r="O319" t="s">
        <v>4852</v>
      </c>
      <c r="P319" t="s">
        <v>4851</v>
      </c>
      <c r="Q319" t="s">
        <v>4850</v>
      </c>
      <c r="R319" s="7">
        <v>35400</v>
      </c>
      <c r="S319" s="8">
        <f t="shared" si="32"/>
        <v>1996</v>
      </c>
      <c r="T319" s="8">
        <v>1996</v>
      </c>
      <c r="U319" s="8">
        <f t="shared" si="33"/>
        <v>26</v>
      </c>
      <c r="V319" s="7">
        <v>1996</v>
      </c>
      <c r="W319" t="s">
        <v>298</v>
      </c>
      <c r="X319" s="2">
        <v>0.62</v>
      </c>
      <c r="Y319" s="6">
        <f t="shared" si="34"/>
        <v>1.6550545901070447E-2</v>
      </c>
      <c r="AA319">
        <v>189464</v>
      </c>
      <c r="AB319">
        <v>17364</v>
      </c>
      <c r="AD319" t="s">
        <v>1</v>
      </c>
      <c r="AE319">
        <v>32</v>
      </c>
      <c r="AF319" t="s">
        <v>297</v>
      </c>
      <c r="AH319" t="s">
        <v>4849</v>
      </c>
      <c r="AI319" t="s">
        <v>4848</v>
      </c>
      <c r="AK319" t="s">
        <v>4847</v>
      </c>
      <c r="AL319">
        <v>56</v>
      </c>
      <c r="AM319" s="5">
        <f t="shared" si="35"/>
        <v>2.1538461538461537</v>
      </c>
      <c r="AN319" s="4">
        <f t="shared" si="36"/>
        <v>3.2621675938601345E-3</v>
      </c>
      <c r="AO319" s="3"/>
      <c r="AP319">
        <v>0</v>
      </c>
      <c r="AR319" t="s">
        <v>4846</v>
      </c>
      <c r="AT319" s="2">
        <v>1.7</v>
      </c>
      <c r="AU319" s="1">
        <f t="shared" si="37"/>
        <v>1.2564032408907353</v>
      </c>
      <c r="AV319" s="1">
        <f t="shared" si="38"/>
        <v>0.99063567474652914</v>
      </c>
      <c r="AW319" s="1">
        <f t="shared" si="39"/>
        <v>0.72486810860232287</v>
      </c>
    </row>
    <row r="320" spans="1:49" x14ac:dyDescent="0.2">
      <c r="A320">
        <v>318</v>
      </c>
      <c r="B320" t="s">
        <v>4845</v>
      </c>
      <c r="C320" t="s">
        <v>4844</v>
      </c>
      <c r="D320" t="s">
        <v>4843</v>
      </c>
      <c r="F320" t="s">
        <v>4842</v>
      </c>
      <c r="G320" t="s">
        <v>6</v>
      </c>
      <c r="H320" t="s">
        <v>5</v>
      </c>
      <c r="I320" t="s">
        <v>347</v>
      </c>
      <c r="J320">
        <v>60025534</v>
      </c>
      <c r="K320" t="s">
        <v>346</v>
      </c>
      <c r="L320" t="s">
        <v>345</v>
      </c>
      <c r="M320" t="s">
        <v>2</v>
      </c>
      <c r="N320">
        <v>3</v>
      </c>
      <c r="O320" t="s">
        <v>4841</v>
      </c>
      <c r="P320" t="s">
        <v>4840</v>
      </c>
      <c r="Q320" t="s">
        <v>4839</v>
      </c>
      <c r="R320" s="7">
        <v>35400</v>
      </c>
      <c r="S320" s="8">
        <f t="shared" si="32"/>
        <v>1996</v>
      </c>
      <c r="T320" s="8">
        <v>1996</v>
      </c>
      <c r="U320" s="8">
        <f t="shared" si="33"/>
        <v>26</v>
      </c>
      <c r="V320" s="7">
        <v>1996</v>
      </c>
      <c r="W320" t="s">
        <v>1132</v>
      </c>
      <c r="X320" s="2">
        <v>1.1819999999999999</v>
      </c>
      <c r="Y320" s="6">
        <f t="shared" si="34"/>
        <v>3.1552814927524625E-2</v>
      </c>
      <c r="AA320">
        <v>36951</v>
      </c>
      <c r="AB320">
        <v>27030</v>
      </c>
      <c r="AD320" t="s">
        <v>1</v>
      </c>
      <c r="AE320">
        <v>68</v>
      </c>
      <c r="AF320">
        <v>21</v>
      </c>
      <c r="AH320" t="s">
        <v>4838</v>
      </c>
      <c r="AI320" t="s">
        <v>4837</v>
      </c>
      <c r="AK320" t="s">
        <v>4836</v>
      </c>
      <c r="AL320">
        <v>327</v>
      </c>
      <c r="AM320" s="5">
        <f t="shared" si="35"/>
        <v>12.576923076923077</v>
      </c>
      <c r="AN320" s="4">
        <f t="shared" si="36"/>
        <v>1.9048728628433285E-2</v>
      </c>
      <c r="AO320" s="3"/>
      <c r="AP320">
        <v>0</v>
      </c>
      <c r="AR320" t="s">
        <v>0</v>
      </c>
      <c r="AT320" s="2">
        <v>3.7909999999999999</v>
      </c>
      <c r="AU320" s="1">
        <f t="shared" si="37"/>
        <v>2.7801589037797223</v>
      </c>
      <c r="AV320" s="1">
        <f t="shared" si="38"/>
        <v>2.5300771777978954</v>
      </c>
      <c r="AW320" s="1">
        <f t="shared" si="39"/>
        <v>2.2799954518160686</v>
      </c>
    </row>
    <row r="321" spans="1:49" x14ac:dyDescent="0.2">
      <c r="A321">
        <v>319</v>
      </c>
      <c r="B321" t="s">
        <v>4835</v>
      </c>
      <c r="C321" t="s">
        <v>4834</v>
      </c>
      <c r="D321" t="s">
        <v>4833</v>
      </c>
      <c r="F321" t="s">
        <v>4832</v>
      </c>
      <c r="G321" t="s">
        <v>6</v>
      </c>
      <c r="H321" t="s">
        <v>5</v>
      </c>
      <c r="I321" t="s">
        <v>4831</v>
      </c>
      <c r="J321" t="s">
        <v>4830</v>
      </c>
      <c r="K321" t="s">
        <v>4829</v>
      </c>
      <c r="L321" t="s">
        <v>4828</v>
      </c>
      <c r="M321" t="s">
        <v>13</v>
      </c>
      <c r="N321">
        <v>1</v>
      </c>
      <c r="O321" t="s">
        <v>4827</v>
      </c>
      <c r="P321">
        <v>6701575491</v>
      </c>
      <c r="Q321" t="s">
        <v>4826</v>
      </c>
      <c r="R321" s="7">
        <v>35400</v>
      </c>
      <c r="S321" s="8">
        <f t="shared" si="32"/>
        <v>1996</v>
      </c>
      <c r="T321" s="8">
        <v>1996</v>
      </c>
      <c r="U321" s="8">
        <f t="shared" si="33"/>
        <v>26</v>
      </c>
      <c r="V321" s="7">
        <v>1996</v>
      </c>
      <c r="W321" t="s">
        <v>4825</v>
      </c>
      <c r="X321" s="2">
        <v>0.91600000000000004</v>
      </c>
      <c r="Y321" s="6">
        <f t="shared" si="34"/>
        <v>2.4452096847387951E-2</v>
      </c>
      <c r="AA321">
        <v>189359</v>
      </c>
      <c r="AB321">
        <v>17344</v>
      </c>
      <c r="AD321" t="s">
        <v>1</v>
      </c>
      <c r="AE321">
        <v>39</v>
      </c>
      <c r="AF321">
        <v>2</v>
      </c>
      <c r="AH321" t="s">
        <v>4824</v>
      </c>
      <c r="AI321" t="s">
        <v>4823</v>
      </c>
      <c r="AK321" t="s">
        <v>4822</v>
      </c>
      <c r="AL321">
        <v>28</v>
      </c>
      <c r="AM321" s="5">
        <f t="shared" si="35"/>
        <v>1.0769230769230769</v>
      </c>
      <c r="AN321" s="4">
        <f t="shared" si="36"/>
        <v>1.6310837969300673E-3</v>
      </c>
      <c r="AO321" s="3"/>
      <c r="AP321">
        <v>0</v>
      </c>
      <c r="AR321" t="s">
        <v>0</v>
      </c>
      <c r="AT321" s="2">
        <v>2.1160000000000001</v>
      </c>
      <c r="AU321" s="1">
        <f t="shared" si="37"/>
        <v>1.7605792932250584</v>
      </c>
      <c r="AV321" s="1">
        <f t="shared" si="38"/>
        <v>1.3041590322159009</v>
      </c>
      <c r="AW321" s="1">
        <f t="shared" si="39"/>
        <v>0.84773877120674324</v>
      </c>
    </row>
    <row r="322" spans="1:49" x14ac:dyDescent="0.2">
      <c r="A322">
        <v>320</v>
      </c>
      <c r="B322" t="s">
        <v>4821</v>
      </c>
      <c r="C322" t="s">
        <v>4820</v>
      </c>
      <c r="F322" t="s">
        <v>4819</v>
      </c>
      <c r="G322" t="s">
        <v>6</v>
      </c>
      <c r="H322" t="s">
        <v>5</v>
      </c>
      <c r="I322" t="s">
        <v>4818</v>
      </c>
      <c r="J322" t="s">
        <v>4817</v>
      </c>
      <c r="K322" t="s">
        <v>4816</v>
      </c>
      <c r="L322" t="s">
        <v>4815</v>
      </c>
      <c r="M322" t="s">
        <v>4814</v>
      </c>
      <c r="N322">
        <v>3</v>
      </c>
      <c r="O322" t="s">
        <v>4813</v>
      </c>
      <c r="P322" t="s">
        <v>4812</v>
      </c>
      <c r="Q322" t="s">
        <v>4811</v>
      </c>
      <c r="R322" s="7">
        <v>35400</v>
      </c>
      <c r="S322" s="8">
        <f t="shared" ref="S322:S385" si="40">YEAR(R322)</f>
        <v>1996</v>
      </c>
      <c r="T322" s="8">
        <v>1996</v>
      </c>
      <c r="U322" s="8">
        <f t="shared" ref="U322:U385" si="41">2022-T322</f>
        <v>26</v>
      </c>
      <c r="V322" s="7">
        <v>1996</v>
      </c>
      <c r="W322" t="s">
        <v>298</v>
      </c>
      <c r="X322" s="2">
        <v>0.62</v>
      </c>
      <c r="Y322" s="6">
        <f t="shared" ref="Y322:Y385" si="42">(X322-$Z$3)/($Z$2-$Z$3)</f>
        <v>1.6550545901070447E-2</v>
      </c>
      <c r="AA322">
        <v>189464</v>
      </c>
      <c r="AB322">
        <v>17364</v>
      </c>
      <c r="AD322" t="s">
        <v>1</v>
      </c>
      <c r="AE322">
        <v>32</v>
      </c>
      <c r="AF322" t="s">
        <v>297</v>
      </c>
      <c r="AH322" t="s">
        <v>4810</v>
      </c>
      <c r="AI322" t="s">
        <v>4809</v>
      </c>
      <c r="AK322" t="s">
        <v>4808</v>
      </c>
      <c r="AL322">
        <v>5</v>
      </c>
      <c r="AM322" s="5">
        <f t="shared" ref="AM322:AM385" si="43">AL322/U322</f>
        <v>0.19230769230769232</v>
      </c>
      <c r="AN322" s="4">
        <f t="shared" ref="AN322:AN385" si="44">(AM322-$AO$3)/($AO$2-$AO$3)</f>
        <v>2.9126496373751206E-4</v>
      </c>
      <c r="AO322" s="3"/>
      <c r="AP322">
        <v>0</v>
      </c>
      <c r="AR322" t="s">
        <v>0</v>
      </c>
      <c r="AT322" s="2">
        <v>1.7</v>
      </c>
      <c r="AU322" s="1">
        <f t="shared" ref="AU322:AU385" si="45">(Y322*0.7+AN322*0.3)*100</f>
        <v>1.1672761619870566</v>
      </c>
      <c r="AV322" s="1">
        <f t="shared" ref="AV322:AV385" si="46">(Y322*0.5+AN322*0.5)*100</f>
        <v>0.842090543240398</v>
      </c>
      <c r="AW322" s="1">
        <f t="shared" ref="AW322:AW385" si="47">(Y322*0.3+AN322*0.7)*100</f>
        <v>0.51690492449373926</v>
      </c>
    </row>
    <row r="323" spans="1:49" x14ac:dyDescent="0.2">
      <c r="A323">
        <v>321</v>
      </c>
      <c r="B323" t="s">
        <v>4807</v>
      </c>
      <c r="C323" t="s">
        <v>4806</v>
      </c>
      <c r="F323" t="s">
        <v>4805</v>
      </c>
      <c r="G323" t="s">
        <v>6</v>
      </c>
      <c r="H323" t="s">
        <v>5</v>
      </c>
      <c r="I323" t="s">
        <v>4804</v>
      </c>
      <c r="J323">
        <v>60026134</v>
      </c>
      <c r="K323" t="s">
        <v>4272</v>
      </c>
      <c r="L323" t="s">
        <v>4271</v>
      </c>
      <c r="M323" t="s">
        <v>179</v>
      </c>
      <c r="N323">
        <v>5</v>
      </c>
      <c r="O323" t="s">
        <v>4803</v>
      </c>
      <c r="P323" t="s">
        <v>4802</v>
      </c>
      <c r="Q323" t="s">
        <v>4801</v>
      </c>
      <c r="R323" s="7">
        <v>35400</v>
      </c>
      <c r="S323" s="8">
        <f t="shared" si="40"/>
        <v>1996</v>
      </c>
      <c r="T323" s="8">
        <v>1996</v>
      </c>
      <c r="U323" s="8">
        <f t="shared" si="41"/>
        <v>26</v>
      </c>
      <c r="V323" s="7">
        <v>1996</v>
      </c>
      <c r="W323" t="s">
        <v>298</v>
      </c>
      <c r="X323" s="2">
        <v>0.62</v>
      </c>
      <c r="Y323" s="6">
        <f t="shared" si="42"/>
        <v>1.6550545901070447E-2</v>
      </c>
      <c r="AA323">
        <v>189464</v>
      </c>
      <c r="AB323">
        <v>17364</v>
      </c>
      <c r="AD323" t="s">
        <v>1</v>
      </c>
      <c r="AE323">
        <v>32</v>
      </c>
      <c r="AF323" t="s">
        <v>297</v>
      </c>
      <c r="AH323" t="s">
        <v>4800</v>
      </c>
      <c r="AI323" t="s">
        <v>4799</v>
      </c>
      <c r="AK323" t="s">
        <v>4798</v>
      </c>
      <c r="AL323">
        <v>13</v>
      </c>
      <c r="AM323" s="5">
        <f t="shared" si="43"/>
        <v>0.5</v>
      </c>
      <c r="AN323" s="4">
        <f t="shared" si="44"/>
        <v>7.572889057175312E-4</v>
      </c>
      <c r="AO323" s="3"/>
      <c r="AP323">
        <v>0</v>
      </c>
      <c r="AQ323" t="s">
        <v>2162</v>
      </c>
      <c r="AR323" t="s">
        <v>0</v>
      </c>
      <c r="AS323" t="s">
        <v>2160</v>
      </c>
      <c r="AT323" s="2">
        <v>1.7</v>
      </c>
      <c r="AU323" s="1">
        <f t="shared" si="45"/>
        <v>1.1812568802464571</v>
      </c>
      <c r="AV323" s="1">
        <f t="shared" si="46"/>
        <v>0.86539174033939892</v>
      </c>
      <c r="AW323" s="1">
        <f t="shared" si="47"/>
        <v>0.54952660043234058</v>
      </c>
    </row>
    <row r="324" spans="1:49" x14ac:dyDescent="0.2">
      <c r="A324">
        <v>322</v>
      </c>
      <c r="B324" t="s">
        <v>4797</v>
      </c>
      <c r="C324" t="s">
        <v>4796</v>
      </c>
      <c r="F324" t="s">
        <v>4795</v>
      </c>
      <c r="G324" t="s">
        <v>6</v>
      </c>
      <c r="H324" t="s">
        <v>5</v>
      </c>
      <c r="I324" t="s">
        <v>4794</v>
      </c>
      <c r="J324" t="s">
        <v>4793</v>
      </c>
      <c r="K324" t="s">
        <v>4792</v>
      </c>
      <c r="L324" t="s">
        <v>4791</v>
      </c>
      <c r="M324" t="s">
        <v>55</v>
      </c>
      <c r="N324">
        <v>4</v>
      </c>
      <c r="O324" t="s">
        <v>4790</v>
      </c>
      <c r="P324" t="s">
        <v>4789</v>
      </c>
      <c r="Q324" t="s">
        <v>4788</v>
      </c>
      <c r="R324" s="7">
        <v>35400</v>
      </c>
      <c r="S324" s="8">
        <f t="shared" si="40"/>
        <v>1996</v>
      </c>
      <c r="T324" s="8">
        <v>1996</v>
      </c>
      <c r="U324" s="8">
        <f t="shared" si="41"/>
        <v>26</v>
      </c>
      <c r="V324" s="7">
        <v>1996</v>
      </c>
      <c r="W324" t="s">
        <v>298</v>
      </c>
      <c r="X324" s="2">
        <v>0.62</v>
      </c>
      <c r="Y324" s="6">
        <f t="shared" si="42"/>
        <v>1.6550545901070447E-2</v>
      </c>
      <c r="AA324">
        <v>189464</v>
      </c>
      <c r="AB324">
        <v>17364</v>
      </c>
      <c r="AD324" t="s">
        <v>1</v>
      </c>
      <c r="AE324">
        <v>32</v>
      </c>
      <c r="AF324" t="s">
        <v>297</v>
      </c>
      <c r="AH324" t="s">
        <v>4787</v>
      </c>
      <c r="AI324" t="s">
        <v>4786</v>
      </c>
      <c r="AK324" t="s">
        <v>4785</v>
      </c>
      <c r="AL324">
        <v>8</v>
      </c>
      <c r="AM324" s="5">
        <f t="shared" si="43"/>
        <v>0.30769230769230771</v>
      </c>
      <c r="AN324" s="4">
        <f t="shared" si="44"/>
        <v>4.6602394198001925E-4</v>
      </c>
      <c r="AO324" s="3"/>
      <c r="AP324">
        <v>0</v>
      </c>
      <c r="AQ324" t="s">
        <v>3872</v>
      </c>
      <c r="AR324">
        <v>59277291</v>
      </c>
      <c r="AS324" t="s">
        <v>406</v>
      </c>
      <c r="AT324" s="2">
        <v>1.7</v>
      </c>
      <c r="AU324" s="1">
        <f t="shared" si="45"/>
        <v>1.1725189313343318</v>
      </c>
      <c r="AV324" s="1">
        <f t="shared" si="46"/>
        <v>0.85082849215252321</v>
      </c>
      <c r="AW324" s="1">
        <f t="shared" si="47"/>
        <v>0.5291380529707147</v>
      </c>
    </row>
    <row r="325" spans="1:49" x14ac:dyDescent="0.2">
      <c r="A325">
        <v>323</v>
      </c>
      <c r="B325" t="s">
        <v>4784</v>
      </c>
      <c r="C325" t="s">
        <v>4783</v>
      </c>
      <c r="F325" t="s">
        <v>4782</v>
      </c>
      <c r="G325" t="s">
        <v>6</v>
      </c>
      <c r="H325" t="s">
        <v>5</v>
      </c>
      <c r="I325" t="s">
        <v>4781</v>
      </c>
      <c r="J325" t="s">
        <v>4780</v>
      </c>
      <c r="K325" t="s">
        <v>4779</v>
      </c>
      <c r="L325" t="s">
        <v>4778</v>
      </c>
      <c r="M325" t="s">
        <v>124</v>
      </c>
      <c r="N325">
        <v>8</v>
      </c>
      <c r="O325" t="s">
        <v>4777</v>
      </c>
      <c r="P325" t="s">
        <v>4776</v>
      </c>
      <c r="Q325" t="s">
        <v>4775</v>
      </c>
      <c r="R325" s="7">
        <v>35400</v>
      </c>
      <c r="S325" s="8">
        <f t="shared" si="40"/>
        <v>1996</v>
      </c>
      <c r="T325" s="8">
        <v>1996</v>
      </c>
      <c r="U325" s="8">
        <f t="shared" si="41"/>
        <v>26</v>
      </c>
      <c r="V325" s="7">
        <v>1996</v>
      </c>
      <c r="W325" t="s">
        <v>3901</v>
      </c>
      <c r="X325" s="2">
        <v>0.9</v>
      </c>
      <c r="Y325" s="6">
        <f t="shared" si="42"/>
        <v>2.4024985985424845E-2</v>
      </c>
      <c r="AA325">
        <v>9630252</v>
      </c>
      <c r="AB325">
        <v>29614</v>
      </c>
      <c r="AD325" t="s">
        <v>1</v>
      </c>
      <c r="AE325">
        <v>5</v>
      </c>
      <c r="AF325">
        <v>2</v>
      </c>
      <c r="AH325" t="s">
        <v>4774</v>
      </c>
      <c r="AI325" t="s">
        <v>4773</v>
      </c>
      <c r="AK325" t="s">
        <v>4772</v>
      </c>
      <c r="AL325">
        <v>19</v>
      </c>
      <c r="AM325" s="5">
        <f t="shared" si="43"/>
        <v>0.73076923076923073</v>
      </c>
      <c r="AN325" s="4">
        <f t="shared" si="44"/>
        <v>1.1068068622025456E-3</v>
      </c>
      <c r="AO325" s="3"/>
      <c r="AP325">
        <v>0</v>
      </c>
      <c r="AR325" t="s">
        <v>0</v>
      </c>
      <c r="AT325" s="2" t="s">
        <v>9</v>
      </c>
      <c r="AU325" s="1">
        <f t="shared" si="45"/>
        <v>1.7149532248458155</v>
      </c>
      <c r="AV325" s="1">
        <f t="shared" si="46"/>
        <v>1.2565896423813696</v>
      </c>
      <c r="AW325" s="1">
        <f t="shared" si="47"/>
        <v>0.79822605991692352</v>
      </c>
    </row>
    <row r="326" spans="1:49" x14ac:dyDescent="0.2">
      <c r="A326">
        <v>324</v>
      </c>
      <c r="B326" t="s">
        <v>4771</v>
      </c>
      <c r="C326" t="s">
        <v>4770</v>
      </c>
      <c r="F326" t="s">
        <v>4769</v>
      </c>
      <c r="G326" t="s">
        <v>6</v>
      </c>
      <c r="H326" t="s">
        <v>5</v>
      </c>
      <c r="I326" t="s">
        <v>1487</v>
      </c>
      <c r="J326">
        <v>60022995</v>
      </c>
      <c r="K326" t="s">
        <v>123</v>
      </c>
      <c r="L326" t="s">
        <v>122</v>
      </c>
      <c r="M326" t="s">
        <v>30</v>
      </c>
      <c r="N326">
        <v>4</v>
      </c>
      <c r="O326" t="s">
        <v>4768</v>
      </c>
      <c r="P326" t="s">
        <v>4767</v>
      </c>
      <c r="Q326" t="s">
        <v>1484</v>
      </c>
      <c r="R326" s="7">
        <v>35400</v>
      </c>
      <c r="S326" s="8">
        <f t="shared" si="40"/>
        <v>1996</v>
      </c>
      <c r="T326" s="8">
        <v>1996</v>
      </c>
      <c r="U326" s="8">
        <f t="shared" si="41"/>
        <v>26</v>
      </c>
      <c r="V326" s="7">
        <v>1996</v>
      </c>
      <c r="W326" t="s">
        <v>3901</v>
      </c>
      <c r="X326" s="2">
        <v>0.9</v>
      </c>
      <c r="Y326" s="6">
        <f t="shared" si="42"/>
        <v>2.4024985985424845E-2</v>
      </c>
      <c r="AA326">
        <v>9630252</v>
      </c>
      <c r="AB326">
        <v>29614</v>
      </c>
      <c r="AD326" t="s">
        <v>1</v>
      </c>
      <c r="AE326">
        <v>5</v>
      </c>
      <c r="AF326">
        <v>2</v>
      </c>
      <c r="AH326" t="s">
        <v>4766</v>
      </c>
      <c r="AI326" t="s">
        <v>4765</v>
      </c>
      <c r="AK326" t="s">
        <v>4764</v>
      </c>
      <c r="AL326">
        <v>83</v>
      </c>
      <c r="AM326" s="5">
        <f t="shared" si="43"/>
        <v>3.1923076923076925</v>
      </c>
      <c r="AN326" s="4">
        <f t="shared" si="44"/>
        <v>4.8349983980426996E-3</v>
      </c>
      <c r="AO326" s="3"/>
      <c r="AP326">
        <v>0</v>
      </c>
      <c r="AR326" t="s">
        <v>0</v>
      </c>
      <c r="AT326" s="2" t="s">
        <v>9</v>
      </c>
      <c r="AU326" s="1">
        <f t="shared" si="45"/>
        <v>1.8267989709210199</v>
      </c>
      <c r="AV326" s="1">
        <f t="shared" si="46"/>
        <v>1.4429992191733771</v>
      </c>
      <c r="AW326" s="1">
        <f t="shared" si="47"/>
        <v>1.0591994674257343</v>
      </c>
    </row>
    <row r="327" spans="1:49" x14ac:dyDescent="0.2">
      <c r="A327">
        <v>325</v>
      </c>
      <c r="B327" t="s">
        <v>4763</v>
      </c>
      <c r="C327" t="s">
        <v>4762</v>
      </c>
      <c r="F327" t="s">
        <v>4761</v>
      </c>
      <c r="G327" t="s">
        <v>6</v>
      </c>
      <c r="H327" t="s">
        <v>5</v>
      </c>
      <c r="I327" t="s">
        <v>4760</v>
      </c>
      <c r="J327">
        <v>60027550</v>
      </c>
      <c r="K327" t="s">
        <v>113</v>
      </c>
      <c r="L327" t="s">
        <v>112</v>
      </c>
      <c r="M327" t="s">
        <v>2</v>
      </c>
      <c r="N327">
        <v>3</v>
      </c>
      <c r="O327" t="s">
        <v>4759</v>
      </c>
      <c r="P327" t="s">
        <v>4758</v>
      </c>
      <c r="Q327" t="s">
        <v>722</v>
      </c>
      <c r="R327" s="7">
        <v>35400</v>
      </c>
      <c r="S327" s="8">
        <f t="shared" si="40"/>
        <v>1996</v>
      </c>
      <c r="T327" s="8">
        <v>1996</v>
      </c>
      <c r="U327" s="8">
        <f t="shared" si="41"/>
        <v>26</v>
      </c>
      <c r="V327" s="7">
        <v>1996</v>
      </c>
      <c r="W327" t="s">
        <v>3901</v>
      </c>
      <c r="X327" s="2">
        <v>0.9</v>
      </c>
      <c r="Y327" s="6">
        <f t="shared" si="42"/>
        <v>2.4024985985424845E-2</v>
      </c>
      <c r="AA327">
        <v>9630252</v>
      </c>
      <c r="AB327">
        <v>29614</v>
      </c>
      <c r="AD327" t="s">
        <v>1</v>
      </c>
      <c r="AE327">
        <v>5</v>
      </c>
      <c r="AF327">
        <v>2</v>
      </c>
      <c r="AH327" t="s">
        <v>4757</v>
      </c>
      <c r="AI327" t="s">
        <v>4756</v>
      </c>
      <c r="AK327" t="s">
        <v>4755</v>
      </c>
      <c r="AL327">
        <v>61</v>
      </c>
      <c r="AM327" s="5">
        <f t="shared" si="43"/>
        <v>2.3461538461538463</v>
      </c>
      <c r="AN327" s="4">
        <f t="shared" si="44"/>
        <v>3.5534325575976469E-3</v>
      </c>
      <c r="AO327" s="3"/>
      <c r="AP327">
        <v>0</v>
      </c>
      <c r="AR327" t="s">
        <v>0</v>
      </c>
      <c r="AT327" s="2" t="s">
        <v>9</v>
      </c>
      <c r="AU327" s="1">
        <f t="shared" si="45"/>
        <v>1.7883519957076686</v>
      </c>
      <c r="AV327" s="1">
        <f t="shared" si="46"/>
        <v>1.3789209271511247</v>
      </c>
      <c r="AW327" s="1">
        <f t="shared" si="47"/>
        <v>0.96948985859458059</v>
      </c>
    </row>
    <row r="328" spans="1:49" x14ac:dyDescent="0.2">
      <c r="A328">
        <v>326</v>
      </c>
      <c r="B328" t="s">
        <v>4754</v>
      </c>
      <c r="C328" t="s">
        <v>4753</v>
      </c>
      <c r="F328" t="s">
        <v>4752</v>
      </c>
      <c r="G328" t="s">
        <v>6</v>
      </c>
      <c r="H328" t="s">
        <v>5</v>
      </c>
      <c r="I328" t="s">
        <v>4751</v>
      </c>
      <c r="J328">
        <v>60030318</v>
      </c>
      <c r="K328" t="s">
        <v>511</v>
      </c>
      <c r="L328" t="s">
        <v>264</v>
      </c>
      <c r="M328" t="s">
        <v>42</v>
      </c>
      <c r="N328">
        <v>4</v>
      </c>
      <c r="O328" t="s">
        <v>4750</v>
      </c>
      <c r="P328" t="s">
        <v>4749</v>
      </c>
      <c r="Q328" t="s">
        <v>510</v>
      </c>
      <c r="R328" s="7">
        <v>35400</v>
      </c>
      <c r="S328" s="8">
        <f t="shared" si="40"/>
        <v>1996</v>
      </c>
      <c r="T328" s="8">
        <v>1996</v>
      </c>
      <c r="U328" s="8">
        <f t="shared" si="41"/>
        <v>26</v>
      </c>
      <c r="V328" s="7">
        <v>1996</v>
      </c>
      <c r="W328" t="s">
        <v>3915</v>
      </c>
      <c r="X328" s="2">
        <v>1.3280000000000001</v>
      </c>
      <c r="Y328" s="6">
        <f t="shared" si="42"/>
        <v>3.5450201542937994E-2</v>
      </c>
      <c r="AA328">
        <v>7413335</v>
      </c>
      <c r="AB328">
        <v>29251</v>
      </c>
      <c r="AD328" t="s">
        <v>1</v>
      </c>
      <c r="AE328">
        <v>38</v>
      </c>
      <c r="AF328">
        <v>5</v>
      </c>
      <c r="AH328" t="s">
        <v>4748</v>
      </c>
      <c r="AI328" t="s">
        <v>4747</v>
      </c>
      <c r="AK328" t="s">
        <v>4746</v>
      </c>
      <c r="AL328">
        <v>2</v>
      </c>
      <c r="AM328" s="5">
        <f t="shared" si="43"/>
        <v>7.6923076923076927E-2</v>
      </c>
      <c r="AN328" s="4">
        <f t="shared" si="44"/>
        <v>1.1650598549500481E-4</v>
      </c>
      <c r="AO328" s="3"/>
      <c r="AP328">
        <v>0</v>
      </c>
      <c r="AR328" t="s">
        <v>0</v>
      </c>
      <c r="AT328" s="2">
        <v>2.4580000000000002</v>
      </c>
      <c r="AU328" s="1">
        <f t="shared" si="45"/>
        <v>2.4850092875705094</v>
      </c>
      <c r="AV328" s="1">
        <f t="shared" si="46"/>
        <v>1.7783353764216501</v>
      </c>
      <c r="AW328" s="1">
        <f t="shared" si="47"/>
        <v>1.0716614652727903</v>
      </c>
    </row>
    <row r="329" spans="1:49" x14ac:dyDescent="0.2">
      <c r="A329">
        <v>327</v>
      </c>
      <c r="B329" t="s">
        <v>4745</v>
      </c>
      <c r="C329" t="s">
        <v>4744</v>
      </c>
      <c r="F329" t="s">
        <v>4743</v>
      </c>
      <c r="G329" t="s">
        <v>6</v>
      </c>
      <c r="H329" t="s">
        <v>5</v>
      </c>
      <c r="I329" t="s">
        <v>4742</v>
      </c>
      <c r="J329" t="s">
        <v>4741</v>
      </c>
      <c r="K329" t="s">
        <v>4740</v>
      </c>
      <c r="L329" t="s">
        <v>4739</v>
      </c>
      <c r="M329" t="s">
        <v>51</v>
      </c>
      <c r="N329">
        <v>5</v>
      </c>
      <c r="O329" t="s">
        <v>4738</v>
      </c>
      <c r="P329" t="s">
        <v>4737</v>
      </c>
      <c r="Q329" t="s">
        <v>4736</v>
      </c>
      <c r="R329" s="7">
        <v>35400</v>
      </c>
      <c r="S329" s="8">
        <f t="shared" si="40"/>
        <v>1996</v>
      </c>
      <c r="T329" s="8">
        <v>1996</v>
      </c>
      <c r="U329" s="8">
        <f t="shared" si="41"/>
        <v>26</v>
      </c>
      <c r="V329" s="7">
        <v>1996</v>
      </c>
      <c r="W329" t="s">
        <v>3901</v>
      </c>
      <c r="X329" s="2">
        <v>0.9</v>
      </c>
      <c r="Y329" s="6">
        <f t="shared" si="42"/>
        <v>2.4024985985424845E-2</v>
      </c>
      <c r="AA329">
        <v>9630252</v>
      </c>
      <c r="AB329">
        <v>29614</v>
      </c>
      <c r="AD329" t="s">
        <v>1</v>
      </c>
      <c r="AE329">
        <v>5</v>
      </c>
      <c r="AF329">
        <v>2</v>
      </c>
      <c r="AH329" t="s">
        <v>4735</v>
      </c>
      <c r="AI329" t="s">
        <v>4734</v>
      </c>
      <c r="AK329" t="s">
        <v>4733</v>
      </c>
      <c r="AL329">
        <v>5</v>
      </c>
      <c r="AM329" s="5">
        <f t="shared" si="43"/>
        <v>0.19230769230769232</v>
      </c>
      <c r="AN329" s="4">
        <f t="shared" si="44"/>
        <v>2.9126496373751206E-4</v>
      </c>
      <c r="AO329" s="3"/>
      <c r="AP329">
        <v>0</v>
      </c>
      <c r="AR329" t="s">
        <v>0</v>
      </c>
      <c r="AT329" s="2" t="s">
        <v>9</v>
      </c>
      <c r="AU329" s="1">
        <f t="shared" si="45"/>
        <v>1.6904869678918644</v>
      </c>
      <c r="AV329" s="1">
        <f t="shared" si="46"/>
        <v>1.2158125474581178</v>
      </c>
      <c r="AW329" s="1">
        <f t="shared" si="47"/>
        <v>0.74113812702437121</v>
      </c>
    </row>
    <row r="330" spans="1:49" x14ac:dyDescent="0.2">
      <c r="A330">
        <v>328</v>
      </c>
      <c r="B330" t="s">
        <v>4732</v>
      </c>
      <c r="C330" t="s">
        <v>4731</v>
      </c>
      <c r="F330" t="s">
        <v>4730</v>
      </c>
      <c r="G330" t="s">
        <v>6</v>
      </c>
      <c r="H330" t="s">
        <v>5</v>
      </c>
      <c r="I330" t="s">
        <v>4729</v>
      </c>
      <c r="J330" t="s">
        <v>4728</v>
      </c>
      <c r="K330" t="s">
        <v>4727</v>
      </c>
      <c r="L330" t="s">
        <v>4726</v>
      </c>
      <c r="M330" t="s">
        <v>51</v>
      </c>
      <c r="N330">
        <v>4</v>
      </c>
      <c r="O330" t="s">
        <v>4725</v>
      </c>
      <c r="P330" t="s">
        <v>4724</v>
      </c>
      <c r="Q330" t="s">
        <v>4723</v>
      </c>
      <c r="R330" s="7">
        <v>35400</v>
      </c>
      <c r="S330" s="8">
        <f t="shared" si="40"/>
        <v>1996</v>
      </c>
      <c r="T330" s="8">
        <v>1996</v>
      </c>
      <c r="U330" s="8">
        <f t="shared" si="41"/>
        <v>26</v>
      </c>
      <c r="V330" s="7">
        <v>1996</v>
      </c>
      <c r="W330" t="s">
        <v>3901</v>
      </c>
      <c r="X330" s="2">
        <v>0.9</v>
      </c>
      <c r="Y330" s="6">
        <f t="shared" si="42"/>
        <v>2.4024985985424845E-2</v>
      </c>
      <c r="AA330">
        <v>9630252</v>
      </c>
      <c r="AB330">
        <v>29614</v>
      </c>
      <c r="AD330" t="s">
        <v>1</v>
      </c>
      <c r="AE330">
        <v>5</v>
      </c>
      <c r="AF330">
        <v>2</v>
      </c>
      <c r="AH330" t="s">
        <v>4722</v>
      </c>
      <c r="AI330" t="s">
        <v>4721</v>
      </c>
      <c r="AK330" t="s">
        <v>4720</v>
      </c>
      <c r="AL330">
        <v>3</v>
      </c>
      <c r="AM330" s="5">
        <f t="shared" si="43"/>
        <v>0.11538461538461539</v>
      </c>
      <c r="AN330" s="4">
        <f t="shared" si="44"/>
        <v>1.7475897824250722E-4</v>
      </c>
      <c r="AO330" s="3"/>
      <c r="AP330">
        <v>0</v>
      </c>
      <c r="AR330" t="s">
        <v>0</v>
      </c>
      <c r="AT330" s="2" t="s">
        <v>9</v>
      </c>
      <c r="AU330" s="1">
        <f t="shared" si="45"/>
        <v>1.6869917883270142</v>
      </c>
      <c r="AV330" s="1">
        <f t="shared" si="46"/>
        <v>1.2099872481833676</v>
      </c>
      <c r="AW330" s="1">
        <f t="shared" si="47"/>
        <v>0.73298270803972088</v>
      </c>
    </row>
    <row r="331" spans="1:49" x14ac:dyDescent="0.2">
      <c r="A331">
        <v>329</v>
      </c>
      <c r="B331" t="s">
        <v>4719</v>
      </c>
      <c r="C331" t="s">
        <v>4718</v>
      </c>
      <c r="F331" t="s">
        <v>4717</v>
      </c>
      <c r="G331" t="s">
        <v>6</v>
      </c>
      <c r="H331" t="s">
        <v>5</v>
      </c>
      <c r="I331" t="s">
        <v>4716</v>
      </c>
      <c r="J331" t="s">
        <v>4715</v>
      </c>
      <c r="K331" t="s">
        <v>4714</v>
      </c>
      <c r="L331" t="s">
        <v>4713</v>
      </c>
      <c r="M331" t="s">
        <v>124</v>
      </c>
      <c r="N331">
        <v>5</v>
      </c>
      <c r="O331" t="s">
        <v>4712</v>
      </c>
      <c r="P331" t="s">
        <v>4711</v>
      </c>
      <c r="Q331" t="s">
        <v>4710</v>
      </c>
      <c r="R331" s="7">
        <v>35400</v>
      </c>
      <c r="S331" s="8">
        <f t="shared" si="40"/>
        <v>1996</v>
      </c>
      <c r="T331" s="8">
        <v>1996</v>
      </c>
      <c r="U331" s="8">
        <f t="shared" si="41"/>
        <v>26</v>
      </c>
      <c r="V331" s="7">
        <v>1996</v>
      </c>
      <c r="W331" t="s">
        <v>3901</v>
      </c>
      <c r="X331" s="2">
        <v>0.9</v>
      </c>
      <c r="Y331" s="6">
        <f t="shared" si="42"/>
        <v>2.4024985985424845E-2</v>
      </c>
      <c r="AA331">
        <v>9630252</v>
      </c>
      <c r="AB331">
        <v>29614</v>
      </c>
      <c r="AD331" t="s">
        <v>1</v>
      </c>
      <c r="AE331">
        <v>5</v>
      </c>
      <c r="AF331">
        <v>2</v>
      </c>
      <c r="AH331" t="s">
        <v>4709</v>
      </c>
      <c r="AI331" t="s">
        <v>4708</v>
      </c>
      <c r="AK331" t="s">
        <v>4707</v>
      </c>
      <c r="AL331">
        <v>4</v>
      </c>
      <c r="AM331" s="5">
        <f t="shared" si="43"/>
        <v>0.15384615384615385</v>
      </c>
      <c r="AN331" s="4">
        <f t="shared" si="44"/>
        <v>2.3301197099000962E-4</v>
      </c>
      <c r="AO331" s="3"/>
      <c r="AP331">
        <v>0</v>
      </c>
      <c r="AR331" t="s">
        <v>0</v>
      </c>
      <c r="AT331" s="2" t="s">
        <v>9</v>
      </c>
      <c r="AU331" s="1">
        <f t="shared" si="45"/>
        <v>1.6887393781094395</v>
      </c>
      <c r="AV331" s="1">
        <f t="shared" si="46"/>
        <v>1.2128998978207426</v>
      </c>
      <c r="AW331" s="1">
        <f t="shared" si="47"/>
        <v>0.73706041753204599</v>
      </c>
    </row>
    <row r="332" spans="1:49" x14ac:dyDescent="0.2">
      <c r="A332">
        <v>330</v>
      </c>
      <c r="B332" t="s">
        <v>4706</v>
      </c>
      <c r="C332" t="s">
        <v>4705</v>
      </c>
      <c r="F332" t="s">
        <v>4704</v>
      </c>
      <c r="G332" t="s">
        <v>6</v>
      </c>
      <c r="H332" t="s">
        <v>5</v>
      </c>
      <c r="I332" t="s">
        <v>699</v>
      </c>
      <c r="J332">
        <v>60003196</v>
      </c>
      <c r="K332" t="s">
        <v>698</v>
      </c>
      <c r="L332" t="s">
        <v>468</v>
      </c>
      <c r="M332" t="s">
        <v>468</v>
      </c>
      <c r="N332">
        <v>1</v>
      </c>
      <c r="O332" t="s">
        <v>4687</v>
      </c>
      <c r="P332">
        <v>7403999605</v>
      </c>
      <c r="Q332">
        <v>60003196</v>
      </c>
      <c r="R332" s="7">
        <v>35400</v>
      </c>
      <c r="S332" s="8">
        <f t="shared" si="40"/>
        <v>1996</v>
      </c>
      <c r="T332" s="8">
        <v>1996</v>
      </c>
      <c r="U332" s="8">
        <f t="shared" si="41"/>
        <v>26</v>
      </c>
      <c r="V332" s="7">
        <v>1996</v>
      </c>
      <c r="W332" t="s">
        <v>694</v>
      </c>
      <c r="X332" s="2">
        <v>1.6379999999999999</v>
      </c>
      <c r="Y332" s="6">
        <f t="shared" si="42"/>
        <v>4.3725474493473214E-2</v>
      </c>
      <c r="AA332" t="s">
        <v>693</v>
      </c>
      <c r="AB332">
        <v>17391</v>
      </c>
      <c r="AD332" t="s">
        <v>1</v>
      </c>
      <c r="AE332">
        <v>44</v>
      </c>
      <c r="AF332">
        <v>4</v>
      </c>
      <c r="AH332" t="s">
        <v>4703</v>
      </c>
      <c r="AI332" t="s">
        <v>4702</v>
      </c>
      <c r="AK332" t="s">
        <v>4701</v>
      </c>
      <c r="AL332">
        <v>51</v>
      </c>
      <c r="AM332" s="5">
        <f t="shared" si="43"/>
        <v>1.9615384615384615</v>
      </c>
      <c r="AN332" s="4">
        <f t="shared" si="44"/>
        <v>2.9709026301226226E-3</v>
      </c>
      <c r="AO332" s="3"/>
      <c r="AP332">
        <v>0</v>
      </c>
      <c r="AR332" t="s">
        <v>0</v>
      </c>
      <c r="AT332" s="2">
        <v>4.931</v>
      </c>
      <c r="AU332" s="1">
        <f t="shared" si="45"/>
        <v>3.1499102934468031</v>
      </c>
      <c r="AV332" s="1">
        <f t="shared" si="46"/>
        <v>2.3348188561797918</v>
      </c>
      <c r="AW332" s="1">
        <f t="shared" si="47"/>
        <v>1.5197274189127801</v>
      </c>
    </row>
    <row r="333" spans="1:49" x14ac:dyDescent="0.2">
      <c r="A333">
        <v>331</v>
      </c>
      <c r="B333" t="s">
        <v>4700</v>
      </c>
      <c r="C333" t="s">
        <v>4699</v>
      </c>
      <c r="F333" t="s">
        <v>4698</v>
      </c>
      <c r="G333" t="s">
        <v>6</v>
      </c>
      <c r="H333" t="s">
        <v>5</v>
      </c>
      <c r="I333" t="s">
        <v>4697</v>
      </c>
      <c r="J333">
        <v>60026340</v>
      </c>
      <c r="K333" t="s">
        <v>4696</v>
      </c>
      <c r="L333" t="s">
        <v>328</v>
      </c>
      <c r="M333" t="s">
        <v>191</v>
      </c>
      <c r="N333">
        <v>1</v>
      </c>
      <c r="O333" t="s">
        <v>4695</v>
      </c>
      <c r="P333">
        <v>36883955000</v>
      </c>
      <c r="Q333">
        <v>60026340</v>
      </c>
      <c r="R333" s="7">
        <v>35400</v>
      </c>
      <c r="S333" s="8">
        <f t="shared" si="40"/>
        <v>1996</v>
      </c>
      <c r="T333" s="8">
        <v>1996</v>
      </c>
      <c r="U333" s="8">
        <f t="shared" si="41"/>
        <v>26</v>
      </c>
      <c r="V333" s="7">
        <v>1996</v>
      </c>
      <c r="W333" t="s">
        <v>694</v>
      </c>
      <c r="X333" s="2">
        <v>1.6379999999999999</v>
      </c>
      <c r="Y333" s="6">
        <f t="shared" si="42"/>
        <v>4.3725474493473214E-2</v>
      </c>
      <c r="AA333" t="s">
        <v>693</v>
      </c>
      <c r="AB333">
        <v>17391</v>
      </c>
      <c r="AD333" t="s">
        <v>1</v>
      </c>
      <c r="AE333">
        <v>44</v>
      </c>
      <c r="AF333">
        <v>4</v>
      </c>
      <c r="AH333" t="s">
        <v>4694</v>
      </c>
      <c r="AI333" t="s">
        <v>4693</v>
      </c>
      <c r="AK333" t="s">
        <v>4692</v>
      </c>
      <c r="AL333">
        <v>2</v>
      </c>
      <c r="AM333" s="5">
        <f t="shared" si="43"/>
        <v>7.6923076923076927E-2</v>
      </c>
      <c r="AN333" s="4">
        <f t="shared" si="44"/>
        <v>1.1650598549500481E-4</v>
      </c>
      <c r="AO333" s="3"/>
      <c r="AP333">
        <v>0</v>
      </c>
      <c r="AR333" t="s">
        <v>0</v>
      </c>
      <c r="AS333" t="s">
        <v>4691</v>
      </c>
      <c r="AT333" s="2">
        <v>4.931</v>
      </c>
      <c r="AU333" s="1">
        <f t="shared" si="45"/>
        <v>3.064278394107975</v>
      </c>
      <c r="AV333" s="1">
        <f t="shared" si="46"/>
        <v>2.1920990239484111</v>
      </c>
      <c r="AW333" s="1">
        <f t="shared" si="47"/>
        <v>1.3199196537888469</v>
      </c>
    </row>
    <row r="334" spans="1:49" x14ac:dyDescent="0.2">
      <c r="A334">
        <v>332</v>
      </c>
      <c r="B334" t="s">
        <v>4690</v>
      </c>
      <c r="C334" t="s">
        <v>4689</v>
      </c>
      <c r="D334" t="s">
        <v>4688</v>
      </c>
      <c r="F334" t="s">
        <v>700</v>
      </c>
      <c r="G334" t="s">
        <v>6</v>
      </c>
      <c r="H334" t="s">
        <v>5</v>
      </c>
      <c r="I334" t="s">
        <v>699</v>
      </c>
      <c r="J334">
        <v>60005455</v>
      </c>
      <c r="K334" t="s">
        <v>1273</v>
      </c>
      <c r="L334" t="s">
        <v>1272</v>
      </c>
      <c r="M334" t="s">
        <v>2</v>
      </c>
      <c r="N334">
        <v>1</v>
      </c>
      <c r="O334" t="s">
        <v>4687</v>
      </c>
      <c r="P334">
        <v>7403999605</v>
      </c>
      <c r="Q334">
        <v>60005455</v>
      </c>
      <c r="R334" s="7">
        <v>35400</v>
      </c>
      <c r="S334" s="8">
        <f t="shared" si="40"/>
        <v>1996</v>
      </c>
      <c r="T334" s="8">
        <v>1996</v>
      </c>
      <c r="U334" s="8">
        <f t="shared" si="41"/>
        <v>26</v>
      </c>
      <c r="V334" s="7">
        <v>1996</v>
      </c>
      <c r="W334" t="s">
        <v>694</v>
      </c>
      <c r="X334" s="2">
        <v>1.6379999999999999</v>
      </c>
      <c r="Y334" s="6">
        <f t="shared" si="42"/>
        <v>4.3725474493473214E-2</v>
      </c>
      <c r="AA334" t="s">
        <v>693</v>
      </c>
      <c r="AB334">
        <v>17391</v>
      </c>
      <c r="AD334" t="s">
        <v>1</v>
      </c>
      <c r="AE334">
        <v>44</v>
      </c>
      <c r="AF334">
        <v>4</v>
      </c>
      <c r="AH334" t="s">
        <v>4686</v>
      </c>
      <c r="AI334" t="s">
        <v>4685</v>
      </c>
      <c r="AK334" t="s">
        <v>696</v>
      </c>
      <c r="AL334">
        <v>5</v>
      </c>
      <c r="AM334" s="5">
        <f t="shared" si="43"/>
        <v>0.19230769230769232</v>
      </c>
      <c r="AN334" s="4">
        <f t="shared" si="44"/>
        <v>2.9126496373751206E-4</v>
      </c>
      <c r="AO334" s="3"/>
      <c r="AP334">
        <v>0</v>
      </c>
      <c r="AR334" t="s">
        <v>0</v>
      </c>
      <c r="AT334" s="2">
        <v>4.931</v>
      </c>
      <c r="AU334" s="1">
        <f t="shared" si="45"/>
        <v>3.0695211634552502</v>
      </c>
      <c r="AV334" s="1">
        <f t="shared" si="46"/>
        <v>2.2008369728605364</v>
      </c>
      <c r="AW334" s="1">
        <f t="shared" si="47"/>
        <v>1.3321527822658223</v>
      </c>
    </row>
    <row r="335" spans="1:49" x14ac:dyDescent="0.2">
      <c r="A335">
        <v>333</v>
      </c>
      <c r="B335" t="s">
        <v>4684</v>
      </c>
      <c r="C335" t="s">
        <v>4683</v>
      </c>
      <c r="D335" t="s">
        <v>4682</v>
      </c>
      <c r="F335" t="s">
        <v>4681</v>
      </c>
      <c r="G335" t="s">
        <v>6</v>
      </c>
      <c r="H335" t="s">
        <v>5</v>
      </c>
      <c r="I335" t="s">
        <v>4680</v>
      </c>
      <c r="J335">
        <v>60029311</v>
      </c>
      <c r="K335" t="s">
        <v>4679</v>
      </c>
      <c r="L335" t="s">
        <v>112</v>
      </c>
      <c r="M335" t="s">
        <v>2</v>
      </c>
      <c r="N335">
        <v>3</v>
      </c>
      <c r="O335" t="s">
        <v>4678</v>
      </c>
      <c r="P335" t="s">
        <v>4677</v>
      </c>
      <c r="Q335" t="s">
        <v>4676</v>
      </c>
      <c r="R335" s="7">
        <v>35400</v>
      </c>
      <c r="S335" s="8">
        <f t="shared" si="40"/>
        <v>1996</v>
      </c>
      <c r="T335" s="8">
        <v>1996</v>
      </c>
      <c r="U335" s="8">
        <f t="shared" si="41"/>
        <v>26</v>
      </c>
      <c r="V335" s="7">
        <v>1996</v>
      </c>
      <c r="W335" t="s">
        <v>150</v>
      </c>
      <c r="X335" s="2">
        <v>1.6519999999999999</v>
      </c>
      <c r="Y335" s="6">
        <f t="shared" si="42"/>
        <v>4.409919649769093E-2</v>
      </c>
      <c r="AA335" t="s">
        <v>149</v>
      </c>
      <c r="AB335">
        <v>17337</v>
      </c>
      <c r="AD335" t="s">
        <v>1</v>
      </c>
      <c r="AE335">
        <v>44</v>
      </c>
      <c r="AF335">
        <v>4</v>
      </c>
      <c r="AH335" t="s">
        <v>4675</v>
      </c>
      <c r="AI335" t="s">
        <v>4674</v>
      </c>
      <c r="AK335" t="s">
        <v>4673</v>
      </c>
      <c r="AL335">
        <v>5</v>
      </c>
      <c r="AM335" s="5">
        <f t="shared" si="43"/>
        <v>0.19230769230769232</v>
      </c>
      <c r="AN335" s="4">
        <f t="shared" si="44"/>
        <v>2.9126496373751206E-4</v>
      </c>
      <c r="AO335" s="3"/>
      <c r="AP335">
        <v>0</v>
      </c>
      <c r="AQ335" t="s">
        <v>54</v>
      </c>
      <c r="AR335" t="s">
        <v>0</v>
      </c>
      <c r="AS335" t="s">
        <v>53</v>
      </c>
      <c r="AT335" s="2" t="s">
        <v>9</v>
      </c>
      <c r="AU335" s="1">
        <f t="shared" si="45"/>
        <v>3.0956817037504902</v>
      </c>
      <c r="AV335" s="1">
        <f t="shared" si="46"/>
        <v>2.2195230730714224</v>
      </c>
      <c r="AW335" s="1">
        <f t="shared" si="47"/>
        <v>1.3433644423923536</v>
      </c>
    </row>
    <row r="336" spans="1:49" x14ac:dyDescent="0.2">
      <c r="A336">
        <v>334</v>
      </c>
      <c r="B336" t="s">
        <v>4672</v>
      </c>
      <c r="C336" t="s">
        <v>4671</v>
      </c>
      <c r="D336" t="s">
        <v>4670</v>
      </c>
      <c r="F336" t="s">
        <v>4669</v>
      </c>
      <c r="G336" t="s">
        <v>6</v>
      </c>
      <c r="H336" t="s">
        <v>5</v>
      </c>
      <c r="I336" t="s">
        <v>4376</v>
      </c>
      <c r="J336">
        <v>60029241</v>
      </c>
      <c r="K336" t="s">
        <v>444</v>
      </c>
      <c r="L336" t="s">
        <v>422</v>
      </c>
      <c r="M336" t="s">
        <v>2</v>
      </c>
      <c r="N336">
        <v>1</v>
      </c>
      <c r="O336" t="s">
        <v>4668</v>
      </c>
      <c r="P336">
        <v>7005641508</v>
      </c>
      <c r="Q336">
        <v>60029241</v>
      </c>
      <c r="R336" s="7">
        <v>35400</v>
      </c>
      <c r="S336" s="8">
        <f t="shared" si="40"/>
        <v>1996</v>
      </c>
      <c r="T336" s="8">
        <v>1996</v>
      </c>
      <c r="U336" s="8">
        <f t="shared" si="41"/>
        <v>26</v>
      </c>
      <c r="V336" s="7">
        <v>1996</v>
      </c>
      <c r="W336" t="s">
        <v>694</v>
      </c>
      <c r="X336" s="2">
        <v>1.6379999999999999</v>
      </c>
      <c r="Y336" s="6">
        <f t="shared" si="42"/>
        <v>4.3725474493473214E-2</v>
      </c>
      <c r="AA336" t="s">
        <v>693</v>
      </c>
      <c r="AB336">
        <v>17391</v>
      </c>
      <c r="AD336" t="s">
        <v>1</v>
      </c>
      <c r="AE336">
        <v>44</v>
      </c>
      <c r="AF336">
        <v>4</v>
      </c>
      <c r="AH336" t="s">
        <v>4667</v>
      </c>
      <c r="AI336" t="s">
        <v>4666</v>
      </c>
      <c r="AK336" t="s">
        <v>4665</v>
      </c>
      <c r="AL336">
        <v>48</v>
      </c>
      <c r="AM336" s="5">
        <f t="shared" si="43"/>
        <v>1.8461538461538463</v>
      </c>
      <c r="AN336" s="4">
        <f t="shared" si="44"/>
        <v>2.7961436518801155E-3</v>
      </c>
      <c r="AO336" s="3"/>
      <c r="AP336">
        <v>0</v>
      </c>
      <c r="AQ336" t="s">
        <v>24</v>
      </c>
      <c r="AR336" t="s">
        <v>4664</v>
      </c>
      <c r="AS336" t="s">
        <v>23</v>
      </c>
      <c r="AT336" s="2">
        <v>4.931</v>
      </c>
      <c r="AU336" s="1">
        <f t="shared" si="45"/>
        <v>3.1446675240995279</v>
      </c>
      <c r="AV336" s="1">
        <f t="shared" si="46"/>
        <v>2.3260809072676665</v>
      </c>
      <c r="AW336" s="1">
        <f t="shared" si="47"/>
        <v>1.5074942904358044</v>
      </c>
    </row>
    <row r="337" spans="1:49" x14ac:dyDescent="0.2">
      <c r="A337">
        <v>335</v>
      </c>
      <c r="B337" t="s">
        <v>4663</v>
      </c>
      <c r="C337" t="s">
        <v>4662</v>
      </c>
      <c r="F337" t="s">
        <v>4661</v>
      </c>
      <c r="G337" t="s">
        <v>6</v>
      </c>
      <c r="H337" t="s">
        <v>5</v>
      </c>
      <c r="I337" t="s">
        <v>695</v>
      </c>
      <c r="J337">
        <v>60003858</v>
      </c>
      <c r="K337" t="s">
        <v>263</v>
      </c>
      <c r="L337" t="s">
        <v>262</v>
      </c>
      <c r="M337" t="s">
        <v>46</v>
      </c>
      <c r="N337">
        <v>1</v>
      </c>
      <c r="O337" t="s">
        <v>4660</v>
      </c>
      <c r="P337">
        <v>36040796700</v>
      </c>
      <c r="Q337">
        <v>60003858</v>
      </c>
      <c r="R337" s="7">
        <v>35400</v>
      </c>
      <c r="S337" s="8">
        <f t="shared" si="40"/>
        <v>1996</v>
      </c>
      <c r="T337" s="8">
        <v>1996</v>
      </c>
      <c r="U337" s="8">
        <f t="shared" si="41"/>
        <v>26</v>
      </c>
      <c r="V337" s="7">
        <v>1996</v>
      </c>
      <c r="W337" t="s">
        <v>694</v>
      </c>
      <c r="X337" s="2">
        <v>1.6379999999999999</v>
      </c>
      <c r="Y337" s="6">
        <f t="shared" si="42"/>
        <v>4.3725474493473214E-2</v>
      </c>
      <c r="AA337" t="s">
        <v>693</v>
      </c>
      <c r="AB337">
        <v>17391</v>
      </c>
      <c r="AD337" t="s">
        <v>1</v>
      </c>
      <c r="AE337">
        <v>44</v>
      </c>
      <c r="AF337">
        <v>4</v>
      </c>
      <c r="AH337" t="s">
        <v>4659</v>
      </c>
      <c r="AI337" t="s">
        <v>4658</v>
      </c>
      <c r="AK337" t="s">
        <v>4657</v>
      </c>
      <c r="AL337">
        <v>33</v>
      </c>
      <c r="AM337" s="5">
        <f t="shared" si="43"/>
        <v>1.2692307692307692</v>
      </c>
      <c r="AN337" s="4">
        <f t="shared" si="44"/>
        <v>1.9223487606675792E-3</v>
      </c>
      <c r="AO337" s="3"/>
      <c r="AP337">
        <v>0</v>
      </c>
      <c r="AR337" t="s">
        <v>0</v>
      </c>
      <c r="AT337" s="2">
        <v>4.931</v>
      </c>
      <c r="AU337" s="1">
        <f t="shared" si="45"/>
        <v>3.1184536773631524</v>
      </c>
      <c r="AV337" s="1">
        <f t="shared" si="46"/>
        <v>2.2823911627070399</v>
      </c>
      <c r="AW337" s="1">
        <f t="shared" si="47"/>
        <v>1.446328648050927</v>
      </c>
    </row>
    <row r="338" spans="1:49" x14ac:dyDescent="0.2">
      <c r="A338">
        <v>336</v>
      </c>
      <c r="B338" t="s">
        <v>4656</v>
      </c>
      <c r="C338" t="s">
        <v>4655</v>
      </c>
      <c r="D338" t="s">
        <v>4654</v>
      </c>
      <c r="F338" t="s">
        <v>4653</v>
      </c>
      <c r="G338" t="s">
        <v>6</v>
      </c>
      <c r="H338" t="s">
        <v>5</v>
      </c>
      <c r="I338" t="s">
        <v>4652</v>
      </c>
      <c r="J338">
        <v>60030821</v>
      </c>
      <c r="K338" t="s">
        <v>4651</v>
      </c>
      <c r="L338" t="s">
        <v>516</v>
      </c>
      <c r="M338" t="s">
        <v>2</v>
      </c>
      <c r="N338">
        <v>2</v>
      </c>
      <c r="O338" t="s">
        <v>4650</v>
      </c>
      <c r="P338" t="s">
        <v>4649</v>
      </c>
      <c r="Q338" t="s">
        <v>4648</v>
      </c>
      <c r="R338" s="7">
        <v>35400</v>
      </c>
      <c r="S338" s="8">
        <f t="shared" si="40"/>
        <v>1996</v>
      </c>
      <c r="T338" s="8">
        <v>1996</v>
      </c>
      <c r="U338" s="8">
        <f t="shared" si="41"/>
        <v>26</v>
      </c>
      <c r="V338" s="7">
        <v>1996</v>
      </c>
      <c r="W338" t="s">
        <v>150</v>
      </c>
      <c r="X338" s="2">
        <v>1.6519999999999999</v>
      </c>
      <c r="Y338" s="6">
        <f t="shared" si="42"/>
        <v>4.409919649769093E-2</v>
      </c>
      <c r="AA338" t="s">
        <v>149</v>
      </c>
      <c r="AB338">
        <v>17337</v>
      </c>
      <c r="AD338" t="s">
        <v>1</v>
      </c>
      <c r="AE338">
        <v>44</v>
      </c>
      <c r="AF338">
        <v>4</v>
      </c>
      <c r="AH338" t="s">
        <v>4647</v>
      </c>
      <c r="AI338" t="s">
        <v>4646</v>
      </c>
      <c r="AK338" t="s">
        <v>4645</v>
      </c>
      <c r="AL338">
        <v>14</v>
      </c>
      <c r="AM338" s="5">
        <f t="shared" si="43"/>
        <v>0.53846153846153844</v>
      </c>
      <c r="AN338" s="4">
        <f t="shared" si="44"/>
        <v>8.1554189846503363E-4</v>
      </c>
      <c r="AO338" s="3"/>
      <c r="AP338">
        <v>0</v>
      </c>
      <c r="AR338" t="s">
        <v>0</v>
      </c>
      <c r="AT338" s="2" t="s">
        <v>9</v>
      </c>
      <c r="AU338" s="1">
        <f t="shared" si="45"/>
        <v>3.1114100117923158</v>
      </c>
      <c r="AV338" s="1">
        <f t="shared" si="46"/>
        <v>2.2457369198077983</v>
      </c>
      <c r="AW338" s="1">
        <f t="shared" si="47"/>
        <v>1.3800638278232802</v>
      </c>
    </row>
    <row r="339" spans="1:49" x14ac:dyDescent="0.2">
      <c r="A339">
        <v>337</v>
      </c>
      <c r="B339" t="s">
        <v>4644</v>
      </c>
      <c r="C339" t="s">
        <v>4643</v>
      </c>
      <c r="F339" t="s">
        <v>4642</v>
      </c>
      <c r="G339" t="s">
        <v>6</v>
      </c>
      <c r="H339" t="s">
        <v>5</v>
      </c>
      <c r="I339" t="s">
        <v>438</v>
      </c>
      <c r="J339">
        <v>60000221</v>
      </c>
      <c r="K339" t="s">
        <v>4</v>
      </c>
      <c r="L339" t="s">
        <v>3</v>
      </c>
      <c r="M339" t="s">
        <v>2</v>
      </c>
      <c r="N339">
        <v>1</v>
      </c>
      <c r="O339" t="s">
        <v>4641</v>
      </c>
      <c r="P339">
        <v>7003948630</v>
      </c>
      <c r="Q339">
        <v>60000221</v>
      </c>
      <c r="R339" s="7">
        <v>35400</v>
      </c>
      <c r="S339" s="8">
        <f t="shared" si="40"/>
        <v>1996</v>
      </c>
      <c r="T339" s="8">
        <v>1996</v>
      </c>
      <c r="U339" s="8">
        <f t="shared" si="41"/>
        <v>26</v>
      </c>
      <c r="V339" s="7">
        <v>1996</v>
      </c>
      <c r="W339" t="s">
        <v>3838</v>
      </c>
      <c r="X339" s="2">
        <v>1.137</v>
      </c>
      <c r="Y339" s="6">
        <f t="shared" si="42"/>
        <v>3.0351565628253384E-2</v>
      </c>
      <c r="AA339">
        <v>189251</v>
      </c>
      <c r="AB339">
        <v>17336</v>
      </c>
      <c r="AD339" t="s">
        <v>1</v>
      </c>
      <c r="AE339">
        <v>32</v>
      </c>
      <c r="AF339">
        <v>2</v>
      </c>
      <c r="AH339" t="s">
        <v>4640</v>
      </c>
      <c r="AI339" t="s">
        <v>4639</v>
      </c>
      <c r="AK339" t="s">
        <v>4638</v>
      </c>
      <c r="AL339">
        <v>79</v>
      </c>
      <c r="AM339" s="5">
        <f t="shared" si="43"/>
        <v>3.0384615384615383</v>
      </c>
      <c r="AN339" s="4">
        <f t="shared" si="44"/>
        <v>4.6019864270526898E-3</v>
      </c>
      <c r="AO339" s="3"/>
      <c r="AP339">
        <v>0</v>
      </c>
      <c r="AQ339" t="s">
        <v>54</v>
      </c>
      <c r="AR339" t="s">
        <v>0</v>
      </c>
      <c r="AS339" t="s">
        <v>53</v>
      </c>
      <c r="AT339" s="2" t="s">
        <v>9</v>
      </c>
      <c r="AU339" s="1">
        <f t="shared" si="45"/>
        <v>2.2626691867893176</v>
      </c>
      <c r="AV339" s="1">
        <f t="shared" si="46"/>
        <v>1.7476776027653036</v>
      </c>
      <c r="AW339" s="1">
        <f t="shared" si="47"/>
        <v>1.2326860187412898</v>
      </c>
    </row>
    <row r="340" spans="1:49" x14ac:dyDescent="0.2">
      <c r="A340">
        <v>338</v>
      </c>
      <c r="B340" t="s">
        <v>4637</v>
      </c>
      <c r="C340" t="s">
        <v>4636</v>
      </c>
      <c r="F340" t="s">
        <v>4635</v>
      </c>
      <c r="G340" t="s">
        <v>6</v>
      </c>
      <c r="H340" t="s">
        <v>5</v>
      </c>
      <c r="I340" t="s">
        <v>4634</v>
      </c>
      <c r="J340">
        <v>60025278</v>
      </c>
      <c r="K340" t="s">
        <v>4633</v>
      </c>
      <c r="L340" t="s">
        <v>36</v>
      </c>
      <c r="M340" t="s">
        <v>35</v>
      </c>
      <c r="N340">
        <v>2</v>
      </c>
      <c r="O340" t="s">
        <v>4632</v>
      </c>
      <c r="P340" t="s">
        <v>4631</v>
      </c>
      <c r="Q340" t="s">
        <v>4630</v>
      </c>
      <c r="R340" s="7">
        <v>35400</v>
      </c>
      <c r="S340" s="8">
        <f t="shared" si="40"/>
        <v>1996</v>
      </c>
      <c r="T340" s="8">
        <v>1996</v>
      </c>
      <c r="U340" s="8">
        <f t="shared" si="41"/>
        <v>26</v>
      </c>
      <c r="V340" s="7">
        <v>1996</v>
      </c>
      <c r="W340" t="s">
        <v>3838</v>
      </c>
      <c r="X340" s="2">
        <v>1.137</v>
      </c>
      <c r="Y340" s="6">
        <f t="shared" si="42"/>
        <v>3.0351565628253384E-2</v>
      </c>
      <c r="AA340">
        <v>189251</v>
      </c>
      <c r="AB340">
        <v>17336</v>
      </c>
      <c r="AD340" t="s">
        <v>1</v>
      </c>
      <c r="AE340">
        <v>32</v>
      </c>
      <c r="AF340">
        <v>2</v>
      </c>
      <c r="AH340" t="s">
        <v>4629</v>
      </c>
      <c r="AI340" t="s">
        <v>4628</v>
      </c>
      <c r="AK340" t="s">
        <v>4627</v>
      </c>
      <c r="AL340">
        <v>7</v>
      </c>
      <c r="AM340" s="5">
        <f t="shared" si="43"/>
        <v>0.26923076923076922</v>
      </c>
      <c r="AN340" s="4">
        <f t="shared" si="44"/>
        <v>4.0777094923251682E-4</v>
      </c>
      <c r="AO340" s="3"/>
      <c r="AP340">
        <v>0</v>
      </c>
      <c r="AR340" t="s">
        <v>0</v>
      </c>
      <c r="AT340" s="2" t="s">
        <v>9</v>
      </c>
      <c r="AU340" s="1">
        <f t="shared" si="45"/>
        <v>2.1368427224547122</v>
      </c>
      <c r="AV340" s="1">
        <f t="shared" si="46"/>
        <v>1.5379668288742951</v>
      </c>
      <c r="AW340" s="1">
        <f t="shared" si="47"/>
        <v>0.93909093529387766</v>
      </c>
    </row>
    <row r="341" spans="1:49" x14ac:dyDescent="0.2">
      <c r="A341">
        <v>339</v>
      </c>
      <c r="B341" t="s">
        <v>4626</v>
      </c>
      <c r="C341" t="s">
        <v>4625</v>
      </c>
      <c r="D341" t="s">
        <v>4624</v>
      </c>
      <c r="F341" t="s">
        <v>4623</v>
      </c>
      <c r="G341" t="s">
        <v>6</v>
      </c>
      <c r="H341" t="s">
        <v>5</v>
      </c>
      <c r="I341" t="s">
        <v>4622</v>
      </c>
      <c r="J341">
        <v>60002286</v>
      </c>
      <c r="K341" t="s">
        <v>1512</v>
      </c>
      <c r="L341" t="s">
        <v>478</v>
      </c>
      <c r="M341" t="s">
        <v>59</v>
      </c>
      <c r="N341">
        <v>1</v>
      </c>
      <c r="O341" t="s">
        <v>4621</v>
      </c>
      <c r="P341">
        <v>7003780679</v>
      </c>
      <c r="Q341">
        <v>60002286</v>
      </c>
      <c r="R341" s="7">
        <v>35400</v>
      </c>
      <c r="S341" s="8">
        <f t="shared" si="40"/>
        <v>1996</v>
      </c>
      <c r="T341" s="8">
        <v>1996</v>
      </c>
      <c r="U341" s="8">
        <f t="shared" si="41"/>
        <v>26</v>
      </c>
      <c r="V341" s="7">
        <v>1996</v>
      </c>
      <c r="W341" t="s">
        <v>150</v>
      </c>
      <c r="X341" s="2">
        <v>1.6519999999999999</v>
      </c>
      <c r="Y341" s="6">
        <f t="shared" si="42"/>
        <v>4.409919649769093E-2</v>
      </c>
      <c r="AA341" t="s">
        <v>149</v>
      </c>
      <c r="AB341">
        <v>17337</v>
      </c>
      <c r="AD341" t="s">
        <v>1</v>
      </c>
      <c r="AE341">
        <v>44</v>
      </c>
      <c r="AF341">
        <v>4</v>
      </c>
      <c r="AH341" t="s">
        <v>4620</v>
      </c>
      <c r="AI341" t="s">
        <v>4619</v>
      </c>
      <c r="AK341" t="s">
        <v>4618</v>
      </c>
      <c r="AL341">
        <v>10</v>
      </c>
      <c r="AM341" s="5">
        <f t="shared" si="43"/>
        <v>0.38461538461538464</v>
      </c>
      <c r="AN341" s="4">
        <f t="shared" si="44"/>
        <v>5.8252992747502411E-4</v>
      </c>
      <c r="AO341" s="3"/>
      <c r="AP341">
        <v>0</v>
      </c>
      <c r="AR341" t="s">
        <v>0</v>
      </c>
      <c r="AT341" s="2" t="s">
        <v>9</v>
      </c>
      <c r="AU341" s="1">
        <f t="shared" si="45"/>
        <v>3.104419652662616</v>
      </c>
      <c r="AV341" s="1">
        <f t="shared" si="46"/>
        <v>2.2340863212582978</v>
      </c>
      <c r="AW341" s="1">
        <f t="shared" si="47"/>
        <v>1.3637529898539795</v>
      </c>
    </row>
    <row r="342" spans="1:49" x14ac:dyDescent="0.2">
      <c r="A342">
        <v>340</v>
      </c>
      <c r="B342" t="s">
        <v>4617</v>
      </c>
      <c r="C342" t="s">
        <v>4616</v>
      </c>
      <c r="D342" t="s">
        <v>4615</v>
      </c>
      <c r="F342" t="s">
        <v>4614</v>
      </c>
      <c r="G342" t="s">
        <v>6</v>
      </c>
      <c r="H342" t="s">
        <v>5</v>
      </c>
      <c r="I342" t="s">
        <v>4613</v>
      </c>
      <c r="N342">
        <v>1</v>
      </c>
      <c r="O342" t="s">
        <v>4612</v>
      </c>
      <c r="P342">
        <v>7006034191</v>
      </c>
      <c r="R342" s="7">
        <v>35400</v>
      </c>
      <c r="S342" s="8">
        <f t="shared" si="40"/>
        <v>1996</v>
      </c>
      <c r="T342" s="8">
        <v>1996</v>
      </c>
      <c r="U342" s="8">
        <f t="shared" si="41"/>
        <v>26</v>
      </c>
      <c r="V342" s="7">
        <v>1996</v>
      </c>
      <c r="W342" t="s">
        <v>150</v>
      </c>
      <c r="X342" s="2">
        <v>1.6519999999999999</v>
      </c>
      <c r="Y342" s="6">
        <f t="shared" si="42"/>
        <v>4.409919649769093E-2</v>
      </c>
      <c r="AA342" t="s">
        <v>149</v>
      </c>
      <c r="AB342">
        <v>17337</v>
      </c>
      <c r="AD342" t="s">
        <v>1</v>
      </c>
      <c r="AE342">
        <v>44</v>
      </c>
      <c r="AF342">
        <v>4</v>
      </c>
      <c r="AH342" t="s">
        <v>4611</v>
      </c>
      <c r="AI342" t="s">
        <v>4610</v>
      </c>
      <c r="AK342" t="s">
        <v>4609</v>
      </c>
      <c r="AL342">
        <v>5</v>
      </c>
      <c r="AM342" s="5">
        <f t="shared" si="43"/>
        <v>0.19230769230769232</v>
      </c>
      <c r="AN342" s="4">
        <f t="shared" si="44"/>
        <v>2.9126496373751206E-4</v>
      </c>
      <c r="AO342" s="3"/>
      <c r="AP342">
        <v>0</v>
      </c>
      <c r="AR342" t="s">
        <v>0</v>
      </c>
      <c r="AT342" s="2" t="s">
        <v>9</v>
      </c>
      <c r="AU342" s="1">
        <f t="shared" si="45"/>
        <v>3.0956817037504902</v>
      </c>
      <c r="AV342" s="1">
        <f t="shared" si="46"/>
        <v>2.2195230730714224</v>
      </c>
      <c r="AW342" s="1">
        <f t="shared" si="47"/>
        <v>1.3433644423923536</v>
      </c>
    </row>
    <row r="343" spans="1:49" x14ac:dyDescent="0.2">
      <c r="A343">
        <v>341</v>
      </c>
      <c r="B343" t="s">
        <v>4608</v>
      </c>
      <c r="F343" t="s">
        <v>4607</v>
      </c>
      <c r="G343" t="s">
        <v>6</v>
      </c>
      <c r="H343" t="s">
        <v>5</v>
      </c>
      <c r="I343" t="s">
        <v>4606</v>
      </c>
      <c r="N343">
        <v>1</v>
      </c>
      <c r="O343" t="s">
        <v>4605</v>
      </c>
      <c r="P343">
        <v>7003857408</v>
      </c>
      <c r="R343" s="7">
        <v>35400</v>
      </c>
      <c r="S343" s="8">
        <f t="shared" si="40"/>
        <v>1996</v>
      </c>
      <c r="T343" s="8">
        <v>1996</v>
      </c>
      <c r="U343" s="8">
        <f t="shared" si="41"/>
        <v>26</v>
      </c>
      <c r="V343" s="7">
        <v>1996</v>
      </c>
      <c r="W343" t="s">
        <v>4604</v>
      </c>
      <c r="X343" s="2">
        <v>0.10199999999999999</v>
      </c>
      <c r="Y343" s="6">
        <f t="shared" si="42"/>
        <v>2.7228317450148152E-3</v>
      </c>
      <c r="AA343">
        <v>7306784</v>
      </c>
      <c r="AB343">
        <v>16079</v>
      </c>
      <c r="AD343" t="s">
        <v>1</v>
      </c>
      <c r="AE343">
        <v>79</v>
      </c>
      <c r="AF343">
        <v>4</v>
      </c>
      <c r="AH343" t="s">
        <v>4603</v>
      </c>
      <c r="AL343">
        <v>3</v>
      </c>
      <c r="AM343" s="5">
        <f t="shared" si="43"/>
        <v>0.11538461538461539</v>
      </c>
      <c r="AN343" s="4">
        <f t="shared" si="44"/>
        <v>1.7475897824250722E-4</v>
      </c>
      <c r="AO343" s="3"/>
      <c r="AP343">
        <v>0</v>
      </c>
      <c r="AR343" t="s">
        <v>0</v>
      </c>
      <c r="AT343" s="2" t="s">
        <v>9</v>
      </c>
      <c r="AU343" s="1">
        <f t="shared" si="45"/>
        <v>0.19584099149831227</v>
      </c>
      <c r="AV343" s="1">
        <f t="shared" si="46"/>
        <v>0.14487953616286611</v>
      </c>
      <c r="AW343" s="1">
        <f t="shared" si="47"/>
        <v>9.3918080827419953E-2</v>
      </c>
    </row>
    <row r="344" spans="1:49" x14ac:dyDescent="0.2">
      <c r="A344">
        <v>342</v>
      </c>
      <c r="B344" t="s">
        <v>4602</v>
      </c>
      <c r="C344" t="s">
        <v>4601</v>
      </c>
      <c r="F344" t="s">
        <v>4600</v>
      </c>
      <c r="G344" t="s">
        <v>6</v>
      </c>
      <c r="H344" t="s">
        <v>5</v>
      </c>
      <c r="I344" t="s">
        <v>4599</v>
      </c>
      <c r="J344">
        <v>60022880</v>
      </c>
      <c r="K344" t="s">
        <v>4598</v>
      </c>
      <c r="L344" t="s">
        <v>4597</v>
      </c>
      <c r="M344" t="s">
        <v>2</v>
      </c>
      <c r="N344">
        <v>2</v>
      </c>
      <c r="O344" t="s">
        <v>4596</v>
      </c>
      <c r="P344" t="s">
        <v>4595</v>
      </c>
      <c r="Q344" t="s">
        <v>4594</v>
      </c>
      <c r="R344" s="7">
        <v>35400</v>
      </c>
      <c r="S344" s="8">
        <f t="shared" si="40"/>
        <v>1996</v>
      </c>
      <c r="T344" s="8">
        <v>1996</v>
      </c>
      <c r="U344" s="8">
        <f t="shared" si="41"/>
        <v>26</v>
      </c>
      <c r="V344" s="7">
        <v>1996</v>
      </c>
      <c r="W344" t="s">
        <v>3838</v>
      </c>
      <c r="X344" s="2">
        <v>1.137</v>
      </c>
      <c r="Y344" s="6">
        <f t="shared" si="42"/>
        <v>3.0351565628253384E-2</v>
      </c>
      <c r="AA344">
        <v>189251</v>
      </c>
      <c r="AB344">
        <v>17336</v>
      </c>
      <c r="AD344" t="s">
        <v>1</v>
      </c>
      <c r="AE344">
        <v>32</v>
      </c>
      <c r="AF344">
        <v>2</v>
      </c>
      <c r="AH344" t="s">
        <v>4593</v>
      </c>
      <c r="AI344" t="s">
        <v>4592</v>
      </c>
      <c r="AK344" t="s">
        <v>4591</v>
      </c>
      <c r="AL344">
        <v>27</v>
      </c>
      <c r="AM344" s="5">
        <f t="shared" si="43"/>
        <v>1.0384615384615385</v>
      </c>
      <c r="AN344" s="4">
        <f t="shared" si="44"/>
        <v>1.572830804182565E-3</v>
      </c>
      <c r="AO344" s="3"/>
      <c r="AP344">
        <v>0</v>
      </c>
      <c r="AQ344" t="s">
        <v>716</v>
      </c>
      <c r="AR344" t="s">
        <v>4590</v>
      </c>
      <c r="AS344" t="s">
        <v>715</v>
      </c>
      <c r="AT344" s="2" t="s">
        <v>9</v>
      </c>
      <c r="AU344" s="1">
        <f t="shared" si="45"/>
        <v>2.1717945181032134</v>
      </c>
      <c r="AV344" s="1">
        <f t="shared" si="46"/>
        <v>1.5962198216217975</v>
      </c>
      <c r="AW344" s="1">
        <f t="shared" si="47"/>
        <v>1.0206451251403812</v>
      </c>
    </row>
    <row r="345" spans="1:49" x14ac:dyDescent="0.2">
      <c r="A345">
        <v>343</v>
      </c>
      <c r="B345" t="s">
        <v>4589</v>
      </c>
      <c r="C345" t="s">
        <v>4588</v>
      </c>
      <c r="D345" t="s">
        <v>4587</v>
      </c>
      <c r="F345" t="s">
        <v>4586</v>
      </c>
      <c r="G345" t="s">
        <v>6</v>
      </c>
      <c r="H345" t="s">
        <v>5</v>
      </c>
      <c r="I345" t="s">
        <v>4585</v>
      </c>
      <c r="J345">
        <v>60194543</v>
      </c>
      <c r="K345" t="s">
        <v>4584</v>
      </c>
      <c r="L345" t="s">
        <v>4583</v>
      </c>
      <c r="M345" t="s">
        <v>44</v>
      </c>
      <c r="N345">
        <v>1</v>
      </c>
      <c r="O345" t="s">
        <v>4582</v>
      </c>
      <c r="P345">
        <v>7201750560</v>
      </c>
      <c r="Q345">
        <v>60194543</v>
      </c>
      <c r="R345" s="7">
        <v>35400</v>
      </c>
      <c r="S345" s="8">
        <f t="shared" si="40"/>
        <v>1996</v>
      </c>
      <c r="T345" s="8">
        <v>1996</v>
      </c>
      <c r="U345" s="8">
        <f t="shared" si="41"/>
        <v>26</v>
      </c>
      <c r="V345" s="7">
        <v>1996</v>
      </c>
      <c r="W345" t="s">
        <v>150</v>
      </c>
      <c r="X345" s="2">
        <v>1.6519999999999999</v>
      </c>
      <c r="Y345" s="6">
        <f t="shared" si="42"/>
        <v>4.409919649769093E-2</v>
      </c>
      <c r="AA345" t="s">
        <v>149</v>
      </c>
      <c r="AB345">
        <v>17337</v>
      </c>
      <c r="AD345" t="s">
        <v>1</v>
      </c>
      <c r="AE345">
        <v>44</v>
      </c>
      <c r="AF345">
        <v>4</v>
      </c>
      <c r="AH345" t="s">
        <v>4581</v>
      </c>
      <c r="AI345" t="s">
        <v>4580</v>
      </c>
      <c r="AK345" t="s">
        <v>4579</v>
      </c>
      <c r="AL345">
        <v>1</v>
      </c>
      <c r="AM345" s="5">
        <f t="shared" si="43"/>
        <v>3.8461538461538464E-2</v>
      </c>
      <c r="AN345" s="4">
        <f t="shared" si="44"/>
        <v>5.8252992747502406E-5</v>
      </c>
      <c r="AO345" s="3"/>
      <c r="AP345">
        <v>0</v>
      </c>
      <c r="AQ345" t="s">
        <v>4578</v>
      </c>
      <c r="AR345" t="s">
        <v>0</v>
      </c>
      <c r="AS345" t="s">
        <v>4577</v>
      </c>
      <c r="AT345" s="2" t="s">
        <v>9</v>
      </c>
      <c r="AU345" s="1">
        <f t="shared" si="45"/>
        <v>3.0886913446207904</v>
      </c>
      <c r="AV345" s="1">
        <f t="shared" si="46"/>
        <v>2.2078724745219218</v>
      </c>
      <c r="AW345" s="1">
        <f t="shared" si="47"/>
        <v>1.327053604423053</v>
      </c>
    </row>
    <row r="346" spans="1:49" x14ac:dyDescent="0.2">
      <c r="A346">
        <v>344</v>
      </c>
      <c r="B346" t="s">
        <v>4576</v>
      </c>
      <c r="C346" t="s">
        <v>4575</v>
      </c>
      <c r="D346" t="s">
        <v>4574</v>
      </c>
      <c r="F346" t="s">
        <v>4573</v>
      </c>
      <c r="G346" t="s">
        <v>6</v>
      </c>
      <c r="H346" t="s">
        <v>5</v>
      </c>
      <c r="I346" t="s">
        <v>4572</v>
      </c>
      <c r="J346">
        <v>100660501</v>
      </c>
      <c r="K346" t="s">
        <v>4571</v>
      </c>
      <c r="L346" t="s">
        <v>4570</v>
      </c>
      <c r="M346" t="s">
        <v>30</v>
      </c>
      <c r="N346">
        <v>1</v>
      </c>
      <c r="O346" t="s">
        <v>4569</v>
      </c>
      <c r="P346">
        <v>7004621339</v>
      </c>
      <c r="Q346">
        <v>100660501</v>
      </c>
      <c r="R346" s="7">
        <v>35400</v>
      </c>
      <c r="S346" s="8">
        <f t="shared" si="40"/>
        <v>1996</v>
      </c>
      <c r="T346" s="8">
        <v>1996</v>
      </c>
      <c r="U346" s="8">
        <f t="shared" si="41"/>
        <v>26</v>
      </c>
      <c r="V346" s="7">
        <v>1996</v>
      </c>
      <c r="W346" t="s">
        <v>150</v>
      </c>
      <c r="X346" s="2">
        <v>1.6519999999999999</v>
      </c>
      <c r="Y346" s="6">
        <f t="shared" si="42"/>
        <v>4.409919649769093E-2</v>
      </c>
      <c r="AA346" t="s">
        <v>149</v>
      </c>
      <c r="AB346">
        <v>17337</v>
      </c>
      <c r="AD346" t="s">
        <v>1</v>
      </c>
      <c r="AE346">
        <v>44</v>
      </c>
      <c r="AF346">
        <v>4</v>
      </c>
      <c r="AH346" t="s">
        <v>4568</v>
      </c>
      <c r="AI346" t="s">
        <v>4567</v>
      </c>
      <c r="AK346" t="s">
        <v>4566</v>
      </c>
      <c r="AL346">
        <v>12</v>
      </c>
      <c r="AM346" s="5">
        <f t="shared" si="43"/>
        <v>0.46153846153846156</v>
      </c>
      <c r="AN346" s="4">
        <f t="shared" si="44"/>
        <v>6.9903591297002887E-4</v>
      </c>
      <c r="AO346" s="3"/>
      <c r="AP346">
        <v>0</v>
      </c>
      <c r="AR346" t="s">
        <v>0</v>
      </c>
      <c r="AT346" s="2" t="s">
        <v>9</v>
      </c>
      <c r="AU346" s="1">
        <f t="shared" si="45"/>
        <v>3.1079148322274661</v>
      </c>
      <c r="AV346" s="1">
        <f t="shared" si="46"/>
        <v>2.2399116205330478</v>
      </c>
      <c r="AW346" s="1">
        <f t="shared" si="47"/>
        <v>1.3719084088386297</v>
      </c>
    </row>
    <row r="347" spans="1:49" x14ac:dyDescent="0.2">
      <c r="A347">
        <v>345</v>
      </c>
      <c r="B347" t="s">
        <v>4565</v>
      </c>
      <c r="C347" t="s">
        <v>4564</v>
      </c>
      <c r="D347" t="s">
        <v>4563</v>
      </c>
      <c r="F347" t="s">
        <v>4562</v>
      </c>
      <c r="G347" t="s">
        <v>6</v>
      </c>
      <c r="H347" t="s">
        <v>5</v>
      </c>
      <c r="I347" t="s">
        <v>4561</v>
      </c>
      <c r="J347">
        <v>60013959</v>
      </c>
      <c r="K347" t="s">
        <v>3668</v>
      </c>
      <c r="L347" t="s">
        <v>3667</v>
      </c>
      <c r="M347" t="s">
        <v>2</v>
      </c>
      <c r="N347">
        <v>3</v>
      </c>
      <c r="O347" t="s">
        <v>4560</v>
      </c>
      <c r="P347" t="s">
        <v>4559</v>
      </c>
      <c r="Q347" t="s">
        <v>4558</v>
      </c>
      <c r="R347" s="7">
        <v>35400</v>
      </c>
      <c r="S347" s="8">
        <f t="shared" si="40"/>
        <v>1996</v>
      </c>
      <c r="T347" s="8">
        <v>1996</v>
      </c>
      <c r="U347" s="8">
        <f t="shared" si="41"/>
        <v>26</v>
      </c>
      <c r="V347" s="7">
        <v>1996</v>
      </c>
      <c r="W347" t="s">
        <v>150</v>
      </c>
      <c r="X347" s="2">
        <v>1.6519999999999999</v>
      </c>
      <c r="Y347" s="6">
        <f t="shared" si="42"/>
        <v>4.409919649769093E-2</v>
      </c>
      <c r="AA347" t="s">
        <v>149</v>
      </c>
      <c r="AB347">
        <v>17337</v>
      </c>
      <c r="AD347" t="s">
        <v>1</v>
      </c>
      <c r="AE347">
        <v>44</v>
      </c>
      <c r="AF347">
        <v>4</v>
      </c>
      <c r="AH347" t="s">
        <v>4557</v>
      </c>
      <c r="AI347" t="s">
        <v>4556</v>
      </c>
      <c r="AK347" t="s">
        <v>4555</v>
      </c>
      <c r="AL347">
        <v>65</v>
      </c>
      <c r="AM347" s="5">
        <f t="shared" si="43"/>
        <v>2.5</v>
      </c>
      <c r="AN347" s="4">
        <f t="shared" si="44"/>
        <v>3.7864445285876562E-3</v>
      </c>
      <c r="AO347" s="3"/>
      <c r="AP347">
        <v>0</v>
      </c>
      <c r="AQ347" t="s">
        <v>24</v>
      </c>
      <c r="AR347" t="s">
        <v>4554</v>
      </c>
      <c r="AS347" t="s">
        <v>23</v>
      </c>
      <c r="AT347" s="2" t="s">
        <v>9</v>
      </c>
      <c r="AU347" s="1">
        <f t="shared" si="45"/>
        <v>3.2005370906959949</v>
      </c>
      <c r="AV347" s="1">
        <f t="shared" si="46"/>
        <v>2.3942820513139291</v>
      </c>
      <c r="AW347" s="1">
        <f t="shared" si="47"/>
        <v>1.5880270119318636</v>
      </c>
    </row>
    <row r="348" spans="1:49" x14ac:dyDescent="0.2">
      <c r="A348">
        <v>346</v>
      </c>
      <c r="B348" t="s">
        <v>4553</v>
      </c>
      <c r="C348" t="s">
        <v>4552</v>
      </c>
      <c r="D348" t="s">
        <v>4551</v>
      </c>
      <c r="F348" t="s">
        <v>4550</v>
      </c>
      <c r="G348" t="s">
        <v>6</v>
      </c>
      <c r="H348" t="s">
        <v>5</v>
      </c>
      <c r="I348" t="s">
        <v>4549</v>
      </c>
      <c r="J348">
        <v>60017161</v>
      </c>
      <c r="K348" t="s">
        <v>2843</v>
      </c>
      <c r="L348" t="s">
        <v>469</v>
      </c>
      <c r="M348" t="s">
        <v>468</v>
      </c>
      <c r="N348">
        <v>2</v>
      </c>
      <c r="O348" t="s">
        <v>4548</v>
      </c>
      <c r="P348" t="s">
        <v>4547</v>
      </c>
      <c r="Q348" t="s">
        <v>2840</v>
      </c>
      <c r="R348" s="7">
        <v>35400</v>
      </c>
      <c r="S348" s="8">
        <f t="shared" si="40"/>
        <v>1996</v>
      </c>
      <c r="T348" s="8">
        <v>1996</v>
      </c>
      <c r="U348" s="8">
        <f t="shared" si="41"/>
        <v>26</v>
      </c>
      <c r="V348" s="7">
        <v>1996</v>
      </c>
      <c r="W348" t="s">
        <v>150</v>
      </c>
      <c r="X348" s="2">
        <v>1.6519999999999999</v>
      </c>
      <c r="Y348" s="6">
        <f t="shared" si="42"/>
        <v>4.409919649769093E-2</v>
      </c>
      <c r="AA348" t="s">
        <v>149</v>
      </c>
      <c r="AB348">
        <v>17337</v>
      </c>
      <c r="AD348" t="s">
        <v>1</v>
      </c>
      <c r="AE348">
        <v>44</v>
      </c>
      <c r="AF348">
        <v>3</v>
      </c>
      <c r="AH348" t="s">
        <v>4546</v>
      </c>
      <c r="AI348" t="s">
        <v>4545</v>
      </c>
      <c r="AK348" t="s">
        <v>4544</v>
      </c>
      <c r="AL348">
        <v>0</v>
      </c>
      <c r="AM348" s="5">
        <f t="shared" si="43"/>
        <v>0</v>
      </c>
      <c r="AN348" s="4">
        <f t="shared" si="44"/>
        <v>0</v>
      </c>
      <c r="AO348" s="3"/>
      <c r="AP348">
        <v>0</v>
      </c>
      <c r="AR348" t="s">
        <v>0</v>
      </c>
      <c r="AT348" s="2" t="s">
        <v>9</v>
      </c>
      <c r="AU348" s="1">
        <f t="shared" si="45"/>
        <v>3.0869437548383649</v>
      </c>
      <c r="AV348" s="1">
        <f t="shared" si="46"/>
        <v>2.2049598248845466</v>
      </c>
      <c r="AW348" s="1">
        <f t="shared" si="47"/>
        <v>1.3229758949307278</v>
      </c>
    </row>
    <row r="349" spans="1:49" x14ac:dyDescent="0.2">
      <c r="A349">
        <v>347</v>
      </c>
      <c r="B349" t="s">
        <v>4543</v>
      </c>
      <c r="C349" t="s">
        <v>4542</v>
      </c>
      <c r="D349" t="s">
        <v>4541</v>
      </c>
      <c r="F349" t="s">
        <v>4540</v>
      </c>
      <c r="G349" t="s">
        <v>6</v>
      </c>
      <c r="H349" t="s">
        <v>5</v>
      </c>
      <c r="I349" t="s">
        <v>4539</v>
      </c>
      <c r="J349">
        <v>60016653</v>
      </c>
      <c r="K349" t="s">
        <v>473</v>
      </c>
      <c r="L349" t="s">
        <v>472</v>
      </c>
      <c r="M349" t="s">
        <v>30</v>
      </c>
      <c r="N349">
        <v>7</v>
      </c>
      <c r="O349" t="s">
        <v>4538</v>
      </c>
      <c r="P349" t="s">
        <v>4537</v>
      </c>
      <c r="Q349" t="s">
        <v>4536</v>
      </c>
      <c r="R349" s="7">
        <v>35400</v>
      </c>
      <c r="S349" s="8">
        <f t="shared" si="40"/>
        <v>1996</v>
      </c>
      <c r="T349" s="8">
        <v>1996</v>
      </c>
      <c r="U349" s="8">
        <f t="shared" si="41"/>
        <v>26</v>
      </c>
      <c r="V349" s="7">
        <v>1996</v>
      </c>
      <c r="W349" t="s">
        <v>1132</v>
      </c>
      <c r="X349" s="2">
        <v>1.1819999999999999</v>
      </c>
      <c r="Y349" s="6">
        <f t="shared" si="42"/>
        <v>3.1552814927524625E-2</v>
      </c>
      <c r="AA349">
        <v>36951</v>
      </c>
      <c r="AB349">
        <v>27030</v>
      </c>
      <c r="AD349" t="s">
        <v>1</v>
      </c>
      <c r="AE349">
        <v>68</v>
      </c>
      <c r="AF349">
        <v>12</v>
      </c>
      <c r="AH349" t="s">
        <v>4535</v>
      </c>
      <c r="AI349" t="s">
        <v>4534</v>
      </c>
      <c r="AK349" t="s">
        <v>4533</v>
      </c>
      <c r="AL349">
        <v>24</v>
      </c>
      <c r="AM349" s="5">
        <f t="shared" si="43"/>
        <v>0.92307692307692313</v>
      </c>
      <c r="AN349" s="4">
        <f t="shared" si="44"/>
        <v>1.3980718259400577E-3</v>
      </c>
      <c r="AO349" s="3"/>
      <c r="AP349">
        <v>0</v>
      </c>
      <c r="AR349" t="s">
        <v>0</v>
      </c>
      <c r="AT349" s="2">
        <v>3.7909999999999999</v>
      </c>
      <c r="AU349" s="1">
        <f t="shared" si="45"/>
        <v>2.2506391997049251</v>
      </c>
      <c r="AV349" s="1">
        <f t="shared" si="46"/>
        <v>1.6475443376732342</v>
      </c>
      <c r="AW349" s="1">
        <f t="shared" si="47"/>
        <v>1.0444494756415428</v>
      </c>
    </row>
    <row r="350" spans="1:49" x14ac:dyDescent="0.2">
      <c r="A350">
        <v>348</v>
      </c>
      <c r="B350" t="s">
        <v>4532</v>
      </c>
      <c r="C350" t="s">
        <v>4531</v>
      </c>
      <c r="D350" t="s">
        <v>4530</v>
      </c>
      <c r="F350" t="s">
        <v>4529</v>
      </c>
      <c r="G350" t="s">
        <v>6</v>
      </c>
      <c r="H350" t="s">
        <v>5</v>
      </c>
      <c r="I350" t="s">
        <v>4528</v>
      </c>
      <c r="J350">
        <v>60006832</v>
      </c>
      <c r="K350" t="s">
        <v>4527</v>
      </c>
      <c r="L350" t="s">
        <v>4526</v>
      </c>
      <c r="M350" t="s">
        <v>2</v>
      </c>
      <c r="N350">
        <v>2</v>
      </c>
      <c r="O350" t="s">
        <v>4525</v>
      </c>
      <c r="P350" t="s">
        <v>4524</v>
      </c>
      <c r="Q350" t="s">
        <v>4523</v>
      </c>
      <c r="R350" s="7">
        <v>35400</v>
      </c>
      <c r="S350" s="8">
        <f t="shared" si="40"/>
        <v>1996</v>
      </c>
      <c r="T350" s="8">
        <v>1996</v>
      </c>
      <c r="U350" s="8">
        <f t="shared" si="41"/>
        <v>26</v>
      </c>
      <c r="V350" s="7">
        <v>1996</v>
      </c>
      <c r="W350" t="s">
        <v>711</v>
      </c>
      <c r="X350" s="2">
        <v>2.141</v>
      </c>
      <c r="Y350" s="6">
        <f t="shared" si="42"/>
        <v>5.7152772216438434E-2</v>
      </c>
      <c r="AA350">
        <v>1962892</v>
      </c>
      <c r="AB350">
        <v>17360</v>
      </c>
      <c r="AD350" t="s">
        <v>1</v>
      </c>
      <c r="AE350">
        <v>34</v>
      </c>
      <c r="AF350">
        <v>2</v>
      </c>
      <c r="AH350" t="s">
        <v>4522</v>
      </c>
      <c r="AI350" t="s">
        <v>4521</v>
      </c>
      <c r="AK350" t="s">
        <v>4520</v>
      </c>
      <c r="AL350">
        <v>55</v>
      </c>
      <c r="AM350" s="5">
        <f t="shared" si="43"/>
        <v>2.1153846153846154</v>
      </c>
      <c r="AN350" s="4">
        <f t="shared" si="44"/>
        <v>3.2039146011126323E-3</v>
      </c>
      <c r="AO350" s="3"/>
      <c r="AP350">
        <v>0</v>
      </c>
      <c r="AR350" t="s">
        <v>0</v>
      </c>
      <c r="AT350" s="2" t="s">
        <v>9</v>
      </c>
      <c r="AU350" s="1">
        <f t="shared" si="45"/>
        <v>4.0968114931840685</v>
      </c>
      <c r="AV350" s="1">
        <f t="shared" si="46"/>
        <v>3.0178343408775534</v>
      </c>
      <c r="AW350" s="1">
        <f t="shared" si="47"/>
        <v>1.9388571885710373</v>
      </c>
    </row>
    <row r="351" spans="1:49" x14ac:dyDescent="0.2">
      <c r="A351">
        <v>349</v>
      </c>
      <c r="B351" t="s">
        <v>4519</v>
      </c>
      <c r="C351" t="s">
        <v>4518</v>
      </c>
      <c r="D351" t="s">
        <v>4517</v>
      </c>
      <c r="F351" t="s">
        <v>4516</v>
      </c>
      <c r="G351" t="s">
        <v>6</v>
      </c>
      <c r="H351" t="s">
        <v>5</v>
      </c>
      <c r="I351" t="s">
        <v>103</v>
      </c>
      <c r="J351">
        <v>100475582</v>
      </c>
      <c r="K351" t="s">
        <v>4515</v>
      </c>
      <c r="L351" t="s">
        <v>4514</v>
      </c>
      <c r="M351" t="s">
        <v>2</v>
      </c>
      <c r="N351">
        <v>1</v>
      </c>
      <c r="O351" t="s">
        <v>4513</v>
      </c>
      <c r="P351">
        <v>56039602600</v>
      </c>
      <c r="Q351">
        <v>100475582</v>
      </c>
      <c r="R351" s="7">
        <v>35400</v>
      </c>
      <c r="S351" s="8">
        <f t="shared" si="40"/>
        <v>1996</v>
      </c>
      <c r="T351" s="8">
        <v>1996</v>
      </c>
      <c r="U351" s="8">
        <f t="shared" si="41"/>
        <v>26</v>
      </c>
      <c r="V351" s="7">
        <v>1996</v>
      </c>
      <c r="W351" t="s">
        <v>150</v>
      </c>
      <c r="X351" s="2">
        <v>1.6519999999999999</v>
      </c>
      <c r="Y351" s="6">
        <f t="shared" si="42"/>
        <v>4.409919649769093E-2</v>
      </c>
      <c r="AA351" t="s">
        <v>149</v>
      </c>
      <c r="AB351">
        <v>17337</v>
      </c>
      <c r="AD351" t="s">
        <v>1</v>
      </c>
      <c r="AE351">
        <v>44</v>
      </c>
      <c r="AF351">
        <v>3</v>
      </c>
      <c r="AH351" t="s">
        <v>4512</v>
      </c>
      <c r="AI351" t="s">
        <v>4511</v>
      </c>
      <c r="AK351" t="s">
        <v>4510</v>
      </c>
      <c r="AL351">
        <v>3</v>
      </c>
      <c r="AM351" s="5">
        <f t="shared" si="43"/>
        <v>0.11538461538461539</v>
      </c>
      <c r="AN351" s="4">
        <f t="shared" si="44"/>
        <v>1.7475897824250722E-4</v>
      </c>
      <c r="AO351" s="3"/>
      <c r="AP351">
        <v>0</v>
      </c>
      <c r="AR351" t="s">
        <v>0</v>
      </c>
      <c r="AT351" s="2" t="s">
        <v>9</v>
      </c>
      <c r="AU351" s="1">
        <f t="shared" si="45"/>
        <v>3.0921865241856401</v>
      </c>
      <c r="AV351" s="1">
        <f t="shared" si="46"/>
        <v>2.2136977737966719</v>
      </c>
      <c r="AW351" s="1">
        <f t="shared" si="47"/>
        <v>1.3352090234077032</v>
      </c>
    </row>
    <row r="352" spans="1:49" x14ac:dyDescent="0.2">
      <c r="A352">
        <v>350</v>
      </c>
      <c r="B352" t="s">
        <v>4509</v>
      </c>
      <c r="C352" t="s">
        <v>4508</v>
      </c>
      <c r="D352" t="s">
        <v>4507</v>
      </c>
      <c r="F352" t="s">
        <v>4506</v>
      </c>
      <c r="G352" t="s">
        <v>6</v>
      </c>
      <c r="H352" t="s">
        <v>5</v>
      </c>
      <c r="I352" t="s">
        <v>4505</v>
      </c>
      <c r="J352">
        <v>60019674</v>
      </c>
      <c r="K352" t="s">
        <v>4504</v>
      </c>
      <c r="L352" t="s">
        <v>455</v>
      </c>
      <c r="M352" t="s">
        <v>2</v>
      </c>
      <c r="N352">
        <v>2</v>
      </c>
      <c r="O352" t="s">
        <v>4503</v>
      </c>
      <c r="P352" t="s">
        <v>4502</v>
      </c>
      <c r="Q352" t="s">
        <v>4501</v>
      </c>
      <c r="R352" s="7">
        <v>35400</v>
      </c>
      <c r="S352" s="8">
        <f t="shared" si="40"/>
        <v>1996</v>
      </c>
      <c r="T352" s="8">
        <v>1996</v>
      </c>
      <c r="U352" s="8">
        <f t="shared" si="41"/>
        <v>26</v>
      </c>
      <c r="V352" s="7">
        <v>1996</v>
      </c>
      <c r="W352" t="s">
        <v>150</v>
      </c>
      <c r="X352" s="2">
        <v>1.6519999999999999</v>
      </c>
      <c r="Y352" s="6">
        <f t="shared" si="42"/>
        <v>4.409919649769093E-2</v>
      </c>
      <c r="AA352" t="s">
        <v>149</v>
      </c>
      <c r="AB352">
        <v>17337</v>
      </c>
      <c r="AD352" t="s">
        <v>1</v>
      </c>
      <c r="AE352">
        <v>44</v>
      </c>
      <c r="AF352">
        <v>3</v>
      </c>
      <c r="AH352" t="s">
        <v>4500</v>
      </c>
      <c r="AI352" t="s">
        <v>4499</v>
      </c>
      <c r="AK352" t="s">
        <v>4498</v>
      </c>
      <c r="AL352">
        <v>28</v>
      </c>
      <c r="AM352" s="5">
        <f t="shared" si="43"/>
        <v>1.0769230769230769</v>
      </c>
      <c r="AN352" s="4">
        <f t="shared" si="44"/>
        <v>1.6310837969300673E-3</v>
      </c>
      <c r="AO352" s="3"/>
      <c r="AP352">
        <v>0</v>
      </c>
      <c r="AQ352" t="s">
        <v>105</v>
      </c>
      <c r="AR352" t="s">
        <v>3806</v>
      </c>
      <c r="AS352" t="s">
        <v>104</v>
      </c>
      <c r="AT352" s="2" t="s">
        <v>9</v>
      </c>
      <c r="AU352" s="1">
        <f t="shared" si="45"/>
        <v>3.1358762687462667</v>
      </c>
      <c r="AV352" s="1">
        <f t="shared" si="46"/>
        <v>2.2865140147310501</v>
      </c>
      <c r="AW352" s="1">
        <f t="shared" si="47"/>
        <v>1.4371517607158326</v>
      </c>
    </row>
    <row r="353" spans="1:49" x14ac:dyDescent="0.2">
      <c r="A353">
        <v>351</v>
      </c>
      <c r="B353" t="s">
        <v>4497</v>
      </c>
      <c r="C353" t="s">
        <v>4496</v>
      </c>
      <c r="D353" t="s">
        <v>4495</v>
      </c>
      <c r="F353" t="s">
        <v>4494</v>
      </c>
      <c r="G353" t="s">
        <v>6</v>
      </c>
      <c r="H353" t="s">
        <v>5</v>
      </c>
      <c r="I353" t="s">
        <v>4493</v>
      </c>
      <c r="J353">
        <v>60024724</v>
      </c>
      <c r="K353" t="s">
        <v>4492</v>
      </c>
      <c r="L353" t="s">
        <v>382</v>
      </c>
      <c r="M353" t="s">
        <v>19</v>
      </c>
      <c r="N353">
        <v>2</v>
      </c>
      <c r="O353" t="s">
        <v>4491</v>
      </c>
      <c r="P353" t="s">
        <v>4490</v>
      </c>
      <c r="Q353" t="s">
        <v>4489</v>
      </c>
      <c r="R353" s="7">
        <v>35400</v>
      </c>
      <c r="S353" s="8">
        <f t="shared" si="40"/>
        <v>1996</v>
      </c>
      <c r="T353" s="8">
        <v>1996</v>
      </c>
      <c r="U353" s="8">
        <f t="shared" si="41"/>
        <v>26</v>
      </c>
      <c r="V353" s="7">
        <v>1996</v>
      </c>
      <c r="W353" t="s">
        <v>3823</v>
      </c>
      <c r="X353" s="2">
        <v>1.159</v>
      </c>
      <c r="Y353" s="6">
        <f t="shared" si="42"/>
        <v>3.093884306345266E-2</v>
      </c>
      <c r="AA353">
        <v>8853010</v>
      </c>
      <c r="AB353">
        <v>12998</v>
      </c>
      <c r="AD353" t="s">
        <v>1</v>
      </c>
      <c r="AE353">
        <v>43</v>
      </c>
      <c r="AF353">
        <v>2</v>
      </c>
      <c r="AH353" t="s">
        <v>4488</v>
      </c>
      <c r="AI353" t="s">
        <v>4487</v>
      </c>
      <c r="AK353" t="s">
        <v>4486</v>
      </c>
      <c r="AL353">
        <v>9</v>
      </c>
      <c r="AM353" s="5">
        <f t="shared" si="43"/>
        <v>0.34615384615384615</v>
      </c>
      <c r="AN353" s="4">
        <f t="shared" si="44"/>
        <v>5.2427693472752157E-4</v>
      </c>
      <c r="AO353" s="3"/>
      <c r="AP353">
        <v>0</v>
      </c>
      <c r="AQ353" t="s">
        <v>4485</v>
      </c>
      <c r="AR353" t="s">
        <v>0</v>
      </c>
      <c r="AS353" t="s">
        <v>4484</v>
      </c>
      <c r="AT353" s="2" t="s">
        <v>9</v>
      </c>
      <c r="AU353" s="1">
        <f t="shared" si="45"/>
        <v>2.1814473224835118</v>
      </c>
      <c r="AV353" s="1">
        <f t="shared" si="46"/>
        <v>1.573155999909009</v>
      </c>
      <c r="AW353" s="1">
        <f t="shared" si="47"/>
        <v>0.96486467733450632</v>
      </c>
    </row>
    <row r="354" spans="1:49" x14ac:dyDescent="0.2">
      <c r="A354">
        <v>352</v>
      </c>
      <c r="B354" t="s">
        <v>4483</v>
      </c>
      <c r="C354" t="s">
        <v>4482</v>
      </c>
      <c r="D354" t="s">
        <v>4481</v>
      </c>
      <c r="F354" t="s">
        <v>4480</v>
      </c>
      <c r="G354" t="s">
        <v>6</v>
      </c>
      <c r="H354" t="s">
        <v>5</v>
      </c>
      <c r="I354" t="s">
        <v>4479</v>
      </c>
      <c r="J354">
        <v>60017694</v>
      </c>
      <c r="K354" t="s">
        <v>414</v>
      </c>
      <c r="L354" t="s">
        <v>26</v>
      </c>
      <c r="M354" t="s">
        <v>25</v>
      </c>
      <c r="N354">
        <v>2</v>
      </c>
      <c r="O354" t="s">
        <v>4478</v>
      </c>
      <c r="P354" t="s">
        <v>4477</v>
      </c>
      <c r="Q354" t="s">
        <v>4476</v>
      </c>
      <c r="R354" s="7">
        <v>35400</v>
      </c>
      <c r="S354" s="8">
        <f t="shared" si="40"/>
        <v>1996</v>
      </c>
      <c r="T354" s="8">
        <v>1996</v>
      </c>
      <c r="U354" s="8">
        <f t="shared" si="41"/>
        <v>26</v>
      </c>
      <c r="V354" s="7">
        <v>1996</v>
      </c>
      <c r="W354" t="s">
        <v>711</v>
      </c>
      <c r="X354" s="2">
        <v>2.141</v>
      </c>
      <c r="Y354" s="6">
        <f t="shared" si="42"/>
        <v>5.7152772216438434E-2</v>
      </c>
      <c r="AA354">
        <v>1962892</v>
      </c>
      <c r="AB354">
        <v>17360</v>
      </c>
      <c r="AD354" t="s">
        <v>1</v>
      </c>
      <c r="AE354">
        <v>34</v>
      </c>
      <c r="AF354">
        <v>2</v>
      </c>
      <c r="AH354" t="s">
        <v>4475</v>
      </c>
      <c r="AI354" t="s">
        <v>4474</v>
      </c>
      <c r="AK354" t="s">
        <v>4473</v>
      </c>
      <c r="AL354">
        <v>81</v>
      </c>
      <c r="AM354" s="5">
        <f t="shared" si="43"/>
        <v>3.1153846153846154</v>
      </c>
      <c r="AN354" s="4">
        <f t="shared" si="44"/>
        <v>4.7184924125476943E-3</v>
      </c>
      <c r="AO354" s="3"/>
      <c r="AP354">
        <v>0</v>
      </c>
      <c r="AQ354" t="s">
        <v>4472</v>
      </c>
      <c r="AR354" t="s">
        <v>0</v>
      </c>
      <c r="AS354" t="s">
        <v>4471</v>
      </c>
      <c r="AT354" s="2" t="s">
        <v>9</v>
      </c>
      <c r="AU354" s="1">
        <f t="shared" si="45"/>
        <v>4.142248827527121</v>
      </c>
      <c r="AV354" s="1">
        <f t="shared" si="46"/>
        <v>3.0935632314493064</v>
      </c>
      <c r="AW354" s="1">
        <f t="shared" si="47"/>
        <v>2.0448776353714915</v>
      </c>
    </row>
    <row r="355" spans="1:49" x14ac:dyDescent="0.2">
      <c r="A355">
        <v>353</v>
      </c>
      <c r="B355" t="s">
        <v>4470</v>
      </c>
      <c r="C355" t="s">
        <v>4469</v>
      </c>
      <c r="D355" t="s">
        <v>4468</v>
      </c>
      <c r="F355" t="s">
        <v>4467</v>
      </c>
      <c r="G355" t="s">
        <v>6</v>
      </c>
      <c r="H355" t="s">
        <v>5</v>
      </c>
      <c r="I355" t="s">
        <v>4466</v>
      </c>
      <c r="J355" t="s">
        <v>4465</v>
      </c>
      <c r="K355" t="s">
        <v>4464</v>
      </c>
      <c r="L355" t="s">
        <v>4463</v>
      </c>
      <c r="M355" t="s">
        <v>13</v>
      </c>
      <c r="N355">
        <v>2</v>
      </c>
      <c r="O355" t="s">
        <v>4462</v>
      </c>
      <c r="P355" t="s">
        <v>4461</v>
      </c>
      <c r="Q355" t="s">
        <v>4460</v>
      </c>
      <c r="R355" s="7">
        <v>35400</v>
      </c>
      <c r="S355" s="8">
        <f t="shared" si="40"/>
        <v>1996</v>
      </c>
      <c r="T355" s="8">
        <v>1996</v>
      </c>
      <c r="U355" s="8">
        <f t="shared" si="41"/>
        <v>26</v>
      </c>
      <c r="V355" s="7">
        <v>1996</v>
      </c>
      <c r="W355" t="s">
        <v>711</v>
      </c>
      <c r="X355" s="2">
        <v>2.141</v>
      </c>
      <c r="Y355" s="6">
        <f t="shared" si="42"/>
        <v>5.7152772216438434E-2</v>
      </c>
      <c r="AA355">
        <v>1962892</v>
      </c>
      <c r="AB355">
        <v>17360</v>
      </c>
      <c r="AD355" t="s">
        <v>1</v>
      </c>
      <c r="AE355">
        <v>34</v>
      </c>
      <c r="AF355">
        <v>2</v>
      </c>
      <c r="AH355" t="s">
        <v>4459</v>
      </c>
      <c r="AI355" t="s">
        <v>4458</v>
      </c>
      <c r="AK355" t="s">
        <v>4457</v>
      </c>
      <c r="AL355">
        <v>14</v>
      </c>
      <c r="AM355" s="5">
        <f t="shared" si="43"/>
        <v>0.53846153846153844</v>
      </c>
      <c r="AN355" s="4">
        <f t="shared" si="44"/>
        <v>8.1554189846503363E-4</v>
      </c>
      <c r="AO355" s="3"/>
      <c r="AP355">
        <v>0</v>
      </c>
      <c r="AQ355" t="s">
        <v>21</v>
      </c>
      <c r="AR355" t="s">
        <v>4456</v>
      </c>
      <c r="AS355" t="s">
        <v>20</v>
      </c>
      <c r="AT355" s="2" t="s">
        <v>9</v>
      </c>
      <c r="AU355" s="1">
        <f t="shared" si="45"/>
        <v>4.0251603121046413</v>
      </c>
      <c r="AV355" s="1">
        <f t="shared" si="46"/>
        <v>2.8984157057451734</v>
      </c>
      <c r="AW355" s="1">
        <f t="shared" si="47"/>
        <v>1.7716710993857052</v>
      </c>
    </row>
    <row r="356" spans="1:49" x14ac:dyDescent="0.2">
      <c r="A356">
        <v>354</v>
      </c>
      <c r="B356" t="s">
        <v>4455</v>
      </c>
      <c r="C356" t="s">
        <v>4454</v>
      </c>
      <c r="D356" t="s">
        <v>4453</v>
      </c>
      <c r="F356" t="s">
        <v>4452</v>
      </c>
      <c r="G356" t="s">
        <v>6</v>
      </c>
      <c r="H356" t="s">
        <v>5</v>
      </c>
      <c r="I356" t="s">
        <v>4451</v>
      </c>
      <c r="N356">
        <v>1</v>
      </c>
      <c r="O356" t="s">
        <v>4450</v>
      </c>
      <c r="P356">
        <v>57207551195</v>
      </c>
      <c r="R356" s="7">
        <v>35400</v>
      </c>
      <c r="S356" s="8">
        <f t="shared" si="40"/>
        <v>1996</v>
      </c>
      <c r="T356" s="8">
        <v>1996</v>
      </c>
      <c r="U356" s="8">
        <f t="shared" si="41"/>
        <v>26</v>
      </c>
      <c r="V356" s="7">
        <v>1996</v>
      </c>
      <c r="W356" t="s">
        <v>150</v>
      </c>
      <c r="X356" s="2">
        <v>1.6519999999999999</v>
      </c>
      <c r="Y356" s="6">
        <f t="shared" si="42"/>
        <v>4.409919649769093E-2</v>
      </c>
      <c r="AA356" t="s">
        <v>149</v>
      </c>
      <c r="AB356">
        <v>17337</v>
      </c>
      <c r="AD356" t="s">
        <v>1</v>
      </c>
      <c r="AE356">
        <v>44</v>
      </c>
      <c r="AF356">
        <v>3</v>
      </c>
      <c r="AH356" t="s">
        <v>4411</v>
      </c>
      <c r="AI356" t="s">
        <v>4449</v>
      </c>
      <c r="AK356" t="s">
        <v>4448</v>
      </c>
      <c r="AL356">
        <v>17</v>
      </c>
      <c r="AM356" s="5">
        <f t="shared" si="43"/>
        <v>0.65384615384615385</v>
      </c>
      <c r="AN356" s="4">
        <f t="shared" si="44"/>
        <v>9.9030087670754093E-4</v>
      </c>
      <c r="AO356" s="3"/>
      <c r="AP356">
        <v>0</v>
      </c>
      <c r="AR356" t="s">
        <v>0</v>
      </c>
      <c r="AT356" s="2" t="s">
        <v>9</v>
      </c>
      <c r="AU356" s="1">
        <f t="shared" si="45"/>
        <v>3.116652781139591</v>
      </c>
      <c r="AV356" s="1">
        <f t="shared" si="46"/>
        <v>2.2544748687199236</v>
      </c>
      <c r="AW356" s="1">
        <f t="shared" si="47"/>
        <v>1.3922969563002556</v>
      </c>
    </row>
    <row r="357" spans="1:49" x14ac:dyDescent="0.2">
      <c r="A357">
        <v>355</v>
      </c>
      <c r="B357" t="s">
        <v>4447</v>
      </c>
      <c r="C357" t="s">
        <v>4446</v>
      </c>
      <c r="D357" t="s">
        <v>4445</v>
      </c>
      <c r="F357" t="s">
        <v>4444</v>
      </c>
      <c r="G357" t="s">
        <v>6</v>
      </c>
      <c r="H357" t="s">
        <v>5</v>
      </c>
      <c r="I357" t="s">
        <v>4443</v>
      </c>
      <c r="J357">
        <v>60011362</v>
      </c>
      <c r="K357" t="s">
        <v>4442</v>
      </c>
      <c r="L357" t="s">
        <v>8</v>
      </c>
      <c r="M357" t="s">
        <v>7</v>
      </c>
      <c r="N357">
        <v>1</v>
      </c>
      <c r="O357" t="s">
        <v>4441</v>
      </c>
      <c r="P357">
        <v>35478779700</v>
      </c>
      <c r="Q357">
        <v>60011362</v>
      </c>
      <c r="R357" s="7">
        <v>35400</v>
      </c>
      <c r="S357" s="8">
        <f t="shared" si="40"/>
        <v>1996</v>
      </c>
      <c r="T357" s="8">
        <v>1996</v>
      </c>
      <c r="U357" s="8">
        <f t="shared" si="41"/>
        <v>26</v>
      </c>
      <c r="V357" s="7">
        <v>1996</v>
      </c>
      <c r="W357" t="s">
        <v>150</v>
      </c>
      <c r="X357" s="2">
        <v>1.6519999999999999</v>
      </c>
      <c r="Y357" s="6">
        <f t="shared" si="42"/>
        <v>4.409919649769093E-2</v>
      </c>
      <c r="AA357" t="s">
        <v>149</v>
      </c>
      <c r="AB357">
        <v>17337</v>
      </c>
      <c r="AD357" t="s">
        <v>1</v>
      </c>
      <c r="AE357">
        <v>44</v>
      </c>
      <c r="AF357">
        <v>3</v>
      </c>
      <c r="AH357" t="s">
        <v>4440</v>
      </c>
      <c r="AI357" t="s">
        <v>4439</v>
      </c>
      <c r="AK357" t="s">
        <v>4438</v>
      </c>
      <c r="AL357">
        <v>30</v>
      </c>
      <c r="AM357" s="5">
        <f t="shared" si="43"/>
        <v>1.1538461538461537</v>
      </c>
      <c r="AN357" s="4">
        <f t="shared" si="44"/>
        <v>1.7475897824250719E-3</v>
      </c>
      <c r="AO357" s="3"/>
      <c r="AP357">
        <v>0</v>
      </c>
      <c r="AR357" t="s">
        <v>0</v>
      </c>
      <c r="AT357" s="2" t="s">
        <v>9</v>
      </c>
      <c r="AU357" s="1">
        <f t="shared" si="45"/>
        <v>3.1393714483111173</v>
      </c>
      <c r="AV357" s="1">
        <f t="shared" si="46"/>
        <v>2.2923393140058002</v>
      </c>
      <c r="AW357" s="1">
        <f t="shared" si="47"/>
        <v>1.4453071797004828</v>
      </c>
    </row>
    <row r="358" spans="1:49" x14ac:dyDescent="0.2">
      <c r="A358">
        <v>356</v>
      </c>
      <c r="B358" t="s">
        <v>4437</v>
      </c>
      <c r="C358" t="s">
        <v>4436</v>
      </c>
      <c r="D358" t="s">
        <v>4435</v>
      </c>
      <c r="F358" t="s">
        <v>4434</v>
      </c>
      <c r="G358" t="s">
        <v>6</v>
      </c>
      <c r="H358" t="s">
        <v>5</v>
      </c>
      <c r="I358" t="s">
        <v>4433</v>
      </c>
      <c r="J358" t="s">
        <v>4432</v>
      </c>
      <c r="K358" t="s">
        <v>4431</v>
      </c>
      <c r="L358" t="s">
        <v>4430</v>
      </c>
      <c r="M358" t="s">
        <v>4429</v>
      </c>
      <c r="N358">
        <v>2</v>
      </c>
      <c r="O358" t="s">
        <v>4428</v>
      </c>
      <c r="P358" t="s">
        <v>4427</v>
      </c>
      <c r="Q358" t="s">
        <v>4426</v>
      </c>
      <c r="R358" s="7">
        <v>35400</v>
      </c>
      <c r="S358" s="8">
        <f t="shared" si="40"/>
        <v>1996</v>
      </c>
      <c r="T358" s="8">
        <v>1996</v>
      </c>
      <c r="U358" s="8">
        <f t="shared" si="41"/>
        <v>26</v>
      </c>
      <c r="V358" s="7">
        <v>1996</v>
      </c>
      <c r="W358" t="s">
        <v>410</v>
      </c>
      <c r="X358" s="2">
        <v>1.3720000000000001</v>
      </c>
      <c r="Y358" s="6">
        <f t="shared" si="42"/>
        <v>3.662475641333654E-2</v>
      </c>
      <c r="AA358">
        <v>189480</v>
      </c>
      <c r="AB358">
        <v>17366</v>
      </c>
      <c r="AD358" t="s">
        <v>1</v>
      </c>
      <c r="AE358">
        <v>44</v>
      </c>
      <c r="AF358">
        <v>3</v>
      </c>
      <c r="AH358" t="s">
        <v>4425</v>
      </c>
      <c r="AI358" t="s">
        <v>4424</v>
      </c>
      <c r="AK358" t="s">
        <v>4423</v>
      </c>
      <c r="AL358">
        <v>92</v>
      </c>
      <c r="AM358" s="5">
        <f t="shared" si="43"/>
        <v>3.5384615384615383</v>
      </c>
      <c r="AN358" s="4">
        <f t="shared" si="44"/>
        <v>5.3592753327702213E-3</v>
      </c>
      <c r="AO358" s="3"/>
      <c r="AP358">
        <v>0</v>
      </c>
      <c r="AR358" t="s">
        <v>4422</v>
      </c>
      <c r="AT358" s="2" t="s">
        <v>9</v>
      </c>
      <c r="AU358" s="1">
        <f t="shared" si="45"/>
        <v>2.7245112089166641</v>
      </c>
      <c r="AV358" s="1">
        <f t="shared" si="46"/>
        <v>2.0992015873053385</v>
      </c>
      <c r="AW358" s="1">
        <f t="shared" si="47"/>
        <v>1.4738919656940117</v>
      </c>
    </row>
    <row r="359" spans="1:49" x14ac:dyDescent="0.2">
      <c r="A359">
        <v>357</v>
      </c>
      <c r="B359" t="s">
        <v>4421</v>
      </c>
      <c r="C359" t="s">
        <v>4420</v>
      </c>
      <c r="D359" t="s">
        <v>4419</v>
      </c>
      <c r="F359" t="s">
        <v>4418</v>
      </c>
      <c r="G359" t="s">
        <v>6</v>
      </c>
      <c r="H359" t="s">
        <v>5</v>
      </c>
      <c r="I359" t="s">
        <v>4417</v>
      </c>
      <c r="J359">
        <v>60018258</v>
      </c>
      <c r="K359" t="s">
        <v>4416</v>
      </c>
      <c r="L359" t="s">
        <v>4415</v>
      </c>
      <c r="M359" t="s">
        <v>19</v>
      </c>
      <c r="N359">
        <v>2</v>
      </c>
      <c r="O359" t="s">
        <v>4414</v>
      </c>
      <c r="P359" t="s">
        <v>4413</v>
      </c>
      <c r="Q359" t="s">
        <v>4412</v>
      </c>
      <c r="R359" s="7">
        <v>35400</v>
      </c>
      <c r="S359" s="8">
        <f t="shared" si="40"/>
        <v>1996</v>
      </c>
      <c r="T359" s="8">
        <v>1996</v>
      </c>
      <c r="U359" s="8">
        <f t="shared" si="41"/>
        <v>26</v>
      </c>
      <c r="V359" s="7">
        <v>1996</v>
      </c>
      <c r="W359" t="s">
        <v>711</v>
      </c>
      <c r="X359" s="2">
        <v>2.141</v>
      </c>
      <c r="Y359" s="6">
        <f t="shared" si="42"/>
        <v>5.7152772216438434E-2</v>
      </c>
      <c r="AA359">
        <v>1962892</v>
      </c>
      <c r="AB359">
        <v>17360</v>
      </c>
      <c r="AD359" t="s">
        <v>1</v>
      </c>
      <c r="AE359">
        <v>34</v>
      </c>
      <c r="AF359">
        <v>2</v>
      </c>
      <c r="AH359" t="s">
        <v>4411</v>
      </c>
      <c r="AI359" t="s">
        <v>4410</v>
      </c>
      <c r="AK359" t="s">
        <v>4409</v>
      </c>
      <c r="AL359">
        <v>32</v>
      </c>
      <c r="AM359" s="5">
        <f t="shared" si="43"/>
        <v>1.2307692307692308</v>
      </c>
      <c r="AN359" s="4">
        <f t="shared" si="44"/>
        <v>1.864095767920077E-3</v>
      </c>
      <c r="AO359" s="3"/>
      <c r="AP359">
        <v>0</v>
      </c>
      <c r="AR359" t="s">
        <v>0</v>
      </c>
      <c r="AT359" s="2" t="s">
        <v>9</v>
      </c>
      <c r="AU359" s="1">
        <f t="shared" si="45"/>
        <v>4.0566169281882924</v>
      </c>
      <c r="AV359" s="1">
        <f t="shared" si="46"/>
        <v>2.9508433992179257</v>
      </c>
      <c r="AW359" s="1">
        <f t="shared" si="47"/>
        <v>1.8450698702475583</v>
      </c>
    </row>
    <row r="360" spans="1:49" x14ac:dyDescent="0.2">
      <c r="A360">
        <v>358</v>
      </c>
      <c r="B360" t="s">
        <v>4408</v>
      </c>
      <c r="C360" t="s">
        <v>4407</v>
      </c>
      <c r="D360" t="s">
        <v>4406</v>
      </c>
      <c r="F360" t="s">
        <v>4405</v>
      </c>
      <c r="G360" t="s">
        <v>6</v>
      </c>
      <c r="H360" t="s">
        <v>5</v>
      </c>
      <c r="I360" t="s">
        <v>4404</v>
      </c>
      <c r="J360">
        <v>60003122</v>
      </c>
      <c r="K360" t="s">
        <v>141</v>
      </c>
      <c r="L360" t="s">
        <v>140</v>
      </c>
      <c r="M360" t="s">
        <v>41</v>
      </c>
      <c r="N360">
        <v>1</v>
      </c>
      <c r="O360" t="s">
        <v>4403</v>
      </c>
      <c r="P360">
        <v>57207600886</v>
      </c>
      <c r="Q360">
        <v>60003122</v>
      </c>
      <c r="R360" s="7">
        <v>35400</v>
      </c>
      <c r="S360" s="8">
        <f t="shared" si="40"/>
        <v>1996</v>
      </c>
      <c r="T360" s="8">
        <v>1996</v>
      </c>
      <c r="U360" s="8">
        <f t="shared" si="41"/>
        <v>26</v>
      </c>
      <c r="V360" s="7">
        <v>1996</v>
      </c>
      <c r="W360" t="s">
        <v>150</v>
      </c>
      <c r="X360" s="2">
        <v>1.6519999999999999</v>
      </c>
      <c r="Y360" s="6">
        <f t="shared" si="42"/>
        <v>4.409919649769093E-2</v>
      </c>
      <c r="AA360" t="s">
        <v>149</v>
      </c>
      <c r="AB360">
        <v>17337</v>
      </c>
      <c r="AD360" t="s">
        <v>1</v>
      </c>
      <c r="AE360">
        <v>44</v>
      </c>
      <c r="AF360">
        <v>3</v>
      </c>
      <c r="AH360" t="s">
        <v>4402</v>
      </c>
      <c r="AI360" t="s">
        <v>4401</v>
      </c>
      <c r="AK360" t="s">
        <v>4400</v>
      </c>
      <c r="AL360">
        <v>50</v>
      </c>
      <c r="AM360" s="5">
        <f t="shared" si="43"/>
        <v>1.9230769230769231</v>
      </c>
      <c r="AN360" s="4">
        <f t="shared" si="44"/>
        <v>2.9126496373751204E-3</v>
      </c>
      <c r="AO360" s="3"/>
      <c r="AP360">
        <v>0</v>
      </c>
      <c r="AR360" t="s">
        <v>0</v>
      </c>
      <c r="AT360" s="2" t="s">
        <v>9</v>
      </c>
      <c r="AU360" s="1">
        <f t="shared" si="45"/>
        <v>3.174323243959619</v>
      </c>
      <c r="AV360" s="1">
        <f t="shared" si="46"/>
        <v>2.3505923067533026</v>
      </c>
      <c r="AW360" s="1">
        <f t="shared" si="47"/>
        <v>1.5268613695469861</v>
      </c>
    </row>
    <row r="361" spans="1:49" x14ac:dyDescent="0.2">
      <c r="A361">
        <v>359</v>
      </c>
      <c r="B361" t="s">
        <v>4399</v>
      </c>
      <c r="C361" t="s">
        <v>4398</v>
      </c>
      <c r="F361" t="s">
        <v>4397</v>
      </c>
      <c r="G361" t="s">
        <v>6</v>
      </c>
      <c r="H361" t="s">
        <v>5</v>
      </c>
      <c r="I361" t="s">
        <v>4396</v>
      </c>
      <c r="J361">
        <v>60032784</v>
      </c>
      <c r="K361" t="s">
        <v>4395</v>
      </c>
      <c r="L361" t="s">
        <v>4394</v>
      </c>
      <c r="M361" t="s">
        <v>2</v>
      </c>
      <c r="N361">
        <v>1</v>
      </c>
      <c r="O361" t="s">
        <v>4393</v>
      </c>
      <c r="P361">
        <v>7003514705</v>
      </c>
      <c r="Q361">
        <v>60032784</v>
      </c>
      <c r="R361" s="7">
        <v>35400</v>
      </c>
      <c r="S361" s="8">
        <f t="shared" si="40"/>
        <v>1996</v>
      </c>
      <c r="T361" s="8">
        <v>1996</v>
      </c>
      <c r="U361" s="8">
        <f t="shared" si="41"/>
        <v>26</v>
      </c>
      <c r="V361" s="7">
        <v>1996</v>
      </c>
      <c r="W361" t="s">
        <v>4269</v>
      </c>
      <c r="X361" s="2">
        <v>0.78200000000000003</v>
      </c>
      <c r="Y361" s="6">
        <f t="shared" si="42"/>
        <v>2.0875043378446919E-2</v>
      </c>
      <c r="AA361">
        <v>189316</v>
      </c>
      <c r="AB361">
        <v>19901</v>
      </c>
      <c r="AD361" t="s">
        <v>1</v>
      </c>
      <c r="AE361">
        <v>42</v>
      </c>
      <c r="AF361">
        <v>1</v>
      </c>
      <c r="AH361" s="10">
        <v>41548</v>
      </c>
      <c r="AI361" t="s">
        <v>4392</v>
      </c>
      <c r="AK361" t="s">
        <v>4391</v>
      </c>
      <c r="AL361">
        <v>1</v>
      </c>
      <c r="AM361" s="5">
        <f t="shared" si="43"/>
        <v>3.8461538461538464E-2</v>
      </c>
      <c r="AN361" s="4">
        <f t="shared" si="44"/>
        <v>5.8252992747502406E-5</v>
      </c>
      <c r="AO361" s="3"/>
      <c r="AP361">
        <v>0</v>
      </c>
      <c r="AR361" t="s">
        <v>0</v>
      </c>
      <c r="AT361" s="2">
        <v>3.863</v>
      </c>
      <c r="AU361" s="1">
        <f t="shared" si="45"/>
        <v>1.4630006262737092</v>
      </c>
      <c r="AV361" s="1">
        <f t="shared" si="46"/>
        <v>1.0466648185597212</v>
      </c>
      <c r="AW361" s="1">
        <f t="shared" si="47"/>
        <v>0.63032901084573278</v>
      </c>
    </row>
    <row r="362" spans="1:49" x14ac:dyDescent="0.2">
      <c r="A362">
        <v>360</v>
      </c>
      <c r="B362" t="s">
        <v>4390</v>
      </c>
      <c r="C362" t="s">
        <v>4389</v>
      </c>
      <c r="D362" t="s">
        <v>4388</v>
      </c>
      <c r="F362" t="s">
        <v>4387</v>
      </c>
      <c r="G362" t="s">
        <v>6</v>
      </c>
      <c r="H362" t="s">
        <v>5</v>
      </c>
      <c r="I362" t="s">
        <v>4386</v>
      </c>
      <c r="J362">
        <v>60009037</v>
      </c>
      <c r="K362" t="s">
        <v>34</v>
      </c>
      <c r="L362" t="s">
        <v>33</v>
      </c>
      <c r="M362" t="s">
        <v>2</v>
      </c>
      <c r="N362">
        <v>3</v>
      </c>
      <c r="O362" t="s">
        <v>4385</v>
      </c>
      <c r="P362" t="s">
        <v>4384</v>
      </c>
      <c r="Q362" t="s">
        <v>291</v>
      </c>
      <c r="R362" s="7">
        <v>35400</v>
      </c>
      <c r="S362" s="8">
        <f t="shared" si="40"/>
        <v>1996</v>
      </c>
      <c r="T362" s="8">
        <v>1996</v>
      </c>
      <c r="U362" s="8">
        <f t="shared" si="41"/>
        <v>26</v>
      </c>
      <c r="V362" s="7">
        <v>1996</v>
      </c>
      <c r="W362" t="s">
        <v>150</v>
      </c>
      <c r="X362" s="2">
        <v>1.6519999999999999</v>
      </c>
      <c r="Y362" s="6">
        <f t="shared" si="42"/>
        <v>4.409919649769093E-2</v>
      </c>
      <c r="AA362" t="s">
        <v>149</v>
      </c>
      <c r="AB362">
        <v>17337</v>
      </c>
      <c r="AD362" t="s">
        <v>1</v>
      </c>
      <c r="AE362">
        <v>44</v>
      </c>
      <c r="AF362">
        <v>3</v>
      </c>
      <c r="AH362" t="s">
        <v>4383</v>
      </c>
      <c r="AI362" t="s">
        <v>4382</v>
      </c>
      <c r="AK362" t="s">
        <v>4381</v>
      </c>
      <c r="AL362">
        <v>15</v>
      </c>
      <c r="AM362" s="5">
        <f t="shared" si="43"/>
        <v>0.57692307692307687</v>
      </c>
      <c r="AN362" s="4">
        <f t="shared" si="44"/>
        <v>8.7379489121253596E-4</v>
      </c>
      <c r="AO362" s="3"/>
      <c r="AP362">
        <v>0</v>
      </c>
      <c r="AQ362" t="s">
        <v>54</v>
      </c>
      <c r="AR362" t="s">
        <v>0</v>
      </c>
      <c r="AS362" t="s">
        <v>53</v>
      </c>
      <c r="AT362" s="2" t="s">
        <v>9</v>
      </c>
      <c r="AU362" s="1">
        <f t="shared" si="45"/>
        <v>3.1131576015747413</v>
      </c>
      <c r="AV362" s="1">
        <f t="shared" si="46"/>
        <v>2.2486495694451736</v>
      </c>
      <c r="AW362" s="1">
        <f t="shared" si="47"/>
        <v>1.3841415373156054</v>
      </c>
    </row>
    <row r="363" spans="1:49" x14ac:dyDescent="0.2">
      <c r="A363">
        <v>361</v>
      </c>
      <c r="B363" t="s">
        <v>4380</v>
      </c>
      <c r="C363" t="s">
        <v>4379</v>
      </c>
      <c r="D363" t="s">
        <v>4378</v>
      </c>
      <c r="F363" t="s">
        <v>4377</v>
      </c>
      <c r="G363" t="s">
        <v>6</v>
      </c>
      <c r="H363" t="s">
        <v>5</v>
      </c>
      <c r="I363" t="s">
        <v>4376</v>
      </c>
      <c r="J363" t="s">
        <v>4375</v>
      </c>
      <c r="K363" t="s">
        <v>4374</v>
      </c>
      <c r="L363" t="s">
        <v>4373</v>
      </c>
      <c r="M363" t="s">
        <v>126</v>
      </c>
      <c r="N363">
        <v>2</v>
      </c>
      <c r="O363" t="s">
        <v>4372</v>
      </c>
      <c r="P363" t="s">
        <v>4371</v>
      </c>
      <c r="Q363" t="s">
        <v>4370</v>
      </c>
      <c r="R363" s="7">
        <v>35400</v>
      </c>
      <c r="S363" s="8">
        <f t="shared" si="40"/>
        <v>1996</v>
      </c>
      <c r="T363" s="8">
        <v>1996</v>
      </c>
      <c r="U363" s="8">
        <f t="shared" si="41"/>
        <v>26</v>
      </c>
      <c r="V363" s="7">
        <v>1996</v>
      </c>
      <c r="W363" t="s">
        <v>694</v>
      </c>
      <c r="X363" s="2">
        <v>1.6379999999999999</v>
      </c>
      <c r="Y363" s="6">
        <f t="shared" si="42"/>
        <v>4.3725474493473214E-2</v>
      </c>
      <c r="AA363" t="s">
        <v>693</v>
      </c>
      <c r="AB363">
        <v>17391</v>
      </c>
      <c r="AD363" t="s">
        <v>1</v>
      </c>
      <c r="AE363">
        <v>44</v>
      </c>
      <c r="AF363">
        <v>3</v>
      </c>
      <c r="AH363" t="s">
        <v>4369</v>
      </c>
      <c r="AI363" t="s">
        <v>4368</v>
      </c>
      <c r="AK363" t="s">
        <v>4367</v>
      </c>
      <c r="AL363">
        <v>140</v>
      </c>
      <c r="AM363" s="5">
        <f t="shared" si="43"/>
        <v>5.384615384615385</v>
      </c>
      <c r="AN363" s="4">
        <f t="shared" si="44"/>
        <v>8.1554189846503363E-3</v>
      </c>
      <c r="AO363" s="3"/>
      <c r="AP363">
        <v>0</v>
      </c>
      <c r="AQ363" t="s">
        <v>24</v>
      </c>
      <c r="AR363" t="s">
        <v>4366</v>
      </c>
      <c r="AS363" t="s">
        <v>23</v>
      </c>
      <c r="AT363" s="2">
        <v>4.931</v>
      </c>
      <c r="AU363" s="1">
        <f t="shared" si="45"/>
        <v>3.305445784082635</v>
      </c>
      <c r="AV363" s="1">
        <f t="shared" si="46"/>
        <v>2.5940446739061778</v>
      </c>
      <c r="AW363" s="1">
        <f t="shared" si="47"/>
        <v>1.8826435637297201</v>
      </c>
    </row>
    <row r="364" spans="1:49" x14ac:dyDescent="0.2">
      <c r="A364">
        <v>362</v>
      </c>
      <c r="B364" t="s">
        <v>4365</v>
      </c>
      <c r="C364" t="s">
        <v>4364</v>
      </c>
      <c r="D364" t="s">
        <v>4363</v>
      </c>
      <c r="F364" t="s">
        <v>4362</v>
      </c>
      <c r="G364" t="s">
        <v>6</v>
      </c>
      <c r="H364" t="s">
        <v>5</v>
      </c>
      <c r="I364" t="s">
        <v>4361</v>
      </c>
      <c r="J364" t="s">
        <v>4360</v>
      </c>
      <c r="K364" t="s">
        <v>4359</v>
      </c>
      <c r="L364" t="s">
        <v>4358</v>
      </c>
      <c r="M364" t="s">
        <v>38</v>
      </c>
      <c r="N364">
        <v>4</v>
      </c>
      <c r="O364" t="s">
        <v>4357</v>
      </c>
      <c r="P364" t="s">
        <v>4356</v>
      </c>
      <c r="Q364" t="s">
        <v>4355</v>
      </c>
      <c r="R364" s="7">
        <v>35400</v>
      </c>
      <c r="S364" s="8">
        <f t="shared" si="40"/>
        <v>1996</v>
      </c>
      <c r="T364" s="8">
        <v>1996</v>
      </c>
      <c r="U364" s="8">
        <f t="shared" si="41"/>
        <v>26</v>
      </c>
      <c r="V364" s="7">
        <v>1996</v>
      </c>
      <c r="W364" t="s">
        <v>4354</v>
      </c>
      <c r="X364" s="2">
        <v>0.46700000000000003</v>
      </c>
      <c r="Y364" s="6">
        <f t="shared" si="42"/>
        <v>1.2466298283548225E-2</v>
      </c>
      <c r="AA364">
        <v>10518223</v>
      </c>
      <c r="AB364">
        <v>26026</v>
      </c>
      <c r="AD364" t="s">
        <v>1</v>
      </c>
      <c r="AE364">
        <v>6</v>
      </c>
      <c r="AF364">
        <v>1</v>
      </c>
      <c r="AH364" t="s">
        <v>742</v>
      </c>
      <c r="AI364" t="s">
        <v>4353</v>
      </c>
      <c r="AK364" t="s">
        <v>4352</v>
      </c>
      <c r="AL364">
        <v>7</v>
      </c>
      <c r="AM364" s="5">
        <f t="shared" si="43"/>
        <v>0.26923076923076922</v>
      </c>
      <c r="AN364" s="4">
        <f t="shared" si="44"/>
        <v>4.0777094923251682E-4</v>
      </c>
      <c r="AO364" s="3"/>
      <c r="AP364">
        <v>0</v>
      </c>
      <c r="AR364" t="s">
        <v>0</v>
      </c>
      <c r="AT364" s="2" t="s">
        <v>9</v>
      </c>
      <c r="AU364" s="1">
        <f t="shared" si="45"/>
        <v>0.88487400832535124</v>
      </c>
      <c r="AV364" s="1">
        <f t="shared" si="46"/>
        <v>0.64370346163903713</v>
      </c>
      <c r="AW364" s="1">
        <f t="shared" si="47"/>
        <v>0.40253291495272292</v>
      </c>
    </row>
    <row r="365" spans="1:49" x14ac:dyDescent="0.2">
      <c r="A365">
        <v>363</v>
      </c>
      <c r="B365" t="s">
        <v>4351</v>
      </c>
      <c r="C365" t="s">
        <v>4350</v>
      </c>
      <c r="D365" t="s">
        <v>4349</v>
      </c>
      <c r="F365" t="s">
        <v>4348</v>
      </c>
      <c r="G365" t="s">
        <v>6</v>
      </c>
      <c r="H365" t="s">
        <v>5</v>
      </c>
      <c r="I365" t="s">
        <v>4347</v>
      </c>
      <c r="J365">
        <v>60005322</v>
      </c>
      <c r="K365" t="s">
        <v>4346</v>
      </c>
      <c r="L365" t="s">
        <v>4345</v>
      </c>
      <c r="M365" t="s">
        <v>30</v>
      </c>
      <c r="N365">
        <v>3</v>
      </c>
      <c r="O365" t="s">
        <v>4344</v>
      </c>
      <c r="P365" t="s">
        <v>4343</v>
      </c>
      <c r="Q365" t="s">
        <v>4342</v>
      </c>
      <c r="R365" s="7">
        <v>35400</v>
      </c>
      <c r="S365" s="8">
        <f t="shared" si="40"/>
        <v>1996</v>
      </c>
      <c r="T365" s="8">
        <v>1996</v>
      </c>
      <c r="U365" s="8">
        <f t="shared" si="41"/>
        <v>26</v>
      </c>
      <c r="V365" s="7">
        <v>1996</v>
      </c>
      <c r="W365" t="s">
        <v>150</v>
      </c>
      <c r="X365" s="2">
        <v>1.6519999999999999</v>
      </c>
      <c r="Y365" s="6">
        <f t="shared" si="42"/>
        <v>4.409919649769093E-2</v>
      </c>
      <c r="AA365" t="s">
        <v>149</v>
      </c>
      <c r="AB365">
        <v>17337</v>
      </c>
      <c r="AD365" t="s">
        <v>1</v>
      </c>
      <c r="AE365">
        <v>44</v>
      </c>
      <c r="AF365">
        <v>3</v>
      </c>
      <c r="AH365" t="s">
        <v>256</v>
      </c>
      <c r="AI365" t="s">
        <v>4341</v>
      </c>
      <c r="AK365" t="s">
        <v>4340</v>
      </c>
      <c r="AL365">
        <v>67</v>
      </c>
      <c r="AM365" s="5">
        <f t="shared" si="43"/>
        <v>2.5769230769230771</v>
      </c>
      <c r="AN365" s="4">
        <f t="shared" si="44"/>
        <v>3.9029505140826611E-3</v>
      </c>
      <c r="AO365" s="3"/>
      <c r="AP365">
        <v>0</v>
      </c>
      <c r="AR365" t="s">
        <v>4339</v>
      </c>
      <c r="AS365" t="s">
        <v>4338</v>
      </c>
      <c r="AT365" s="2" t="s">
        <v>9</v>
      </c>
      <c r="AU365" s="1">
        <f t="shared" si="45"/>
        <v>3.2040322702608446</v>
      </c>
      <c r="AV365" s="1">
        <f t="shared" si="46"/>
        <v>2.4001073505886796</v>
      </c>
      <c r="AW365" s="1">
        <f t="shared" si="47"/>
        <v>1.596182430916514</v>
      </c>
    </row>
    <row r="366" spans="1:49" x14ac:dyDescent="0.2">
      <c r="A366">
        <v>364</v>
      </c>
      <c r="B366" t="s">
        <v>4337</v>
      </c>
      <c r="C366" t="s">
        <v>4336</v>
      </c>
      <c r="D366" t="s">
        <v>4335</v>
      </c>
      <c r="F366" t="s">
        <v>4334</v>
      </c>
      <c r="G366" t="s">
        <v>6</v>
      </c>
      <c r="H366" t="s">
        <v>5</v>
      </c>
      <c r="I366" t="s">
        <v>4333</v>
      </c>
      <c r="J366">
        <v>60021378</v>
      </c>
      <c r="K366" t="s">
        <v>360</v>
      </c>
      <c r="L366" t="s">
        <v>359</v>
      </c>
      <c r="M366" t="s">
        <v>2</v>
      </c>
      <c r="N366">
        <v>3</v>
      </c>
      <c r="O366" t="s">
        <v>4332</v>
      </c>
      <c r="P366" t="s">
        <v>4331</v>
      </c>
      <c r="Q366" t="s">
        <v>4330</v>
      </c>
      <c r="R366" s="7">
        <v>35400</v>
      </c>
      <c r="S366" s="8">
        <f t="shared" si="40"/>
        <v>1996</v>
      </c>
      <c r="T366" s="8">
        <v>1996</v>
      </c>
      <c r="U366" s="8">
        <f t="shared" si="41"/>
        <v>26</v>
      </c>
      <c r="V366" s="7">
        <v>1996</v>
      </c>
      <c r="W366" t="s">
        <v>150</v>
      </c>
      <c r="X366" s="2">
        <v>1.6519999999999999</v>
      </c>
      <c r="Y366" s="6">
        <f t="shared" si="42"/>
        <v>4.409919649769093E-2</v>
      </c>
      <c r="AA366" t="s">
        <v>149</v>
      </c>
      <c r="AB366">
        <v>17337</v>
      </c>
      <c r="AD366" t="s">
        <v>1</v>
      </c>
      <c r="AE366">
        <v>44</v>
      </c>
      <c r="AF366">
        <v>3</v>
      </c>
      <c r="AH366" t="s">
        <v>4329</v>
      </c>
      <c r="AI366" t="s">
        <v>4328</v>
      </c>
      <c r="AK366" t="s">
        <v>4327</v>
      </c>
      <c r="AL366">
        <v>180</v>
      </c>
      <c r="AM366" s="5">
        <f t="shared" si="43"/>
        <v>6.9230769230769234</v>
      </c>
      <c r="AN366" s="4">
        <f t="shared" si="44"/>
        <v>1.0485538694550434E-2</v>
      </c>
      <c r="AO366" s="3"/>
      <c r="AP366">
        <v>0</v>
      </c>
      <c r="AR366" t="s">
        <v>0</v>
      </c>
      <c r="AT366" s="2" t="s">
        <v>9</v>
      </c>
      <c r="AU366" s="1">
        <f t="shared" si="45"/>
        <v>3.401509915674878</v>
      </c>
      <c r="AV366" s="1">
        <f t="shared" si="46"/>
        <v>2.7292367596120681</v>
      </c>
      <c r="AW366" s="1">
        <f t="shared" si="47"/>
        <v>2.0569636035492578</v>
      </c>
    </row>
    <row r="367" spans="1:49" x14ac:dyDescent="0.2">
      <c r="A367">
        <v>365</v>
      </c>
      <c r="B367" t="s">
        <v>4326</v>
      </c>
      <c r="C367" t="s">
        <v>4325</v>
      </c>
      <c r="D367" t="s">
        <v>4324</v>
      </c>
      <c r="F367" t="s">
        <v>4323</v>
      </c>
      <c r="G367" t="s">
        <v>6</v>
      </c>
      <c r="H367" t="s">
        <v>5</v>
      </c>
      <c r="I367" t="s">
        <v>347</v>
      </c>
      <c r="J367">
        <v>60025534</v>
      </c>
      <c r="K367" t="s">
        <v>346</v>
      </c>
      <c r="L367" t="s">
        <v>345</v>
      </c>
      <c r="M367" t="s">
        <v>2</v>
      </c>
      <c r="N367">
        <v>2</v>
      </c>
      <c r="O367" t="s">
        <v>344</v>
      </c>
      <c r="P367" t="s">
        <v>343</v>
      </c>
      <c r="Q367" t="s">
        <v>342</v>
      </c>
      <c r="R367" s="7">
        <v>35400</v>
      </c>
      <c r="S367" s="8">
        <f t="shared" si="40"/>
        <v>1996</v>
      </c>
      <c r="T367" s="8">
        <v>1996</v>
      </c>
      <c r="U367" s="8">
        <f t="shared" si="41"/>
        <v>26</v>
      </c>
      <c r="V367" s="7">
        <v>1996</v>
      </c>
      <c r="W367" t="s">
        <v>1132</v>
      </c>
      <c r="X367" s="2">
        <v>1.1819999999999999</v>
      </c>
      <c r="Y367" s="6">
        <f t="shared" si="42"/>
        <v>3.1552814927524625E-2</v>
      </c>
      <c r="AA367">
        <v>36951</v>
      </c>
      <c r="AB367">
        <v>27030</v>
      </c>
      <c r="AD367" t="s">
        <v>1</v>
      </c>
      <c r="AE367">
        <v>68</v>
      </c>
      <c r="AF367">
        <v>12</v>
      </c>
      <c r="AH367" t="s">
        <v>4322</v>
      </c>
      <c r="AI367" t="s">
        <v>4321</v>
      </c>
      <c r="AK367" t="s">
        <v>4320</v>
      </c>
      <c r="AL367">
        <v>312</v>
      </c>
      <c r="AM367" s="5">
        <f t="shared" si="43"/>
        <v>12</v>
      </c>
      <c r="AN367" s="4">
        <f t="shared" si="44"/>
        <v>1.817493373722075E-2</v>
      </c>
      <c r="AO367" s="3"/>
      <c r="AP367">
        <v>0</v>
      </c>
      <c r="AR367" t="s">
        <v>0</v>
      </c>
      <c r="AT367" s="2">
        <v>3.7909999999999999</v>
      </c>
      <c r="AU367" s="1">
        <f t="shared" si="45"/>
        <v>2.7539450570433459</v>
      </c>
      <c r="AV367" s="1">
        <f t="shared" si="46"/>
        <v>2.4863874332372684</v>
      </c>
      <c r="AW367" s="1">
        <f t="shared" si="47"/>
        <v>2.2188298094311913</v>
      </c>
    </row>
    <row r="368" spans="1:49" x14ac:dyDescent="0.2">
      <c r="A368">
        <v>366</v>
      </c>
      <c r="B368" t="s">
        <v>4319</v>
      </c>
      <c r="C368" t="s">
        <v>4318</v>
      </c>
      <c r="D368" t="s">
        <v>4317</v>
      </c>
      <c r="F368" t="s">
        <v>4316</v>
      </c>
      <c r="G368" t="s">
        <v>6</v>
      </c>
      <c r="H368" t="s">
        <v>5</v>
      </c>
      <c r="I368" t="s">
        <v>4315</v>
      </c>
      <c r="J368" t="s">
        <v>4314</v>
      </c>
      <c r="K368" t="s">
        <v>4313</v>
      </c>
      <c r="L368" t="s">
        <v>4312</v>
      </c>
      <c r="M368" t="s">
        <v>13</v>
      </c>
      <c r="N368">
        <v>3</v>
      </c>
      <c r="O368" t="s">
        <v>4311</v>
      </c>
      <c r="P368" t="s">
        <v>4310</v>
      </c>
      <c r="Q368" t="s">
        <v>4309</v>
      </c>
      <c r="R368" s="7">
        <v>35400</v>
      </c>
      <c r="S368" s="8">
        <f t="shared" si="40"/>
        <v>1996</v>
      </c>
      <c r="T368" s="8">
        <v>1996</v>
      </c>
      <c r="U368" s="8">
        <f t="shared" si="41"/>
        <v>26</v>
      </c>
      <c r="V368" s="7">
        <v>1996</v>
      </c>
      <c r="W368" t="s">
        <v>711</v>
      </c>
      <c r="X368" s="2">
        <v>2.141</v>
      </c>
      <c r="Y368" s="6">
        <f t="shared" si="42"/>
        <v>5.7152772216438434E-2</v>
      </c>
      <c r="AA368">
        <v>1962892</v>
      </c>
      <c r="AB368">
        <v>17360</v>
      </c>
      <c r="AD368" t="s">
        <v>1</v>
      </c>
      <c r="AE368">
        <v>34</v>
      </c>
      <c r="AF368">
        <v>2</v>
      </c>
      <c r="AH368" t="s">
        <v>4308</v>
      </c>
      <c r="AI368" t="s">
        <v>4307</v>
      </c>
      <c r="AK368" t="s">
        <v>4306</v>
      </c>
      <c r="AL368">
        <v>46</v>
      </c>
      <c r="AM368" s="5">
        <f t="shared" si="43"/>
        <v>1.7692307692307692</v>
      </c>
      <c r="AN368" s="4">
        <f t="shared" si="44"/>
        <v>2.6796376663851106E-3</v>
      </c>
      <c r="AO368" s="3"/>
      <c r="AP368">
        <v>0</v>
      </c>
      <c r="AR368" t="s">
        <v>0</v>
      </c>
      <c r="AT368" s="2" t="s">
        <v>9</v>
      </c>
      <c r="AU368" s="1">
        <f t="shared" si="45"/>
        <v>4.0810831851422433</v>
      </c>
      <c r="AV368" s="1">
        <f t="shared" si="46"/>
        <v>2.9916204941411775</v>
      </c>
      <c r="AW368" s="1">
        <f t="shared" si="47"/>
        <v>1.9021578031401107</v>
      </c>
    </row>
    <row r="369" spans="1:49" x14ac:dyDescent="0.2">
      <c r="A369">
        <v>367</v>
      </c>
      <c r="B369" t="s">
        <v>4305</v>
      </c>
      <c r="C369" t="s">
        <v>4304</v>
      </c>
      <c r="D369" t="s">
        <v>4303</v>
      </c>
      <c r="F369" t="s">
        <v>4302</v>
      </c>
      <c r="G369" t="s">
        <v>6</v>
      </c>
      <c r="H369" t="s">
        <v>5</v>
      </c>
      <c r="I369" t="s">
        <v>4301</v>
      </c>
      <c r="J369">
        <v>100620018</v>
      </c>
      <c r="K369" t="s">
        <v>4300</v>
      </c>
      <c r="L369" t="s">
        <v>4299</v>
      </c>
      <c r="M369" t="s">
        <v>2</v>
      </c>
      <c r="N369">
        <v>2</v>
      </c>
      <c r="O369" t="s">
        <v>4298</v>
      </c>
      <c r="P369" t="s">
        <v>4297</v>
      </c>
      <c r="Q369" t="s">
        <v>4296</v>
      </c>
      <c r="R369" s="7">
        <v>35400</v>
      </c>
      <c r="S369" s="8">
        <f t="shared" si="40"/>
        <v>1996</v>
      </c>
      <c r="T369" s="8">
        <v>1996</v>
      </c>
      <c r="U369" s="8">
        <f t="shared" si="41"/>
        <v>26</v>
      </c>
      <c r="V369" s="7">
        <v>1996</v>
      </c>
      <c r="W369" t="s">
        <v>150</v>
      </c>
      <c r="X369" s="2">
        <v>1.6519999999999999</v>
      </c>
      <c r="Y369" s="6">
        <f t="shared" si="42"/>
        <v>4.409919649769093E-2</v>
      </c>
      <c r="AA369" t="s">
        <v>149</v>
      </c>
      <c r="AB369">
        <v>17337</v>
      </c>
      <c r="AD369" t="s">
        <v>1</v>
      </c>
      <c r="AE369">
        <v>44</v>
      </c>
      <c r="AF369">
        <v>3</v>
      </c>
      <c r="AH369" t="s">
        <v>4295</v>
      </c>
      <c r="AI369" t="s">
        <v>4294</v>
      </c>
      <c r="AK369" t="s">
        <v>4293</v>
      </c>
      <c r="AL369">
        <v>95</v>
      </c>
      <c r="AM369" s="5">
        <f t="shared" si="43"/>
        <v>3.6538461538461537</v>
      </c>
      <c r="AN369" s="4">
        <f t="shared" si="44"/>
        <v>5.5340343110127279E-3</v>
      </c>
      <c r="AO369" s="3"/>
      <c r="AP369">
        <v>0</v>
      </c>
      <c r="AR369" t="s">
        <v>4292</v>
      </c>
      <c r="AT369" s="2" t="s">
        <v>9</v>
      </c>
      <c r="AU369" s="1">
        <f t="shared" si="45"/>
        <v>3.2529647841687472</v>
      </c>
      <c r="AV369" s="1">
        <f t="shared" si="46"/>
        <v>2.4816615404351832</v>
      </c>
      <c r="AW369" s="1">
        <f t="shared" si="47"/>
        <v>1.7103582967016189</v>
      </c>
    </row>
    <row r="370" spans="1:49" x14ac:dyDescent="0.2">
      <c r="A370">
        <v>368</v>
      </c>
      <c r="B370" t="s">
        <v>4291</v>
      </c>
      <c r="C370" t="s">
        <v>4290</v>
      </c>
      <c r="F370" t="s">
        <v>4289</v>
      </c>
      <c r="G370" t="s">
        <v>6</v>
      </c>
      <c r="H370" t="s">
        <v>5</v>
      </c>
      <c r="I370" t="s">
        <v>4288</v>
      </c>
      <c r="J370">
        <v>101014225</v>
      </c>
      <c r="K370" t="s">
        <v>4287</v>
      </c>
      <c r="L370" t="s">
        <v>171</v>
      </c>
      <c r="M370" t="s">
        <v>30</v>
      </c>
      <c r="N370">
        <v>1</v>
      </c>
      <c r="O370" t="s">
        <v>4286</v>
      </c>
      <c r="P370">
        <v>6602947470</v>
      </c>
      <c r="Q370">
        <v>101014225</v>
      </c>
      <c r="R370" s="7">
        <v>35400</v>
      </c>
      <c r="S370" s="8">
        <f t="shared" si="40"/>
        <v>1996</v>
      </c>
      <c r="T370" s="8">
        <v>1996</v>
      </c>
      <c r="U370" s="8">
        <f t="shared" si="41"/>
        <v>26</v>
      </c>
      <c r="V370" s="7">
        <v>1996</v>
      </c>
      <c r="W370" t="s">
        <v>4269</v>
      </c>
      <c r="X370" s="2">
        <v>0.78200000000000003</v>
      </c>
      <c r="Y370" s="6">
        <f t="shared" si="42"/>
        <v>2.0875043378446919E-2</v>
      </c>
      <c r="AA370">
        <v>189316</v>
      </c>
      <c r="AB370">
        <v>19901</v>
      </c>
      <c r="AD370" t="s">
        <v>1</v>
      </c>
      <c r="AE370">
        <v>42</v>
      </c>
      <c r="AF370">
        <v>1</v>
      </c>
      <c r="AH370" t="s">
        <v>4285</v>
      </c>
      <c r="AI370" t="s">
        <v>4284</v>
      </c>
      <c r="AK370" t="s">
        <v>4283</v>
      </c>
      <c r="AL370">
        <v>2</v>
      </c>
      <c r="AM370" s="5">
        <f t="shared" si="43"/>
        <v>7.6923076923076927E-2</v>
      </c>
      <c r="AN370" s="4">
        <f t="shared" si="44"/>
        <v>1.1650598549500481E-4</v>
      </c>
      <c r="AO370" s="3"/>
      <c r="AP370">
        <v>0</v>
      </c>
      <c r="AR370" t="s">
        <v>0</v>
      </c>
      <c r="AT370" s="2">
        <v>3.863</v>
      </c>
      <c r="AU370" s="1">
        <f t="shared" si="45"/>
        <v>1.4647482160561343</v>
      </c>
      <c r="AV370" s="1">
        <f t="shared" si="46"/>
        <v>1.0495774681970962</v>
      </c>
      <c r="AW370" s="1">
        <f t="shared" si="47"/>
        <v>0.63440672033805789</v>
      </c>
    </row>
    <row r="371" spans="1:49" x14ac:dyDescent="0.2">
      <c r="A371">
        <v>369</v>
      </c>
      <c r="B371" t="s">
        <v>4282</v>
      </c>
      <c r="C371" t="s">
        <v>4281</v>
      </c>
      <c r="F371" t="s">
        <v>4280</v>
      </c>
      <c r="G371" t="s">
        <v>6</v>
      </c>
      <c r="H371" t="s">
        <v>5</v>
      </c>
      <c r="I371" t="s">
        <v>4279</v>
      </c>
      <c r="J371">
        <v>60018714</v>
      </c>
      <c r="K371" t="s">
        <v>679</v>
      </c>
      <c r="L371" t="s">
        <v>64</v>
      </c>
      <c r="M371" t="s">
        <v>41</v>
      </c>
      <c r="N371">
        <v>1</v>
      </c>
      <c r="O371" t="s">
        <v>4278</v>
      </c>
      <c r="P371">
        <v>6701358616</v>
      </c>
      <c r="Q371">
        <v>60018714</v>
      </c>
      <c r="R371" s="7">
        <v>35400</v>
      </c>
      <c r="S371" s="8">
        <f t="shared" si="40"/>
        <v>1996</v>
      </c>
      <c r="T371" s="8">
        <v>1996</v>
      </c>
      <c r="U371" s="8">
        <f t="shared" si="41"/>
        <v>26</v>
      </c>
      <c r="V371" s="7">
        <v>1996</v>
      </c>
      <c r="W371" t="s">
        <v>4269</v>
      </c>
      <c r="X371" s="2">
        <v>0.78200000000000003</v>
      </c>
      <c r="Y371" s="6">
        <f t="shared" si="42"/>
        <v>2.0875043378446919E-2</v>
      </c>
      <c r="AA371">
        <v>189316</v>
      </c>
      <c r="AB371">
        <v>19901</v>
      </c>
      <c r="AD371" t="s">
        <v>1</v>
      </c>
      <c r="AE371">
        <v>42</v>
      </c>
      <c r="AF371">
        <v>1</v>
      </c>
      <c r="AH371" t="s">
        <v>4277</v>
      </c>
      <c r="AL371">
        <v>0</v>
      </c>
      <c r="AM371" s="5">
        <f t="shared" si="43"/>
        <v>0</v>
      </c>
      <c r="AN371" s="4">
        <f t="shared" si="44"/>
        <v>0</v>
      </c>
      <c r="AO371" s="3"/>
      <c r="AP371">
        <v>0</v>
      </c>
      <c r="AR371" t="s">
        <v>0</v>
      </c>
      <c r="AT371" s="2">
        <v>3.863</v>
      </c>
      <c r="AU371" s="1">
        <f t="shared" si="45"/>
        <v>1.4612530364912841</v>
      </c>
      <c r="AV371" s="1">
        <f t="shared" si="46"/>
        <v>1.0437521689223459</v>
      </c>
      <c r="AW371" s="1">
        <f t="shared" si="47"/>
        <v>0.62625130135340756</v>
      </c>
    </row>
    <row r="372" spans="1:49" x14ac:dyDescent="0.2">
      <c r="A372">
        <v>370</v>
      </c>
      <c r="B372" t="s">
        <v>4276</v>
      </c>
      <c r="C372" t="s">
        <v>4275</v>
      </c>
      <c r="F372" t="s">
        <v>4274</v>
      </c>
      <c r="G372" t="s">
        <v>6</v>
      </c>
      <c r="H372" t="s">
        <v>5</v>
      </c>
      <c r="I372" t="s">
        <v>4273</v>
      </c>
      <c r="J372">
        <v>60026134</v>
      </c>
      <c r="K372" t="s">
        <v>4272</v>
      </c>
      <c r="L372" t="s">
        <v>4271</v>
      </c>
      <c r="M372" t="s">
        <v>179</v>
      </c>
      <c r="N372">
        <v>1</v>
      </c>
      <c r="O372" t="s">
        <v>4270</v>
      </c>
      <c r="P372">
        <v>55952855700</v>
      </c>
      <c r="Q372">
        <v>60026134</v>
      </c>
      <c r="R372" s="7">
        <v>35400</v>
      </c>
      <c r="S372" s="8">
        <f t="shared" si="40"/>
        <v>1996</v>
      </c>
      <c r="T372" s="8">
        <v>1996</v>
      </c>
      <c r="U372" s="8">
        <f t="shared" si="41"/>
        <v>26</v>
      </c>
      <c r="V372" s="7">
        <v>1996</v>
      </c>
      <c r="W372" t="s">
        <v>4269</v>
      </c>
      <c r="X372" s="2">
        <v>0.78200000000000003</v>
      </c>
      <c r="Y372" s="6">
        <f t="shared" si="42"/>
        <v>2.0875043378446919E-2</v>
      </c>
      <c r="AA372">
        <v>189316</v>
      </c>
      <c r="AB372">
        <v>19901</v>
      </c>
      <c r="AD372" t="s">
        <v>1</v>
      </c>
      <c r="AE372">
        <v>42</v>
      </c>
      <c r="AF372">
        <v>1</v>
      </c>
      <c r="AH372" t="s">
        <v>735</v>
      </c>
      <c r="AI372" t="s">
        <v>4268</v>
      </c>
      <c r="AK372" t="s">
        <v>4267</v>
      </c>
      <c r="AL372">
        <v>0</v>
      </c>
      <c r="AM372" s="5">
        <f t="shared" si="43"/>
        <v>0</v>
      </c>
      <c r="AN372" s="4">
        <f t="shared" si="44"/>
        <v>0</v>
      </c>
      <c r="AO372" s="3"/>
      <c r="AP372">
        <v>0</v>
      </c>
      <c r="AR372" t="s">
        <v>0</v>
      </c>
      <c r="AT372" s="2">
        <v>3.863</v>
      </c>
      <c r="AU372" s="1">
        <f t="shared" si="45"/>
        <v>1.4612530364912841</v>
      </c>
      <c r="AV372" s="1">
        <f t="shared" si="46"/>
        <v>1.0437521689223459</v>
      </c>
      <c r="AW372" s="1">
        <f t="shared" si="47"/>
        <v>0.62625130135340756</v>
      </c>
    </row>
    <row r="373" spans="1:49" x14ac:dyDescent="0.2">
      <c r="A373">
        <v>371</v>
      </c>
      <c r="B373" t="s">
        <v>4266</v>
      </c>
      <c r="C373" t="s">
        <v>4265</v>
      </c>
      <c r="D373" t="s">
        <v>4264</v>
      </c>
      <c r="F373" t="s">
        <v>4263</v>
      </c>
      <c r="G373" t="s">
        <v>6</v>
      </c>
      <c r="H373" t="s">
        <v>5</v>
      </c>
      <c r="I373" t="s">
        <v>4262</v>
      </c>
      <c r="J373">
        <v>60008724</v>
      </c>
      <c r="K373" t="s">
        <v>4261</v>
      </c>
      <c r="L373" t="s">
        <v>69</v>
      </c>
      <c r="M373" t="s">
        <v>2</v>
      </c>
      <c r="N373">
        <v>4</v>
      </c>
      <c r="O373" t="s">
        <v>4260</v>
      </c>
      <c r="P373" t="s">
        <v>4259</v>
      </c>
      <c r="Q373" t="s">
        <v>4258</v>
      </c>
      <c r="R373" s="7">
        <v>35400</v>
      </c>
      <c r="S373" s="8">
        <f t="shared" si="40"/>
        <v>1996</v>
      </c>
      <c r="T373" s="8">
        <v>1996</v>
      </c>
      <c r="U373" s="8">
        <f t="shared" si="41"/>
        <v>26</v>
      </c>
      <c r="V373" s="7">
        <v>1996</v>
      </c>
      <c r="W373" t="s">
        <v>150</v>
      </c>
      <c r="X373" s="2">
        <v>1.6519999999999999</v>
      </c>
      <c r="Y373" s="6">
        <f t="shared" si="42"/>
        <v>4.409919649769093E-2</v>
      </c>
      <c r="AA373" t="s">
        <v>149</v>
      </c>
      <c r="AB373">
        <v>17337</v>
      </c>
      <c r="AD373" t="s">
        <v>1</v>
      </c>
      <c r="AE373">
        <v>44</v>
      </c>
      <c r="AF373">
        <v>3</v>
      </c>
      <c r="AH373" t="s">
        <v>4257</v>
      </c>
      <c r="AI373" t="s">
        <v>4256</v>
      </c>
      <c r="AK373" t="s">
        <v>4255</v>
      </c>
      <c r="AL373">
        <v>4</v>
      </c>
      <c r="AM373" s="5">
        <f t="shared" si="43"/>
        <v>0.15384615384615385</v>
      </c>
      <c r="AN373" s="4">
        <f t="shared" si="44"/>
        <v>2.3301197099000962E-4</v>
      </c>
      <c r="AO373" s="3"/>
      <c r="AP373">
        <v>0</v>
      </c>
      <c r="AQ373" t="s">
        <v>105</v>
      </c>
      <c r="AR373" t="s">
        <v>3806</v>
      </c>
      <c r="AS373" t="s">
        <v>104</v>
      </c>
      <c r="AT373" s="2" t="s">
        <v>9</v>
      </c>
      <c r="AU373" s="1">
        <f t="shared" si="45"/>
        <v>3.0939341139680656</v>
      </c>
      <c r="AV373" s="1">
        <f t="shared" si="46"/>
        <v>2.2166104234340471</v>
      </c>
      <c r="AW373" s="1">
        <f t="shared" si="47"/>
        <v>1.3392867329000284</v>
      </c>
    </row>
    <row r="374" spans="1:49" x14ac:dyDescent="0.2">
      <c r="A374">
        <v>372</v>
      </c>
      <c r="B374" t="s">
        <v>4254</v>
      </c>
      <c r="C374" t="s">
        <v>4253</v>
      </c>
      <c r="D374" t="s">
        <v>4252</v>
      </c>
      <c r="F374" t="s">
        <v>4251</v>
      </c>
      <c r="G374" t="s">
        <v>6</v>
      </c>
      <c r="H374" t="s">
        <v>5</v>
      </c>
      <c r="I374" t="s">
        <v>4250</v>
      </c>
      <c r="J374" t="s">
        <v>4249</v>
      </c>
      <c r="K374" t="s">
        <v>4248</v>
      </c>
      <c r="L374" t="s">
        <v>4247</v>
      </c>
      <c r="M374" t="s">
        <v>126</v>
      </c>
      <c r="N374">
        <v>3</v>
      </c>
      <c r="O374" t="s">
        <v>4246</v>
      </c>
      <c r="P374" t="s">
        <v>4245</v>
      </c>
      <c r="Q374" t="s">
        <v>4244</v>
      </c>
      <c r="R374" s="7">
        <v>35400</v>
      </c>
      <c r="S374" s="8">
        <f t="shared" si="40"/>
        <v>1996</v>
      </c>
      <c r="T374" s="8">
        <v>1996</v>
      </c>
      <c r="U374" s="8">
        <f t="shared" si="41"/>
        <v>26</v>
      </c>
      <c r="V374" s="7">
        <v>1996</v>
      </c>
      <c r="W374" t="s">
        <v>410</v>
      </c>
      <c r="X374" s="2">
        <v>1.3720000000000001</v>
      </c>
      <c r="Y374" s="6">
        <f t="shared" si="42"/>
        <v>3.662475641333654E-2</v>
      </c>
      <c r="AA374">
        <v>189480</v>
      </c>
      <c r="AB374">
        <v>17366</v>
      </c>
      <c r="AD374" t="s">
        <v>1</v>
      </c>
      <c r="AE374">
        <v>44</v>
      </c>
      <c r="AF374">
        <v>3</v>
      </c>
      <c r="AH374" t="s">
        <v>4243</v>
      </c>
      <c r="AI374" t="s">
        <v>4242</v>
      </c>
      <c r="AK374" t="s">
        <v>4241</v>
      </c>
      <c r="AL374">
        <v>20</v>
      </c>
      <c r="AM374" s="5">
        <f t="shared" si="43"/>
        <v>0.76923076923076927</v>
      </c>
      <c r="AN374" s="4">
        <f t="shared" si="44"/>
        <v>1.1650598549500482E-3</v>
      </c>
      <c r="AO374" s="3"/>
      <c r="AP374">
        <v>0</v>
      </c>
      <c r="AR374" t="s">
        <v>0</v>
      </c>
      <c r="AT374" s="2" t="s">
        <v>9</v>
      </c>
      <c r="AU374" s="1">
        <f t="shared" si="45"/>
        <v>2.5986847445820591</v>
      </c>
      <c r="AV374" s="1">
        <f t="shared" si="46"/>
        <v>1.8894908134143296</v>
      </c>
      <c r="AW374" s="1">
        <f t="shared" si="47"/>
        <v>1.1802968822465998</v>
      </c>
    </row>
    <row r="375" spans="1:49" x14ac:dyDescent="0.2">
      <c r="A375">
        <v>373</v>
      </c>
      <c r="B375" t="s">
        <v>4240</v>
      </c>
      <c r="C375" t="s">
        <v>4239</v>
      </c>
      <c r="D375" t="s">
        <v>4238</v>
      </c>
      <c r="F375" t="s">
        <v>4237</v>
      </c>
      <c r="G375" t="s">
        <v>6</v>
      </c>
      <c r="H375" t="s">
        <v>5</v>
      </c>
      <c r="I375" t="s">
        <v>4236</v>
      </c>
      <c r="J375">
        <v>60001439</v>
      </c>
      <c r="K375" t="s">
        <v>134</v>
      </c>
      <c r="L375" t="s">
        <v>133</v>
      </c>
      <c r="M375" t="s">
        <v>2</v>
      </c>
      <c r="N375">
        <v>1</v>
      </c>
      <c r="O375" t="s">
        <v>4235</v>
      </c>
      <c r="P375">
        <v>55925714300</v>
      </c>
      <c r="Q375">
        <v>60001439</v>
      </c>
      <c r="R375" s="7">
        <v>35400</v>
      </c>
      <c r="S375" s="8">
        <f t="shared" si="40"/>
        <v>1996</v>
      </c>
      <c r="T375" s="8">
        <v>1996</v>
      </c>
      <c r="U375" s="8">
        <f t="shared" si="41"/>
        <v>26</v>
      </c>
      <c r="V375" s="7">
        <v>1996</v>
      </c>
      <c r="W375" t="s">
        <v>150</v>
      </c>
      <c r="X375" s="2">
        <v>1.6519999999999999</v>
      </c>
      <c r="Y375" s="6">
        <f t="shared" si="42"/>
        <v>4.409919649769093E-2</v>
      </c>
      <c r="AA375" t="s">
        <v>149</v>
      </c>
      <c r="AB375">
        <v>17337</v>
      </c>
      <c r="AD375" t="s">
        <v>1</v>
      </c>
      <c r="AE375">
        <v>44</v>
      </c>
      <c r="AF375">
        <v>2</v>
      </c>
      <c r="AH375" t="s">
        <v>4234</v>
      </c>
      <c r="AI375" t="s">
        <v>4233</v>
      </c>
      <c r="AK375" t="s">
        <v>4232</v>
      </c>
      <c r="AL375">
        <v>109</v>
      </c>
      <c r="AM375" s="5">
        <f t="shared" si="43"/>
        <v>4.1923076923076925</v>
      </c>
      <c r="AN375" s="4">
        <f t="shared" si="44"/>
        <v>6.3495762094777624E-3</v>
      </c>
      <c r="AO375" s="3"/>
      <c r="AP375">
        <v>0</v>
      </c>
      <c r="AR375" t="s">
        <v>0</v>
      </c>
      <c r="AT375" s="2" t="s">
        <v>9</v>
      </c>
      <c r="AU375" s="1">
        <f t="shared" si="45"/>
        <v>3.2774310411226977</v>
      </c>
      <c r="AV375" s="1">
        <f t="shared" si="46"/>
        <v>2.5224386353584349</v>
      </c>
      <c r="AW375" s="1">
        <f t="shared" si="47"/>
        <v>1.7674462295941711</v>
      </c>
    </row>
    <row r="376" spans="1:49" x14ac:dyDescent="0.2">
      <c r="A376">
        <v>374</v>
      </c>
      <c r="B376" t="s">
        <v>4231</v>
      </c>
      <c r="C376" t="s">
        <v>4230</v>
      </c>
      <c r="D376" t="s">
        <v>4229</v>
      </c>
      <c r="F376" t="s">
        <v>4228</v>
      </c>
      <c r="G376" t="s">
        <v>6</v>
      </c>
      <c r="H376" t="s">
        <v>5</v>
      </c>
      <c r="I376" t="s">
        <v>4227</v>
      </c>
      <c r="J376" t="s">
        <v>4226</v>
      </c>
      <c r="K376" t="s">
        <v>4225</v>
      </c>
      <c r="L376" t="s">
        <v>4224</v>
      </c>
      <c r="M376" t="s">
        <v>4223</v>
      </c>
      <c r="N376">
        <v>6</v>
      </c>
      <c r="O376" t="s">
        <v>4222</v>
      </c>
      <c r="P376" t="s">
        <v>4221</v>
      </c>
      <c r="Q376" t="s">
        <v>4220</v>
      </c>
      <c r="R376" s="7">
        <v>35400</v>
      </c>
      <c r="S376" s="8">
        <f t="shared" si="40"/>
        <v>1996</v>
      </c>
      <c r="T376" s="8">
        <v>1996</v>
      </c>
      <c r="U376" s="8">
        <f t="shared" si="41"/>
        <v>26</v>
      </c>
      <c r="V376" s="7">
        <v>1996</v>
      </c>
      <c r="W376" t="s">
        <v>4083</v>
      </c>
      <c r="X376" s="2">
        <v>0.46</v>
      </c>
      <c r="Y376" s="6">
        <f t="shared" si="42"/>
        <v>1.2279437281439364E-2</v>
      </c>
      <c r="AA376">
        <v>933813</v>
      </c>
      <c r="AB376">
        <v>28031</v>
      </c>
      <c r="AD376" t="s">
        <v>1</v>
      </c>
      <c r="AE376">
        <v>24</v>
      </c>
      <c r="AF376">
        <v>1</v>
      </c>
      <c r="AH376" s="9">
        <v>44383</v>
      </c>
      <c r="AI376" t="s">
        <v>4219</v>
      </c>
      <c r="AK376" t="s">
        <v>4218</v>
      </c>
      <c r="AL376">
        <v>9</v>
      </c>
      <c r="AM376" s="5">
        <f t="shared" si="43"/>
        <v>0.34615384615384615</v>
      </c>
      <c r="AN376" s="4">
        <f t="shared" si="44"/>
        <v>5.2427693472752157E-4</v>
      </c>
      <c r="AO376" s="3"/>
      <c r="AP376">
        <v>0</v>
      </c>
      <c r="AQ376" t="s">
        <v>4217</v>
      </c>
      <c r="AR376" t="s">
        <v>0</v>
      </c>
      <c r="AS376" t="s">
        <v>4216</v>
      </c>
      <c r="AT376" s="2">
        <v>1.222</v>
      </c>
      <c r="AU376" s="1">
        <f t="shared" si="45"/>
        <v>0.875288917742581</v>
      </c>
      <c r="AV376" s="1">
        <f t="shared" si="46"/>
        <v>0.6401857108083443</v>
      </c>
      <c r="AW376" s="1">
        <f t="shared" si="47"/>
        <v>0.40508250387410738</v>
      </c>
    </row>
    <row r="377" spans="1:49" x14ac:dyDescent="0.2">
      <c r="A377">
        <v>375</v>
      </c>
      <c r="B377" t="s">
        <v>4215</v>
      </c>
      <c r="C377" t="s">
        <v>4214</v>
      </c>
      <c r="D377" t="s">
        <v>4213</v>
      </c>
      <c r="F377" t="s">
        <v>4212</v>
      </c>
      <c r="G377" t="s">
        <v>6</v>
      </c>
      <c r="H377" t="s">
        <v>5</v>
      </c>
      <c r="I377" t="s">
        <v>137</v>
      </c>
      <c r="J377" t="s">
        <v>4211</v>
      </c>
      <c r="K377" t="s">
        <v>4210</v>
      </c>
      <c r="L377" t="s">
        <v>4209</v>
      </c>
      <c r="M377" t="s">
        <v>13</v>
      </c>
      <c r="N377">
        <v>2</v>
      </c>
      <c r="O377" t="s">
        <v>136</v>
      </c>
      <c r="P377" t="s">
        <v>135</v>
      </c>
      <c r="Q377" t="s">
        <v>4208</v>
      </c>
      <c r="R377" s="7">
        <v>35400</v>
      </c>
      <c r="S377" s="8">
        <f t="shared" si="40"/>
        <v>1996</v>
      </c>
      <c r="T377" s="8">
        <v>1996</v>
      </c>
      <c r="U377" s="8">
        <f t="shared" si="41"/>
        <v>26</v>
      </c>
      <c r="V377" s="7">
        <v>1996</v>
      </c>
      <c r="W377" t="s">
        <v>150</v>
      </c>
      <c r="X377" s="2">
        <v>1.6519999999999999</v>
      </c>
      <c r="Y377" s="6">
        <f t="shared" si="42"/>
        <v>4.409919649769093E-2</v>
      </c>
      <c r="AA377" t="s">
        <v>149</v>
      </c>
      <c r="AB377">
        <v>17337</v>
      </c>
      <c r="AD377" t="s">
        <v>1</v>
      </c>
      <c r="AE377">
        <v>44</v>
      </c>
      <c r="AF377">
        <v>2</v>
      </c>
      <c r="AH377" t="s">
        <v>3529</v>
      </c>
      <c r="AI377" t="s">
        <v>4207</v>
      </c>
      <c r="AK377" t="s">
        <v>4206</v>
      </c>
      <c r="AL377">
        <v>26</v>
      </c>
      <c r="AM377" s="5">
        <f t="shared" si="43"/>
        <v>1</v>
      </c>
      <c r="AN377" s="4">
        <f t="shared" si="44"/>
        <v>1.5145778114350624E-3</v>
      </c>
      <c r="AO377" s="3"/>
      <c r="AP377">
        <v>0</v>
      </c>
      <c r="AR377" t="s">
        <v>0</v>
      </c>
      <c r="AT377" s="2" t="s">
        <v>9</v>
      </c>
      <c r="AU377" s="1">
        <f t="shared" si="45"/>
        <v>3.132381089181417</v>
      </c>
      <c r="AV377" s="1">
        <f t="shared" si="46"/>
        <v>2.2806887154562996</v>
      </c>
      <c r="AW377" s="1">
        <f t="shared" si="47"/>
        <v>1.4289963417311822</v>
      </c>
    </row>
    <row r="378" spans="1:49" x14ac:dyDescent="0.2">
      <c r="A378">
        <v>376</v>
      </c>
      <c r="B378" t="s">
        <v>4205</v>
      </c>
      <c r="C378" t="s">
        <v>4204</v>
      </c>
      <c r="D378" t="s">
        <v>4203</v>
      </c>
      <c r="F378" t="s">
        <v>4202</v>
      </c>
      <c r="G378" t="s">
        <v>6</v>
      </c>
      <c r="H378" t="s">
        <v>5</v>
      </c>
      <c r="I378" t="s">
        <v>4201</v>
      </c>
      <c r="J378">
        <v>60022195</v>
      </c>
      <c r="K378" t="s">
        <v>4200</v>
      </c>
      <c r="L378" t="s">
        <v>93</v>
      </c>
      <c r="M378" t="s">
        <v>2</v>
      </c>
      <c r="N378">
        <v>2</v>
      </c>
      <c r="O378" t="s">
        <v>4199</v>
      </c>
      <c r="P378" t="s">
        <v>4198</v>
      </c>
      <c r="Q378" t="s">
        <v>4197</v>
      </c>
      <c r="R378" s="7">
        <v>35400</v>
      </c>
      <c r="S378" s="8">
        <f t="shared" si="40"/>
        <v>1996</v>
      </c>
      <c r="T378" s="8">
        <v>1996</v>
      </c>
      <c r="U378" s="8">
        <f t="shared" si="41"/>
        <v>26</v>
      </c>
      <c r="V378" s="7">
        <v>1996</v>
      </c>
      <c r="W378" t="s">
        <v>1132</v>
      </c>
      <c r="X378" s="2">
        <v>1.1819999999999999</v>
      </c>
      <c r="Y378" s="6">
        <f t="shared" si="42"/>
        <v>3.1552814927524625E-2</v>
      </c>
      <c r="AA378">
        <v>36951</v>
      </c>
      <c r="AB378">
        <v>27030</v>
      </c>
      <c r="AD378" t="s">
        <v>1</v>
      </c>
      <c r="AE378">
        <v>68</v>
      </c>
      <c r="AF378">
        <v>9</v>
      </c>
      <c r="AH378" t="s">
        <v>4196</v>
      </c>
      <c r="AI378" t="s">
        <v>4195</v>
      </c>
      <c r="AK378" t="s">
        <v>4194</v>
      </c>
      <c r="AL378">
        <v>46</v>
      </c>
      <c r="AM378" s="5">
        <f t="shared" si="43"/>
        <v>1.7692307692307692</v>
      </c>
      <c r="AN378" s="4">
        <f t="shared" si="44"/>
        <v>2.6796376663851106E-3</v>
      </c>
      <c r="AO378" s="3"/>
      <c r="AP378">
        <v>0</v>
      </c>
      <c r="AR378" t="s">
        <v>0</v>
      </c>
      <c r="AT378" s="2">
        <v>3.7909999999999999</v>
      </c>
      <c r="AU378" s="1">
        <f t="shared" si="45"/>
        <v>2.2890861749182769</v>
      </c>
      <c r="AV378" s="1">
        <f t="shared" si="46"/>
        <v>1.7116226296954868</v>
      </c>
      <c r="AW378" s="1">
        <f t="shared" si="47"/>
        <v>1.1341590844726965</v>
      </c>
    </row>
    <row r="379" spans="1:49" x14ac:dyDescent="0.2">
      <c r="A379">
        <v>377</v>
      </c>
      <c r="B379" t="s">
        <v>4193</v>
      </c>
      <c r="C379" t="s">
        <v>4192</v>
      </c>
      <c r="D379" t="s">
        <v>4191</v>
      </c>
      <c r="F379" t="s">
        <v>4190</v>
      </c>
      <c r="G379" t="s">
        <v>6</v>
      </c>
      <c r="H379" t="s">
        <v>5</v>
      </c>
      <c r="I379" t="s">
        <v>4189</v>
      </c>
      <c r="J379" t="s">
        <v>4089</v>
      </c>
      <c r="K379" t="s">
        <v>4088</v>
      </c>
      <c r="L379" t="s">
        <v>4087</v>
      </c>
      <c r="M379" t="s">
        <v>13</v>
      </c>
      <c r="N379">
        <v>2</v>
      </c>
      <c r="O379" t="s">
        <v>4188</v>
      </c>
      <c r="P379" t="s">
        <v>4187</v>
      </c>
      <c r="Q379" t="s">
        <v>4186</v>
      </c>
      <c r="R379" s="7">
        <v>35400</v>
      </c>
      <c r="S379" s="8">
        <f t="shared" si="40"/>
        <v>1996</v>
      </c>
      <c r="T379" s="8">
        <v>1996</v>
      </c>
      <c r="U379" s="8">
        <f t="shared" si="41"/>
        <v>26</v>
      </c>
      <c r="V379" s="7">
        <v>1996</v>
      </c>
      <c r="W379" t="s">
        <v>4083</v>
      </c>
      <c r="X379" s="2">
        <v>0.46</v>
      </c>
      <c r="Y379" s="6">
        <f t="shared" si="42"/>
        <v>1.2279437281439364E-2</v>
      </c>
      <c r="AA379">
        <v>933813</v>
      </c>
      <c r="AB379">
        <v>28031</v>
      </c>
      <c r="AD379" t="s">
        <v>1</v>
      </c>
      <c r="AE379">
        <v>24</v>
      </c>
      <c r="AF379">
        <v>1</v>
      </c>
      <c r="AH379" t="s">
        <v>4185</v>
      </c>
      <c r="AI379" t="s">
        <v>4184</v>
      </c>
      <c r="AK379" t="s">
        <v>4183</v>
      </c>
      <c r="AL379">
        <v>42</v>
      </c>
      <c r="AM379" s="5">
        <f t="shared" si="43"/>
        <v>1.6153846153846154</v>
      </c>
      <c r="AN379" s="4">
        <f t="shared" si="44"/>
        <v>2.4466256953951009E-3</v>
      </c>
      <c r="AO379" s="3"/>
      <c r="AP379">
        <v>0</v>
      </c>
      <c r="AQ379" t="s">
        <v>105</v>
      </c>
      <c r="AR379" t="s">
        <v>4182</v>
      </c>
      <c r="AS379" t="s">
        <v>104</v>
      </c>
      <c r="AT379" s="2">
        <v>1.222</v>
      </c>
      <c r="AU379" s="1">
        <f t="shared" si="45"/>
        <v>0.93295938056260841</v>
      </c>
      <c r="AV379" s="1">
        <f t="shared" si="46"/>
        <v>0.73630314884172332</v>
      </c>
      <c r="AW379" s="1">
        <f t="shared" si="47"/>
        <v>0.53964691712083801</v>
      </c>
    </row>
    <row r="380" spans="1:49" x14ac:dyDescent="0.2">
      <c r="A380">
        <v>378</v>
      </c>
      <c r="B380" t="s">
        <v>4181</v>
      </c>
      <c r="C380" t="s">
        <v>4180</v>
      </c>
      <c r="F380" t="s">
        <v>4179</v>
      </c>
      <c r="G380" t="s">
        <v>6</v>
      </c>
      <c r="H380" t="s">
        <v>5</v>
      </c>
      <c r="I380" t="s">
        <v>4178</v>
      </c>
      <c r="J380">
        <v>60002286</v>
      </c>
      <c r="K380" t="s">
        <v>1512</v>
      </c>
      <c r="L380" t="s">
        <v>478</v>
      </c>
      <c r="M380" t="s">
        <v>59</v>
      </c>
      <c r="N380">
        <v>1</v>
      </c>
      <c r="O380" t="s">
        <v>4177</v>
      </c>
      <c r="P380">
        <v>7003495221</v>
      </c>
      <c r="Q380">
        <v>60002286</v>
      </c>
      <c r="R380" s="7">
        <v>35400</v>
      </c>
      <c r="S380" s="8">
        <f t="shared" si="40"/>
        <v>1996</v>
      </c>
      <c r="T380" s="8">
        <v>1996</v>
      </c>
      <c r="U380" s="8">
        <f t="shared" si="41"/>
        <v>26</v>
      </c>
      <c r="V380" s="7">
        <v>1996</v>
      </c>
      <c r="W380" t="s">
        <v>241</v>
      </c>
      <c r="X380" s="2">
        <v>0.88100000000000001</v>
      </c>
      <c r="Y380" s="6">
        <f t="shared" si="42"/>
        <v>2.3517791836843653E-2</v>
      </c>
      <c r="AA380">
        <v>10459243</v>
      </c>
      <c r="AB380">
        <v>17248</v>
      </c>
      <c r="AD380" t="s">
        <v>1</v>
      </c>
      <c r="AE380">
        <v>38</v>
      </c>
      <c r="AF380">
        <v>1</v>
      </c>
      <c r="AH380" s="10">
        <v>41821</v>
      </c>
      <c r="AI380" t="s">
        <v>4176</v>
      </c>
      <c r="AK380" t="s">
        <v>4175</v>
      </c>
      <c r="AL380">
        <v>9</v>
      </c>
      <c r="AM380" s="5">
        <f t="shared" si="43"/>
        <v>0.34615384615384615</v>
      </c>
      <c r="AN380" s="4">
        <f t="shared" si="44"/>
        <v>5.2427693472752157E-4</v>
      </c>
      <c r="AO380" s="3"/>
      <c r="AP380">
        <v>0</v>
      </c>
      <c r="AR380" t="s">
        <v>0</v>
      </c>
      <c r="AT380" s="2" t="s">
        <v>9</v>
      </c>
      <c r="AU380" s="1">
        <f t="shared" si="45"/>
        <v>1.6619737366208813</v>
      </c>
      <c r="AV380" s="1">
        <f t="shared" si="46"/>
        <v>1.2021034385785587</v>
      </c>
      <c r="AW380" s="1">
        <f t="shared" si="47"/>
        <v>0.74223314053623612</v>
      </c>
    </row>
    <row r="381" spans="1:49" x14ac:dyDescent="0.2">
      <c r="A381">
        <v>379</v>
      </c>
      <c r="B381" t="s">
        <v>4174</v>
      </c>
      <c r="C381" t="s">
        <v>4173</v>
      </c>
      <c r="D381" t="s">
        <v>4172</v>
      </c>
      <c r="F381" t="s">
        <v>4171</v>
      </c>
      <c r="G381" t="s">
        <v>6</v>
      </c>
      <c r="H381" t="s">
        <v>5</v>
      </c>
      <c r="I381" t="s">
        <v>4170</v>
      </c>
      <c r="J381">
        <v>60021080</v>
      </c>
      <c r="K381" t="s">
        <v>4169</v>
      </c>
      <c r="L381" t="s">
        <v>4168</v>
      </c>
      <c r="M381" t="s">
        <v>2</v>
      </c>
      <c r="N381">
        <v>1</v>
      </c>
      <c r="O381" t="s">
        <v>4167</v>
      </c>
      <c r="P381">
        <v>6701843222</v>
      </c>
      <c r="Q381">
        <v>60021080</v>
      </c>
      <c r="R381" s="7">
        <v>35400</v>
      </c>
      <c r="S381" s="8">
        <f t="shared" si="40"/>
        <v>1996</v>
      </c>
      <c r="T381" s="8">
        <v>1996</v>
      </c>
      <c r="U381" s="8">
        <f t="shared" si="41"/>
        <v>26</v>
      </c>
      <c r="V381" s="7">
        <v>1996</v>
      </c>
      <c r="W381" t="s">
        <v>150</v>
      </c>
      <c r="X381" s="2">
        <v>1.6519999999999999</v>
      </c>
      <c r="Y381" s="6">
        <f t="shared" si="42"/>
        <v>4.409919649769093E-2</v>
      </c>
      <c r="AA381" t="s">
        <v>149</v>
      </c>
      <c r="AB381">
        <v>17337</v>
      </c>
      <c r="AD381" t="s">
        <v>1</v>
      </c>
      <c r="AE381">
        <v>44</v>
      </c>
      <c r="AF381">
        <v>2</v>
      </c>
      <c r="AH381" t="s">
        <v>4166</v>
      </c>
      <c r="AI381" t="s">
        <v>4165</v>
      </c>
      <c r="AK381" t="s">
        <v>4164</v>
      </c>
      <c r="AL381">
        <v>57</v>
      </c>
      <c r="AM381" s="5">
        <f t="shared" si="43"/>
        <v>2.1923076923076925</v>
      </c>
      <c r="AN381" s="4">
        <f t="shared" si="44"/>
        <v>3.3204205866076372E-3</v>
      </c>
      <c r="AO381" s="3"/>
      <c r="AP381">
        <v>0</v>
      </c>
      <c r="AR381" t="s">
        <v>0</v>
      </c>
      <c r="AT381" s="2" t="s">
        <v>9</v>
      </c>
      <c r="AU381" s="1">
        <f t="shared" si="45"/>
        <v>3.186556372436594</v>
      </c>
      <c r="AV381" s="1">
        <f t="shared" si="46"/>
        <v>2.3709808542149284</v>
      </c>
      <c r="AW381" s="1">
        <f t="shared" si="47"/>
        <v>1.5554053359932625</v>
      </c>
    </row>
    <row r="382" spans="1:49" x14ac:dyDescent="0.2">
      <c r="A382">
        <v>380</v>
      </c>
      <c r="B382" t="s">
        <v>4163</v>
      </c>
      <c r="C382" t="s">
        <v>4162</v>
      </c>
      <c r="D382" t="s">
        <v>4161</v>
      </c>
      <c r="F382" t="s">
        <v>4160</v>
      </c>
      <c r="G382" t="s">
        <v>6</v>
      </c>
      <c r="H382" t="s">
        <v>5</v>
      </c>
      <c r="I382" t="s">
        <v>4159</v>
      </c>
      <c r="J382">
        <v>60015941</v>
      </c>
      <c r="K382" t="s">
        <v>551</v>
      </c>
      <c r="L382" t="s">
        <v>339</v>
      </c>
      <c r="M382" t="s">
        <v>2</v>
      </c>
      <c r="N382">
        <v>3</v>
      </c>
      <c r="O382" t="s">
        <v>4158</v>
      </c>
      <c r="P382" t="s">
        <v>4157</v>
      </c>
      <c r="Q382" t="s">
        <v>4156</v>
      </c>
      <c r="R382" s="7">
        <v>35400</v>
      </c>
      <c r="S382" s="8">
        <f t="shared" si="40"/>
        <v>1996</v>
      </c>
      <c r="T382" s="8">
        <v>1996</v>
      </c>
      <c r="U382" s="8">
        <f t="shared" si="41"/>
        <v>26</v>
      </c>
      <c r="V382" s="7">
        <v>1996</v>
      </c>
      <c r="W382" t="s">
        <v>150</v>
      </c>
      <c r="X382" s="2">
        <v>1.6519999999999999</v>
      </c>
      <c r="Y382" s="6">
        <f t="shared" si="42"/>
        <v>4.409919649769093E-2</v>
      </c>
      <c r="AA382" t="s">
        <v>149</v>
      </c>
      <c r="AB382">
        <v>17337</v>
      </c>
      <c r="AD382" t="s">
        <v>1</v>
      </c>
      <c r="AE382">
        <v>44</v>
      </c>
      <c r="AF382">
        <v>2</v>
      </c>
      <c r="AH382" t="s">
        <v>2904</v>
      </c>
      <c r="AI382" t="s">
        <v>4155</v>
      </c>
      <c r="AK382" t="s">
        <v>4154</v>
      </c>
      <c r="AL382">
        <v>8</v>
      </c>
      <c r="AM382" s="5">
        <f t="shared" si="43"/>
        <v>0.30769230769230771</v>
      </c>
      <c r="AN382" s="4">
        <f t="shared" si="44"/>
        <v>4.6602394198001925E-4</v>
      </c>
      <c r="AO382" s="3"/>
      <c r="AP382">
        <v>0</v>
      </c>
      <c r="AR382" t="s">
        <v>0</v>
      </c>
      <c r="AT382" s="2" t="s">
        <v>9</v>
      </c>
      <c r="AU382" s="1">
        <f t="shared" si="45"/>
        <v>3.1009244730977654</v>
      </c>
      <c r="AV382" s="1">
        <f t="shared" si="46"/>
        <v>2.2282610219835473</v>
      </c>
      <c r="AW382" s="1">
        <f t="shared" si="47"/>
        <v>1.3555975708693291</v>
      </c>
    </row>
    <row r="383" spans="1:49" x14ac:dyDescent="0.2">
      <c r="A383">
        <v>381</v>
      </c>
      <c r="B383" t="s">
        <v>4153</v>
      </c>
      <c r="C383" t="s">
        <v>4152</v>
      </c>
      <c r="D383" t="s">
        <v>4151</v>
      </c>
      <c r="F383" t="s">
        <v>4150</v>
      </c>
      <c r="G383" t="s">
        <v>6</v>
      </c>
      <c r="H383" t="s">
        <v>5</v>
      </c>
      <c r="I383" t="s">
        <v>114</v>
      </c>
      <c r="J383" t="s">
        <v>728</v>
      </c>
      <c r="K383" t="s">
        <v>727</v>
      </c>
      <c r="L383" t="s">
        <v>726</v>
      </c>
      <c r="M383" t="s">
        <v>13</v>
      </c>
      <c r="N383">
        <v>4</v>
      </c>
      <c r="O383" t="s">
        <v>4149</v>
      </c>
      <c r="P383" t="s">
        <v>111</v>
      </c>
      <c r="Q383" t="s">
        <v>4148</v>
      </c>
      <c r="R383" s="7">
        <v>35400</v>
      </c>
      <c r="S383" s="8">
        <f t="shared" si="40"/>
        <v>1996</v>
      </c>
      <c r="T383" s="8">
        <v>1996</v>
      </c>
      <c r="U383" s="8">
        <f t="shared" si="41"/>
        <v>26</v>
      </c>
      <c r="V383" s="7">
        <v>1996</v>
      </c>
      <c r="W383" t="s">
        <v>410</v>
      </c>
      <c r="X383" s="2">
        <v>1.3720000000000001</v>
      </c>
      <c r="Y383" s="6">
        <f t="shared" si="42"/>
        <v>3.662475641333654E-2</v>
      </c>
      <c r="AA383">
        <v>189480</v>
      </c>
      <c r="AB383">
        <v>17366</v>
      </c>
      <c r="AD383" t="s">
        <v>1</v>
      </c>
      <c r="AE383">
        <v>44</v>
      </c>
      <c r="AF383">
        <v>2</v>
      </c>
      <c r="AH383" t="s">
        <v>4147</v>
      </c>
      <c r="AI383" t="s">
        <v>4146</v>
      </c>
      <c r="AK383" t="s">
        <v>4145</v>
      </c>
      <c r="AL383">
        <v>8</v>
      </c>
      <c r="AM383" s="5">
        <f t="shared" si="43"/>
        <v>0.30769230769230771</v>
      </c>
      <c r="AN383" s="4">
        <f t="shared" si="44"/>
        <v>4.6602394198001925E-4</v>
      </c>
      <c r="AO383" s="3"/>
      <c r="AP383">
        <v>0</v>
      </c>
      <c r="AR383" t="s">
        <v>4144</v>
      </c>
      <c r="AT383" s="2" t="s">
        <v>9</v>
      </c>
      <c r="AU383" s="1">
        <f t="shared" si="45"/>
        <v>2.5777136671929579</v>
      </c>
      <c r="AV383" s="1">
        <f t="shared" si="46"/>
        <v>1.8545390177658279</v>
      </c>
      <c r="AW383" s="1">
        <f t="shared" si="47"/>
        <v>1.1313643683386976</v>
      </c>
    </row>
    <row r="384" spans="1:49" x14ac:dyDescent="0.2">
      <c r="A384">
        <v>382</v>
      </c>
      <c r="B384" t="s">
        <v>4143</v>
      </c>
      <c r="C384" t="s">
        <v>4142</v>
      </c>
      <c r="D384" t="s">
        <v>4141</v>
      </c>
      <c r="F384" t="s">
        <v>4140</v>
      </c>
      <c r="G384" t="s">
        <v>6</v>
      </c>
      <c r="H384" t="s">
        <v>5</v>
      </c>
      <c r="I384" t="s">
        <v>4139</v>
      </c>
      <c r="J384" t="s">
        <v>4138</v>
      </c>
      <c r="K384" t="s">
        <v>4137</v>
      </c>
      <c r="L384" t="s">
        <v>4136</v>
      </c>
      <c r="M384" t="s">
        <v>4135</v>
      </c>
      <c r="N384">
        <v>3</v>
      </c>
      <c r="O384" t="s">
        <v>4134</v>
      </c>
      <c r="P384" t="s">
        <v>4133</v>
      </c>
      <c r="Q384" t="s">
        <v>4132</v>
      </c>
      <c r="R384" s="7">
        <v>35400</v>
      </c>
      <c r="S384" s="8">
        <f t="shared" si="40"/>
        <v>1996</v>
      </c>
      <c r="T384" s="8">
        <v>1996</v>
      </c>
      <c r="U384" s="8">
        <f t="shared" si="41"/>
        <v>26</v>
      </c>
      <c r="V384" s="7">
        <v>1996</v>
      </c>
      <c r="W384" t="s">
        <v>694</v>
      </c>
      <c r="X384" s="2">
        <v>1.6379999999999999</v>
      </c>
      <c r="Y384" s="6">
        <f t="shared" si="42"/>
        <v>4.3725474493473214E-2</v>
      </c>
      <c r="AA384" t="s">
        <v>693</v>
      </c>
      <c r="AB384">
        <v>17391</v>
      </c>
      <c r="AD384" t="s">
        <v>1</v>
      </c>
      <c r="AE384">
        <v>44</v>
      </c>
      <c r="AF384">
        <v>2</v>
      </c>
      <c r="AH384" t="s">
        <v>4131</v>
      </c>
      <c r="AI384" t="s">
        <v>4130</v>
      </c>
      <c r="AK384" t="s">
        <v>4129</v>
      </c>
      <c r="AL384">
        <v>420</v>
      </c>
      <c r="AM384" s="5">
        <f t="shared" si="43"/>
        <v>16.153846153846153</v>
      </c>
      <c r="AN384" s="4">
        <f t="shared" si="44"/>
        <v>2.4466256953951007E-2</v>
      </c>
      <c r="AO384" s="3"/>
      <c r="AP384">
        <v>0</v>
      </c>
      <c r="AQ384" t="s">
        <v>24</v>
      </c>
      <c r="AR384" t="s">
        <v>4128</v>
      </c>
      <c r="AS384" t="s">
        <v>23</v>
      </c>
      <c r="AT384" s="2">
        <v>4.931</v>
      </c>
      <c r="AU384" s="1">
        <f t="shared" si="45"/>
        <v>3.7947709231616549</v>
      </c>
      <c r="AV384" s="1">
        <f t="shared" si="46"/>
        <v>3.4095865723712109</v>
      </c>
      <c r="AW384" s="1">
        <f t="shared" si="47"/>
        <v>3.0244022215807664</v>
      </c>
    </row>
    <row r="385" spans="1:49" x14ac:dyDescent="0.2">
      <c r="A385">
        <v>383</v>
      </c>
      <c r="B385" t="s">
        <v>4127</v>
      </c>
      <c r="C385" t="s">
        <v>4126</v>
      </c>
      <c r="D385" t="s">
        <v>4125</v>
      </c>
      <c r="F385" t="s">
        <v>4124</v>
      </c>
      <c r="G385" t="s">
        <v>6</v>
      </c>
      <c r="H385" t="s">
        <v>5</v>
      </c>
      <c r="I385" t="s">
        <v>4123</v>
      </c>
      <c r="J385">
        <v>60029116</v>
      </c>
      <c r="K385" t="s">
        <v>4122</v>
      </c>
      <c r="L385" t="s">
        <v>415</v>
      </c>
      <c r="M385" t="s">
        <v>25</v>
      </c>
      <c r="N385">
        <v>2</v>
      </c>
      <c r="O385" t="s">
        <v>4121</v>
      </c>
      <c r="P385" t="s">
        <v>4120</v>
      </c>
      <c r="Q385" t="s">
        <v>4119</v>
      </c>
      <c r="R385" s="7">
        <v>35400</v>
      </c>
      <c r="S385" s="8">
        <f t="shared" si="40"/>
        <v>1996</v>
      </c>
      <c r="T385" s="8">
        <v>1996</v>
      </c>
      <c r="U385" s="8">
        <f t="shared" si="41"/>
        <v>26</v>
      </c>
      <c r="V385" s="7">
        <v>1996</v>
      </c>
      <c r="W385" t="s">
        <v>3963</v>
      </c>
      <c r="X385" s="2">
        <v>1.365</v>
      </c>
      <c r="Y385" s="6">
        <f t="shared" si="42"/>
        <v>3.6437895411227675E-2</v>
      </c>
      <c r="AA385">
        <v>189545</v>
      </c>
      <c r="AB385">
        <v>17393</v>
      </c>
      <c r="AD385" t="s">
        <v>1</v>
      </c>
      <c r="AE385">
        <v>45</v>
      </c>
      <c r="AF385">
        <v>1</v>
      </c>
      <c r="AH385" t="s">
        <v>4118</v>
      </c>
      <c r="AI385" t="s">
        <v>4117</v>
      </c>
      <c r="AK385" t="s">
        <v>4116</v>
      </c>
      <c r="AL385">
        <v>13</v>
      </c>
      <c r="AM385" s="5">
        <f t="shared" si="43"/>
        <v>0.5</v>
      </c>
      <c r="AN385" s="4">
        <f t="shared" si="44"/>
        <v>7.572889057175312E-4</v>
      </c>
      <c r="AO385" s="3"/>
      <c r="AP385">
        <v>0</v>
      </c>
      <c r="AQ385" t="s">
        <v>4115</v>
      </c>
      <c r="AR385" t="s">
        <v>0</v>
      </c>
      <c r="AS385" t="s">
        <v>4114</v>
      </c>
      <c r="AT385" s="2" t="s">
        <v>9</v>
      </c>
      <c r="AU385" s="1">
        <f t="shared" si="45"/>
        <v>2.573371345957463</v>
      </c>
      <c r="AV385" s="1">
        <f t="shared" si="46"/>
        <v>1.8597592158472602</v>
      </c>
      <c r="AW385" s="1">
        <f t="shared" si="47"/>
        <v>1.1461470857370573</v>
      </c>
    </row>
    <row r="386" spans="1:49" x14ac:dyDescent="0.2">
      <c r="A386">
        <v>384</v>
      </c>
      <c r="B386" t="s">
        <v>4113</v>
      </c>
      <c r="C386" t="s">
        <v>4112</v>
      </c>
      <c r="D386" t="s">
        <v>4111</v>
      </c>
      <c r="F386" t="s">
        <v>4110</v>
      </c>
      <c r="G386" t="s">
        <v>6</v>
      </c>
      <c r="H386" t="s">
        <v>5</v>
      </c>
      <c r="I386" t="s">
        <v>4109</v>
      </c>
      <c r="J386">
        <v>60032350</v>
      </c>
      <c r="K386" t="s">
        <v>350</v>
      </c>
      <c r="L386" t="s">
        <v>349</v>
      </c>
      <c r="M386" t="s">
        <v>42</v>
      </c>
      <c r="N386">
        <v>1</v>
      </c>
      <c r="O386" t="s">
        <v>4108</v>
      </c>
      <c r="P386">
        <v>7004398705</v>
      </c>
      <c r="Q386">
        <v>60032350</v>
      </c>
      <c r="R386" s="7">
        <v>35400</v>
      </c>
      <c r="S386" s="8">
        <f t="shared" ref="S386:S449" si="48">YEAR(R386)</f>
        <v>1996</v>
      </c>
      <c r="T386" s="8">
        <v>1996</v>
      </c>
      <c r="U386" s="8">
        <f t="shared" ref="U386:U449" si="49">2022-T386</f>
        <v>26</v>
      </c>
      <c r="V386" s="7">
        <v>1996</v>
      </c>
      <c r="W386" t="s">
        <v>150</v>
      </c>
      <c r="X386" s="2">
        <v>1.6519999999999999</v>
      </c>
      <c r="Y386" s="6">
        <f t="shared" ref="Y386:Y449" si="50">(X386-$Z$3)/($Z$2-$Z$3)</f>
        <v>4.409919649769093E-2</v>
      </c>
      <c r="AA386" t="s">
        <v>149</v>
      </c>
      <c r="AB386">
        <v>17337</v>
      </c>
      <c r="AD386" t="s">
        <v>1</v>
      </c>
      <c r="AE386">
        <v>44</v>
      </c>
      <c r="AF386">
        <v>2</v>
      </c>
      <c r="AH386" t="s">
        <v>4107</v>
      </c>
      <c r="AI386" t="s">
        <v>4106</v>
      </c>
      <c r="AK386" t="s">
        <v>4105</v>
      </c>
      <c r="AL386">
        <v>17</v>
      </c>
      <c r="AM386" s="5">
        <f t="shared" ref="AM386:AM449" si="51">AL386/U386</f>
        <v>0.65384615384615385</v>
      </c>
      <c r="AN386" s="4">
        <f t="shared" ref="AN386:AN449" si="52">(AM386-$AO$3)/($AO$2-$AO$3)</f>
        <v>9.9030087670754093E-4</v>
      </c>
      <c r="AO386" s="3"/>
      <c r="AP386">
        <v>0</v>
      </c>
      <c r="AR386" t="s">
        <v>0</v>
      </c>
      <c r="AT386" s="2" t="s">
        <v>9</v>
      </c>
      <c r="AU386" s="1">
        <f t="shared" ref="AU386:AU449" si="53">(Y386*0.7+AN386*0.3)*100</f>
        <v>3.116652781139591</v>
      </c>
      <c r="AV386" s="1">
        <f t="shared" ref="AV386:AV449" si="54">(Y386*0.5+AN386*0.5)*100</f>
        <v>2.2544748687199236</v>
      </c>
      <c r="AW386" s="1">
        <f t="shared" ref="AW386:AW449" si="55">(Y386*0.3+AN386*0.7)*100</f>
        <v>1.3922969563002556</v>
      </c>
    </row>
    <row r="387" spans="1:49" x14ac:dyDescent="0.2">
      <c r="A387">
        <v>385</v>
      </c>
      <c r="B387" t="s">
        <v>4104</v>
      </c>
      <c r="C387" t="s">
        <v>4103</v>
      </c>
      <c r="D387" t="s">
        <v>4102</v>
      </c>
      <c r="F387" t="s">
        <v>4101</v>
      </c>
      <c r="G387" t="s">
        <v>6</v>
      </c>
      <c r="H387" t="s">
        <v>5</v>
      </c>
      <c r="I387" t="s">
        <v>4100</v>
      </c>
      <c r="J387">
        <v>60033012</v>
      </c>
      <c r="K387" t="s">
        <v>219</v>
      </c>
      <c r="L387" t="s">
        <v>218</v>
      </c>
      <c r="M387" t="s">
        <v>2</v>
      </c>
      <c r="N387">
        <v>2</v>
      </c>
      <c r="O387" t="s">
        <v>4099</v>
      </c>
      <c r="P387" t="s">
        <v>4098</v>
      </c>
      <c r="Q387" t="s">
        <v>217</v>
      </c>
      <c r="R387" s="7">
        <v>35400</v>
      </c>
      <c r="S387" s="8">
        <f t="shared" si="48"/>
        <v>1996</v>
      </c>
      <c r="T387" s="8">
        <v>1996</v>
      </c>
      <c r="U387" s="8">
        <f t="shared" si="49"/>
        <v>26</v>
      </c>
      <c r="V387" s="7">
        <v>1996</v>
      </c>
      <c r="W387" t="s">
        <v>150</v>
      </c>
      <c r="X387" s="2">
        <v>1.6519999999999999</v>
      </c>
      <c r="Y387" s="6">
        <f t="shared" si="50"/>
        <v>4.409919649769093E-2</v>
      </c>
      <c r="AA387" t="s">
        <v>149</v>
      </c>
      <c r="AB387">
        <v>17337</v>
      </c>
      <c r="AD387" t="s">
        <v>1</v>
      </c>
      <c r="AE387">
        <v>44</v>
      </c>
      <c r="AF387">
        <v>2</v>
      </c>
      <c r="AH387" t="s">
        <v>4097</v>
      </c>
      <c r="AI387" t="s">
        <v>4096</v>
      </c>
      <c r="AK387" t="s">
        <v>4095</v>
      </c>
      <c r="AL387">
        <v>18</v>
      </c>
      <c r="AM387" s="5">
        <f t="shared" si="51"/>
        <v>0.69230769230769229</v>
      </c>
      <c r="AN387" s="4">
        <f t="shared" si="52"/>
        <v>1.0485538694550431E-3</v>
      </c>
      <c r="AO387" s="3"/>
      <c r="AP387">
        <v>0</v>
      </c>
      <c r="AR387" t="s">
        <v>0</v>
      </c>
      <c r="AT387" s="2" t="s">
        <v>9</v>
      </c>
      <c r="AU387" s="1">
        <f t="shared" si="53"/>
        <v>3.1184003709220165</v>
      </c>
      <c r="AV387" s="1">
        <f t="shared" si="54"/>
        <v>2.2573875183572989</v>
      </c>
      <c r="AW387" s="1">
        <f t="shared" si="55"/>
        <v>1.3963746657925808</v>
      </c>
    </row>
    <row r="388" spans="1:49" x14ac:dyDescent="0.2">
      <c r="A388">
        <v>386</v>
      </c>
      <c r="B388" t="s">
        <v>4094</v>
      </c>
      <c r="C388" t="s">
        <v>4093</v>
      </c>
      <c r="D388" t="s">
        <v>4092</v>
      </c>
      <c r="F388" t="s">
        <v>4091</v>
      </c>
      <c r="G388" t="s">
        <v>6</v>
      </c>
      <c r="H388" t="s">
        <v>5</v>
      </c>
      <c r="I388" t="s">
        <v>4090</v>
      </c>
      <c r="J388" t="s">
        <v>4089</v>
      </c>
      <c r="K388" t="s">
        <v>4088</v>
      </c>
      <c r="L388" t="s">
        <v>4087</v>
      </c>
      <c r="M388" t="s">
        <v>13</v>
      </c>
      <c r="N388">
        <v>2</v>
      </c>
      <c r="O388" t="s">
        <v>4086</v>
      </c>
      <c r="P388" t="s">
        <v>4085</v>
      </c>
      <c r="Q388" t="s">
        <v>4084</v>
      </c>
      <c r="R388" s="7">
        <v>35400</v>
      </c>
      <c r="S388" s="8">
        <f t="shared" si="48"/>
        <v>1996</v>
      </c>
      <c r="T388" s="8">
        <v>1996</v>
      </c>
      <c r="U388" s="8">
        <f t="shared" si="49"/>
        <v>26</v>
      </c>
      <c r="V388" s="7">
        <v>1996</v>
      </c>
      <c r="W388" t="s">
        <v>4083</v>
      </c>
      <c r="X388" s="2">
        <v>0.46</v>
      </c>
      <c r="Y388" s="6">
        <f t="shared" si="50"/>
        <v>1.2279437281439364E-2</v>
      </c>
      <c r="AA388">
        <v>933813</v>
      </c>
      <c r="AB388">
        <v>28031</v>
      </c>
      <c r="AD388" t="s">
        <v>1</v>
      </c>
      <c r="AE388">
        <v>24</v>
      </c>
      <c r="AF388">
        <v>1</v>
      </c>
      <c r="AH388" t="s">
        <v>4082</v>
      </c>
      <c r="AI388" t="s">
        <v>4081</v>
      </c>
      <c r="AK388" t="s">
        <v>4080</v>
      </c>
      <c r="AL388">
        <v>10</v>
      </c>
      <c r="AM388" s="5">
        <f t="shared" si="51"/>
        <v>0.38461538461538464</v>
      </c>
      <c r="AN388" s="4">
        <f t="shared" si="52"/>
        <v>5.8252992747502411E-4</v>
      </c>
      <c r="AO388" s="3"/>
      <c r="AP388">
        <v>0</v>
      </c>
      <c r="AQ388" t="s">
        <v>24</v>
      </c>
      <c r="AR388" t="s">
        <v>4079</v>
      </c>
      <c r="AS388" t="s">
        <v>23</v>
      </c>
      <c r="AT388" s="2">
        <v>1.222</v>
      </c>
      <c r="AU388" s="1">
        <f t="shared" si="53"/>
        <v>0.87703650752500606</v>
      </c>
      <c r="AV388" s="1">
        <f t="shared" si="54"/>
        <v>0.64309836044571944</v>
      </c>
      <c r="AW388" s="1">
        <f t="shared" si="55"/>
        <v>0.4091602133664326</v>
      </c>
    </row>
    <row r="389" spans="1:49" x14ac:dyDescent="0.2">
      <c r="A389">
        <v>387</v>
      </c>
      <c r="B389" t="s">
        <v>4078</v>
      </c>
      <c r="C389" t="s">
        <v>4077</v>
      </c>
      <c r="D389" t="s">
        <v>4076</v>
      </c>
      <c r="F389" t="s">
        <v>4075</v>
      </c>
      <c r="G389" t="s">
        <v>6</v>
      </c>
      <c r="H389" t="s">
        <v>5</v>
      </c>
      <c r="I389" t="s">
        <v>4074</v>
      </c>
      <c r="J389" t="s">
        <v>4073</v>
      </c>
      <c r="K389" t="s">
        <v>4072</v>
      </c>
      <c r="L389" t="s">
        <v>4071</v>
      </c>
      <c r="M389" t="s">
        <v>13</v>
      </c>
      <c r="N389">
        <v>2</v>
      </c>
      <c r="O389" t="s">
        <v>4070</v>
      </c>
      <c r="P389" t="s">
        <v>4069</v>
      </c>
      <c r="Q389" t="s">
        <v>4068</v>
      </c>
      <c r="R389" s="7">
        <v>35400</v>
      </c>
      <c r="S389" s="8">
        <f t="shared" si="48"/>
        <v>1996</v>
      </c>
      <c r="T389" s="8">
        <v>1996</v>
      </c>
      <c r="U389" s="8">
        <f t="shared" si="49"/>
        <v>26</v>
      </c>
      <c r="V389" s="7">
        <v>1996</v>
      </c>
      <c r="W389" t="s">
        <v>4067</v>
      </c>
      <c r="X389" s="2">
        <v>0.82</v>
      </c>
      <c r="Y389" s="6">
        <f t="shared" si="50"/>
        <v>2.1889431675609299E-2</v>
      </c>
      <c r="AA389">
        <v>189456</v>
      </c>
      <c r="AB389">
        <v>15361</v>
      </c>
      <c r="AD389" t="s">
        <v>1</v>
      </c>
      <c r="AE389">
        <v>45</v>
      </c>
      <c r="AF389">
        <v>1</v>
      </c>
      <c r="AH389" t="s">
        <v>4066</v>
      </c>
      <c r="AI389" t="s">
        <v>4065</v>
      </c>
      <c r="AK389" t="s">
        <v>4064</v>
      </c>
      <c r="AL389">
        <v>12</v>
      </c>
      <c r="AM389" s="5">
        <f t="shared" si="51"/>
        <v>0.46153846153846156</v>
      </c>
      <c r="AN389" s="4">
        <f t="shared" si="52"/>
        <v>6.9903591297002887E-4</v>
      </c>
      <c r="AO389" s="3"/>
      <c r="AP389">
        <v>0</v>
      </c>
      <c r="AR389" t="s">
        <v>0</v>
      </c>
      <c r="AT389" s="2" t="s">
        <v>9</v>
      </c>
      <c r="AU389" s="1">
        <f t="shared" si="53"/>
        <v>1.5532312946817517</v>
      </c>
      <c r="AV389" s="1">
        <f t="shared" si="54"/>
        <v>1.1294233794289665</v>
      </c>
      <c r="AW389" s="1">
        <f t="shared" si="55"/>
        <v>0.70561546417618093</v>
      </c>
    </row>
    <row r="390" spans="1:49" x14ac:dyDescent="0.2">
      <c r="A390">
        <v>388</v>
      </c>
      <c r="B390" t="s">
        <v>4063</v>
      </c>
      <c r="C390" t="s">
        <v>4062</v>
      </c>
      <c r="D390" t="s">
        <v>4061</v>
      </c>
      <c r="F390" t="s">
        <v>4060</v>
      </c>
      <c r="G390" t="s">
        <v>6</v>
      </c>
      <c r="H390" t="s">
        <v>5</v>
      </c>
      <c r="I390" t="s">
        <v>4059</v>
      </c>
      <c r="J390" t="s">
        <v>4058</v>
      </c>
      <c r="K390" t="s">
        <v>4057</v>
      </c>
      <c r="L390" t="s">
        <v>4056</v>
      </c>
      <c r="M390" t="s">
        <v>4055</v>
      </c>
      <c r="N390">
        <v>3</v>
      </c>
      <c r="O390" t="s">
        <v>4054</v>
      </c>
      <c r="P390" t="s">
        <v>4053</v>
      </c>
      <c r="Q390" t="s">
        <v>4052</v>
      </c>
      <c r="R390" s="7">
        <v>35400</v>
      </c>
      <c r="S390" s="8">
        <f t="shared" si="48"/>
        <v>1996</v>
      </c>
      <c r="T390" s="8">
        <v>1996</v>
      </c>
      <c r="U390" s="8">
        <f t="shared" si="49"/>
        <v>26</v>
      </c>
      <c r="V390" s="7">
        <v>1996</v>
      </c>
      <c r="W390" t="s">
        <v>410</v>
      </c>
      <c r="X390" s="2">
        <v>1.3720000000000001</v>
      </c>
      <c r="Y390" s="6">
        <f t="shared" si="50"/>
        <v>3.662475641333654E-2</v>
      </c>
      <c r="AA390">
        <v>189480</v>
      </c>
      <c r="AB390">
        <v>17366</v>
      </c>
      <c r="AD390" t="s">
        <v>1</v>
      </c>
      <c r="AE390">
        <v>44</v>
      </c>
      <c r="AF390">
        <v>2</v>
      </c>
      <c r="AH390" t="s">
        <v>479</v>
      </c>
      <c r="AI390" t="s">
        <v>4051</v>
      </c>
      <c r="AK390" t="s">
        <v>4050</v>
      </c>
      <c r="AL390">
        <v>35</v>
      </c>
      <c r="AM390" s="5">
        <f t="shared" si="51"/>
        <v>1.3461538461538463</v>
      </c>
      <c r="AN390" s="4">
        <f t="shared" si="52"/>
        <v>2.0388547461625841E-3</v>
      </c>
      <c r="AO390" s="3"/>
      <c r="AP390">
        <v>0</v>
      </c>
      <c r="AR390" t="s">
        <v>0</v>
      </c>
      <c r="AT390" s="2" t="s">
        <v>9</v>
      </c>
      <c r="AU390" s="1">
        <f t="shared" si="53"/>
        <v>2.6248985913184351</v>
      </c>
      <c r="AV390" s="1">
        <f t="shared" si="54"/>
        <v>1.9331805579749561</v>
      </c>
      <c r="AW390" s="1">
        <f t="shared" si="55"/>
        <v>1.241462524631477</v>
      </c>
    </row>
    <row r="391" spans="1:49" x14ac:dyDescent="0.2">
      <c r="A391">
        <v>389</v>
      </c>
      <c r="B391" t="s">
        <v>4049</v>
      </c>
      <c r="C391" t="s">
        <v>4048</v>
      </c>
      <c r="D391" t="s">
        <v>4047</v>
      </c>
      <c r="F391" t="s">
        <v>4046</v>
      </c>
      <c r="G391" t="s">
        <v>6</v>
      </c>
      <c r="H391" t="s">
        <v>5</v>
      </c>
      <c r="I391" t="s">
        <v>4045</v>
      </c>
      <c r="J391">
        <v>60033461</v>
      </c>
      <c r="K391" t="s">
        <v>4044</v>
      </c>
      <c r="L391" t="s">
        <v>4043</v>
      </c>
      <c r="M391" t="s">
        <v>2</v>
      </c>
      <c r="N391">
        <v>2</v>
      </c>
      <c r="O391" t="s">
        <v>4042</v>
      </c>
      <c r="P391" t="s">
        <v>4041</v>
      </c>
      <c r="Q391" t="s">
        <v>4040</v>
      </c>
      <c r="R391" s="7">
        <v>35400</v>
      </c>
      <c r="S391" s="8">
        <f t="shared" si="48"/>
        <v>1996</v>
      </c>
      <c r="T391" s="8">
        <v>1996</v>
      </c>
      <c r="U391" s="8">
        <f t="shared" si="49"/>
        <v>26</v>
      </c>
      <c r="V391" s="7">
        <v>1996</v>
      </c>
      <c r="W391" t="s">
        <v>150</v>
      </c>
      <c r="X391" s="2">
        <v>1.6519999999999999</v>
      </c>
      <c r="Y391" s="6">
        <f t="shared" si="50"/>
        <v>4.409919649769093E-2</v>
      </c>
      <c r="AA391" t="s">
        <v>149</v>
      </c>
      <c r="AB391">
        <v>17337</v>
      </c>
      <c r="AD391" t="s">
        <v>1</v>
      </c>
      <c r="AE391">
        <v>44</v>
      </c>
      <c r="AF391">
        <v>2</v>
      </c>
      <c r="AH391" t="s">
        <v>4039</v>
      </c>
      <c r="AI391" t="s">
        <v>4038</v>
      </c>
      <c r="AK391" t="s">
        <v>4037</v>
      </c>
      <c r="AL391">
        <v>23</v>
      </c>
      <c r="AM391" s="5">
        <f t="shared" si="51"/>
        <v>0.88461538461538458</v>
      </c>
      <c r="AN391" s="4">
        <f t="shared" si="52"/>
        <v>1.3398188331925553E-3</v>
      </c>
      <c r="AO391" s="3"/>
      <c r="AP391">
        <v>0</v>
      </c>
      <c r="AR391" t="s">
        <v>0</v>
      </c>
      <c r="AT391" s="2" t="s">
        <v>9</v>
      </c>
      <c r="AU391" s="1">
        <f t="shared" si="53"/>
        <v>3.1271383198341418</v>
      </c>
      <c r="AV391" s="1">
        <f t="shared" si="54"/>
        <v>2.2719507665441743</v>
      </c>
      <c r="AW391" s="1">
        <f t="shared" si="55"/>
        <v>1.4167632132542067</v>
      </c>
    </row>
    <row r="392" spans="1:49" x14ac:dyDescent="0.2">
      <c r="A392">
        <v>390</v>
      </c>
      <c r="B392" t="s">
        <v>4036</v>
      </c>
      <c r="C392" t="s">
        <v>4035</v>
      </c>
      <c r="D392" t="s">
        <v>4034</v>
      </c>
      <c r="F392" t="s">
        <v>4033</v>
      </c>
      <c r="G392" t="s">
        <v>6</v>
      </c>
      <c r="H392" t="s">
        <v>5</v>
      </c>
      <c r="I392" t="s">
        <v>4032</v>
      </c>
      <c r="J392">
        <v>60029472</v>
      </c>
      <c r="K392" t="s">
        <v>4031</v>
      </c>
      <c r="L392" t="s">
        <v>4030</v>
      </c>
      <c r="M392" t="s">
        <v>2</v>
      </c>
      <c r="N392">
        <v>2</v>
      </c>
      <c r="O392" t="s">
        <v>4029</v>
      </c>
      <c r="P392" t="s">
        <v>4028</v>
      </c>
      <c r="Q392" t="s">
        <v>4027</v>
      </c>
      <c r="R392" s="7">
        <v>35400</v>
      </c>
      <c r="S392" s="8">
        <f t="shared" si="48"/>
        <v>1996</v>
      </c>
      <c r="T392" s="8">
        <v>1996</v>
      </c>
      <c r="U392" s="8">
        <f t="shared" si="49"/>
        <v>26</v>
      </c>
      <c r="V392" s="7">
        <v>1996</v>
      </c>
      <c r="W392" t="s">
        <v>150</v>
      </c>
      <c r="X392" s="2">
        <v>1.6519999999999999</v>
      </c>
      <c r="Y392" s="6">
        <f t="shared" si="50"/>
        <v>4.409919649769093E-2</v>
      </c>
      <c r="AA392" t="s">
        <v>149</v>
      </c>
      <c r="AB392">
        <v>17337</v>
      </c>
      <c r="AD392" t="s">
        <v>1</v>
      </c>
      <c r="AE392">
        <v>44</v>
      </c>
      <c r="AF392">
        <v>2</v>
      </c>
      <c r="AH392" t="s">
        <v>4026</v>
      </c>
      <c r="AI392" t="s">
        <v>4025</v>
      </c>
      <c r="AK392" t="s">
        <v>4024</v>
      </c>
      <c r="AL392">
        <v>12</v>
      </c>
      <c r="AM392" s="5">
        <f t="shared" si="51"/>
        <v>0.46153846153846156</v>
      </c>
      <c r="AN392" s="4">
        <f t="shared" si="52"/>
        <v>6.9903591297002887E-4</v>
      </c>
      <c r="AO392" s="3"/>
      <c r="AP392">
        <v>0</v>
      </c>
      <c r="AQ392" t="s">
        <v>105</v>
      </c>
      <c r="AR392" t="s">
        <v>0</v>
      </c>
      <c r="AS392" t="s">
        <v>104</v>
      </c>
      <c r="AT392" s="2" t="s">
        <v>9</v>
      </c>
      <c r="AU392" s="1">
        <f t="shared" si="53"/>
        <v>3.1079148322274661</v>
      </c>
      <c r="AV392" s="1">
        <f t="shared" si="54"/>
        <v>2.2399116205330478</v>
      </c>
      <c r="AW392" s="1">
        <f t="shared" si="55"/>
        <v>1.3719084088386297</v>
      </c>
    </row>
    <row r="393" spans="1:49" x14ac:dyDescent="0.2">
      <c r="A393">
        <v>391</v>
      </c>
      <c r="B393" t="s">
        <v>4023</v>
      </c>
      <c r="C393" t="s">
        <v>4022</v>
      </c>
      <c r="D393" t="s">
        <v>4021</v>
      </c>
      <c r="F393" t="s">
        <v>4020</v>
      </c>
      <c r="G393" t="s">
        <v>6</v>
      </c>
      <c r="H393" t="s">
        <v>5</v>
      </c>
      <c r="I393" t="s">
        <v>4019</v>
      </c>
      <c r="J393">
        <v>60032144</v>
      </c>
      <c r="K393" t="s">
        <v>317</v>
      </c>
      <c r="L393" t="s">
        <v>316</v>
      </c>
      <c r="M393" t="s">
        <v>17</v>
      </c>
      <c r="N393">
        <v>3</v>
      </c>
      <c r="O393" t="s">
        <v>4018</v>
      </c>
      <c r="P393" t="s">
        <v>4017</v>
      </c>
      <c r="Q393" t="s">
        <v>315</v>
      </c>
      <c r="R393" s="7">
        <v>35400</v>
      </c>
      <c r="S393" s="8">
        <f t="shared" si="48"/>
        <v>1996</v>
      </c>
      <c r="T393" s="8">
        <v>1996</v>
      </c>
      <c r="U393" s="8">
        <f t="shared" si="49"/>
        <v>26</v>
      </c>
      <c r="V393" s="7">
        <v>1996</v>
      </c>
      <c r="W393" t="s">
        <v>150</v>
      </c>
      <c r="X393" s="2">
        <v>1.6519999999999999</v>
      </c>
      <c r="Y393" s="6">
        <f t="shared" si="50"/>
        <v>4.409919649769093E-2</v>
      </c>
      <c r="AA393" t="s">
        <v>149</v>
      </c>
      <c r="AB393">
        <v>17337</v>
      </c>
      <c r="AD393" t="s">
        <v>1</v>
      </c>
      <c r="AE393">
        <v>44</v>
      </c>
      <c r="AF393">
        <v>2</v>
      </c>
      <c r="AH393" t="s">
        <v>4016</v>
      </c>
      <c r="AI393" t="s">
        <v>4015</v>
      </c>
      <c r="AK393" t="s">
        <v>4014</v>
      </c>
      <c r="AL393">
        <v>7</v>
      </c>
      <c r="AM393" s="5">
        <f t="shared" si="51"/>
        <v>0.26923076923076922</v>
      </c>
      <c r="AN393" s="4">
        <f t="shared" si="52"/>
        <v>4.0777094923251682E-4</v>
      </c>
      <c r="AO393" s="3"/>
      <c r="AP393">
        <v>0</v>
      </c>
      <c r="AR393" t="s">
        <v>0</v>
      </c>
      <c r="AT393" s="2" t="s">
        <v>9</v>
      </c>
      <c r="AU393" s="1">
        <f t="shared" si="53"/>
        <v>3.0991768833153408</v>
      </c>
      <c r="AV393" s="1">
        <f t="shared" si="54"/>
        <v>2.225348372346172</v>
      </c>
      <c r="AW393" s="1">
        <f t="shared" si="55"/>
        <v>1.3515198613770039</v>
      </c>
    </row>
    <row r="394" spans="1:49" x14ac:dyDescent="0.2">
      <c r="A394">
        <v>392</v>
      </c>
      <c r="B394" t="s">
        <v>4013</v>
      </c>
      <c r="C394" t="s">
        <v>4012</v>
      </c>
      <c r="D394" t="s">
        <v>4011</v>
      </c>
      <c r="F394" t="s">
        <v>4010</v>
      </c>
      <c r="G394" t="s">
        <v>6</v>
      </c>
      <c r="H394" t="s">
        <v>5</v>
      </c>
      <c r="I394" t="s">
        <v>4009</v>
      </c>
      <c r="J394">
        <v>60029241</v>
      </c>
      <c r="K394" t="s">
        <v>444</v>
      </c>
      <c r="L394" t="s">
        <v>422</v>
      </c>
      <c r="M394" t="s">
        <v>2</v>
      </c>
      <c r="N394">
        <v>2</v>
      </c>
      <c r="O394" t="s">
        <v>4008</v>
      </c>
      <c r="P394" t="s">
        <v>4007</v>
      </c>
      <c r="Q394" t="s">
        <v>4006</v>
      </c>
      <c r="R394" s="7">
        <v>35400</v>
      </c>
      <c r="S394" s="8">
        <f t="shared" si="48"/>
        <v>1996</v>
      </c>
      <c r="T394" s="8">
        <v>1996</v>
      </c>
      <c r="U394" s="8">
        <f t="shared" si="49"/>
        <v>26</v>
      </c>
      <c r="V394" s="7">
        <v>1996</v>
      </c>
      <c r="W394" t="s">
        <v>150</v>
      </c>
      <c r="X394" s="2">
        <v>1.6519999999999999</v>
      </c>
      <c r="Y394" s="6">
        <f t="shared" si="50"/>
        <v>4.409919649769093E-2</v>
      </c>
      <c r="AA394" t="s">
        <v>149</v>
      </c>
      <c r="AB394">
        <v>17337</v>
      </c>
      <c r="AD394" t="s">
        <v>1</v>
      </c>
      <c r="AE394">
        <v>44</v>
      </c>
      <c r="AF394">
        <v>2</v>
      </c>
      <c r="AH394" t="s">
        <v>4005</v>
      </c>
      <c r="AI394" t="s">
        <v>4004</v>
      </c>
      <c r="AK394" t="s">
        <v>4003</v>
      </c>
      <c r="AL394">
        <v>57</v>
      </c>
      <c r="AM394" s="5">
        <f t="shared" si="51"/>
        <v>2.1923076923076925</v>
      </c>
      <c r="AN394" s="4">
        <f t="shared" si="52"/>
        <v>3.3204205866076372E-3</v>
      </c>
      <c r="AO394" s="3"/>
      <c r="AP394">
        <v>0</v>
      </c>
      <c r="AQ394" t="s">
        <v>4002</v>
      </c>
      <c r="AR394" t="s">
        <v>4001</v>
      </c>
      <c r="AS394" t="s">
        <v>444</v>
      </c>
      <c r="AT394" s="2" t="s">
        <v>9</v>
      </c>
      <c r="AU394" s="1">
        <f t="shared" si="53"/>
        <v>3.186556372436594</v>
      </c>
      <c r="AV394" s="1">
        <f t="shared" si="54"/>
        <v>2.3709808542149284</v>
      </c>
      <c r="AW394" s="1">
        <f t="shared" si="55"/>
        <v>1.5554053359932625</v>
      </c>
    </row>
    <row r="395" spans="1:49" x14ac:dyDescent="0.2">
      <c r="A395">
        <v>393</v>
      </c>
      <c r="B395" t="s">
        <v>4000</v>
      </c>
      <c r="C395" t="s">
        <v>3999</v>
      </c>
      <c r="D395" t="s">
        <v>3998</v>
      </c>
      <c r="F395" t="s">
        <v>3997</v>
      </c>
      <c r="G395" t="s">
        <v>6</v>
      </c>
      <c r="H395" t="s">
        <v>5</v>
      </c>
      <c r="I395" t="s">
        <v>3996</v>
      </c>
      <c r="N395">
        <v>1</v>
      </c>
      <c r="O395" t="s">
        <v>3995</v>
      </c>
      <c r="P395">
        <v>57197998675</v>
      </c>
      <c r="R395" s="7">
        <v>35400</v>
      </c>
      <c r="S395" s="8">
        <f t="shared" si="48"/>
        <v>1996</v>
      </c>
      <c r="T395" s="8">
        <v>1996</v>
      </c>
      <c r="U395" s="8">
        <f t="shared" si="49"/>
        <v>26</v>
      </c>
      <c r="V395" s="7">
        <v>1996</v>
      </c>
      <c r="W395" t="s">
        <v>150</v>
      </c>
      <c r="X395" s="2">
        <v>1.6519999999999999</v>
      </c>
      <c r="Y395" s="6">
        <f t="shared" si="50"/>
        <v>4.409919649769093E-2</v>
      </c>
      <c r="AA395" t="s">
        <v>149</v>
      </c>
      <c r="AB395">
        <v>17337</v>
      </c>
      <c r="AD395" t="s">
        <v>1</v>
      </c>
      <c r="AE395">
        <v>44</v>
      </c>
      <c r="AF395">
        <v>2</v>
      </c>
      <c r="AH395" t="s">
        <v>3994</v>
      </c>
      <c r="AI395" t="s">
        <v>3993</v>
      </c>
      <c r="AK395" t="s">
        <v>3992</v>
      </c>
      <c r="AL395">
        <v>41</v>
      </c>
      <c r="AM395" s="5">
        <f t="shared" si="51"/>
        <v>1.5769230769230769</v>
      </c>
      <c r="AN395" s="4">
        <f t="shared" si="52"/>
        <v>2.3883727026475982E-3</v>
      </c>
      <c r="AO395" s="3"/>
      <c r="AP395">
        <v>0</v>
      </c>
      <c r="AR395" t="s">
        <v>0</v>
      </c>
      <c r="AT395" s="2" t="s">
        <v>9</v>
      </c>
      <c r="AU395" s="1">
        <f t="shared" si="53"/>
        <v>3.1585949359177934</v>
      </c>
      <c r="AV395" s="1">
        <f t="shared" si="54"/>
        <v>2.3243784600169266</v>
      </c>
      <c r="AW395" s="1">
        <f t="shared" si="55"/>
        <v>1.4901619841160598</v>
      </c>
    </row>
    <row r="396" spans="1:49" x14ac:dyDescent="0.2">
      <c r="A396">
        <v>394</v>
      </c>
      <c r="B396" t="s">
        <v>3991</v>
      </c>
      <c r="C396" t="s">
        <v>3990</v>
      </c>
      <c r="D396" t="s">
        <v>3989</v>
      </c>
      <c r="F396" t="s">
        <v>3988</v>
      </c>
      <c r="G396" t="s">
        <v>6</v>
      </c>
      <c r="H396" t="s">
        <v>5</v>
      </c>
      <c r="I396" t="s">
        <v>3987</v>
      </c>
      <c r="J396">
        <v>60012370</v>
      </c>
      <c r="K396" t="s">
        <v>1740</v>
      </c>
      <c r="L396" t="s">
        <v>1739</v>
      </c>
      <c r="M396" t="s">
        <v>146</v>
      </c>
      <c r="N396">
        <v>2</v>
      </c>
      <c r="O396" t="s">
        <v>3986</v>
      </c>
      <c r="P396" t="s">
        <v>3985</v>
      </c>
      <c r="Q396" t="s">
        <v>3984</v>
      </c>
      <c r="R396" s="7">
        <v>35400</v>
      </c>
      <c r="S396" s="8">
        <f t="shared" si="48"/>
        <v>1996</v>
      </c>
      <c r="T396" s="8">
        <v>1996</v>
      </c>
      <c r="U396" s="8">
        <f t="shared" si="49"/>
        <v>26</v>
      </c>
      <c r="V396" s="7">
        <v>1996</v>
      </c>
      <c r="W396" t="s">
        <v>150</v>
      </c>
      <c r="X396" s="2">
        <v>1.6519999999999999</v>
      </c>
      <c r="Y396" s="6">
        <f t="shared" si="50"/>
        <v>4.409919649769093E-2</v>
      </c>
      <c r="AA396" t="s">
        <v>149</v>
      </c>
      <c r="AB396">
        <v>17337</v>
      </c>
      <c r="AD396" t="s">
        <v>1</v>
      </c>
      <c r="AE396">
        <v>44</v>
      </c>
      <c r="AF396">
        <v>2</v>
      </c>
      <c r="AH396" t="s">
        <v>3983</v>
      </c>
      <c r="AI396" t="s">
        <v>3982</v>
      </c>
      <c r="AK396" t="s">
        <v>3981</v>
      </c>
      <c r="AL396">
        <v>17</v>
      </c>
      <c r="AM396" s="5">
        <f t="shared" si="51"/>
        <v>0.65384615384615385</v>
      </c>
      <c r="AN396" s="4">
        <f t="shared" si="52"/>
        <v>9.9030087670754093E-4</v>
      </c>
      <c r="AO396" s="3"/>
      <c r="AP396">
        <v>0</v>
      </c>
      <c r="AQ396" t="s">
        <v>605</v>
      </c>
      <c r="AR396" t="s">
        <v>3980</v>
      </c>
      <c r="AS396" t="s">
        <v>604</v>
      </c>
      <c r="AT396" s="2" t="s">
        <v>9</v>
      </c>
      <c r="AU396" s="1">
        <f t="shared" si="53"/>
        <v>3.116652781139591</v>
      </c>
      <c r="AV396" s="1">
        <f t="shared" si="54"/>
        <v>2.2544748687199236</v>
      </c>
      <c r="AW396" s="1">
        <f t="shared" si="55"/>
        <v>1.3922969563002556</v>
      </c>
    </row>
    <row r="397" spans="1:49" x14ac:dyDescent="0.2">
      <c r="A397">
        <v>395</v>
      </c>
      <c r="B397" t="s">
        <v>3979</v>
      </c>
      <c r="C397" t="s">
        <v>3978</v>
      </c>
      <c r="F397" t="s">
        <v>3977</v>
      </c>
      <c r="G397" t="s">
        <v>6</v>
      </c>
      <c r="H397" t="s">
        <v>5</v>
      </c>
      <c r="I397" t="s">
        <v>3976</v>
      </c>
      <c r="J397">
        <v>60016536</v>
      </c>
      <c r="K397" t="s">
        <v>3975</v>
      </c>
      <c r="L397" t="s">
        <v>3974</v>
      </c>
      <c r="M397" t="s">
        <v>2</v>
      </c>
      <c r="N397">
        <v>1</v>
      </c>
      <c r="O397" t="s">
        <v>3973</v>
      </c>
      <c r="P397">
        <v>57214123498</v>
      </c>
      <c r="Q397">
        <v>60016536</v>
      </c>
      <c r="R397" s="7">
        <v>35400</v>
      </c>
      <c r="S397" s="8">
        <f t="shared" si="48"/>
        <v>1996</v>
      </c>
      <c r="T397" s="8">
        <v>1996</v>
      </c>
      <c r="U397" s="8">
        <f t="shared" si="49"/>
        <v>26</v>
      </c>
      <c r="V397" s="7">
        <v>1996</v>
      </c>
      <c r="W397" t="s">
        <v>241</v>
      </c>
      <c r="X397" s="2">
        <v>0.88100000000000001</v>
      </c>
      <c r="Y397" s="6">
        <f t="shared" si="50"/>
        <v>2.3517791836843653E-2</v>
      </c>
      <c r="AA397">
        <v>10459243</v>
      </c>
      <c r="AB397">
        <v>17248</v>
      </c>
      <c r="AD397" t="s">
        <v>1</v>
      </c>
      <c r="AE397">
        <v>38</v>
      </c>
      <c r="AF397">
        <v>1</v>
      </c>
      <c r="AH397" t="s">
        <v>723</v>
      </c>
      <c r="AI397" t="s">
        <v>3972</v>
      </c>
      <c r="AK397" t="s">
        <v>3971</v>
      </c>
      <c r="AL397">
        <v>0</v>
      </c>
      <c r="AM397" s="5">
        <f t="shared" si="51"/>
        <v>0</v>
      </c>
      <c r="AN397" s="4">
        <f t="shared" si="52"/>
        <v>0</v>
      </c>
      <c r="AO397" s="3"/>
      <c r="AP397">
        <v>0</v>
      </c>
      <c r="AR397" t="s">
        <v>0</v>
      </c>
      <c r="AT397" s="2" t="s">
        <v>9</v>
      </c>
      <c r="AU397" s="1">
        <f t="shared" si="53"/>
        <v>1.6462454285790555</v>
      </c>
      <c r="AV397" s="1">
        <f t="shared" si="54"/>
        <v>1.1758895918421826</v>
      </c>
      <c r="AW397" s="1">
        <f t="shared" si="55"/>
        <v>0.70553375510530958</v>
      </c>
    </row>
    <row r="398" spans="1:49" x14ac:dyDescent="0.2">
      <c r="A398">
        <v>396</v>
      </c>
      <c r="B398" t="s">
        <v>3970</v>
      </c>
      <c r="C398" t="s">
        <v>3969</v>
      </c>
      <c r="D398" t="s">
        <v>3968</v>
      </c>
      <c r="F398" t="s">
        <v>3967</v>
      </c>
      <c r="G398" t="s">
        <v>6</v>
      </c>
      <c r="H398" t="s">
        <v>5</v>
      </c>
      <c r="I398" t="s">
        <v>89</v>
      </c>
      <c r="J398">
        <v>60023690</v>
      </c>
      <c r="K398" t="s">
        <v>3966</v>
      </c>
      <c r="L398" t="s">
        <v>3965</v>
      </c>
      <c r="M398" t="s">
        <v>2</v>
      </c>
      <c r="N398">
        <v>1</v>
      </c>
      <c r="O398" t="s">
        <v>3964</v>
      </c>
      <c r="P398">
        <v>7003815640</v>
      </c>
      <c r="Q398">
        <v>60023690</v>
      </c>
      <c r="R398" s="7">
        <v>35400</v>
      </c>
      <c r="S398" s="8">
        <f t="shared" si="48"/>
        <v>1996</v>
      </c>
      <c r="T398" s="8">
        <v>1996</v>
      </c>
      <c r="U398" s="8">
        <f t="shared" si="49"/>
        <v>26</v>
      </c>
      <c r="V398" s="7">
        <v>1996</v>
      </c>
      <c r="W398" t="s">
        <v>3963</v>
      </c>
      <c r="X398" s="2">
        <v>1.365</v>
      </c>
      <c r="Y398" s="6">
        <f t="shared" si="50"/>
        <v>3.6437895411227675E-2</v>
      </c>
      <c r="AA398">
        <v>189545</v>
      </c>
      <c r="AB398">
        <v>17393</v>
      </c>
      <c r="AD398" t="s">
        <v>1</v>
      </c>
      <c r="AE398">
        <v>45</v>
      </c>
      <c r="AF398">
        <v>1</v>
      </c>
      <c r="AH398" t="s">
        <v>3962</v>
      </c>
      <c r="AI398" t="s">
        <v>3961</v>
      </c>
      <c r="AK398" t="s">
        <v>3960</v>
      </c>
      <c r="AL398">
        <v>51</v>
      </c>
      <c r="AM398" s="5">
        <f t="shared" si="51"/>
        <v>1.9615384615384615</v>
      </c>
      <c r="AN398" s="4">
        <f t="shared" si="52"/>
        <v>2.9709026301226226E-3</v>
      </c>
      <c r="AO398" s="3"/>
      <c r="AP398">
        <v>0</v>
      </c>
      <c r="AR398" t="s">
        <v>0</v>
      </c>
      <c r="AT398" s="2" t="s">
        <v>9</v>
      </c>
      <c r="AU398" s="1">
        <f t="shared" si="53"/>
        <v>2.6397797576896158</v>
      </c>
      <c r="AV398" s="1">
        <f t="shared" si="54"/>
        <v>1.970439902067515</v>
      </c>
      <c r="AW398" s="1">
        <f t="shared" si="55"/>
        <v>1.3011000464454137</v>
      </c>
    </row>
    <row r="399" spans="1:49" x14ac:dyDescent="0.2">
      <c r="A399">
        <v>397</v>
      </c>
      <c r="B399" t="s">
        <v>3959</v>
      </c>
      <c r="C399" t="s">
        <v>3958</v>
      </c>
      <c r="D399" t="s">
        <v>3957</v>
      </c>
      <c r="F399" t="s">
        <v>3956</v>
      </c>
      <c r="G399" t="s">
        <v>6</v>
      </c>
      <c r="H399" t="s">
        <v>5</v>
      </c>
      <c r="I399" t="s">
        <v>3955</v>
      </c>
      <c r="J399">
        <v>60075427</v>
      </c>
      <c r="K399" t="s">
        <v>3954</v>
      </c>
      <c r="L399" t="s">
        <v>98</v>
      </c>
      <c r="M399" t="s">
        <v>97</v>
      </c>
      <c r="N399">
        <v>3</v>
      </c>
      <c r="O399" t="s">
        <v>3953</v>
      </c>
      <c r="P399" t="s">
        <v>3952</v>
      </c>
      <c r="Q399" t="s">
        <v>3951</v>
      </c>
      <c r="R399" s="7">
        <v>35400</v>
      </c>
      <c r="S399" s="8">
        <f t="shared" si="48"/>
        <v>1996</v>
      </c>
      <c r="T399" s="8">
        <v>1996</v>
      </c>
      <c r="U399" s="8">
        <f t="shared" si="49"/>
        <v>26</v>
      </c>
      <c r="V399" s="7">
        <v>1996</v>
      </c>
      <c r="W399" t="s">
        <v>356</v>
      </c>
      <c r="X399" s="2">
        <v>0.65500000000000003</v>
      </c>
      <c r="Y399" s="6">
        <f t="shared" si="50"/>
        <v>1.7484850911614749E-2</v>
      </c>
      <c r="AA399">
        <v>189375</v>
      </c>
      <c r="AB399">
        <v>26051</v>
      </c>
      <c r="AD399" t="s">
        <v>1</v>
      </c>
      <c r="AE399">
        <v>38</v>
      </c>
      <c r="AF399">
        <v>1</v>
      </c>
      <c r="AH399" t="s">
        <v>3950</v>
      </c>
      <c r="AI399" t="s">
        <v>3949</v>
      </c>
      <c r="AK399" t="s">
        <v>3948</v>
      </c>
      <c r="AL399">
        <v>5</v>
      </c>
      <c r="AM399" s="5">
        <f t="shared" si="51"/>
        <v>0.19230769230769232</v>
      </c>
      <c r="AN399" s="4">
        <f t="shared" si="52"/>
        <v>2.9126496373751206E-4</v>
      </c>
      <c r="AO399" s="3"/>
      <c r="AP399">
        <v>0</v>
      </c>
      <c r="AR399" t="s">
        <v>0</v>
      </c>
      <c r="AT399" s="2" t="s">
        <v>9</v>
      </c>
      <c r="AU399" s="1">
        <f t="shared" si="53"/>
        <v>1.2326775127251577</v>
      </c>
      <c r="AV399" s="1">
        <f t="shared" si="54"/>
        <v>0.88880579376761304</v>
      </c>
      <c r="AW399" s="1">
        <f t="shared" si="55"/>
        <v>0.54493407481006839</v>
      </c>
    </row>
    <row r="400" spans="1:49" x14ac:dyDescent="0.2">
      <c r="A400">
        <v>398</v>
      </c>
      <c r="B400" t="s">
        <v>3947</v>
      </c>
      <c r="C400" t="s">
        <v>3946</v>
      </c>
      <c r="D400" t="s">
        <v>3945</v>
      </c>
      <c r="F400" t="s">
        <v>3944</v>
      </c>
      <c r="G400" t="s">
        <v>6</v>
      </c>
      <c r="H400" t="s">
        <v>5</v>
      </c>
      <c r="I400" t="s">
        <v>3943</v>
      </c>
      <c r="J400" t="s">
        <v>3942</v>
      </c>
      <c r="K400" t="s">
        <v>3941</v>
      </c>
      <c r="L400" t="s">
        <v>3940</v>
      </c>
      <c r="M400" t="s">
        <v>3939</v>
      </c>
      <c r="N400">
        <v>3</v>
      </c>
      <c r="O400" t="s">
        <v>3938</v>
      </c>
      <c r="P400" t="s">
        <v>3937</v>
      </c>
      <c r="Q400" t="s">
        <v>3936</v>
      </c>
      <c r="R400" s="7">
        <v>35400</v>
      </c>
      <c r="S400" s="8">
        <f t="shared" si="48"/>
        <v>1996</v>
      </c>
      <c r="T400" s="8">
        <v>1996</v>
      </c>
      <c r="U400" s="8">
        <f t="shared" si="49"/>
        <v>26</v>
      </c>
      <c r="V400" s="7">
        <v>1996</v>
      </c>
      <c r="W400" t="s">
        <v>694</v>
      </c>
      <c r="X400" s="2">
        <v>1.6379999999999999</v>
      </c>
      <c r="Y400" s="6">
        <f t="shared" si="50"/>
        <v>4.3725474493473214E-2</v>
      </c>
      <c r="AA400" t="s">
        <v>693</v>
      </c>
      <c r="AB400">
        <v>17391</v>
      </c>
      <c r="AD400" t="s">
        <v>1</v>
      </c>
      <c r="AE400">
        <v>44</v>
      </c>
      <c r="AF400">
        <v>2</v>
      </c>
      <c r="AH400" t="s">
        <v>3935</v>
      </c>
      <c r="AI400" t="s">
        <v>3934</v>
      </c>
      <c r="AK400" t="s">
        <v>3933</v>
      </c>
      <c r="AL400">
        <v>4</v>
      </c>
      <c r="AM400" s="5">
        <f t="shared" si="51"/>
        <v>0.15384615384615385</v>
      </c>
      <c r="AN400" s="4">
        <f t="shared" si="52"/>
        <v>2.3301197099000962E-4</v>
      </c>
      <c r="AO400" s="3"/>
      <c r="AP400">
        <v>0</v>
      </c>
      <c r="AQ400" t="s">
        <v>105</v>
      </c>
      <c r="AR400" t="s">
        <v>3932</v>
      </c>
      <c r="AS400" t="s">
        <v>104</v>
      </c>
      <c r="AT400" s="2">
        <v>4.931</v>
      </c>
      <c r="AU400" s="1">
        <f t="shared" si="53"/>
        <v>3.0677735736728251</v>
      </c>
      <c r="AV400" s="1">
        <f t="shared" si="54"/>
        <v>2.1979243232231611</v>
      </c>
      <c r="AW400" s="1">
        <f t="shared" si="55"/>
        <v>1.3280750727734971</v>
      </c>
    </row>
    <row r="401" spans="1:49" x14ac:dyDescent="0.2">
      <c r="A401">
        <v>399</v>
      </c>
      <c r="B401" t="s">
        <v>3931</v>
      </c>
      <c r="C401" t="s">
        <v>3930</v>
      </c>
      <c r="F401" t="s">
        <v>3929</v>
      </c>
      <c r="G401" t="s">
        <v>6</v>
      </c>
      <c r="H401" t="s">
        <v>5</v>
      </c>
      <c r="I401" t="s">
        <v>3928</v>
      </c>
      <c r="J401">
        <v>60027550</v>
      </c>
      <c r="K401" t="s">
        <v>113</v>
      </c>
      <c r="L401" t="s">
        <v>112</v>
      </c>
      <c r="M401" t="s">
        <v>2</v>
      </c>
      <c r="N401">
        <v>2</v>
      </c>
      <c r="O401" t="s">
        <v>3927</v>
      </c>
      <c r="P401" t="s">
        <v>3926</v>
      </c>
      <c r="Q401" t="s">
        <v>261</v>
      </c>
      <c r="R401" s="7">
        <v>35400</v>
      </c>
      <c r="S401" s="8">
        <f t="shared" si="48"/>
        <v>1996</v>
      </c>
      <c r="T401" s="8">
        <v>1996</v>
      </c>
      <c r="U401" s="8">
        <f t="shared" si="49"/>
        <v>26</v>
      </c>
      <c r="V401" s="7">
        <v>1996</v>
      </c>
      <c r="W401" t="s">
        <v>3901</v>
      </c>
      <c r="X401" s="2">
        <v>0.9</v>
      </c>
      <c r="Y401" s="6">
        <f t="shared" si="50"/>
        <v>2.4024985985424845E-2</v>
      </c>
      <c r="AA401">
        <v>9630252</v>
      </c>
      <c r="AB401">
        <v>29614</v>
      </c>
      <c r="AD401" t="s">
        <v>1</v>
      </c>
      <c r="AE401">
        <v>5</v>
      </c>
      <c r="AF401">
        <v>1</v>
      </c>
      <c r="AH401" t="s">
        <v>3925</v>
      </c>
      <c r="AI401" t="s">
        <v>3924</v>
      </c>
      <c r="AK401" t="s">
        <v>3923</v>
      </c>
      <c r="AL401">
        <v>91</v>
      </c>
      <c r="AM401" s="5">
        <f t="shared" si="51"/>
        <v>3.5</v>
      </c>
      <c r="AN401" s="4">
        <f t="shared" si="52"/>
        <v>5.301022340022719E-3</v>
      </c>
      <c r="AO401" s="3"/>
      <c r="AP401">
        <v>0</v>
      </c>
      <c r="AR401" t="s">
        <v>0</v>
      </c>
      <c r="AT401" s="2" t="s">
        <v>9</v>
      </c>
      <c r="AU401" s="1">
        <f t="shared" si="53"/>
        <v>1.8407796891804207</v>
      </c>
      <c r="AV401" s="1">
        <f t="shared" si="54"/>
        <v>1.4663004162723783</v>
      </c>
      <c r="AW401" s="1">
        <f t="shared" si="55"/>
        <v>1.0918211433643357</v>
      </c>
    </row>
    <row r="402" spans="1:49" x14ac:dyDescent="0.2">
      <c r="A402">
        <v>400</v>
      </c>
      <c r="B402" t="s">
        <v>3922</v>
      </c>
      <c r="C402" t="s">
        <v>3921</v>
      </c>
      <c r="F402" t="s">
        <v>3920</v>
      </c>
      <c r="G402" t="s">
        <v>6</v>
      </c>
      <c r="H402" t="s">
        <v>5</v>
      </c>
      <c r="I402" t="s">
        <v>3919</v>
      </c>
      <c r="J402">
        <v>60025709</v>
      </c>
      <c r="K402" t="s">
        <v>286</v>
      </c>
      <c r="L402" t="s">
        <v>285</v>
      </c>
      <c r="M402" t="s">
        <v>7</v>
      </c>
      <c r="N402">
        <v>2</v>
      </c>
      <c r="O402" t="s">
        <v>3918</v>
      </c>
      <c r="P402" t="s">
        <v>3917</v>
      </c>
      <c r="Q402" t="s">
        <v>3916</v>
      </c>
      <c r="R402" s="7">
        <v>35400</v>
      </c>
      <c r="S402" s="8">
        <f t="shared" si="48"/>
        <v>1996</v>
      </c>
      <c r="T402" s="8">
        <v>1996</v>
      </c>
      <c r="U402" s="8">
        <f t="shared" si="49"/>
        <v>26</v>
      </c>
      <c r="V402" s="7">
        <v>1996</v>
      </c>
      <c r="W402" t="s">
        <v>3915</v>
      </c>
      <c r="X402" s="2">
        <v>1.3280000000000001</v>
      </c>
      <c r="Y402" s="6">
        <f t="shared" si="50"/>
        <v>3.5450201542937994E-2</v>
      </c>
      <c r="AA402">
        <v>7413335</v>
      </c>
      <c r="AB402">
        <v>29251</v>
      </c>
      <c r="AD402" t="s">
        <v>1</v>
      </c>
      <c r="AE402">
        <v>38</v>
      </c>
      <c r="AF402">
        <v>2</v>
      </c>
      <c r="AH402" t="s">
        <v>3914</v>
      </c>
      <c r="AI402" t="s">
        <v>3913</v>
      </c>
      <c r="AK402" t="s">
        <v>3912</v>
      </c>
      <c r="AL402">
        <v>3</v>
      </c>
      <c r="AM402" s="5">
        <f t="shared" si="51"/>
        <v>0.11538461538461539</v>
      </c>
      <c r="AN402" s="4">
        <f t="shared" si="52"/>
        <v>1.7475897824250722E-4</v>
      </c>
      <c r="AO402" s="3"/>
      <c r="AP402">
        <v>0</v>
      </c>
      <c r="AR402" t="s">
        <v>0</v>
      </c>
      <c r="AT402" s="2">
        <v>2.4580000000000002</v>
      </c>
      <c r="AU402" s="1">
        <f t="shared" si="53"/>
        <v>2.4867568773529349</v>
      </c>
      <c r="AV402" s="1">
        <f t="shared" si="54"/>
        <v>1.7812480260590249</v>
      </c>
      <c r="AW402" s="1">
        <f t="shared" si="55"/>
        <v>1.0757391747651153</v>
      </c>
    </row>
    <row r="403" spans="1:49" x14ac:dyDescent="0.2">
      <c r="A403">
        <v>401</v>
      </c>
      <c r="B403" t="s">
        <v>3911</v>
      </c>
      <c r="C403" t="s">
        <v>3910</v>
      </c>
      <c r="F403" t="s">
        <v>3909</v>
      </c>
      <c r="G403" t="s">
        <v>6</v>
      </c>
      <c r="H403" t="s">
        <v>5</v>
      </c>
      <c r="I403" t="s">
        <v>3908</v>
      </c>
      <c r="J403" t="s">
        <v>3907</v>
      </c>
      <c r="K403" t="s">
        <v>3906</v>
      </c>
      <c r="L403" t="s">
        <v>3905</v>
      </c>
      <c r="M403" t="s">
        <v>124</v>
      </c>
      <c r="N403">
        <v>4</v>
      </c>
      <c r="O403" t="s">
        <v>3904</v>
      </c>
      <c r="P403" t="s">
        <v>3903</v>
      </c>
      <c r="Q403" t="s">
        <v>3902</v>
      </c>
      <c r="R403" s="7">
        <v>35400</v>
      </c>
      <c r="S403" s="8">
        <f t="shared" si="48"/>
        <v>1996</v>
      </c>
      <c r="T403" s="8">
        <v>1996</v>
      </c>
      <c r="U403" s="8">
        <f t="shared" si="49"/>
        <v>26</v>
      </c>
      <c r="V403" s="7">
        <v>1996</v>
      </c>
      <c r="W403" t="s">
        <v>3901</v>
      </c>
      <c r="X403" s="2">
        <v>0.9</v>
      </c>
      <c r="Y403" s="6">
        <f t="shared" si="50"/>
        <v>2.4024985985424845E-2</v>
      </c>
      <c r="AA403">
        <v>9630252</v>
      </c>
      <c r="AB403">
        <v>29614</v>
      </c>
      <c r="AD403" t="s">
        <v>1</v>
      </c>
      <c r="AE403">
        <v>5</v>
      </c>
      <c r="AF403">
        <v>1</v>
      </c>
      <c r="AH403" t="s">
        <v>3900</v>
      </c>
      <c r="AI403" t="s">
        <v>3899</v>
      </c>
      <c r="AK403" t="s">
        <v>3898</v>
      </c>
      <c r="AL403">
        <v>11</v>
      </c>
      <c r="AM403" s="5">
        <f t="shared" si="51"/>
        <v>0.42307692307692307</v>
      </c>
      <c r="AN403" s="4">
        <f t="shared" si="52"/>
        <v>6.4078292022252644E-4</v>
      </c>
      <c r="AO403" s="3"/>
      <c r="AP403">
        <v>0</v>
      </c>
      <c r="AR403" t="s">
        <v>0</v>
      </c>
      <c r="AT403" s="2" t="s">
        <v>9</v>
      </c>
      <c r="AU403" s="1">
        <f t="shared" si="53"/>
        <v>1.7009725065864147</v>
      </c>
      <c r="AV403" s="1">
        <f t="shared" si="54"/>
        <v>1.2332884452823685</v>
      </c>
      <c r="AW403" s="1">
        <f t="shared" si="55"/>
        <v>0.7656043839783222</v>
      </c>
    </row>
    <row r="404" spans="1:49" x14ac:dyDescent="0.2">
      <c r="A404">
        <v>402</v>
      </c>
      <c r="B404" t="s">
        <v>3897</v>
      </c>
      <c r="C404" t="s">
        <v>3896</v>
      </c>
      <c r="D404" t="s">
        <v>3895</v>
      </c>
      <c r="F404" t="s">
        <v>3894</v>
      </c>
      <c r="G404" t="s">
        <v>6</v>
      </c>
      <c r="H404" t="s">
        <v>5</v>
      </c>
      <c r="I404" t="s">
        <v>3830</v>
      </c>
      <c r="J404" t="s">
        <v>3893</v>
      </c>
      <c r="K404" t="s">
        <v>3892</v>
      </c>
      <c r="L404" t="s">
        <v>3891</v>
      </c>
      <c r="M404" t="s">
        <v>3890</v>
      </c>
      <c r="N404">
        <v>4</v>
      </c>
      <c r="O404" t="s">
        <v>3889</v>
      </c>
      <c r="P404" t="s">
        <v>3888</v>
      </c>
      <c r="Q404" t="s">
        <v>3887</v>
      </c>
      <c r="R404" s="7">
        <v>35400</v>
      </c>
      <c r="S404" s="8">
        <f t="shared" si="48"/>
        <v>1996</v>
      </c>
      <c r="T404" s="8">
        <v>1996</v>
      </c>
      <c r="U404" s="8">
        <f t="shared" si="49"/>
        <v>26</v>
      </c>
      <c r="V404" s="7">
        <v>1996</v>
      </c>
      <c r="W404" t="s">
        <v>3823</v>
      </c>
      <c r="X404" s="2">
        <v>1.159</v>
      </c>
      <c r="Y404" s="6">
        <f t="shared" si="50"/>
        <v>3.093884306345266E-2</v>
      </c>
      <c r="AA404">
        <v>8853010</v>
      </c>
      <c r="AB404">
        <v>12998</v>
      </c>
      <c r="AD404" t="s">
        <v>1</v>
      </c>
      <c r="AE404">
        <v>43</v>
      </c>
      <c r="AF404">
        <v>1</v>
      </c>
      <c r="AH404" s="10">
        <v>41821</v>
      </c>
      <c r="AI404" t="s">
        <v>3886</v>
      </c>
      <c r="AK404" t="s">
        <v>3885</v>
      </c>
      <c r="AL404">
        <v>148</v>
      </c>
      <c r="AM404" s="5">
        <f t="shared" si="51"/>
        <v>5.6923076923076925</v>
      </c>
      <c r="AN404" s="4">
        <f t="shared" si="52"/>
        <v>8.6214429266303558E-3</v>
      </c>
      <c r="AO404" s="3"/>
      <c r="AP404">
        <v>0</v>
      </c>
      <c r="AR404" t="s">
        <v>0</v>
      </c>
      <c r="AT404" s="2" t="s">
        <v>9</v>
      </c>
      <c r="AU404" s="1">
        <f t="shared" si="53"/>
        <v>2.4243623022405969</v>
      </c>
      <c r="AV404" s="1">
        <f t="shared" si="54"/>
        <v>1.9780142995041508</v>
      </c>
      <c r="AW404" s="1">
        <f t="shared" si="55"/>
        <v>1.5316662967677048</v>
      </c>
    </row>
    <row r="405" spans="1:49" x14ac:dyDescent="0.2">
      <c r="A405">
        <v>403</v>
      </c>
      <c r="B405" t="s">
        <v>3884</v>
      </c>
      <c r="C405" t="s">
        <v>3883</v>
      </c>
      <c r="D405" t="s">
        <v>3882</v>
      </c>
      <c r="F405" t="s">
        <v>3881</v>
      </c>
      <c r="G405" t="s">
        <v>6</v>
      </c>
      <c r="H405" t="s">
        <v>5</v>
      </c>
      <c r="I405" t="s">
        <v>3880</v>
      </c>
      <c r="J405">
        <v>60019118</v>
      </c>
      <c r="K405" t="s">
        <v>3879</v>
      </c>
      <c r="L405" t="s">
        <v>3878</v>
      </c>
      <c r="M405" t="s">
        <v>35</v>
      </c>
      <c r="N405">
        <v>2</v>
      </c>
      <c r="O405" t="s">
        <v>3877</v>
      </c>
      <c r="P405" t="s">
        <v>3876</v>
      </c>
      <c r="Q405" t="s">
        <v>3875</v>
      </c>
      <c r="R405" s="7">
        <v>35400</v>
      </c>
      <c r="S405" s="8">
        <f t="shared" si="48"/>
        <v>1996</v>
      </c>
      <c r="T405" s="8">
        <v>1996</v>
      </c>
      <c r="U405" s="8">
        <f t="shared" si="49"/>
        <v>26</v>
      </c>
      <c r="V405" s="7">
        <v>1996</v>
      </c>
      <c r="W405" t="s">
        <v>150</v>
      </c>
      <c r="X405" s="2">
        <v>1.6519999999999999</v>
      </c>
      <c r="Y405" s="6">
        <f t="shared" si="50"/>
        <v>4.409919649769093E-2</v>
      </c>
      <c r="AA405" t="s">
        <v>149</v>
      </c>
      <c r="AB405">
        <v>17337</v>
      </c>
      <c r="AD405" t="s">
        <v>1</v>
      </c>
      <c r="AE405">
        <v>44</v>
      </c>
      <c r="AF405">
        <v>1</v>
      </c>
      <c r="AH405" t="s">
        <v>160</v>
      </c>
      <c r="AI405" t="s">
        <v>3874</v>
      </c>
      <c r="AK405" t="s">
        <v>3873</v>
      </c>
      <c r="AL405">
        <v>19</v>
      </c>
      <c r="AM405" s="5">
        <f t="shared" si="51"/>
        <v>0.73076923076923073</v>
      </c>
      <c r="AN405" s="4">
        <f t="shared" si="52"/>
        <v>1.1068068622025456E-3</v>
      </c>
      <c r="AO405" s="3"/>
      <c r="AP405">
        <v>0</v>
      </c>
      <c r="AQ405" t="s">
        <v>3872</v>
      </c>
      <c r="AR405" t="s">
        <v>0</v>
      </c>
      <c r="AS405" t="s">
        <v>406</v>
      </c>
      <c r="AT405" s="2" t="s">
        <v>9</v>
      </c>
      <c r="AU405" s="1">
        <f t="shared" si="53"/>
        <v>3.1201479607044416</v>
      </c>
      <c r="AV405" s="1">
        <f t="shared" si="54"/>
        <v>2.2603001679946737</v>
      </c>
      <c r="AW405" s="1">
        <f t="shared" si="55"/>
        <v>1.4004523752849061</v>
      </c>
    </row>
    <row r="406" spans="1:49" x14ac:dyDescent="0.2">
      <c r="A406">
        <v>404</v>
      </c>
      <c r="B406" t="s">
        <v>3871</v>
      </c>
      <c r="C406" t="s">
        <v>3870</v>
      </c>
      <c r="F406" t="s">
        <v>3869</v>
      </c>
      <c r="G406" t="s">
        <v>6</v>
      </c>
      <c r="H406" t="s">
        <v>5</v>
      </c>
      <c r="I406" t="s">
        <v>3868</v>
      </c>
      <c r="J406">
        <v>60026553</v>
      </c>
      <c r="K406" t="s">
        <v>3867</v>
      </c>
      <c r="L406" t="s">
        <v>3866</v>
      </c>
      <c r="M406" t="s">
        <v>7</v>
      </c>
      <c r="N406">
        <v>1</v>
      </c>
      <c r="O406" t="s">
        <v>3865</v>
      </c>
      <c r="P406">
        <v>57188647749</v>
      </c>
      <c r="Q406">
        <v>60026553</v>
      </c>
      <c r="R406" s="7">
        <v>35400</v>
      </c>
      <c r="S406" s="8">
        <f t="shared" si="48"/>
        <v>1996</v>
      </c>
      <c r="T406" s="8">
        <v>1996</v>
      </c>
      <c r="U406" s="8">
        <f t="shared" si="49"/>
        <v>26</v>
      </c>
      <c r="V406" s="7">
        <v>1996</v>
      </c>
      <c r="W406" t="s">
        <v>3838</v>
      </c>
      <c r="X406" s="2">
        <v>1.137</v>
      </c>
      <c r="Y406" s="6">
        <f t="shared" si="50"/>
        <v>3.0351565628253384E-2</v>
      </c>
      <c r="AA406">
        <v>189251</v>
      </c>
      <c r="AB406">
        <v>17336</v>
      </c>
      <c r="AD406" t="s">
        <v>1</v>
      </c>
      <c r="AE406">
        <v>32</v>
      </c>
      <c r="AF406">
        <v>1</v>
      </c>
      <c r="AH406" t="s">
        <v>3864</v>
      </c>
      <c r="AI406" t="s">
        <v>3863</v>
      </c>
      <c r="AK406" t="s">
        <v>3862</v>
      </c>
      <c r="AL406">
        <v>29</v>
      </c>
      <c r="AM406" s="5">
        <f t="shared" si="51"/>
        <v>1.1153846153846154</v>
      </c>
      <c r="AN406" s="4">
        <f t="shared" si="52"/>
        <v>1.6893367896775697E-3</v>
      </c>
      <c r="AO406" s="3"/>
      <c r="AP406">
        <v>0</v>
      </c>
      <c r="AQ406" t="s">
        <v>3861</v>
      </c>
      <c r="AR406" t="s">
        <v>0</v>
      </c>
      <c r="AS406" t="s">
        <v>3860</v>
      </c>
      <c r="AT406" s="2" t="s">
        <v>9</v>
      </c>
      <c r="AU406" s="1">
        <f t="shared" si="53"/>
        <v>2.1752896976680636</v>
      </c>
      <c r="AV406" s="1">
        <f t="shared" si="54"/>
        <v>1.6020451208965478</v>
      </c>
      <c r="AW406" s="1">
        <f t="shared" si="55"/>
        <v>1.0288005441250314</v>
      </c>
    </row>
    <row r="407" spans="1:49" x14ac:dyDescent="0.2">
      <c r="A407">
        <v>405</v>
      </c>
      <c r="B407" t="s">
        <v>3859</v>
      </c>
      <c r="F407" t="s">
        <v>3858</v>
      </c>
      <c r="G407" t="s">
        <v>6</v>
      </c>
      <c r="H407" t="s">
        <v>5</v>
      </c>
      <c r="I407" t="s">
        <v>3857</v>
      </c>
      <c r="J407" t="s">
        <v>3856</v>
      </c>
      <c r="K407" t="s">
        <v>3855</v>
      </c>
      <c r="L407" t="s">
        <v>3854</v>
      </c>
      <c r="M407" t="s">
        <v>3853</v>
      </c>
      <c r="N407">
        <v>3</v>
      </c>
      <c r="O407" t="s">
        <v>3852</v>
      </c>
      <c r="P407" t="s">
        <v>3851</v>
      </c>
      <c r="Q407" t="s">
        <v>3850</v>
      </c>
      <c r="R407" s="7">
        <v>35400</v>
      </c>
      <c r="S407" s="8">
        <f t="shared" si="48"/>
        <v>1996</v>
      </c>
      <c r="T407" s="8">
        <v>1996</v>
      </c>
      <c r="U407" s="8">
        <f t="shared" si="49"/>
        <v>26</v>
      </c>
      <c r="V407" s="7">
        <v>1996</v>
      </c>
      <c r="W407" t="s">
        <v>3849</v>
      </c>
      <c r="X407" s="2">
        <v>0.183</v>
      </c>
      <c r="Y407" s="6">
        <f t="shared" si="50"/>
        <v>4.8850804837030515E-3</v>
      </c>
      <c r="AA407">
        <v>11951036</v>
      </c>
      <c r="AB407">
        <v>22632</v>
      </c>
      <c r="AD407" t="s">
        <v>1</v>
      </c>
      <c r="AE407">
        <v>50</v>
      </c>
      <c r="AF407">
        <v>1</v>
      </c>
      <c r="AH407" t="s">
        <v>72</v>
      </c>
      <c r="AI407" t="s">
        <v>3848</v>
      </c>
      <c r="AK407" t="s">
        <v>3847</v>
      </c>
      <c r="AL407">
        <v>0</v>
      </c>
      <c r="AM407" s="5">
        <f t="shared" si="51"/>
        <v>0</v>
      </c>
      <c r="AN407" s="4">
        <f t="shared" si="52"/>
        <v>0</v>
      </c>
      <c r="AO407" s="3"/>
      <c r="AP407">
        <v>0</v>
      </c>
      <c r="AR407" t="s">
        <v>0</v>
      </c>
      <c r="AT407" s="2" t="s">
        <v>9</v>
      </c>
      <c r="AU407" s="1">
        <f t="shared" si="53"/>
        <v>0.34195563385921357</v>
      </c>
      <c r="AV407" s="1">
        <f t="shared" si="54"/>
        <v>0.24425402418515257</v>
      </c>
      <c r="AW407" s="1">
        <f t="shared" si="55"/>
        <v>0.14655241451109155</v>
      </c>
    </row>
    <row r="408" spans="1:49" x14ac:dyDescent="0.2">
      <c r="A408">
        <v>406</v>
      </c>
      <c r="B408" t="s">
        <v>3846</v>
      </c>
      <c r="C408" t="s">
        <v>3845</v>
      </c>
      <c r="F408" t="s">
        <v>3844</v>
      </c>
      <c r="G408" t="s">
        <v>6</v>
      </c>
      <c r="H408" t="s">
        <v>5</v>
      </c>
      <c r="I408" t="s">
        <v>529</v>
      </c>
      <c r="J408" t="s">
        <v>3839</v>
      </c>
      <c r="K408" t="s">
        <v>3843</v>
      </c>
      <c r="L408" t="s">
        <v>3842</v>
      </c>
      <c r="M408" t="s">
        <v>81</v>
      </c>
      <c r="N408">
        <v>2</v>
      </c>
      <c r="O408" t="s">
        <v>3841</v>
      </c>
      <c r="P408" t="s">
        <v>3840</v>
      </c>
      <c r="Q408" t="s">
        <v>3839</v>
      </c>
      <c r="R408" s="7">
        <v>35400</v>
      </c>
      <c r="S408" s="8">
        <f t="shared" si="48"/>
        <v>1996</v>
      </c>
      <c r="T408" s="8">
        <v>1996</v>
      </c>
      <c r="U408" s="8">
        <f t="shared" si="49"/>
        <v>26</v>
      </c>
      <c r="V408" s="7">
        <v>1996</v>
      </c>
      <c r="W408" t="s">
        <v>3838</v>
      </c>
      <c r="X408" s="2">
        <v>1.137</v>
      </c>
      <c r="Y408" s="6">
        <f t="shared" si="50"/>
        <v>3.0351565628253384E-2</v>
      </c>
      <c r="AA408">
        <v>189251</v>
      </c>
      <c r="AB408">
        <v>17336</v>
      </c>
      <c r="AD408" t="s">
        <v>1</v>
      </c>
      <c r="AE408">
        <v>32</v>
      </c>
      <c r="AF408">
        <v>1</v>
      </c>
      <c r="AH408" t="s">
        <v>3837</v>
      </c>
      <c r="AI408" t="s">
        <v>3836</v>
      </c>
      <c r="AK408" t="s">
        <v>3835</v>
      </c>
      <c r="AL408">
        <v>17</v>
      </c>
      <c r="AM408" s="5">
        <f t="shared" si="51"/>
        <v>0.65384615384615385</v>
      </c>
      <c r="AN408" s="4">
        <f t="shared" si="52"/>
        <v>9.9030087670754093E-4</v>
      </c>
      <c r="AO408" s="3"/>
      <c r="AP408">
        <v>0</v>
      </c>
      <c r="AR408" t="s">
        <v>0</v>
      </c>
      <c r="AT408" s="2" t="s">
        <v>9</v>
      </c>
      <c r="AU408" s="1">
        <f t="shared" si="53"/>
        <v>2.1543186202789628</v>
      </c>
      <c r="AV408" s="1">
        <f t="shared" si="54"/>
        <v>1.5670933252480461</v>
      </c>
      <c r="AW408" s="1">
        <f t="shared" si="55"/>
        <v>0.97986803021712943</v>
      </c>
    </row>
    <row r="409" spans="1:49" x14ac:dyDescent="0.2">
      <c r="A409">
        <v>407</v>
      </c>
      <c r="B409" t="s">
        <v>3834</v>
      </c>
      <c r="C409" t="s">
        <v>3833</v>
      </c>
      <c r="D409" t="s">
        <v>3832</v>
      </c>
      <c r="F409" t="s">
        <v>3831</v>
      </c>
      <c r="G409" t="s">
        <v>6</v>
      </c>
      <c r="H409" t="s">
        <v>5</v>
      </c>
      <c r="I409" t="s">
        <v>3830</v>
      </c>
      <c r="J409" t="s">
        <v>3829</v>
      </c>
      <c r="K409" t="s">
        <v>3828</v>
      </c>
      <c r="L409" t="s">
        <v>3827</v>
      </c>
      <c r="M409" t="s">
        <v>550</v>
      </c>
      <c r="N409">
        <v>2</v>
      </c>
      <c r="O409" t="s">
        <v>3826</v>
      </c>
      <c r="P409" t="s">
        <v>3825</v>
      </c>
      <c r="Q409" t="s">
        <v>3824</v>
      </c>
      <c r="R409" s="7">
        <v>35400</v>
      </c>
      <c r="S409" s="8">
        <f t="shared" si="48"/>
        <v>1996</v>
      </c>
      <c r="T409" s="8">
        <v>1996</v>
      </c>
      <c r="U409" s="8">
        <f t="shared" si="49"/>
        <v>26</v>
      </c>
      <c r="V409" s="7">
        <v>1996</v>
      </c>
      <c r="W409" t="s">
        <v>3823</v>
      </c>
      <c r="X409" s="2">
        <v>1.159</v>
      </c>
      <c r="Y409" s="6">
        <f t="shared" si="50"/>
        <v>3.093884306345266E-2</v>
      </c>
      <c r="AA409">
        <v>8853010</v>
      </c>
      <c r="AB409">
        <v>12998</v>
      </c>
      <c r="AD409" t="s">
        <v>1</v>
      </c>
      <c r="AE409">
        <v>43</v>
      </c>
      <c r="AF409">
        <v>1</v>
      </c>
      <c r="AH409" t="s">
        <v>3822</v>
      </c>
      <c r="AI409" t="s">
        <v>3821</v>
      </c>
      <c r="AK409" t="s">
        <v>3820</v>
      </c>
      <c r="AL409">
        <v>120</v>
      </c>
      <c r="AM409" s="5">
        <f t="shared" si="51"/>
        <v>4.615384615384615</v>
      </c>
      <c r="AN409" s="4">
        <f t="shared" si="52"/>
        <v>6.9903591297002876E-3</v>
      </c>
      <c r="AO409" s="3"/>
      <c r="AP409">
        <v>0</v>
      </c>
      <c r="AR409" t="s">
        <v>0</v>
      </c>
      <c r="AT409" s="2" t="s">
        <v>9</v>
      </c>
      <c r="AU409" s="1">
        <f t="shared" si="53"/>
        <v>2.3754297883326947</v>
      </c>
      <c r="AV409" s="1">
        <f t="shared" si="54"/>
        <v>1.8964601096576474</v>
      </c>
      <c r="AW409" s="1">
        <f t="shared" si="55"/>
        <v>1.4174904309826</v>
      </c>
    </row>
    <row r="410" spans="1:49" x14ac:dyDescent="0.2">
      <c r="A410">
        <v>408</v>
      </c>
      <c r="B410" t="s">
        <v>3819</v>
      </c>
      <c r="C410" t="s">
        <v>3818</v>
      </c>
      <c r="D410" t="s">
        <v>3817</v>
      </c>
      <c r="F410" t="s">
        <v>3816</v>
      </c>
      <c r="G410" t="s">
        <v>6</v>
      </c>
      <c r="H410" t="s">
        <v>5</v>
      </c>
      <c r="I410" t="s">
        <v>3815</v>
      </c>
      <c r="J410" t="s">
        <v>3814</v>
      </c>
      <c r="K410" t="s">
        <v>3813</v>
      </c>
      <c r="L410" t="s">
        <v>3812</v>
      </c>
      <c r="M410" t="s">
        <v>13</v>
      </c>
      <c r="N410">
        <v>3</v>
      </c>
      <c r="O410" t="s">
        <v>3811</v>
      </c>
      <c r="P410" t="s">
        <v>3810</v>
      </c>
      <c r="Q410" t="s">
        <v>3809</v>
      </c>
      <c r="R410" s="7">
        <v>35400</v>
      </c>
      <c r="S410" s="8">
        <f t="shared" si="48"/>
        <v>1996</v>
      </c>
      <c r="T410" s="8">
        <v>1996</v>
      </c>
      <c r="U410" s="8">
        <f t="shared" si="49"/>
        <v>26</v>
      </c>
      <c r="V410" s="7">
        <v>1996</v>
      </c>
      <c r="W410" t="s">
        <v>150</v>
      </c>
      <c r="X410" s="2">
        <v>1.6519999999999999</v>
      </c>
      <c r="Y410" s="6">
        <f t="shared" si="50"/>
        <v>4.409919649769093E-2</v>
      </c>
      <c r="AA410" t="s">
        <v>149</v>
      </c>
      <c r="AB410">
        <v>17337</v>
      </c>
      <c r="AD410" t="s">
        <v>1</v>
      </c>
      <c r="AE410">
        <v>44</v>
      </c>
      <c r="AF410">
        <v>1</v>
      </c>
      <c r="AH410" s="9">
        <v>44501</v>
      </c>
      <c r="AI410" t="s">
        <v>3808</v>
      </c>
      <c r="AK410" t="s">
        <v>3807</v>
      </c>
      <c r="AL410">
        <v>29</v>
      </c>
      <c r="AM410" s="5">
        <f t="shared" si="51"/>
        <v>1.1153846153846154</v>
      </c>
      <c r="AN410" s="4">
        <f t="shared" si="52"/>
        <v>1.6893367896775697E-3</v>
      </c>
      <c r="AO410" s="3"/>
      <c r="AP410">
        <v>0</v>
      </c>
      <c r="AQ410" t="s">
        <v>105</v>
      </c>
      <c r="AR410" t="s">
        <v>3806</v>
      </c>
      <c r="AS410" t="s">
        <v>104</v>
      </c>
      <c r="AT410" s="2" t="s">
        <v>9</v>
      </c>
      <c r="AU410" s="1">
        <f t="shared" si="53"/>
        <v>3.1376238585286922</v>
      </c>
      <c r="AV410" s="1">
        <f t="shared" si="54"/>
        <v>2.2894266643684253</v>
      </c>
      <c r="AW410" s="1">
        <f t="shared" si="55"/>
        <v>1.4412294702081576</v>
      </c>
    </row>
    <row r="411" spans="1:49" x14ac:dyDescent="0.2">
      <c r="A411">
        <v>409</v>
      </c>
      <c r="B411" t="s">
        <v>3805</v>
      </c>
      <c r="C411" t="s">
        <v>3804</v>
      </c>
      <c r="D411" t="s">
        <v>3803</v>
      </c>
      <c r="F411" t="s">
        <v>3802</v>
      </c>
      <c r="G411" t="s">
        <v>6</v>
      </c>
      <c r="H411" t="s">
        <v>5</v>
      </c>
      <c r="I411" t="s">
        <v>3801</v>
      </c>
      <c r="J411">
        <v>60021182</v>
      </c>
      <c r="K411" t="s">
        <v>3800</v>
      </c>
      <c r="L411" t="s">
        <v>3799</v>
      </c>
      <c r="M411" t="s">
        <v>35</v>
      </c>
      <c r="N411">
        <v>3</v>
      </c>
      <c r="O411" t="s">
        <v>3798</v>
      </c>
      <c r="P411" t="s">
        <v>3797</v>
      </c>
      <c r="Q411" t="s">
        <v>3796</v>
      </c>
      <c r="R411" s="7">
        <v>35400</v>
      </c>
      <c r="S411" s="8">
        <f t="shared" si="48"/>
        <v>1996</v>
      </c>
      <c r="T411" s="8">
        <v>1996</v>
      </c>
      <c r="U411" s="8">
        <f t="shared" si="49"/>
        <v>26</v>
      </c>
      <c r="V411" s="7">
        <v>1996</v>
      </c>
      <c r="W411" t="s">
        <v>711</v>
      </c>
      <c r="X411" s="2">
        <v>2.141</v>
      </c>
      <c r="Y411" s="6">
        <f t="shared" si="50"/>
        <v>5.7152772216438434E-2</v>
      </c>
      <c r="AA411">
        <v>1962892</v>
      </c>
      <c r="AB411">
        <v>17360</v>
      </c>
      <c r="AD411" t="s">
        <v>1</v>
      </c>
      <c r="AE411">
        <v>34</v>
      </c>
      <c r="AF411">
        <v>1</v>
      </c>
      <c r="AH411" t="s">
        <v>3795</v>
      </c>
      <c r="AI411" t="s">
        <v>3794</v>
      </c>
      <c r="AK411" t="s">
        <v>3793</v>
      </c>
      <c r="AL411">
        <v>6</v>
      </c>
      <c r="AM411" s="5">
        <f t="shared" si="51"/>
        <v>0.23076923076923078</v>
      </c>
      <c r="AN411" s="4">
        <f t="shared" si="52"/>
        <v>3.4951795648501444E-4</v>
      </c>
      <c r="AO411" s="3"/>
      <c r="AP411">
        <v>0</v>
      </c>
      <c r="AR411" t="s">
        <v>0</v>
      </c>
      <c r="AT411" s="2" t="s">
        <v>9</v>
      </c>
      <c r="AU411" s="1">
        <f t="shared" si="53"/>
        <v>4.0111795938452408</v>
      </c>
      <c r="AV411" s="1">
        <f t="shared" si="54"/>
        <v>2.8751145086461727</v>
      </c>
      <c r="AW411" s="1">
        <f t="shared" si="55"/>
        <v>1.7390494234471039</v>
      </c>
    </row>
    <row r="412" spans="1:49" x14ac:dyDescent="0.2">
      <c r="A412">
        <v>410</v>
      </c>
      <c r="B412" t="s">
        <v>3792</v>
      </c>
      <c r="C412" t="s">
        <v>3791</v>
      </c>
      <c r="D412" t="s">
        <v>3790</v>
      </c>
      <c r="F412" t="s">
        <v>3789</v>
      </c>
      <c r="G412" t="s">
        <v>6</v>
      </c>
      <c r="H412" t="s">
        <v>5</v>
      </c>
      <c r="I412" t="s">
        <v>3788</v>
      </c>
      <c r="J412">
        <v>60025778</v>
      </c>
      <c r="K412" t="s">
        <v>96</v>
      </c>
      <c r="L412" t="s">
        <v>95</v>
      </c>
      <c r="M412" t="s">
        <v>2</v>
      </c>
      <c r="N412">
        <v>2</v>
      </c>
      <c r="O412" t="s">
        <v>3787</v>
      </c>
      <c r="P412" t="s">
        <v>3786</v>
      </c>
      <c r="Q412" t="s">
        <v>3785</v>
      </c>
      <c r="R412" s="7">
        <v>35400</v>
      </c>
      <c r="S412" s="8">
        <f t="shared" si="48"/>
        <v>1996</v>
      </c>
      <c r="T412" s="8">
        <v>1996</v>
      </c>
      <c r="U412" s="8">
        <f t="shared" si="49"/>
        <v>26</v>
      </c>
      <c r="V412" s="7">
        <v>1996</v>
      </c>
      <c r="W412" t="s">
        <v>150</v>
      </c>
      <c r="X412" s="2">
        <v>1.6519999999999999</v>
      </c>
      <c r="Y412" s="6">
        <f t="shared" si="50"/>
        <v>4.409919649769093E-2</v>
      </c>
      <c r="AA412" t="s">
        <v>149</v>
      </c>
      <c r="AB412">
        <v>17337</v>
      </c>
      <c r="AD412" t="s">
        <v>1</v>
      </c>
      <c r="AE412">
        <v>44</v>
      </c>
      <c r="AF412">
        <v>1</v>
      </c>
      <c r="AH412" t="s">
        <v>3784</v>
      </c>
      <c r="AI412" t="s">
        <v>3783</v>
      </c>
      <c r="AK412" t="s">
        <v>3782</v>
      </c>
      <c r="AL412">
        <v>47</v>
      </c>
      <c r="AM412" s="5">
        <f t="shared" si="51"/>
        <v>1.8076923076923077</v>
      </c>
      <c r="AN412" s="4">
        <f t="shared" si="52"/>
        <v>2.7378906591326128E-3</v>
      </c>
      <c r="AO412" s="3"/>
      <c r="AP412">
        <v>0</v>
      </c>
      <c r="AQ412" t="s">
        <v>3781</v>
      </c>
      <c r="AR412" t="s">
        <v>3780</v>
      </c>
      <c r="AS412" t="s">
        <v>3779</v>
      </c>
      <c r="AT412" s="2" t="s">
        <v>9</v>
      </c>
      <c r="AU412" s="1">
        <f t="shared" si="53"/>
        <v>3.1690804746123438</v>
      </c>
      <c r="AV412" s="1">
        <f t="shared" si="54"/>
        <v>2.3418543578411768</v>
      </c>
      <c r="AW412" s="1">
        <f t="shared" si="55"/>
        <v>1.5146282410700107</v>
      </c>
    </row>
    <row r="413" spans="1:49" x14ac:dyDescent="0.2">
      <c r="A413">
        <v>411</v>
      </c>
      <c r="B413" t="s">
        <v>3778</v>
      </c>
      <c r="C413" t="s">
        <v>3777</v>
      </c>
      <c r="D413" t="s">
        <v>3776</v>
      </c>
      <c r="F413" t="s">
        <v>3775</v>
      </c>
      <c r="G413" t="s">
        <v>6</v>
      </c>
      <c r="H413" t="s">
        <v>5</v>
      </c>
      <c r="I413" t="s">
        <v>3774</v>
      </c>
      <c r="J413">
        <v>60002947</v>
      </c>
      <c r="K413" t="s">
        <v>275</v>
      </c>
      <c r="L413" t="s">
        <v>274</v>
      </c>
      <c r="M413" t="s">
        <v>273</v>
      </c>
      <c r="N413">
        <v>2</v>
      </c>
      <c r="O413" t="s">
        <v>3773</v>
      </c>
      <c r="P413" t="s">
        <v>3772</v>
      </c>
      <c r="Q413" t="s">
        <v>272</v>
      </c>
      <c r="R413" s="7">
        <v>35400</v>
      </c>
      <c r="S413" s="8">
        <f t="shared" si="48"/>
        <v>1996</v>
      </c>
      <c r="T413" s="8">
        <v>1996</v>
      </c>
      <c r="U413" s="8">
        <f t="shared" si="49"/>
        <v>26</v>
      </c>
      <c r="V413" s="7">
        <v>1996</v>
      </c>
      <c r="W413" t="s">
        <v>410</v>
      </c>
      <c r="X413" s="2">
        <v>1.3720000000000001</v>
      </c>
      <c r="Y413" s="6">
        <f t="shared" si="50"/>
        <v>3.662475641333654E-2</v>
      </c>
      <c r="AA413">
        <v>189480</v>
      </c>
      <c r="AB413">
        <v>17366</v>
      </c>
      <c r="AD413" t="s">
        <v>1</v>
      </c>
      <c r="AE413">
        <v>44</v>
      </c>
      <c r="AF413">
        <v>1</v>
      </c>
      <c r="AH413" t="s">
        <v>466</v>
      </c>
      <c r="AI413" t="s">
        <v>3771</v>
      </c>
      <c r="AK413" t="s">
        <v>3770</v>
      </c>
      <c r="AL413">
        <v>15</v>
      </c>
      <c r="AM413" s="5">
        <f t="shared" si="51"/>
        <v>0.57692307692307687</v>
      </c>
      <c r="AN413" s="4">
        <f t="shared" si="52"/>
        <v>8.7379489121253596E-4</v>
      </c>
      <c r="AO413" s="3"/>
      <c r="AP413">
        <v>0</v>
      </c>
      <c r="AR413" t="s">
        <v>0</v>
      </c>
      <c r="AT413" s="2" t="s">
        <v>9</v>
      </c>
      <c r="AU413" s="1">
        <f t="shared" si="53"/>
        <v>2.5899467956699338</v>
      </c>
      <c r="AV413" s="1">
        <f t="shared" si="54"/>
        <v>1.874927565227454</v>
      </c>
      <c r="AW413" s="1">
        <f t="shared" si="55"/>
        <v>1.1599083347849739</v>
      </c>
    </row>
    <row r="414" spans="1:49" x14ac:dyDescent="0.2">
      <c r="A414">
        <v>412</v>
      </c>
      <c r="B414" t="s">
        <v>3769</v>
      </c>
      <c r="F414" t="s">
        <v>3768</v>
      </c>
      <c r="G414" t="s">
        <v>6</v>
      </c>
      <c r="H414" t="s">
        <v>5</v>
      </c>
      <c r="I414" t="s">
        <v>457</v>
      </c>
      <c r="J414">
        <v>60009611</v>
      </c>
      <c r="K414" t="s">
        <v>456</v>
      </c>
      <c r="L414" t="s">
        <v>455</v>
      </c>
      <c r="M414" t="s">
        <v>2</v>
      </c>
      <c r="N414">
        <v>1</v>
      </c>
      <c r="O414" t="s">
        <v>454</v>
      </c>
      <c r="P414">
        <v>7003789170</v>
      </c>
      <c r="Q414">
        <v>60009611</v>
      </c>
      <c r="R414" s="7">
        <v>35400</v>
      </c>
      <c r="S414" s="8">
        <f t="shared" si="48"/>
        <v>1996</v>
      </c>
      <c r="T414" s="8">
        <v>1996</v>
      </c>
      <c r="U414" s="8">
        <f t="shared" si="49"/>
        <v>26</v>
      </c>
      <c r="V414" s="7">
        <v>1996</v>
      </c>
      <c r="W414" t="s">
        <v>3767</v>
      </c>
      <c r="X414" s="2">
        <v>0.63100000000000001</v>
      </c>
      <c r="Y414" s="6">
        <f t="shared" si="50"/>
        <v>1.6844184618670086E-2</v>
      </c>
      <c r="AA414">
        <v>74977</v>
      </c>
      <c r="AB414">
        <v>26788</v>
      </c>
      <c r="AD414" t="s">
        <v>1</v>
      </c>
      <c r="AE414">
        <v>58</v>
      </c>
      <c r="AF414">
        <v>3</v>
      </c>
      <c r="AH414" t="s">
        <v>3766</v>
      </c>
      <c r="AI414" t="s">
        <v>3765</v>
      </c>
      <c r="AK414" t="s">
        <v>3764</v>
      </c>
      <c r="AL414">
        <v>21</v>
      </c>
      <c r="AM414" s="5">
        <f t="shared" si="51"/>
        <v>0.80769230769230771</v>
      </c>
      <c r="AN414" s="4">
        <f t="shared" si="52"/>
        <v>1.2233128476975504E-3</v>
      </c>
      <c r="AO414" s="3"/>
      <c r="AP414">
        <v>0</v>
      </c>
      <c r="AR414" t="s">
        <v>0</v>
      </c>
      <c r="AT414" s="2">
        <v>1.6319999999999999</v>
      </c>
      <c r="AU414" s="1">
        <f t="shared" si="53"/>
        <v>1.2157923087378324</v>
      </c>
      <c r="AV414" s="1">
        <f t="shared" si="54"/>
        <v>0.90337487331838184</v>
      </c>
      <c r="AW414" s="1">
        <f t="shared" si="55"/>
        <v>0.59095743789893107</v>
      </c>
    </row>
    <row r="415" spans="1:49" x14ac:dyDescent="0.2">
      <c r="A415">
        <v>413</v>
      </c>
      <c r="B415" t="s">
        <v>3763</v>
      </c>
      <c r="C415" t="s">
        <v>3762</v>
      </c>
      <c r="D415" t="s">
        <v>3761</v>
      </c>
      <c r="F415" t="s">
        <v>3760</v>
      </c>
      <c r="G415" t="s">
        <v>6</v>
      </c>
      <c r="H415" t="s">
        <v>5</v>
      </c>
      <c r="I415" t="s">
        <v>3759</v>
      </c>
      <c r="J415">
        <v>60021032</v>
      </c>
      <c r="K415" t="s">
        <v>2934</v>
      </c>
      <c r="L415" t="s">
        <v>2933</v>
      </c>
      <c r="M415" t="s">
        <v>2</v>
      </c>
      <c r="N415">
        <v>2</v>
      </c>
      <c r="O415" t="s">
        <v>3758</v>
      </c>
      <c r="P415" t="s">
        <v>3757</v>
      </c>
      <c r="Q415" t="s">
        <v>2930</v>
      </c>
      <c r="R415" s="7">
        <v>35400</v>
      </c>
      <c r="S415" s="8">
        <f t="shared" si="48"/>
        <v>1996</v>
      </c>
      <c r="T415" s="8">
        <v>1996</v>
      </c>
      <c r="U415" s="8">
        <f t="shared" si="49"/>
        <v>26</v>
      </c>
      <c r="V415" s="7">
        <v>1996</v>
      </c>
      <c r="W415" t="s">
        <v>711</v>
      </c>
      <c r="X415" s="2">
        <v>2.141</v>
      </c>
      <c r="Y415" s="6">
        <f t="shared" si="50"/>
        <v>5.7152772216438434E-2</v>
      </c>
      <c r="AA415">
        <v>1962892</v>
      </c>
      <c r="AB415">
        <v>17360</v>
      </c>
      <c r="AD415" t="s">
        <v>1</v>
      </c>
      <c r="AE415">
        <v>34</v>
      </c>
      <c r="AF415">
        <v>1</v>
      </c>
      <c r="AH415" t="s">
        <v>3756</v>
      </c>
      <c r="AI415" t="s">
        <v>3755</v>
      </c>
      <c r="AK415" t="s">
        <v>3754</v>
      </c>
      <c r="AL415">
        <v>173</v>
      </c>
      <c r="AM415" s="5">
        <f t="shared" si="51"/>
        <v>6.6538461538461542</v>
      </c>
      <c r="AN415" s="4">
        <f t="shared" si="52"/>
        <v>1.0077767745317916E-2</v>
      </c>
      <c r="AO415" s="3"/>
      <c r="AP415">
        <v>0</v>
      </c>
      <c r="AQ415" t="s">
        <v>716</v>
      </c>
      <c r="AR415" t="s">
        <v>3753</v>
      </c>
      <c r="AS415" t="s">
        <v>715</v>
      </c>
      <c r="AT415" s="2" t="s">
        <v>9</v>
      </c>
      <c r="AU415" s="1">
        <f t="shared" si="53"/>
        <v>4.3030270875102277</v>
      </c>
      <c r="AV415" s="1">
        <f t="shared" si="54"/>
        <v>3.3615269980878173</v>
      </c>
      <c r="AW415" s="1">
        <f t="shared" si="55"/>
        <v>2.4200269086654069</v>
      </c>
    </row>
    <row r="416" spans="1:49" x14ac:dyDescent="0.2">
      <c r="A416">
        <v>414</v>
      </c>
      <c r="B416" t="s">
        <v>3752</v>
      </c>
      <c r="C416" t="s">
        <v>3751</v>
      </c>
      <c r="D416" t="s">
        <v>3750</v>
      </c>
      <c r="F416" t="s">
        <v>3749</v>
      </c>
      <c r="G416" t="s">
        <v>6</v>
      </c>
      <c r="H416" t="s">
        <v>5</v>
      </c>
      <c r="I416" t="s">
        <v>3748</v>
      </c>
      <c r="J416">
        <v>60030813</v>
      </c>
      <c r="K416" t="s">
        <v>363</v>
      </c>
      <c r="L416" t="s">
        <v>362</v>
      </c>
      <c r="M416" t="s">
        <v>41</v>
      </c>
      <c r="N416">
        <v>4</v>
      </c>
      <c r="O416" t="s">
        <v>3747</v>
      </c>
      <c r="P416" t="s">
        <v>3746</v>
      </c>
      <c r="Q416" t="s">
        <v>3745</v>
      </c>
      <c r="R416" s="7">
        <v>35400</v>
      </c>
      <c r="S416" s="8">
        <f t="shared" si="48"/>
        <v>1996</v>
      </c>
      <c r="T416" s="8">
        <v>1996</v>
      </c>
      <c r="U416" s="8">
        <f t="shared" si="49"/>
        <v>26</v>
      </c>
      <c r="V416" s="7">
        <v>1996</v>
      </c>
      <c r="W416" t="s">
        <v>150</v>
      </c>
      <c r="X416" s="2">
        <v>1.6519999999999999</v>
      </c>
      <c r="Y416" s="6">
        <f t="shared" si="50"/>
        <v>4.409919649769093E-2</v>
      </c>
      <c r="AA416" t="s">
        <v>149</v>
      </c>
      <c r="AB416">
        <v>17337</v>
      </c>
      <c r="AD416" t="s">
        <v>1</v>
      </c>
      <c r="AE416">
        <v>44</v>
      </c>
      <c r="AF416">
        <v>1</v>
      </c>
      <c r="AH416" t="s">
        <v>3744</v>
      </c>
      <c r="AI416" t="s">
        <v>3743</v>
      </c>
      <c r="AK416" t="s">
        <v>3742</v>
      </c>
      <c r="AL416">
        <v>40</v>
      </c>
      <c r="AM416" s="5">
        <f t="shared" si="51"/>
        <v>1.5384615384615385</v>
      </c>
      <c r="AN416" s="4">
        <f t="shared" si="52"/>
        <v>2.3301197099000965E-3</v>
      </c>
      <c r="AO416" s="3"/>
      <c r="AP416">
        <v>0</v>
      </c>
      <c r="AR416" t="s">
        <v>0</v>
      </c>
      <c r="AT416" s="2" t="s">
        <v>9</v>
      </c>
      <c r="AU416" s="1">
        <f t="shared" si="53"/>
        <v>3.1568473461353679</v>
      </c>
      <c r="AV416" s="1">
        <f t="shared" si="54"/>
        <v>2.3214658103795514</v>
      </c>
      <c r="AW416" s="1">
        <f t="shared" si="55"/>
        <v>1.4860842746237346</v>
      </c>
    </row>
    <row r="417" spans="1:49" x14ac:dyDescent="0.2">
      <c r="A417">
        <v>415</v>
      </c>
      <c r="B417" t="s">
        <v>3741</v>
      </c>
      <c r="C417" t="s">
        <v>3740</v>
      </c>
      <c r="D417" t="s">
        <v>3739</v>
      </c>
      <c r="F417" t="s">
        <v>3738</v>
      </c>
      <c r="G417" t="s">
        <v>6</v>
      </c>
      <c r="H417" t="s">
        <v>5</v>
      </c>
      <c r="I417" t="s">
        <v>3737</v>
      </c>
      <c r="J417">
        <v>60025153</v>
      </c>
      <c r="K417" t="s">
        <v>3736</v>
      </c>
      <c r="L417" t="s">
        <v>3735</v>
      </c>
      <c r="M417" t="s">
        <v>42</v>
      </c>
      <c r="N417">
        <v>3</v>
      </c>
      <c r="O417" t="s">
        <v>3734</v>
      </c>
      <c r="P417" t="s">
        <v>3733</v>
      </c>
      <c r="Q417" t="s">
        <v>3732</v>
      </c>
      <c r="R417" s="7">
        <v>35400</v>
      </c>
      <c r="S417" s="8">
        <f t="shared" si="48"/>
        <v>1996</v>
      </c>
      <c r="T417" s="8">
        <v>1996</v>
      </c>
      <c r="U417" s="8">
        <f t="shared" si="49"/>
        <v>26</v>
      </c>
      <c r="V417" s="7">
        <v>1996</v>
      </c>
      <c r="W417" t="s">
        <v>694</v>
      </c>
      <c r="X417" s="2">
        <v>1.6379999999999999</v>
      </c>
      <c r="Y417" s="6">
        <f t="shared" si="50"/>
        <v>4.3725474493473214E-2</v>
      </c>
      <c r="AA417" t="s">
        <v>693</v>
      </c>
      <c r="AB417">
        <v>17391</v>
      </c>
      <c r="AD417" t="s">
        <v>1</v>
      </c>
      <c r="AE417">
        <v>44</v>
      </c>
      <c r="AF417">
        <v>1</v>
      </c>
      <c r="AH417" t="s">
        <v>85</v>
      </c>
      <c r="AI417" t="s">
        <v>3731</v>
      </c>
      <c r="AK417" t="s">
        <v>3730</v>
      </c>
      <c r="AL417">
        <v>280</v>
      </c>
      <c r="AM417" s="5">
        <f t="shared" si="51"/>
        <v>10.76923076923077</v>
      </c>
      <c r="AN417" s="4">
        <f t="shared" si="52"/>
        <v>1.6310837969300673E-2</v>
      </c>
      <c r="AO417" s="3"/>
      <c r="AP417">
        <v>0</v>
      </c>
      <c r="AR417" t="s">
        <v>0</v>
      </c>
      <c r="AT417" s="2">
        <v>4.931</v>
      </c>
      <c r="AU417" s="1">
        <f t="shared" si="53"/>
        <v>3.5501083536221452</v>
      </c>
      <c r="AV417" s="1">
        <f t="shared" si="54"/>
        <v>3.0018156231386941</v>
      </c>
      <c r="AW417" s="1">
        <f t="shared" si="55"/>
        <v>2.4535228926552435</v>
      </c>
    </row>
    <row r="418" spans="1:49" x14ac:dyDescent="0.2">
      <c r="A418">
        <v>416</v>
      </c>
      <c r="B418" t="s">
        <v>3729</v>
      </c>
      <c r="C418" t="s">
        <v>3728</v>
      </c>
      <c r="D418" t="s">
        <v>3727</v>
      </c>
      <c r="F418" t="s">
        <v>3726</v>
      </c>
      <c r="G418" t="s">
        <v>6</v>
      </c>
      <c r="H418" t="s">
        <v>5</v>
      </c>
      <c r="I418" t="s">
        <v>3725</v>
      </c>
      <c r="J418" t="s">
        <v>3724</v>
      </c>
      <c r="K418" t="s">
        <v>3723</v>
      </c>
      <c r="L418" t="s">
        <v>3722</v>
      </c>
      <c r="M418" t="s">
        <v>81</v>
      </c>
      <c r="N418">
        <v>3</v>
      </c>
      <c r="O418" t="s">
        <v>3721</v>
      </c>
      <c r="P418" t="s">
        <v>3720</v>
      </c>
      <c r="Q418" t="s">
        <v>3719</v>
      </c>
      <c r="R418" s="7">
        <v>35400</v>
      </c>
      <c r="S418" s="8">
        <f t="shared" si="48"/>
        <v>1996</v>
      </c>
      <c r="T418" s="8">
        <v>1996</v>
      </c>
      <c r="U418" s="8">
        <f t="shared" si="49"/>
        <v>26</v>
      </c>
      <c r="V418" s="7">
        <v>1996</v>
      </c>
      <c r="W418" t="s">
        <v>150</v>
      </c>
      <c r="X418" s="2">
        <v>1.6519999999999999</v>
      </c>
      <c r="Y418" s="6">
        <f t="shared" si="50"/>
        <v>4.409919649769093E-2</v>
      </c>
      <c r="AA418" t="s">
        <v>149</v>
      </c>
      <c r="AB418">
        <v>17337</v>
      </c>
      <c r="AD418" t="s">
        <v>1</v>
      </c>
      <c r="AE418">
        <v>44</v>
      </c>
      <c r="AF418">
        <v>1</v>
      </c>
      <c r="AH418" t="s">
        <v>115</v>
      </c>
      <c r="AI418" t="s">
        <v>3718</v>
      </c>
      <c r="AK418" t="s">
        <v>3717</v>
      </c>
      <c r="AL418">
        <v>18</v>
      </c>
      <c r="AM418" s="5">
        <f t="shared" si="51"/>
        <v>0.69230769230769229</v>
      </c>
      <c r="AN418" s="4">
        <f t="shared" si="52"/>
        <v>1.0485538694550431E-3</v>
      </c>
      <c r="AO418" s="3"/>
      <c r="AP418">
        <v>0</v>
      </c>
      <c r="AQ418" t="s">
        <v>80</v>
      </c>
      <c r="AR418" t="s">
        <v>0</v>
      </c>
      <c r="AS418" t="s">
        <v>622</v>
      </c>
      <c r="AT418" s="2" t="s">
        <v>9</v>
      </c>
      <c r="AU418" s="1">
        <f t="shared" si="53"/>
        <v>3.1184003709220165</v>
      </c>
      <c r="AV418" s="1">
        <f t="shared" si="54"/>
        <v>2.2573875183572989</v>
      </c>
      <c r="AW418" s="1">
        <f t="shared" si="55"/>
        <v>1.3963746657925808</v>
      </c>
    </row>
    <row r="419" spans="1:49" x14ac:dyDescent="0.2">
      <c r="A419">
        <v>417</v>
      </c>
      <c r="B419" t="s">
        <v>3716</v>
      </c>
      <c r="F419" t="s">
        <v>3715</v>
      </c>
      <c r="G419" t="s">
        <v>6</v>
      </c>
      <c r="H419" t="s">
        <v>5</v>
      </c>
      <c r="I419" t="s">
        <v>3714</v>
      </c>
      <c r="J419" t="s">
        <v>3709</v>
      </c>
      <c r="K419" t="s">
        <v>3713</v>
      </c>
      <c r="L419" t="s">
        <v>3712</v>
      </c>
      <c r="M419" t="s">
        <v>51</v>
      </c>
      <c r="N419">
        <v>2</v>
      </c>
      <c r="O419" t="s">
        <v>3711</v>
      </c>
      <c r="P419" t="s">
        <v>3710</v>
      </c>
      <c r="Q419" t="s">
        <v>3709</v>
      </c>
      <c r="R419" s="7">
        <v>35400</v>
      </c>
      <c r="S419" s="8">
        <f t="shared" si="48"/>
        <v>1996</v>
      </c>
      <c r="T419" s="8">
        <v>1996</v>
      </c>
      <c r="U419" s="8">
        <f t="shared" si="49"/>
        <v>26</v>
      </c>
      <c r="V419" s="7">
        <v>1996</v>
      </c>
      <c r="W419" t="s">
        <v>3708</v>
      </c>
      <c r="X419" s="2">
        <v>0.10199999999999999</v>
      </c>
      <c r="Y419" s="6">
        <f t="shared" si="50"/>
        <v>2.7228317450148152E-3</v>
      </c>
      <c r="AA419">
        <v>13420054</v>
      </c>
      <c r="AB419">
        <v>74822</v>
      </c>
      <c r="AD419" t="s">
        <v>1</v>
      </c>
      <c r="AF419">
        <v>1</v>
      </c>
      <c r="AH419" s="9">
        <v>44409</v>
      </c>
      <c r="AI419" t="s">
        <v>3707</v>
      </c>
      <c r="AJ419" t="s">
        <v>3706</v>
      </c>
      <c r="AK419" t="s">
        <v>3705</v>
      </c>
      <c r="AL419">
        <v>3</v>
      </c>
      <c r="AM419" s="5">
        <f t="shared" si="51"/>
        <v>0.11538461538461539</v>
      </c>
      <c r="AN419" s="4">
        <f t="shared" si="52"/>
        <v>1.7475897824250722E-4</v>
      </c>
      <c r="AO419" s="3"/>
      <c r="AP419">
        <v>0</v>
      </c>
      <c r="AR419" t="s">
        <v>0</v>
      </c>
      <c r="AT419" s="2" t="s">
        <v>9</v>
      </c>
      <c r="AU419" s="1">
        <f t="shared" si="53"/>
        <v>0.19584099149831227</v>
      </c>
      <c r="AV419" s="1">
        <f t="shared" si="54"/>
        <v>0.14487953616286611</v>
      </c>
      <c r="AW419" s="1">
        <f t="shared" si="55"/>
        <v>9.3918080827419953E-2</v>
      </c>
    </row>
    <row r="420" spans="1:49" x14ac:dyDescent="0.2">
      <c r="A420">
        <v>418</v>
      </c>
      <c r="B420" t="s">
        <v>3704</v>
      </c>
      <c r="C420" t="s">
        <v>3703</v>
      </c>
      <c r="D420" t="s">
        <v>3702</v>
      </c>
      <c r="F420" t="s">
        <v>3701</v>
      </c>
      <c r="G420" t="s">
        <v>6</v>
      </c>
      <c r="H420" t="s">
        <v>5</v>
      </c>
      <c r="I420" t="s">
        <v>3700</v>
      </c>
      <c r="J420">
        <v>60076904</v>
      </c>
      <c r="K420" t="s">
        <v>157</v>
      </c>
      <c r="L420" t="s">
        <v>156</v>
      </c>
      <c r="M420" t="s">
        <v>2</v>
      </c>
      <c r="N420">
        <v>1</v>
      </c>
      <c r="O420" t="s">
        <v>3699</v>
      </c>
      <c r="P420">
        <v>7005725380</v>
      </c>
      <c r="Q420">
        <v>60076904</v>
      </c>
      <c r="R420" s="7">
        <v>35400</v>
      </c>
      <c r="S420" s="8">
        <f t="shared" si="48"/>
        <v>1996</v>
      </c>
      <c r="T420" s="8">
        <v>1996</v>
      </c>
      <c r="U420" s="8">
        <f t="shared" si="49"/>
        <v>26</v>
      </c>
      <c r="V420" s="7">
        <v>1996</v>
      </c>
      <c r="W420" t="s">
        <v>150</v>
      </c>
      <c r="X420" s="2">
        <v>1.6519999999999999</v>
      </c>
      <c r="Y420" s="6">
        <f t="shared" si="50"/>
        <v>4.409919649769093E-2</v>
      </c>
      <c r="AA420" t="s">
        <v>149</v>
      </c>
      <c r="AB420">
        <v>17337</v>
      </c>
      <c r="AD420" t="s">
        <v>1</v>
      </c>
      <c r="AE420">
        <v>44</v>
      </c>
      <c r="AF420" t="s">
        <v>3550</v>
      </c>
      <c r="AH420" t="s">
        <v>3698</v>
      </c>
      <c r="AI420" t="s">
        <v>3697</v>
      </c>
      <c r="AK420" t="s">
        <v>3696</v>
      </c>
      <c r="AL420">
        <v>11</v>
      </c>
      <c r="AM420" s="5">
        <f t="shared" si="51"/>
        <v>0.42307692307692307</v>
      </c>
      <c r="AN420" s="4">
        <f t="shared" si="52"/>
        <v>6.4078292022252644E-4</v>
      </c>
      <c r="AO420" s="3"/>
      <c r="AP420">
        <v>0</v>
      </c>
      <c r="AR420" t="s">
        <v>0</v>
      </c>
      <c r="AT420" s="2" t="s">
        <v>9</v>
      </c>
      <c r="AU420" s="1">
        <f t="shared" si="53"/>
        <v>3.1061672424450406</v>
      </c>
      <c r="AV420" s="1">
        <f t="shared" si="54"/>
        <v>2.236998970895673</v>
      </c>
      <c r="AW420" s="1">
        <f t="shared" si="55"/>
        <v>1.3678306993463045</v>
      </c>
    </row>
    <row r="421" spans="1:49" x14ac:dyDescent="0.2">
      <c r="A421">
        <v>419</v>
      </c>
      <c r="B421" t="s">
        <v>3695</v>
      </c>
      <c r="C421" t="s">
        <v>3694</v>
      </c>
      <c r="D421" t="s">
        <v>3693</v>
      </c>
      <c r="F421" t="s">
        <v>3692</v>
      </c>
      <c r="G421" t="s">
        <v>6</v>
      </c>
      <c r="H421" t="s">
        <v>5</v>
      </c>
      <c r="I421" t="s">
        <v>3691</v>
      </c>
      <c r="J421">
        <v>60017536</v>
      </c>
      <c r="K421" t="s">
        <v>3690</v>
      </c>
      <c r="L421" t="s">
        <v>52</v>
      </c>
      <c r="M421" t="s">
        <v>2</v>
      </c>
      <c r="N421">
        <v>3</v>
      </c>
      <c r="O421" t="s">
        <v>3689</v>
      </c>
      <c r="P421" t="s">
        <v>3688</v>
      </c>
      <c r="Q421" t="s">
        <v>3687</v>
      </c>
      <c r="R421" s="7">
        <v>35400</v>
      </c>
      <c r="S421" s="8">
        <f t="shared" si="48"/>
        <v>1996</v>
      </c>
      <c r="T421" s="8">
        <v>1996</v>
      </c>
      <c r="U421" s="8">
        <f t="shared" si="49"/>
        <v>26</v>
      </c>
      <c r="V421" s="7">
        <v>1996</v>
      </c>
      <c r="W421" t="s">
        <v>150</v>
      </c>
      <c r="X421" s="2">
        <v>1.6519999999999999</v>
      </c>
      <c r="Y421" s="6">
        <f t="shared" si="50"/>
        <v>4.409919649769093E-2</v>
      </c>
      <c r="AA421" t="s">
        <v>149</v>
      </c>
      <c r="AB421">
        <v>17337</v>
      </c>
      <c r="AD421" t="s">
        <v>1</v>
      </c>
      <c r="AE421">
        <v>44</v>
      </c>
      <c r="AF421">
        <v>10</v>
      </c>
      <c r="AH421" t="s">
        <v>3686</v>
      </c>
      <c r="AI421" t="s">
        <v>3685</v>
      </c>
      <c r="AK421" t="s">
        <v>3684</v>
      </c>
      <c r="AL421">
        <v>16</v>
      </c>
      <c r="AM421" s="5">
        <f t="shared" si="51"/>
        <v>0.61538461538461542</v>
      </c>
      <c r="AN421" s="4">
        <f t="shared" si="52"/>
        <v>9.320478839600385E-4</v>
      </c>
      <c r="AO421" s="3"/>
      <c r="AP421">
        <v>0</v>
      </c>
      <c r="AR421" t="s">
        <v>0</v>
      </c>
      <c r="AT421" s="2" t="s">
        <v>9</v>
      </c>
      <c r="AU421" s="1">
        <f t="shared" si="53"/>
        <v>3.1149051913571664</v>
      </c>
      <c r="AV421" s="1">
        <f t="shared" si="54"/>
        <v>2.2515622190825484</v>
      </c>
      <c r="AW421" s="1">
        <f t="shared" si="55"/>
        <v>1.3882192468079304</v>
      </c>
    </row>
    <row r="422" spans="1:49" x14ac:dyDescent="0.2">
      <c r="A422">
        <v>420</v>
      </c>
      <c r="B422" t="s">
        <v>3683</v>
      </c>
      <c r="F422" t="s">
        <v>3682</v>
      </c>
      <c r="G422" t="s">
        <v>6</v>
      </c>
      <c r="H422" t="s">
        <v>5</v>
      </c>
      <c r="I422" t="s">
        <v>3681</v>
      </c>
      <c r="J422">
        <v>60019106</v>
      </c>
      <c r="K422" t="s">
        <v>3680</v>
      </c>
      <c r="L422" t="s">
        <v>2692</v>
      </c>
      <c r="M422" t="s">
        <v>86</v>
      </c>
      <c r="N422">
        <v>2</v>
      </c>
      <c r="O422" t="s">
        <v>3679</v>
      </c>
      <c r="P422" t="s">
        <v>3678</v>
      </c>
      <c r="Q422" t="s">
        <v>3677</v>
      </c>
      <c r="R422" s="7">
        <v>35400</v>
      </c>
      <c r="S422" s="8">
        <f t="shared" si="48"/>
        <v>1996</v>
      </c>
      <c r="T422" s="8">
        <v>1996</v>
      </c>
      <c r="U422" s="8">
        <f t="shared" si="49"/>
        <v>26</v>
      </c>
      <c r="V422" s="7">
        <v>35400</v>
      </c>
      <c r="W422" t="s">
        <v>607</v>
      </c>
      <c r="X422" s="2">
        <v>0.112</v>
      </c>
      <c r="Y422" s="6">
        <f t="shared" si="50"/>
        <v>2.9897760337417581E-3</v>
      </c>
      <c r="AA422">
        <v>3678393</v>
      </c>
      <c r="AB422">
        <v>4800153103</v>
      </c>
      <c r="AD422" t="s">
        <v>1</v>
      </c>
      <c r="AE422">
        <v>25</v>
      </c>
      <c r="AF422">
        <v>6</v>
      </c>
      <c r="AH422" t="s">
        <v>3676</v>
      </c>
      <c r="AI422" t="s">
        <v>3675</v>
      </c>
      <c r="AK422" t="s">
        <v>3674</v>
      </c>
      <c r="AL422">
        <v>1</v>
      </c>
      <c r="AM422" s="5">
        <f t="shared" si="51"/>
        <v>3.8461538461538464E-2</v>
      </c>
      <c r="AN422" s="4">
        <f t="shared" si="52"/>
        <v>5.8252992747502406E-5</v>
      </c>
      <c r="AO422" s="3"/>
      <c r="AP422">
        <v>0</v>
      </c>
      <c r="AR422" t="s">
        <v>0</v>
      </c>
      <c r="AT422" s="2" t="s">
        <v>9</v>
      </c>
      <c r="AU422" s="1">
        <f t="shared" si="53"/>
        <v>0.2110319121443481</v>
      </c>
      <c r="AV422" s="1">
        <f t="shared" si="54"/>
        <v>0.15240145132446301</v>
      </c>
      <c r="AW422" s="1">
        <f t="shared" si="55"/>
        <v>9.3770990504577906E-2</v>
      </c>
    </row>
    <row r="423" spans="1:49" x14ac:dyDescent="0.2">
      <c r="A423">
        <v>421</v>
      </c>
      <c r="B423" t="s">
        <v>3673</v>
      </c>
      <c r="C423" t="s">
        <v>3672</v>
      </c>
      <c r="D423" t="s">
        <v>3671</v>
      </c>
      <c r="F423" t="s">
        <v>3670</v>
      </c>
      <c r="G423" t="s">
        <v>6</v>
      </c>
      <c r="H423" t="s">
        <v>5</v>
      </c>
      <c r="I423" t="s">
        <v>3669</v>
      </c>
      <c r="J423">
        <v>60013959</v>
      </c>
      <c r="K423" t="s">
        <v>3668</v>
      </c>
      <c r="L423" t="s">
        <v>3667</v>
      </c>
      <c r="M423" t="s">
        <v>2</v>
      </c>
      <c r="N423">
        <v>5</v>
      </c>
      <c r="O423" t="s">
        <v>3666</v>
      </c>
      <c r="P423" t="s">
        <v>3665</v>
      </c>
      <c r="Q423" t="s">
        <v>3664</v>
      </c>
      <c r="R423" s="7">
        <v>35400</v>
      </c>
      <c r="S423" s="8">
        <f t="shared" si="48"/>
        <v>1996</v>
      </c>
      <c r="T423" s="8">
        <v>1996</v>
      </c>
      <c r="U423" s="8">
        <f t="shared" si="49"/>
        <v>26</v>
      </c>
      <c r="V423" s="7">
        <v>35400</v>
      </c>
      <c r="W423" t="s">
        <v>2382</v>
      </c>
      <c r="X423" s="2" t="s">
        <v>9</v>
      </c>
      <c r="Y423" s="6" t="e">
        <f t="shared" si="50"/>
        <v>#VALUE!</v>
      </c>
      <c r="AA423">
        <v>9215107</v>
      </c>
      <c r="AB423">
        <v>17812</v>
      </c>
      <c r="AD423" t="s">
        <v>1</v>
      </c>
      <c r="AE423">
        <v>41</v>
      </c>
      <c r="AF423">
        <v>3</v>
      </c>
      <c r="AH423" t="s">
        <v>3663</v>
      </c>
      <c r="AI423" t="s">
        <v>3662</v>
      </c>
      <c r="AJ423" t="s">
        <v>3661</v>
      </c>
      <c r="AK423" t="s">
        <v>3660</v>
      </c>
      <c r="AL423">
        <v>5</v>
      </c>
      <c r="AM423" s="5">
        <f t="shared" si="51"/>
        <v>0.19230769230769232</v>
      </c>
      <c r="AN423" s="4">
        <f t="shared" si="52"/>
        <v>2.9126496373751206E-4</v>
      </c>
      <c r="AO423" s="3"/>
      <c r="AP423">
        <v>0</v>
      </c>
      <c r="AR423" t="s">
        <v>0</v>
      </c>
      <c r="AT423" s="2" t="s">
        <v>9</v>
      </c>
      <c r="AU423" s="1" t="e">
        <f t="shared" si="53"/>
        <v>#VALUE!</v>
      </c>
      <c r="AV423" s="1" t="e">
        <f t="shared" si="54"/>
        <v>#VALUE!</v>
      </c>
      <c r="AW423" s="1" t="e">
        <f t="shared" si="55"/>
        <v>#VALUE!</v>
      </c>
    </row>
    <row r="424" spans="1:49" x14ac:dyDescent="0.2">
      <c r="A424">
        <v>422</v>
      </c>
      <c r="B424" t="s">
        <v>3659</v>
      </c>
      <c r="F424" t="s">
        <v>3658</v>
      </c>
      <c r="G424" t="s">
        <v>6</v>
      </c>
      <c r="H424" t="s">
        <v>5</v>
      </c>
      <c r="I424" t="s">
        <v>3657</v>
      </c>
      <c r="J424" t="s">
        <v>3656</v>
      </c>
      <c r="K424" t="s">
        <v>3655</v>
      </c>
      <c r="L424" t="s">
        <v>3654</v>
      </c>
      <c r="M424" t="s">
        <v>61</v>
      </c>
      <c r="N424">
        <v>16</v>
      </c>
      <c r="O424" t="s">
        <v>3653</v>
      </c>
      <c r="P424" t="s">
        <v>3652</v>
      </c>
      <c r="Q424" t="s">
        <v>3651</v>
      </c>
      <c r="R424" s="7">
        <v>35400</v>
      </c>
      <c r="S424" s="8">
        <f t="shared" si="48"/>
        <v>1996</v>
      </c>
      <c r="T424" s="8">
        <v>1996</v>
      </c>
      <c r="U424" s="8">
        <f t="shared" si="49"/>
        <v>26</v>
      </c>
      <c r="V424" s="7">
        <v>35400</v>
      </c>
      <c r="W424" t="s">
        <v>1207</v>
      </c>
      <c r="X424" s="2">
        <v>2.137</v>
      </c>
      <c r="Y424" s="6">
        <f t="shared" si="50"/>
        <v>5.7045994500947654E-2</v>
      </c>
      <c r="AA424">
        <v>46361</v>
      </c>
      <c r="AB424">
        <v>26750</v>
      </c>
      <c r="AD424" t="s">
        <v>1</v>
      </c>
      <c r="AE424">
        <v>316</v>
      </c>
      <c r="AF424">
        <v>1</v>
      </c>
      <c r="AH424" t="s">
        <v>3650</v>
      </c>
      <c r="AI424" t="s">
        <v>3649</v>
      </c>
      <c r="AJ424" t="s">
        <v>3648</v>
      </c>
      <c r="AK424" t="s">
        <v>3647</v>
      </c>
      <c r="AL424">
        <v>5</v>
      </c>
      <c r="AM424" s="5">
        <f t="shared" si="51"/>
        <v>0.19230769230769232</v>
      </c>
      <c r="AN424" s="4">
        <f t="shared" si="52"/>
        <v>2.9126496373751206E-4</v>
      </c>
      <c r="AO424" s="3"/>
      <c r="AP424">
        <v>0</v>
      </c>
      <c r="AR424" t="s">
        <v>0</v>
      </c>
      <c r="AT424" s="2" t="s">
        <v>9</v>
      </c>
      <c r="AU424" s="1">
        <f t="shared" si="53"/>
        <v>4.0019575639784613</v>
      </c>
      <c r="AV424" s="1">
        <f t="shared" si="54"/>
        <v>2.8668629732342583</v>
      </c>
      <c r="AW424" s="1">
        <f t="shared" si="55"/>
        <v>1.7317683824900552</v>
      </c>
    </row>
    <row r="425" spans="1:49" x14ac:dyDescent="0.2">
      <c r="A425">
        <v>423</v>
      </c>
      <c r="B425" t="s">
        <v>3646</v>
      </c>
      <c r="F425" t="s">
        <v>3645</v>
      </c>
      <c r="G425" t="s">
        <v>6</v>
      </c>
      <c r="H425" t="s">
        <v>5</v>
      </c>
      <c r="I425" t="s">
        <v>3644</v>
      </c>
      <c r="J425" t="s">
        <v>3643</v>
      </c>
      <c r="K425" t="s">
        <v>3642</v>
      </c>
      <c r="L425" t="s">
        <v>446</v>
      </c>
      <c r="M425" t="s">
        <v>445</v>
      </c>
      <c r="N425">
        <v>3</v>
      </c>
      <c r="O425" t="s">
        <v>3641</v>
      </c>
      <c r="P425" t="s">
        <v>3640</v>
      </c>
      <c r="Q425" t="s">
        <v>3639</v>
      </c>
      <c r="R425" s="7">
        <v>35400</v>
      </c>
      <c r="S425" s="8">
        <f t="shared" si="48"/>
        <v>1996</v>
      </c>
      <c r="T425" s="8">
        <v>1996</v>
      </c>
      <c r="U425" s="8">
        <f t="shared" si="49"/>
        <v>26</v>
      </c>
      <c r="V425" s="7">
        <v>1996</v>
      </c>
      <c r="W425" t="s">
        <v>3638</v>
      </c>
      <c r="X425" s="2" t="s">
        <v>9</v>
      </c>
      <c r="Y425" s="6" t="e">
        <f t="shared" si="50"/>
        <v>#VALUE!</v>
      </c>
      <c r="AA425">
        <v>10693513</v>
      </c>
      <c r="AB425">
        <v>28604</v>
      </c>
      <c r="AD425" t="s">
        <v>1</v>
      </c>
      <c r="AE425">
        <v>31</v>
      </c>
      <c r="AF425">
        <v>9</v>
      </c>
      <c r="AH425" t="s">
        <v>3637</v>
      </c>
      <c r="AI425" t="s">
        <v>3636</v>
      </c>
      <c r="AK425" t="s">
        <v>3635</v>
      </c>
      <c r="AL425">
        <v>1</v>
      </c>
      <c r="AM425" s="5">
        <f t="shared" si="51"/>
        <v>3.8461538461538464E-2</v>
      </c>
      <c r="AN425" s="4">
        <f t="shared" si="52"/>
        <v>5.8252992747502406E-5</v>
      </c>
      <c r="AO425" s="3"/>
      <c r="AP425">
        <v>0</v>
      </c>
      <c r="AR425" t="s">
        <v>0</v>
      </c>
      <c r="AT425" s="2" t="s">
        <v>9</v>
      </c>
      <c r="AU425" s="1" t="e">
        <f t="shared" si="53"/>
        <v>#VALUE!</v>
      </c>
      <c r="AV425" s="1" t="e">
        <f t="shared" si="54"/>
        <v>#VALUE!</v>
      </c>
      <c r="AW425" s="1" t="e">
        <f t="shared" si="55"/>
        <v>#VALUE!</v>
      </c>
    </row>
    <row r="426" spans="1:49" x14ac:dyDescent="0.2">
      <c r="A426">
        <v>424</v>
      </c>
      <c r="B426" t="s">
        <v>3634</v>
      </c>
      <c r="F426" t="s">
        <v>3633</v>
      </c>
      <c r="G426" t="s">
        <v>6</v>
      </c>
      <c r="H426" t="s">
        <v>5</v>
      </c>
      <c r="I426" t="s">
        <v>3632</v>
      </c>
      <c r="J426">
        <v>60021331</v>
      </c>
      <c r="K426" t="s">
        <v>494</v>
      </c>
      <c r="L426" t="s">
        <v>98</v>
      </c>
      <c r="M426" t="s">
        <v>97</v>
      </c>
      <c r="N426">
        <v>4</v>
      </c>
      <c r="O426" t="s">
        <v>3631</v>
      </c>
      <c r="P426" t="s">
        <v>3630</v>
      </c>
      <c r="Q426" t="s">
        <v>493</v>
      </c>
      <c r="R426" s="7">
        <v>35400</v>
      </c>
      <c r="S426" s="8">
        <f t="shared" si="48"/>
        <v>1996</v>
      </c>
      <c r="T426" s="8">
        <v>1996</v>
      </c>
      <c r="U426" s="8">
        <f t="shared" si="49"/>
        <v>26</v>
      </c>
      <c r="V426" s="7">
        <v>1996</v>
      </c>
      <c r="W426" t="s">
        <v>3629</v>
      </c>
      <c r="X426" s="2">
        <v>0.747</v>
      </c>
      <c r="Y426" s="6">
        <f t="shared" si="50"/>
        <v>1.9940738367902621E-2</v>
      </c>
      <c r="AA426">
        <v>62979</v>
      </c>
      <c r="AB426">
        <v>16869</v>
      </c>
      <c r="AD426" t="s">
        <v>1</v>
      </c>
      <c r="AE426">
        <v>61</v>
      </c>
      <c r="AF426">
        <v>3</v>
      </c>
      <c r="AH426" t="s">
        <v>3628</v>
      </c>
      <c r="AI426" t="s">
        <v>3627</v>
      </c>
      <c r="AJ426" t="s">
        <v>3626</v>
      </c>
      <c r="AK426" t="s">
        <v>3625</v>
      </c>
      <c r="AL426">
        <v>5</v>
      </c>
      <c r="AM426" s="5">
        <f t="shared" si="51"/>
        <v>0.19230769230769232</v>
      </c>
      <c r="AN426" s="4">
        <f t="shared" si="52"/>
        <v>2.9126496373751206E-4</v>
      </c>
      <c r="AO426" s="3"/>
      <c r="AP426">
        <v>0</v>
      </c>
      <c r="AR426" t="s">
        <v>0</v>
      </c>
      <c r="AT426" s="2" t="s">
        <v>9</v>
      </c>
      <c r="AU426" s="1">
        <f t="shared" si="53"/>
        <v>1.4045896346653088</v>
      </c>
      <c r="AV426" s="1">
        <f t="shared" si="54"/>
        <v>1.0116001665820067</v>
      </c>
      <c r="AW426" s="1">
        <f t="shared" si="55"/>
        <v>0.61861069849870443</v>
      </c>
    </row>
    <row r="427" spans="1:49" x14ac:dyDescent="0.2">
      <c r="A427">
        <v>425</v>
      </c>
      <c r="B427" t="s">
        <v>3624</v>
      </c>
      <c r="C427" t="s">
        <v>3623</v>
      </c>
      <c r="D427" t="s">
        <v>3622</v>
      </c>
      <c r="F427" t="s">
        <v>3621</v>
      </c>
      <c r="G427" t="s">
        <v>6</v>
      </c>
      <c r="H427" t="s">
        <v>5</v>
      </c>
      <c r="I427" t="s">
        <v>3620</v>
      </c>
      <c r="J427" t="s">
        <v>3619</v>
      </c>
      <c r="K427" t="s">
        <v>3618</v>
      </c>
      <c r="L427" t="s">
        <v>3617</v>
      </c>
      <c r="M427" t="s">
        <v>124</v>
      </c>
      <c r="N427">
        <v>7</v>
      </c>
      <c r="O427" t="s">
        <v>3616</v>
      </c>
      <c r="P427" t="s">
        <v>3615</v>
      </c>
      <c r="Q427" t="s">
        <v>3614</v>
      </c>
      <c r="R427" s="7">
        <v>35400</v>
      </c>
      <c r="S427" s="8">
        <f t="shared" si="48"/>
        <v>1996</v>
      </c>
      <c r="T427" s="8">
        <v>1996</v>
      </c>
      <c r="U427" s="8">
        <f t="shared" si="49"/>
        <v>26</v>
      </c>
      <c r="V427" s="7">
        <v>1996</v>
      </c>
      <c r="W427" t="s">
        <v>1132</v>
      </c>
      <c r="X427" s="2">
        <v>1.1819999999999999</v>
      </c>
      <c r="Y427" s="6">
        <f t="shared" si="50"/>
        <v>3.1552814927524625E-2</v>
      </c>
      <c r="AA427">
        <v>36951</v>
      </c>
      <c r="AB427">
        <v>27030</v>
      </c>
      <c r="AD427" t="s">
        <v>1</v>
      </c>
      <c r="AE427">
        <v>68</v>
      </c>
      <c r="AF427">
        <v>24</v>
      </c>
      <c r="AH427" t="s">
        <v>3613</v>
      </c>
      <c r="AI427" t="s">
        <v>3612</v>
      </c>
      <c r="AK427" t="s">
        <v>3611</v>
      </c>
      <c r="AL427">
        <v>13</v>
      </c>
      <c r="AM427" s="5">
        <f t="shared" si="51"/>
        <v>0.5</v>
      </c>
      <c r="AN427" s="4">
        <f t="shared" si="52"/>
        <v>7.572889057175312E-4</v>
      </c>
      <c r="AO427" s="3"/>
      <c r="AP427">
        <v>0</v>
      </c>
      <c r="AR427" t="s">
        <v>0</v>
      </c>
      <c r="AT427" s="2">
        <v>3.7909999999999999</v>
      </c>
      <c r="AU427" s="1">
        <f t="shared" si="53"/>
        <v>2.2314157120982494</v>
      </c>
      <c r="AV427" s="1">
        <f t="shared" si="54"/>
        <v>1.6155051916621077</v>
      </c>
      <c r="AW427" s="1">
        <f t="shared" si="55"/>
        <v>0.99959467122596601</v>
      </c>
    </row>
    <row r="428" spans="1:49" x14ac:dyDescent="0.2">
      <c r="A428">
        <v>426</v>
      </c>
      <c r="B428" t="s">
        <v>3610</v>
      </c>
      <c r="C428" t="s">
        <v>3609</v>
      </c>
      <c r="D428" t="s">
        <v>3608</v>
      </c>
      <c r="F428" t="s">
        <v>3607</v>
      </c>
      <c r="G428" t="s">
        <v>6</v>
      </c>
      <c r="H428" t="s">
        <v>5</v>
      </c>
      <c r="I428" t="s">
        <v>3606</v>
      </c>
      <c r="J428" t="s">
        <v>3605</v>
      </c>
      <c r="K428" t="s">
        <v>3604</v>
      </c>
      <c r="L428" t="s">
        <v>446</v>
      </c>
      <c r="M428" t="s">
        <v>445</v>
      </c>
      <c r="N428">
        <v>4</v>
      </c>
      <c r="O428" t="s">
        <v>3603</v>
      </c>
      <c r="P428" t="s">
        <v>3602</v>
      </c>
      <c r="Q428" t="s">
        <v>3601</v>
      </c>
      <c r="R428" s="7">
        <v>35400</v>
      </c>
      <c r="S428" s="8">
        <f t="shared" si="48"/>
        <v>1996</v>
      </c>
      <c r="T428" s="8">
        <v>1996</v>
      </c>
      <c r="U428" s="8">
        <f t="shared" si="49"/>
        <v>26</v>
      </c>
      <c r="V428" s="7">
        <v>1996</v>
      </c>
      <c r="W428" t="s">
        <v>1132</v>
      </c>
      <c r="X428" s="2">
        <v>1.1819999999999999</v>
      </c>
      <c r="Y428" s="6">
        <f t="shared" si="50"/>
        <v>3.1552814927524625E-2</v>
      </c>
      <c r="AA428">
        <v>36951</v>
      </c>
      <c r="AB428">
        <v>27030</v>
      </c>
      <c r="AD428" t="s">
        <v>1</v>
      </c>
      <c r="AE428">
        <v>68</v>
      </c>
      <c r="AF428">
        <v>16</v>
      </c>
      <c r="AH428" t="s">
        <v>3600</v>
      </c>
      <c r="AI428" t="s">
        <v>3599</v>
      </c>
      <c r="AK428" t="s">
        <v>3598</v>
      </c>
      <c r="AL428">
        <v>14</v>
      </c>
      <c r="AM428" s="5">
        <f t="shared" si="51"/>
        <v>0.53846153846153844</v>
      </c>
      <c r="AN428" s="4">
        <f t="shared" si="52"/>
        <v>8.1554189846503363E-4</v>
      </c>
      <c r="AO428" s="3"/>
      <c r="AP428">
        <v>0</v>
      </c>
      <c r="AR428" t="s">
        <v>0</v>
      </c>
      <c r="AT428" s="2">
        <v>3.7909999999999999</v>
      </c>
      <c r="AU428" s="1">
        <f t="shared" si="53"/>
        <v>2.2331633018806745</v>
      </c>
      <c r="AV428" s="1">
        <f t="shared" si="54"/>
        <v>1.618417841299483</v>
      </c>
      <c r="AW428" s="1">
        <f t="shared" si="55"/>
        <v>1.0036723807182912</v>
      </c>
    </row>
    <row r="429" spans="1:49" x14ac:dyDescent="0.2">
      <c r="A429">
        <v>427</v>
      </c>
      <c r="B429" t="s">
        <v>3597</v>
      </c>
      <c r="C429" t="s">
        <v>3596</v>
      </c>
      <c r="D429" t="s">
        <v>3595</v>
      </c>
      <c r="F429" t="s">
        <v>3594</v>
      </c>
      <c r="G429" t="s">
        <v>6</v>
      </c>
      <c r="H429" t="s">
        <v>5</v>
      </c>
      <c r="I429" t="s">
        <v>166</v>
      </c>
      <c r="J429">
        <v>60038812</v>
      </c>
      <c r="K429" t="s">
        <v>165</v>
      </c>
      <c r="L429" t="s">
        <v>164</v>
      </c>
      <c r="M429" t="s">
        <v>163</v>
      </c>
      <c r="N429">
        <v>1</v>
      </c>
      <c r="O429" t="s">
        <v>3593</v>
      </c>
      <c r="P429">
        <v>35581830600</v>
      </c>
      <c r="Q429">
        <v>60038812</v>
      </c>
      <c r="R429" s="7">
        <v>35400</v>
      </c>
      <c r="S429" s="8">
        <f t="shared" si="48"/>
        <v>1996</v>
      </c>
      <c r="T429" s="8">
        <v>1996</v>
      </c>
      <c r="U429" s="8">
        <f t="shared" si="49"/>
        <v>26</v>
      </c>
      <c r="V429" s="7">
        <v>1996</v>
      </c>
      <c r="W429" t="s">
        <v>150</v>
      </c>
      <c r="X429" s="2">
        <v>1.6519999999999999</v>
      </c>
      <c r="Y429" s="6">
        <f t="shared" si="50"/>
        <v>4.409919649769093E-2</v>
      </c>
      <c r="AA429" t="s">
        <v>149</v>
      </c>
      <c r="AB429">
        <v>17337</v>
      </c>
      <c r="AD429" t="s">
        <v>1</v>
      </c>
      <c r="AE429">
        <v>44</v>
      </c>
      <c r="AF429" t="s">
        <v>3550</v>
      </c>
      <c r="AH429" t="s">
        <v>3592</v>
      </c>
      <c r="AI429" t="s">
        <v>3591</v>
      </c>
      <c r="AK429" t="s">
        <v>3590</v>
      </c>
      <c r="AL429">
        <v>14</v>
      </c>
      <c r="AM429" s="5">
        <f t="shared" si="51"/>
        <v>0.53846153846153844</v>
      </c>
      <c r="AN429" s="4">
        <f t="shared" si="52"/>
        <v>8.1554189846503363E-4</v>
      </c>
      <c r="AO429" s="3"/>
      <c r="AP429">
        <v>0</v>
      </c>
      <c r="AQ429" t="s">
        <v>3589</v>
      </c>
      <c r="AR429" t="s">
        <v>0</v>
      </c>
      <c r="AS429" t="s">
        <v>165</v>
      </c>
      <c r="AT429" s="2" t="s">
        <v>9</v>
      </c>
      <c r="AU429" s="1">
        <f t="shared" si="53"/>
        <v>3.1114100117923158</v>
      </c>
      <c r="AV429" s="1">
        <f t="shared" si="54"/>
        <v>2.2457369198077983</v>
      </c>
      <c r="AW429" s="1">
        <f t="shared" si="55"/>
        <v>1.3800638278232802</v>
      </c>
    </row>
    <row r="430" spans="1:49" x14ac:dyDescent="0.2">
      <c r="A430">
        <v>428</v>
      </c>
      <c r="B430" t="s">
        <v>3588</v>
      </c>
      <c r="C430" t="s">
        <v>3587</v>
      </c>
      <c r="D430" t="s">
        <v>3586</v>
      </c>
      <c r="F430" t="s">
        <v>3585</v>
      </c>
      <c r="G430" t="s">
        <v>6</v>
      </c>
      <c r="H430" t="s">
        <v>5</v>
      </c>
      <c r="I430" t="s">
        <v>3584</v>
      </c>
      <c r="J430">
        <v>60018735</v>
      </c>
      <c r="K430" t="s">
        <v>3583</v>
      </c>
      <c r="L430" t="s">
        <v>45</v>
      </c>
      <c r="M430" t="s">
        <v>44</v>
      </c>
      <c r="N430">
        <v>2</v>
      </c>
      <c r="O430" t="s">
        <v>3582</v>
      </c>
      <c r="P430" t="s">
        <v>3581</v>
      </c>
      <c r="Q430" t="s">
        <v>3580</v>
      </c>
      <c r="R430" s="7">
        <v>35400</v>
      </c>
      <c r="S430" s="8">
        <f t="shared" si="48"/>
        <v>1996</v>
      </c>
      <c r="T430" s="8">
        <v>1996</v>
      </c>
      <c r="U430" s="8">
        <f t="shared" si="49"/>
        <v>26</v>
      </c>
      <c r="V430" s="7">
        <v>1996</v>
      </c>
      <c r="W430" t="s">
        <v>150</v>
      </c>
      <c r="X430" s="2">
        <v>1.6519999999999999</v>
      </c>
      <c r="Y430" s="6">
        <f t="shared" si="50"/>
        <v>4.409919649769093E-2</v>
      </c>
      <c r="AA430" t="s">
        <v>149</v>
      </c>
      <c r="AB430">
        <v>17337</v>
      </c>
      <c r="AD430" t="s">
        <v>1</v>
      </c>
      <c r="AE430">
        <v>44</v>
      </c>
      <c r="AF430" t="s">
        <v>3550</v>
      </c>
      <c r="AH430" t="s">
        <v>3579</v>
      </c>
      <c r="AI430" t="s">
        <v>3578</v>
      </c>
      <c r="AK430" t="s">
        <v>3577</v>
      </c>
      <c r="AL430">
        <v>11</v>
      </c>
      <c r="AM430" s="5">
        <f t="shared" si="51"/>
        <v>0.42307692307692307</v>
      </c>
      <c r="AN430" s="4">
        <f t="shared" si="52"/>
        <v>6.4078292022252644E-4</v>
      </c>
      <c r="AO430" s="3"/>
      <c r="AP430">
        <v>0</v>
      </c>
      <c r="AR430" t="s">
        <v>0</v>
      </c>
      <c r="AT430" s="2" t="s">
        <v>9</v>
      </c>
      <c r="AU430" s="1">
        <f t="shared" si="53"/>
        <v>3.1061672424450406</v>
      </c>
      <c r="AV430" s="1">
        <f t="shared" si="54"/>
        <v>2.236998970895673</v>
      </c>
      <c r="AW430" s="1">
        <f t="shared" si="55"/>
        <v>1.3678306993463045</v>
      </c>
    </row>
    <row r="431" spans="1:49" x14ac:dyDescent="0.2">
      <c r="A431">
        <v>429</v>
      </c>
      <c r="B431" t="s">
        <v>3576</v>
      </c>
      <c r="F431" t="s">
        <v>3575</v>
      </c>
      <c r="G431" t="s">
        <v>6</v>
      </c>
      <c r="H431" t="s">
        <v>5</v>
      </c>
      <c r="I431" t="s">
        <v>528</v>
      </c>
      <c r="J431" t="s">
        <v>203</v>
      </c>
      <c r="K431" t="s">
        <v>202</v>
      </c>
      <c r="L431" t="s">
        <v>201</v>
      </c>
      <c r="M431" t="s">
        <v>200</v>
      </c>
      <c r="N431">
        <v>3</v>
      </c>
      <c r="O431" t="s">
        <v>3574</v>
      </c>
      <c r="P431" t="s">
        <v>3573</v>
      </c>
      <c r="Q431" t="s">
        <v>3572</v>
      </c>
      <c r="R431" s="7">
        <v>35400</v>
      </c>
      <c r="S431" s="8">
        <f t="shared" si="48"/>
        <v>1996</v>
      </c>
      <c r="T431" s="8">
        <v>1996</v>
      </c>
      <c r="U431" s="8">
        <f t="shared" si="49"/>
        <v>26</v>
      </c>
      <c r="V431" s="7">
        <v>1996</v>
      </c>
      <c r="W431" t="s">
        <v>522</v>
      </c>
      <c r="X431" s="2" t="s">
        <v>9</v>
      </c>
      <c r="Y431" s="6" t="e">
        <f t="shared" si="50"/>
        <v>#VALUE!</v>
      </c>
      <c r="AA431" t="s">
        <v>521</v>
      </c>
      <c r="AB431">
        <v>37764</v>
      </c>
      <c r="AD431" t="s">
        <v>1</v>
      </c>
      <c r="AE431">
        <v>100</v>
      </c>
      <c r="AF431">
        <v>12</v>
      </c>
      <c r="AH431" t="s">
        <v>3571</v>
      </c>
      <c r="AI431" t="s">
        <v>3570</v>
      </c>
      <c r="AJ431" t="s">
        <v>3569</v>
      </c>
      <c r="AK431" t="s">
        <v>3568</v>
      </c>
      <c r="AL431">
        <v>7</v>
      </c>
      <c r="AM431" s="5">
        <f t="shared" si="51"/>
        <v>0.26923076923076922</v>
      </c>
      <c r="AN431" s="4">
        <f t="shared" si="52"/>
        <v>4.0777094923251682E-4</v>
      </c>
      <c r="AO431" s="3"/>
      <c r="AP431">
        <v>0</v>
      </c>
      <c r="AR431" t="s">
        <v>0</v>
      </c>
      <c r="AT431" s="2" t="s">
        <v>9</v>
      </c>
      <c r="AU431" s="1" t="e">
        <f t="shared" si="53"/>
        <v>#VALUE!</v>
      </c>
      <c r="AV431" s="1" t="e">
        <f t="shared" si="54"/>
        <v>#VALUE!</v>
      </c>
      <c r="AW431" s="1" t="e">
        <f t="shared" si="55"/>
        <v>#VALUE!</v>
      </c>
    </row>
    <row r="432" spans="1:49" x14ac:dyDescent="0.2">
      <c r="A432">
        <v>430</v>
      </c>
      <c r="B432" t="s">
        <v>3567</v>
      </c>
      <c r="F432" t="s">
        <v>3566</v>
      </c>
      <c r="G432" t="s">
        <v>6</v>
      </c>
      <c r="H432" t="s">
        <v>5</v>
      </c>
      <c r="I432" t="s">
        <v>3565</v>
      </c>
      <c r="J432">
        <v>60004354</v>
      </c>
      <c r="K432" t="s">
        <v>208</v>
      </c>
      <c r="L432" t="s">
        <v>183</v>
      </c>
      <c r="M432" t="s">
        <v>2</v>
      </c>
      <c r="N432">
        <v>2</v>
      </c>
      <c r="O432" t="s">
        <v>3564</v>
      </c>
      <c r="P432" t="s">
        <v>3563</v>
      </c>
      <c r="Q432" t="s">
        <v>207</v>
      </c>
      <c r="R432" s="7">
        <v>35400</v>
      </c>
      <c r="S432" s="8">
        <f t="shared" si="48"/>
        <v>1996</v>
      </c>
      <c r="T432" s="8">
        <v>1996</v>
      </c>
      <c r="U432" s="8">
        <f t="shared" si="49"/>
        <v>26</v>
      </c>
      <c r="V432" s="7">
        <v>1996</v>
      </c>
      <c r="W432" t="s">
        <v>3562</v>
      </c>
      <c r="X432" s="2">
        <v>0.438</v>
      </c>
      <c r="Y432" s="6">
        <f t="shared" si="50"/>
        <v>1.1692159846240091E-2</v>
      </c>
      <c r="AA432">
        <v>15235475</v>
      </c>
      <c r="AB432">
        <v>20457</v>
      </c>
      <c r="AD432" t="s">
        <v>1</v>
      </c>
      <c r="AE432">
        <v>13</v>
      </c>
      <c r="AF432">
        <v>4</v>
      </c>
      <c r="AH432" t="s">
        <v>3561</v>
      </c>
      <c r="AI432" t="s">
        <v>3560</v>
      </c>
      <c r="AJ432" t="s">
        <v>3559</v>
      </c>
      <c r="AK432" t="s">
        <v>3558</v>
      </c>
      <c r="AL432">
        <v>57</v>
      </c>
      <c r="AM432" s="5">
        <f t="shared" si="51"/>
        <v>2.1923076923076925</v>
      </c>
      <c r="AN432" s="4">
        <f t="shared" si="52"/>
        <v>3.3204205866076372E-3</v>
      </c>
      <c r="AO432" s="3"/>
      <c r="AP432">
        <v>0</v>
      </c>
      <c r="AR432" t="s">
        <v>0</v>
      </c>
      <c r="AT432" s="2" t="s">
        <v>9</v>
      </c>
      <c r="AU432" s="1">
        <f t="shared" si="53"/>
        <v>0.91806380683503541</v>
      </c>
      <c r="AV432" s="1">
        <f t="shared" si="54"/>
        <v>0.75062902164238632</v>
      </c>
      <c r="AW432" s="1">
        <f t="shared" si="55"/>
        <v>0.58319423644973734</v>
      </c>
    </row>
    <row r="433" spans="1:49" x14ac:dyDescent="0.2">
      <c r="A433">
        <v>431</v>
      </c>
      <c r="B433" t="s">
        <v>3557</v>
      </c>
      <c r="C433" t="s">
        <v>3556</v>
      </c>
      <c r="D433" t="s">
        <v>3555</v>
      </c>
      <c r="F433" t="s">
        <v>3554</v>
      </c>
      <c r="G433" t="s">
        <v>6</v>
      </c>
      <c r="H433" t="s">
        <v>5</v>
      </c>
      <c r="I433" t="s">
        <v>3553</v>
      </c>
      <c r="J433">
        <v>60000745</v>
      </c>
      <c r="K433" t="s">
        <v>169</v>
      </c>
      <c r="L433" t="s">
        <v>168</v>
      </c>
      <c r="M433" t="s">
        <v>2</v>
      </c>
      <c r="N433">
        <v>2</v>
      </c>
      <c r="O433" t="s">
        <v>3552</v>
      </c>
      <c r="P433" t="s">
        <v>3551</v>
      </c>
      <c r="Q433" t="s">
        <v>167</v>
      </c>
      <c r="R433" s="7">
        <v>35400</v>
      </c>
      <c r="S433" s="8">
        <f t="shared" si="48"/>
        <v>1996</v>
      </c>
      <c r="T433" s="8">
        <v>1996</v>
      </c>
      <c r="U433" s="8">
        <f t="shared" si="49"/>
        <v>26</v>
      </c>
      <c r="V433" s="7">
        <v>1996</v>
      </c>
      <c r="W433" t="s">
        <v>150</v>
      </c>
      <c r="X433" s="2">
        <v>1.6519999999999999</v>
      </c>
      <c r="Y433" s="6">
        <f t="shared" si="50"/>
        <v>4.409919649769093E-2</v>
      </c>
      <c r="AA433" t="s">
        <v>149</v>
      </c>
      <c r="AB433">
        <v>17337</v>
      </c>
      <c r="AD433" t="s">
        <v>1</v>
      </c>
      <c r="AE433">
        <v>44</v>
      </c>
      <c r="AF433" t="s">
        <v>3550</v>
      </c>
      <c r="AH433" t="s">
        <v>3549</v>
      </c>
      <c r="AI433" t="s">
        <v>3548</v>
      </c>
      <c r="AK433" t="s">
        <v>3547</v>
      </c>
      <c r="AL433">
        <v>37</v>
      </c>
      <c r="AM433" s="5">
        <f t="shared" si="51"/>
        <v>1.4230769230769231</v>
      </c>
      <c r="AN433" s="4">
        <f t="shared" si="52"/>
        <v>2.1553607316575889E-3</v>
      </c>
      <c r="AO433" s="3"/>
      <c r="AP433">
        <v>0</v>
      </c>
      <c r="AQ433" t="s">
        <v>24</v>
      </c>
      <c r="AR433" t="s">
        <v>3546</v>
      </c>
      <c r="AS433" t="s">
        <v>23</v>
      </c>
      <c r="AT433" s="2" t="s">
        <v>9</v>
      </c>
      <c r="AU433" s="1">
        <f t="shared" si="53"/>
        <v>3.1516045767880927</v>
      </c>
      <c r="AV433" s="1">
        <f t="shared" si="54"/>
        <v>2.312727861467426</v>
      </c>
      <c r="AW433" s="1">
        <f t="shared" si="55"/>
        <v>1.4738511461467592</v>
      </c>
    </row>
    <row r="434" spans="1:49" x14ac:dyDescent="0.2">
      <c r="A434">
        <v>432</v>
      </c>
      <c r="B434" t="s">
        <v>3545</v>
      </c>
      <c r="F434" t="s">
        <v>3544</v>
      </c>
      <c r="G434" t="s">
        <v>6</v>
      </c>
      <c r="H434" t="s">
        <v>5</v>
      </c>
      <c r="I434" t="s">
        <v>3543</v>
      </c>
      <c r="J434" t="s">
        <v>549</v>
      </c>
      <c r="K434" t="s">
        <v>548</v>
      </c>
      <c r="L434" t="s">
        <v>547</v>
      </c>
      <c r="M434" t="s">
        <v>546</v>
      </c>
      <c r="N434">
        <v>9</v>
      </c>
      <c r="O434" t="s">
        <v>3542</v>
      </c>
      <c r="P434" t="s">
        <v>3541</v>
      </c>
      <c r="Q434" t="s">
        <v>3540</v>
      </c>
      <c r="R434" s="7">
        <v>35400</v>
      </c>
      <c r="S434" s="8">
        <f t="shared" si="48"/>
        <v>1996</v>
      </c>
      <c r="T434" s="8">
        <v>1996</v>
      </c>
      <c r="U434" s="8">
        <f t="shared" si="49"/>
        <v>26</v>
      </c>
      <c r="V434" s="7">
        <v>1996</v>
      </c>
      <c r="W434" t="s">
        <v>505</v>
      </c>
      <c r="X434" s="2" t="s">
        <v>9</v>
      </c>
      <c r="Y434" s="6" t="e">
        <f t="shared" si="50"/>
        <v>#VALUE!</v>
      </c>
      <c r="AA434">
        <v>221392</v>
      </c>
      <c r="AB434">
        <v>34890</v>
      </c>
      <c r="AD434" t="s">
        <v>1</v>
      </c>
      <c r="AE434">
        <v>48</v>
      </c>
      <c r="AF434">
        <v>10</v>
      </c>
      <c r="AH434" t="s">
        <v>545</v>
      </c>
      <c r="AI434" t="s">
        <v>3539</v>
      </c>
      <c r="AK434" t="s">
        <v>3538</v>
      </c>
      <c r="AL434">
        <v>7</v>
      </c>
      <c r="AM434" s="5">
        <f t="shared" si="51"/>
        <v>0.26923076923076922</v>
      </c>
      <c r="AN434" s="4">
        <f t="shared" si="52"/>
        <v>4.0777094923251682E-4</v>
      </c>
      <c r="AO434" s="3"/>
      <c r="AP434">
        <v>0</v>
      </c>
      <c r="AR434" t="s">
        <v>0</v>
      </c>
      <c r="AT434" s="2" t="s">
        <v>9</v>
      </c>
      <c r="AU434" s="1" t="e">
        <f t="shared" si="53"/>
        <v>#VALUE!</v>
      </c>
      <c r="AV434" s="1" t="e">
        <f t="shared" si="54"/>
        <v>#VALUE!</v>
      </c>
      <c r="AW434" s="1" t="e">
        <f t="shared" si="55"/>
        <v>#VALUE!</v>
      </c>
    </row>
    <row r="435" spans="1:49" x14ac:dyDescent="0.2">
      <c r="A435">
        <v>433</v>
      </c>
      <c r="B435" t="s">
        <v>3537</v>
      </c>
      <c r="F435" t="s">
        <v>3536</v>
      </c>
      <c r="G435" t="s">
        <v>6</v>
      </c>
      <c r="H435" t="s">
        <v>5</v>
      </c>
      <c r="I435" t="s">
        <v>3535</v>
      </c>
      <c r="J435">
        <v>60023131</v>
      </c>
      <c r="K435" t="s">
        <v>3534</v>
      </c>
      <c r="L435" t="s">
        <v>3533</v>
      </c>
      <c r="M435" t="s">
        <v>30</v>
      </c>
      <c r="N435">
        <v>1</v>
      </c>
      <c r="O435" t="s">
        <v>3532</v>
      </c>
      <c r="P435">
        <v>7004165583</v>
      </c>
      <c r="Q435">
        <v>60023131</v>
      </c>
      <c r="R435" s="7">
        <v>35400</v>
      </c>
      <c r="S435" s="8">
        <f t="shared" si="48"/>
        <v>1996</v>
      </c>
      <c r="T435" s="8">
        <v>1996</v>
      </c>
      <c r="U435" s="8">
        <f t="shared" si="49"/>
        <v>26</v>
      </c>
      <c r="V435" s="7">
        <v>1996</v>
      </c>
      <c r="W435" t="s">
        <v>3531</v>
      </c>
      <c r="X435" s="2">
        <v>0.51</v>
      </c>
      <c r="Y435" s="6">
        <f t="shared" si="50"/>
        <v>1.3614158725074078E-2</v>
      </c>
      <c r="AA435">
        <v>2148358</v>
      </c>
      <c r="AB435">
        <v>28430</v>
      </c>
      <c r="AD435" t="s">
        <v>1</v>
      </c>
      <c r="AE435">
        <v>60</v>
      </c>
      <c r="AF435" t="s">
        <v>3530</v>
      </c>
      <c r="AH435" t="s">
        <v>3529</v>
      </c>
      <c r="AI435" t="s">
        <v>3528</v>
      </c>
      <c r="AJ435" t="s">
        <v>3527</v>
      </c>
      <c r="AK435" t="s">
        <v>3526</v>
      </c>
      <c r="AL435">
        <v>98</v>
      </c>
      <c r="AM435" s="5">
        <f t="shared" si="51"/>
        <v>3.7692307692307692</v>
      </c>
      <c r="AN435" s="4">
        <f t="shared" si="52"/>
        <v>5.7087932892552354E-3</v>
      </c>
      <c r="AO435" s="3"/>
      <c r="AP435">
        <v>0</v>
      </c>
      <c r="AR435" t="s">
        <v>0</v>
      </c>
      <c r="AT435" s="2">
        <v>1.5760000000000001</v>
      </c>
      <c r="AU435" s="1">
        <f t="shared" si="53"/>
        <v>1.1242549094328425</v>
      </c>
      <c r="AV435" s="1">
        <f t="shared" si="54"/>
        <v>0.96614760071646566</v>
      </c>
      <c r="AW435" s="1">
        <f t="shared" si="55"/>
        <v>0.80804029200008887</v>
      </c>
    </row>
    <row r="436" spans="1:49" x14ac:dyDescent="0.2">
      <c r="A436">
        <v>434</v>
      </c>
      <c r="B436" t="s">
        <v>3525</v>
      </c>
      <c r="C436" t="s">
        <v>3524</v>
      </c>
      <c r="D436" t="s">
        <v>3523</v>
      </c>
      <c r="F436" t="s">
        <v>3522</v>
      </c>
      <c r="G436" t="s">
        <v>6</v>
      </c>
      <c r="H436" t="s">
        <v>5</v>
      </c>
      <c r="I436" t="s">
        <v>3521</v>
      </c>
      <c r="J436" t="s">
        <v>3520</v>
      </c>
      <c r="K436" t="s">
        <v>3519</v>
      </c>
      <c r="L436" t="s">
        <v>3518</v>
      </c>
      <c r="M436" t="s">
        <v>3517</v>
      </c>
      <c r="N436">
        <v>9</v>
      </c>
      <c r="O436" t="s">
        <v>3516</v>
      </c>
      <c r="P436" t="s">
        <v>3515</v>
      </c>
      <c r="Q436" t="s">
        <v>3514</v>
      </c>
      <c r="R436" s="7">
        <v>35400</v>
      </c>
      <c r="S436" s="8">
        <f t="shared" si="48"/>
        <v>1996</v>
      </c>
      <c r="T436" s="8">
        <v>1996</v>
      </c>
      <c r="U436" s="8">
        <f t="shared" si="49"/>
        <v>26</v>
      </c>
      <c r="V436" s="7">
        <v>1996</v>
      </c>
      <c r="W436" t="s">
        <v>1132</v>
      </c>
      <c r="X436" s="2">
        <v>1.1819999999999999</v>
      </c>
      <c r="Y436" s="6">
        <f t="shared" si="50"/>
        <v>3.1552814927524625E-2</v>
      </c>
      <c r="AA436">
        <v>36951</v>
      </c>
      <c r="AB436">
        <v>27030</v>
      </c>
      <c r="AD436" t="s">
        <v>1</v>
      </c>
      <c r="AE436">
        <v>68</v>
      </c>
      <c r="AF436">
        <v>9</v>
      </c>
      <c r="AH436" t="s">
        <v>3513</v>
      </c>
      <c r="AI436" t="s">
        <v>3512</v>
      </c>
      <c r="AK436" t="s">
        <v>3511</v>
      </c>
      <c r="AL436">
        <v>47</v>
      </c>
      <c r="AM436" s="5">
        <f t="shared" si="51"/>
        <v>1.8076923076923077</v>
      </c>
      <c r="AN436" s="4">
        <f t="shared" si="52"/>
        <v>2.7378906591326128E-3</v>
      </c>
      <c r="AO436" s="3"/>
      <c r="AP436">
        <v>0</v>
      </c>
      <c r="AR436" t="s">
        <v>0</v>
      </c>
      <c r="AT436" s="2">
        <v>3.7909999999999999</v>
      </c>
      <c r="AU436" s="1">
        <f t="shared" si="53"/>
        <v>2.290833764700702</v>
      </c>
      <c r="AV436" s="1">
        <f t="shared" si="54"/>
        <v>1.7145352793328621</v>
      </c>
      <c r="AW436" s="1">
        <f t="shared" si="55"/>
        <v>1.1382367939650215</v>
      </c>
    </row>
    <row r="437" spans="1:49" x14ac:dyDescent="0.2">
      <c r="A437">
        <v>435</v>
      </c>
      <c r="B437" t="s">
        <v>3510</v>
      </c>
      <c r="C437" t="s">
        <v>3509</v>
      </c>
      <c r="F437" t="s">
        <v>3508</v>
      </c>
      <c r="G437" t="s">
        <v>6</v>
      </c>
      <c r="H437" t="s">
        <v>5</v>
      </c>
      <c r="I437" t="s">
        <v>3507</v>
      </c>
      <c r="J437" t="s">
        <v>3506</v>
      </c>
      <c r="K437" t="s">
        <v>3505</v>
      </c>
      <c r="L437" t="s">
        <v>3504</v>
      </c>
      <c r="M437" t="s">
        <v>13</v>
      </c>
      <c r="N437">
        <v>2</v>
      </c>
      <c r="O437" t="s">
        <v>3503</v>
      </c>
      <c r="P437" t="s">
        <v>3502</v>
      </c>
      <c r="Q437" t="s">
        <v>3501</v>
      </c>
      <c r="R437" s="7">
        <v>35396</v>
      </c>
      <c r="S437" s="8">
        <f t="shared" si="48"/>
        <v>1996</v>
      </c>
      <c r="T437" s="8">
        <v>1996</v>
      </c>
      <c r="U437" s="8">
        <f t="shared" si="49"/>
        <v>26</v>
      </c>
      <c r="V437" s="7">
        <v>35396</v>
      </c>
      <c r="W437" t="s">
        <v>3500</v>
      </c>
      <c r="X437" s="2">
        <v>1.67</v>
      </c>
      <c r="Y437" s="6">
        <f t="shared" si="50"/>
        <v>4.4579696217399427E-2</v>
      </c>
      <c r="AA437">
        <v>1480227</v>
      </c>
      <c r="AB437">
        <v>28428</v>
      </c>
      <c r="AD437" t="s">
        <v>1</v>
      </c>
      <c r="AE437">
        <v>101</v>
      </c>
      <c r="AF437">
        <v>21</v>
      </c>
      <c r="AH437" t="s">
        <v>3499</v>
      </c>
      <c r="AI437" t="s">
        <v>3498</v>
      </c>
      <c r="AK437" t="s">
        <v>3497</v>
      </c>
      <c r="AL437">
        <v>23</v>
      </c>
      <c r="AM437" s="5">
        <f t="shared" si="51"/>
        <v>0.88461538461538458</v>
      </c>
      <c r="AN437" s="4">
        <f t="shared" si="52"/>
        <v>1.3398188331925553E-3</v>
      </c>
      <c r="AO437" s="3"/>
      <c r="AP437">
        <v>0</v>
      </c>
      <c r="AR437" t="s">
        <v>0</v>
      </c>
      <c r="AT437" s="2" t="s">
        <v>9</v>
      </c>
      <c r="AU437" s="1">
        <f t="shared" si="53"/>
        <v>3.1607733002137364</v>
      </c>
      <c r="AV437" s="1">
        <f t="shared" si="54"/>
        <v>2.295975752529599</v>
      </c>
      <c r="AW437" s="1">
        <f t="shared" si="55"/>
        <v>1.4311782048454618</v>
      </c>
    </row>
    <row r="438" spans="1:49" x14ac:dyDescent="0.2">
      <c r="A438">
        <v>436</v>
      </c>
      <c r="B438" t="s">
        <v>3496</v>
      </c>
      <c r="C438" t="s">
        <v>3495</v>
      </c>
      <c r="E438">
        <v>8943011</v>
      </c>
      <c r="F438" t="s">
        <v>3494</v>
      </c>
      <c r="G438" t="s">
        <v>6</v>
      </c>
      <c r="H438" t="s">
        <v>5</v>
      </c>
      <c r="I438" t="s">
        <v>3493</v>
      </c>
      <c r="J438" t="s">
        <v>3492</v>
      </c>
      <c r="K438" t="s">
        <v>3491</v>
      </c>
      <c r="L438" t="s">
        <v>3490</v>
      </c>
      <c r="M438" t="s">
        <v>13</v>
      </c>
      <c r="N438">
        <v>4</v>
      </c>
      <c r="O438" t="s">
        <v>3489</v>
      </c>
      <c r="P438" t="s">
        <v>3488</v>
      </c>
      <c r="Q438" t="s">
        <v>3487</v>
      </c>
      <c r="R438" s="7">
        <v>35395</v>
      </c>
      <c r="S438" s="8">
        <f t="shared" si="48"/>
        <v>1996</v>
      </c>
      <c r="T438" s="8">
        <v>1996</v>
      </c>
      <c r="U438" s="8">
        <f t="shared" si="49"/>
        <v>26</v>
      </c>
      <c r="V438" s="7">
        <v>35395</v>
      </c>
      <c r="W438" t="s">
        <v>740</v>
      </c>
      <c r="X438" s="2">
        <v>5.0110000000000001</v>
      </c>
      <c r="Y438" s="6">
        <f t="shared" si="50"/>
        <v>0.13376578308107098</v>
      </c>
      <c r="AA438">
        <v>278424</v>
      </c>
      <c r="AB438">
        <v>21121</v>
      </c>
      <c r="AD438" t="s">
        <v>1</v>
      </c>
      <c r="AE438">
        <v>93</v>
      </c>
      <c r="AF438">
        <v>24</v>
      </c>
      <c r="AH438" t="s">
        <v>3486</v>
      </c>
      <c r="AI438" t="s">
        <v>3485</v>
      </c>
      <c r="AK438" t="s">
        <v>3484</v>
      </c>
      <c r="AL438">
        <v>103</v>
      </c>
      <c r="AM438" s="5">
        <f t="shared" si="51"/>
        <v>3.9615384615384617</v>
      </c>
      <c r="AN438" s="4">
        <f t="shared" si="52"/>
        <v>6.0000582529927474E-3</v>
      </c>
      <c r="AO438" s="3"/>
      <c r="AP438">
        <v>1</v>
      </c>
      <c r="AQ438" t="s">
        <v>196</v>
      </c>
      <c r="AR438" t="s">
        <v>3483</v>
      </c>
      <c r="AS438" t="s">
        <v>195</v>
      </c>
      <c r="AT438" s="2" t="s">
        <v>9</v>
      </c>
      <c r="AU438" s="1">
        <f t="shared" si="53"/>
        <v>9.5436065632647509</v>
      </c>
      <c r="AV438" s="1">
        <f t="shared" si="54"/>
        <v>6.9882920667031865</v>
      </c>
      <c r="AW438" s="1">
        <f t="shared" si="55"/>
        <v>4.4329775701416221</v>
      </c>
    </row>
    <row r="439" spans="1:49" x14ac:dyDescent="0.2">
      <c r="A439">
        <v>437</v>
      </c>
      <c r="B439" t="s">
        <v>3482</v>
      </c>
      <c r="C439" t="s">
        <v>3481</v>
      </c>
      <c r="D439" t="s">
        <v>3480</v>
      </c>
      <c r="F439" t="s">
        <v>3479</v>
      </c>
      <c r="G439" t="s">
        <v>6</v>
      </c>
      <c r="H439" t="s">
        <v>5</v>
      </c>
      <c r="I439" t="s">
        <v>3478</v>
      </c>
      <c r="J439">
        <v>60119141</v>
      </c>
      <c r="K439" t="s">
        <v>3477</v>
      </c>
      <c r="L439" t="s">
        <v>3476</v>
      </c>
      <c r="M439" t="s">
        <v>2</v>
      </c>
      <c r="N439">
        <v>2</v>
      </c>
      <c r="O439" t="s">
        <v>3475</v>
      </c>
      <c r="P439" t="s">
        <v>3474</v>
      </c>
      <c r="Q439" t="s">
        <v>3473</v>
      </c>
      <c r="R439" s="7">
        <v>35390</v>
      </c>
      <c r="S439" s="8">
        <f t="shared" si="48"/>
        <v>1996</v>
      </c>
      <c r="T439" s="8">
        <v>1996</v>
      </c>
      <c r="U439" s="8">
        <f t="shared" si="49"/>
        <v>26</v>
      </c>
      <c r="V439" s="7">
        <v>35390</v>
      </c>
      <c r="W439" t="s">
        <v>624</v>
      </c>
      <c r="X439" s="2">
        <v>1.3149999999999999</v>
      </c>
      <c r="Y439" s="6">
        <f t="shared" si="50"/>
        <v>3.5103173967592965E-2</v>
      </c>
      <c r="AA439" t="s">
        <v>623</v>
      </c>
      <c r="AB439">
        <v>13030</v>
      </c>
      <c r="AD439" t="s">
        <v>1</v>
      </c>
      <c r="AE439">
        <v>198</v>
      </c>
      <c r="AF439">
        <v>1</v>
      </c>
      <c r="AH439" t="s">
        <v>3472</v>
      </c>
      <c r="AI439" t="s">
        <v>3471</v>
      </c>
      <c r="AK439" t="s">
        <v>3470</v>
      </c>
      <c r="AL439">
        <v>10</v>
      </c>
      <c r="AM439" s="5">
        <f t="shared" si="51"/>
        <v>0.38461538461538464</v>
      </c>
      <c r="AN439" s="4">
        <f t="shared" si="52"/>
        <v>5.8252992747502411E-4</v>
      </c>
      <c r="AO439" s="3"/>
      <c r="AP439">
        <v>0</v>
      </c>
      <c r="AR439" t="s">
        <v>0</v>
      </c>
      <c r="AT439" s="2">
        <v>3.6549999999999998</v>
      </c>
      <c r="AU439" s="1">
        <f t="shared" si="53"/>
        <v>2.4746980755557582</v>
      </c>
      <c r="AV439" s="1">
        <f t="shared" si="54"/>
        <v>1.7842851947533995</v>
      </c>
      <c r="AW439" s="1">
        <f t="shared" si="55"/>
        <v>1.0938723139510407</v>
      </c>
    </row>
    <row r="440" spans="1:49" x14ac:dyDescent="0.2">
      <c r="A440">
        <v>438</v>
      </c>
      <c r="B440" t="s">
        <v>3469</v>
      </c>
      <c r="F440" t="s">
        <v>3468</v>
      </c>
      <c r="G440" t="s">
        <v>6</v>
      </c>
      <c r="H440" t="s">
        <v>5</v>
      </c>
      <c r="I440" t="s">
        <v>3467</v>
      </c>
      <c r="J440" t="s">
        <v>3466</v>
      </c>
      <c r="K440" t="s">
        <v>3465</v>
      </c>
      <c r="L440" t="s">
        <v>3464</v>
      </c>
      <c r="M440" t="s">
        <v>3463</v>
      </c>
      <c r="N440">
        <v>11</v>
      </c>
      <c r="O440" t="s">
        <v>3462</v>
      </c>
      <c r="P440" t="s">
        <v>3461</v>
      </c>
      <c r="Q440" t="s">
        <v>3460</v>
      </c>
      <c r="R440" s="7">
        <v>35379</v>
      </c>
      <c r="S440" s="8">
        <f t="shared" si="48"/>
        <v>1996</v>
      </c>
      <c r="T440" s="8">
        <v>1996</v>
      </c>
      <c r="U440" s="8">
        <f t="shared" si="49"/>
        <v>26</v>
      </c>
      <c r="V440" s="7">
        <v>35379</v>
      </c>
      <c r="W440" t="s">
        <v>1207</v>
      </c>
      <c r="X440" s="2">
        <v>2.137</v>
      </c>
      <c r="Y440" s="6">
        <f t="shared" si="50"/>
        <v>5.7045994500947654E-2</v>
      </c>
      <c r="AA440">
        <v>46361</v>
      </c>
      <c r="AB440">
        <v>26750</v>
      </c>
      <c r="AD440" t="s">
        <v>1</v>
      </c>
      <c r="AE440">
        <v>315</v>
      </c>
      <c r="AF440">
        <v>2</v>
      </c>
      <c r="AI440" t="s">
        <v>3459</v>
      </c>
      <c r="AJ440" t="s">
        <v>3458</v>
      </c>
      <c r="AK440" t="s">
        <v>3457</v>
      </c>
      <c r="AL440">
        <v>49</v>
      </c>
      <c r="AM440" s="5">
        <f t="shared" si="51"/>
        <v>1.8846153846153846</v>
      </c>
      <c r="AN440" s="4">
        <f t="shared" si="52"/>
        <v>2.8543966446276177E-3</v>
      </c>
      <c r="AO440" s="3"/>
      <c r="AP440">
        <v>0</v>
      </c>
      <c r="AR440" t="s">
        <v>0</v>
      </c>
      <c r="AT440" s="2" t="s">
        <v>9</v>
      </c>
      <c r="AU440" s="1">
        <f t="shared" si="53"/>
        <v>4.078851514405164</v>
      </c>
      <c r="AV440" s="1">
        <f t="shared" si="54"/>
        <v>2.9950195572787637</v>
      </c>
      <c r="AW440" s="1">
        <f t="shared" si="55"/>
        <v>1.9111876001523629</v>
      </c>
    </row>
    <row r="441" spans="1:49" x14ac:dyDescent="0.2">
      <c r="A441">
        <v>439</v>
      </c>
      <c r="B441" t="s">
        <v>3456</v>
      </c>
      <c r="F441" t="s">
        <v>3455</v>
      </c>
      <c r="G441" t="s">
        <v>6</v>
      </c>
      <c r="H441" t="s">
        <v>5</v>
      </c>
      <c r="I441" t="s">
        <v>3454</v>
      </c>
      <c r="J441" t="s">
        <v>3453</v>
      </c>
      <c r="K441" t="s">
        <v>3452</v>
      </c>
      <c r="L441" t="s">
        <v>3451</v>
      </c>
      <c r="M441" t="s">
        <v>3450</v>
      </c>
      <c r="N441">
        <v>13</v>
      </c>
      <c r="O441" t="s">
        <v>3449</v>
      </c>
      <c r="P441" t="s">
        <v>3448</v>
      </c>
      <c r="Q441" t="s">
        <v>3447</v>
      </c>
      <c r="R441" s="7">
        <v>35379</v>
      </c>
      <c r="S441" s="8">
        <f t="shared" si="48"/>
        <v>1996</v>
      </c>
      <c r="T441" s="8">
        <v>1996</v>
      </c>
      <c r="U441" s="8">
        <f t="shared" si="49"/>
        <v>26</v>
      </c>
      <c r="V441" s="7">
        <v>35379</v>
      </c>
      <c r="W441" t="s">
        <v>1207</v>
      </c>
      <c r="X441" s="2">
        <v>2.137</v>
      </c>
      <c r="Y441" s="6">
        <f t="shared" si="50"/>
        <v>5.7045994500947654E-2</v>
      </c>
      <c r="AA441">
        <v>46361</v>
      </c>
      <c r="AB441">
        <v>26750</v>
      </c>
      <c r="AD441" t="s">
        <v>1</v>
      </c>
      <c r="AE441">
        <v>315</v>
      </c>
      <c r="AF441">
        <v>2</v>
      </c>
      <c r="AI441" t="s">
        <v>3446</v>
      </c>
      <c r="AJ441" t="s">
        <v>3445</v>
      </c>
      <c r="AK441" t="s">
        <v>3444</v>
      </c>
      <c r="AL441">
        <v>82</v>
      </c>
      <c r="AM441" s="5">
        <f t="shared" si="51"/>
        <v>3.1538461538461537</v>
      </c>
      <c r="AN441" s="4">
        <f t="shared" si="52"/>
        <v>4.7767454052951965E-3</v>
      </c>
      <c r="AO441" s="3"/>
      <c r="AP441">
        <v>0</v>
      </c>
      <c r="AR441" t="s">
        <v>0</v>
      </c>
      <c r="AT441" s="2" t="s">
        <v>9</v>
      </c>
      <c r="AU441" s="1">
        <f t="shared" si="53"/>
        <v>4.1365219772251907</v>
      </c>
      <c r="AV441" s="1">
        <f t="shared" si="54"/>
        <v>3.0911369953121426</v>
      </c>
      <c r="AW441" s="1">
        <f t="shared" si="55"/>
        <v>2.0457520133990932</v>
      </c>
    </row>
    <row r="442" spans="1:49" x14ac:dyDescent="0.2">
      <c r="A442">
        <v>440</v>
      </c>
      <c r="B442" t="s">
        <v>3443</v>
      </c>
      <c r="F442" t="s">
        <v>3442</v>
      </c>
      <c r="G442" t="s">
        <v>6</v>
      </c>
      <c r="H442" t="s">
        <v>5</v>
      </c>
      <c r="I442" t="s">
        <v>3441</v>
      </c>
      <c r="J442" t="s">
        <v>3440</v>
      </c>
      <c r="K442" t="s">
        <v>3439</v>
      </c>
      <c r="L442" t="s">
        <v>3438</v>
      </c>
      <c r="M442" t="s">
        <v>3437</v>
      </c>
      <c r="N442">
        <v>34</v>
      </c>
      <c r="O442" t="s">
        <v>3436</v>
      </c>
      <c r="P442" t="s">
        <v>3435</v>
      </c>
      <c r="Q442" t="s">
        <v>3434</v>
      </c>
      <c r="R442" s="7">
        <v>35379</v>
      </c>
      <c r="S442" s="8">
        <f t="shared" si="48"/>
        <v>1996</v>
      </c>
      <c r="T442" s="8">
        <v>1996</v>
      </c>
      <c r="U442" s="8">
        <f t="shared" si="49"/>
        <v>26</v>
      </c>
      <c r="V442" s="7">
        <v>35379</v>
      </c>
      <c r="W442" t="s">
        <v>1207</v>
      </c>
      <c r="X442" s="2">
        <v>2.137</v>
      </c>
      <c r="Y442" s="6">
        <f t="shared" si="50"/>
        <v>5.7045994500947654E-2</v>
      </c>
      <c r="AA442">
        <v>46361</v>
      </c>
      <c r="AB442">
        <v>26750</v>
      </c>
      <c r="AD442" t="s">
        <v>1</v>
      </c>
      <c r="AE442">
        <v>315</v>
      </c>
      <c r="AF442">
        <v>2</v>
      </c>
      <c r="AI442" t="s">
        <v>3433</v>
      </c>
      <c r="AJ442" t="s">
        <v>3432</v>
      </c>
      <c r="AK442" t="s">
        <v>3431</v>
      </c>
      <c r="AL442">
        <v>29</v>
      </c>
      <c r="AM442" s="5">
        <f t="shared" si="51"/>
        <v>1.1153846153846154</v>
      </c>
      <c r="AN442" s="4">
        <f t="shared" si="52"/>
        <v>1.6893367896775697E-3</v>
      </c>
      <c r="AO442" s="3"/>
      <c r="AP442">
        <v>0</v>
      </c>
      <c r="AR442" t="s">
        <v>0</v>
      </c>
      <c r="AT442" s="2" t="s">
        <v>9</v>
      </c>
      <c r="AU442" s="1">
        <f t="shared" si="53"/>
        <v>4.0438997187566628</v>
      </c>
      <c r="AV442" s="1">
        <f t="shared" si="54"/>
        <v>2.9367665645312613</v>
      </c>
      <c r="AW442" s="1">
        <f t="shared" si="55"/>
        <v>1.8296334103058594</v>
      </c>
    </row>
    <row r="443" spans="1:49" x14ac:dyDescent="0.2">
      <c r="A443">
        <v>441</v>
      </c>
      <c r="B443" t="s">
        <v>3430</v>
      </c>
      <c r="C443" t="s">
        <v>3429</v>
      </c>
      <c r="F443" t="s">
        <v>3428</v>
      </c>
      <c r="G443" t="s">
        <v>6</v>
      </c>
      <c r="H443" t="s">
        <v>5</v>
      </c>
      <c r="I443" t="s">
        <v>3427</v>
      </c>
      <c r="J443">
        <v>60014313</v>
      </c>
      <c r="K443" t="s">
        <v>491</v>
      </c>
      <c r="L443" t="s">
        <v>490</v>
      </c>
      <c r="M443" t="s">
        <v>2</v>
      </c>
      <c r="N443">
        <v>1</v>
      </c>
      <c r="O443" t="s">
        <v>3426</v>
      </c>
      <c r="P443">
        <v>7006061921</v>
      </c>
      <c r="Q443">
        <v>60014313</v>
      </c>
      <c r="R443" s="7">
        <v>35376</v>
      </c>
      <c r="S443" s="8">
        <f t="shared" si="48"/>
        <v>1996</v>
      </c>
      <c r="T443" s="8">
        <v>1996</v>
      </c>
      <c r="U443" s="8">
        <f t="shared" si="49"/>
        <v>26</v>
      </c>
      <c r="V443" s="7">
        <v>35376</v>
      </c>
      <c r="W443" t="s">
        <v>358</v>
      </c>
      <c r="X443" s="2">
        <v>0.375</v>
      </c>
      <c r="Y443" s="6">
        <f t="shared" si="50"/>
        <v>1.0010410827260351E-2</v>
      </c>
      <c r="AA443">
        <v>135194</v>
      </c>
      <c r="AB443">
        <v>24918</v>
      </c>
      <c r="AD443" t="s">
        <v>1</v>
      </c>
      <c r="AE443">
        <v>32</v>
      </c>
      <c r="AF443">
        <v>23</v>
      </c>
      <c r="AH443" t="s">
        <v>3425</v>
      </c>
      <c r="AI443" t="s">
        <v>3424</v>
      </c>
      <c r="AJ443" t="s">
        <v>3423</v>
      </c>
      <c r="AK443" t="s">
        <v>3422</v>
      </c>
      <c r="AL443">
        <v>173</v>
      </c>
      <c r="AM443" s="5">
        <f t="shared" si="51"/>
        <v>6.6538461538461542</v>
      </c>
      <c r="AN443" s="4">
        <f t="shared" si="52"/>
        <v>1.0077767745317916E-2</v>
      </c>
      <c r="AO443" s="3"/>
      <c r="AP443">
        <v>0</v>
      </c>
      <c r="AR443" t="s">
        <v>0</v>
      </c>
      <c r="AT443" s="2">
        <v>1.3140000000000001</v>
      </c>
      <c r="AU443" s="1">
        <f t="shared" si="53"/>
        <v>1.0030617902677621</v>
      </c>
      <c r="AV443" s="1">
        <f t="shared" si="54"/>
        <v>1.0044089286289133</v>
      </c>
      <c r="AW443" s="1">
        <f t="shared" si="55"/>
        <v>1.0057560669900645</v>
      </c>
    </row>
    <row r="444" spans="1:49" x14ac:dyDescent="0.2">
      <c r="A444">
        <v>442</v>
      </c>
      <c r="B444" t="s">
        <v>3421</v>
      </c>
      <c r="C444" t="s">
        <v>3420</v>
      </c>
      <c r="F444" t="s">
        <v>3419</v>
      </c>
      <c r="G444" t="s">
        <v>6</v>
      </c>
      <c r="H444" t="s">
        <v>5</v>
      </c>
      <c r="I444" t="s">
        <v>3418</v>
      </c>
      <c r="J444">
        <v>60092258</v>
      </c>
      <c r="K444" t="s">
        <v>2863</v>
      </c>
      <c r="L444" t="s">
        <v>655</v>
      </c>
      <c r="M444" t="s">
        <v>44</v>
      </c>
      <c r="N444">
        <v>2</v>
      </c>
      <c r="O444" t="s">
        <v>3417</v>
      </c>
      <c r="P444" t="s">
        <v>3416</v>
      </c>
      <c r="Q444" t="s">
        <v>3415</v>
      </c>
      <c r="R444" s="7">
        <v>35376</v>
      </c>
      <c r="S444" s="8">
        <f t="shared" si="48"/>
        <v>1996</v>
      </c>
      <c r="T444" s="8">
        <v>1996</v>
      </c>
      <c r="U444" s="8">
        <f t="shared" si="49"/>
        <v>26</v>
      </c>
      <c r="V444" s="7">
        <v>35376</v>
      </c>
      <c r="W444" t="s">
        <v>358</v>
      </c>
      <c r="X444" s="2">
        <v>0.375</v>
      </c>
      <c r="Y444" s="6">
        <f t="shared" si="50"/>
        <v>1.0010410827260351E-2</v>
      </c>
      <c r="AA444">
        <v>135194</v>
      </c>
      <c r="AB444">
        <v>24918</v>
      </c>
      <c r="AD444" t="s">
        <v>1</v>
      </c>
      <c r="AE444">
        <v>32</v>
      </c>
      <c r="AF444">
        <v>23</v>
      </c>
      <c r="AH444" t="s">
        <v>3414</v>
      </c>
      <c r="AI444" t="s">
        <v>3413</v>
      </c>
      <c r="AJ444" t="s">
        <v>3412</v>
      </c>
      <c r="AK444" t="s">
        <v>3411</v>
      </c>
      <c r="AL444">
        <v>19</v>
      </c>
      <c r="AM444" s="5">
        <f t="shared" si="51"/>
        <v>0.73076923076923073</v>
      </c>
      <c r="AN444" s="4">
        <f t="shared" si="52"/>
        <v>1.1068068622025456E-3</v>
      </c>
      <c r="AO444" s="3"/>
      <c r="AP444">
        <v>0</v>
      </c>
      <c r="AR444" t="s">
        <v>0</v>
      </c>
      <c r="AT444" s="2">
        <v>1.3140000000000001</v>
      </c>
      <c r="AU444" s="1">
        <f t="shared" si="53"/>
        <v>0.73393296377430095</v>
      </c>
      <c r="AV444" s="1">
        <f t="shared" si="54"/>
        <v>0.55586088447314486</v>
      </c>
      <c r="AW444" s="1">
        <f t="shared" si="55"/>
        <v>0.37778880517198871</v>
      </c>
    </row>
    <row r="445" spans="1:49" x14ac:dyDescent="0.2">
      <c r="A445">
        <v>443</v>
      </c>
      <c r="B445" t="s">
        <v>3410</v>
      </c>
      <c r="C445" t="s">
        <v>3409</v>
      </c>
      <c r="F445" t="s">
        <v>3408</v>
      </c>
      <c r="G445" t="s">
        <v>6</v>
      </c>
      <c r="H445" t="s">
        <v>5</v>
      </c>
      <c r="I445" t="s">
        <v>3407</v>
      </c>
      <c r="J445" t="s">
        <v>333</v>
      </c>
      <c r="K445" t="s">
        <v>332</v>
      </c>
      <c r="L445" t="s">
        <v>331</v>
      </c>
      <c r="M445" t="s">
        <v>13</v>
      </c>
      <c r="N445">
        <v>2</v>
      </c>
      <c r="O445" t="s">
        <v>3406</v>
      </c>
      <c r="P445" t="s">
        <v>3405</v>
      </c>
      <c r="Q445" t="s">
        <v>333</v>
      </c>
      <c r="R445" s="7">
        <v>35376</v>
      </c>
      <c r="S445" s="8">
        <f t="shared" si="48"/>
        <v>1996</v>
      </c>
      <c r="T445" s="8">
        <v>1996</v>
      </c>
      <c r="U445" s="8">
        <f t="shared" si="49"/>
        <v>26</v>
      </c>
      <c r="V445" s="7">
        <v>35376</v>
      </c>
      <c r="W445" t="s">
        <v>358</v>
      </c>
      <c r="X445" s="2">
        <v>0.375</v>
      </c>
      <c r="Y445" s="6">
        <f t="shared" si="50"/>
        <v>1.0010410827260351E-2</v>
      </c>
      <c r="AA445">
        <v>135194</v>
      </c>
      <c r="AB445">
        <v>24918</v>
      </c>
      <c r="AD445" t="s">
        <v>1</v>
      </c>
      <c r="AE445">
        <v>32</v>
      </c>
      <c r="AF445">
        <v>23</v>
      </c>
      <c r="AH445" t="s">
        <v>3404</v>
      </c>
      <c r="AI445" t="s">
        <v>3403</v>
      </c>
      <c r="AJ445" t="s">
        <v>3402</v>
      </c>
      <c r="AK445" t="s">
        <v>3401</v>
      </c>
      <c r="AL445">
        <v>4</v>
      </c>
      <c r="AM445" s="5">
        <f t="shared" si="51"/>
        <v>0.15384615384615385</v>
      </c>
      <c r="AN445" s="4">
        <f t="shared" si="52"/>
        <v>2.3301197099000962E-4</v>
      </c>
      <c r="AO445" s="3"/>
      <c r="AP445">
        <v>0</v>
      </c>
      <c r="AR445" t="s">
        <v>0</v>
      </c>
      <c r="AT445" s="2">
        <v>1.3140000000000001</v>
      </c>
      <c r="AU445" s="1">
        <f t="shared" si="53"/>
        <v>0.70771911703792489</v>
      </c>
      <c r="AV445" s="1">
        <f t="shared" si="54"/>
        <v>0.51217113991251806</v>
      </c>
      <c r="AW445" s="1">
        <f t="shared" si="55"/>
        <v>0.31662316278711117</v>
      </c>
    </row>
    <row r="446" spans="1:49" x14ac:dyDescent="0.2">
      <c r="A446">
        <v>444</v>
      </c>
      <c r="B446" t="s">
        <v>3400</v>
      </c>
      <c r="C446" t="s">
        <v>3399</v>
      </c>
      <c r="F446" t="s">
        <v>3398</v>
      </c>
      <c r="G446" t="s">
        <v>6</v>
      </c>
      <c r="H446" t="s">
        <v>5</v>
      </c>
      <c r="I446" t="s">
        <v>3397</v>
      </c>
      <c r="J446" t="s">
        <v>3396</v>
      </c>
      <c r="K446" t="s">
        <v>3395</v>
      </c>
      <c r="L446" t="s">
        <v>3394</v>
      </c>
      <c r="M446" t="s">
        <v>3393</v>
      </c>
      <c r="N446">
        <v>2</v>
      </c>
      <c r="O446" t="s">
        <v>3392</v>
      </c>
      <c r="P446" t="s">
        <v>3391</v>
      </c>
      <c r="Q446" t="s">
        <v>3390</v>
      </c>
      <c r="R446" s="7">
        <v>35376</v>
      </c>
      <c r="S446" s="8">
        <f t="shared" si="48"/>
        <v>1996</v>
      </c>
      <c r="T446" s="8">
        <v>1996</v>
      </c>
      <c r="U446" s="8">
        <f t="shared" si="49"/>
        <v>26</v>
      </c>
      <c r="V446" s="7">
        <v>35376</v>
      </c>
      <c r="W446" t="s">
        <v>3389</v>
      </c>
      <c r="X446" s="2">
        <v>0.57099999999999995</v>
      </c>
      <c r="Y446" s="6">
        <f t="shared" si="50"/>
        <v>1.5242518886308426E-2</v>
      </c>
      <c r="AA446">
        <v>9483055</v>
      </c>
      <c r="AB446">
        <v>19620</v>
      </c>
      <c r="AD446" t="s">
        <v>1</v>
      </c>
      <c r="AE446">
        <v>11</v>
      </c>
      <c r="AF446">
        <v>2</v>
      </c>
      <c r="AH446" t="s">
        <v>3388</v>
      </c>
      <c r="AI446" t="s">
        <v>3387</v>
      </c>
      <c r="AJ446" t="s">
        <v>3386</v>
      </c>
      <c r="AK446" t="s">
        <v>3385</v>
      </c>
      <c r="AL446">
        <v>27</v>
      </c>
      <c r="AM446" s="5">
        <f t="shared" si="51"/>
        <v>1.0384615384615385</v>
      </c>
      <c r="AN446" s="4">
        <f t="shared" si="52"/>
        <v>1.572830804182565E-3</v>
      </c>
      <c r="AO446" s="3"/>
      <c r="AP446">
        <v>1</v>
      </c>
      <c r="AR446" t="s">
        <v>0</v>
      </c>
      <c r="AT446" s="2">
        <v>1.7589999999999999</v>
      </c>
      <c r="AU446" s="1">
        <f t="shared" si="53"/>
        <v>1.1141612461670667</v>
      </c>
      <c r="AV446" s="1">
        <f t="shared" si="54"/>
        <v>0.84076748452454952</v>
      </c>
      <c r="AW446" s="1">
        <f t="shared" si="55"/>
        <v>0.56737372288203225</v>
      </c>
    </row>
    <row r="447" spans="1:49" x14ac:dyDescent="0.2">
      <c r="A447">
        <v>445</v>
      </c>
      <c r="B447" t="s">
        <v>3384</v>
      </c>
      <c r="C447" t="s">
        <v>3383</v>
      </c>
      <c r="F447" t="s">
        <v>3382</v>
      </c>
      <c r="G447" t="s">
        <v>6</v>
      </c>
      <c r="H447" t="s">
        <v>5</v>
      </c>
      <c r="I447" t="s">
        <v>184</v>
      </c>
      <c r="J447" t="s">
        <v>635</v>
      </c>
      <c r="K447" t="s">
        <v>634</v>
      </c>
      <c r="L447" t="s">
        <v>633</v>
      </c>
      <c r="M447" t="s">
        <v>13</v>
      </c>
      <c r="N447">
        <v>4</v>
      </c>
      <c r="O447" t="s">
        <v>632</v>
      </c>
      <c r="P447" t="s">
        <v>631</v>
      </c>
      <c r="Q447" t="s">
        <v>630</v>
      </c>
      <c r="R447" s="7">
        <v>35376</v>
      </c>
      <c r="S447" s="8">
        <f t="shared" si="48"/>
        <v>1996</v>
      </c>
      <c r="T447" s="8">
        <v>1996</v>
      </c>
      <c r="U447" s="8">
        <f t="shared" si="49"/>
        <v>26</v>
      </c>
      <c r="V447" s="7">
        <v>35376</v>
      </c>
      <c r="W447" t="s">
        <v>515</v>
      </c>
      <c r="X447" s="2">
        <v>1.641</v>
      </c>
      <c r="Y447" s="6">
        <f t="shared" si="50"/>
        <v>4.3805557780091299E-2</v>
      </c>
      <c r="AA447">
        <v>223654</v>
      </c>
      <c r="AB447">
        <v>30422</v>
      </c>
      <c r="AD447" t="s">
        <v>1</v>
      </c>
      <c r="AE447">
        <v>100</v>
      </c>
      <c r="AF447">
        <v>45</v>
      </c>
      <c r="AH447" t="s">
        <v>3381</v>
      </c>
      <c r="AI447" t="s">
        <v>3380</v>
      </c>
      <c r="AK447" t="s">
        <v>3379</v>
      </c>
      <c r="AL447">
        <v>18</v>
      </c>
      <c r="AM447" s="5">
        <f t="shared" si="51"/>
        <v>0.69230769230769229</v>
      </c>
      <c r="AN447" s="4">
        <f t="shared" si="52"/>
        <v>1.0485538694550431E-3</v>
      </c>
      <c r="AO447" s="3"/>
      <c r="AP447">
        <v>0</v>
      </c>
      <c r="AR447" t="s">
        <v>0</v>
      </c>
      <c r="AT447" s="2" t="s">
        <v>9</v>
      </c>
      <c r="AU447" s="1">
        <f t="shared" si="53"/>
        <v>3.0978456606900422</v>
      </c>
      <c r="AV447" s="1">
        <f t="shared" si="54"/>
        <v>2.242705582477317</v>
      </c>
      <c r="AW447" s="1">
        <f t="shared" si="55"/>
        <v>1.387565504264592</v>
      </c>
    </row>
    <row r="448" spans="1:49" x14ac:dyDescent="0.2">
      <c r="A448">
        <v>446</v>
      </c>
      <c r="B448" t="s">
        <v>3378</v>
      </c>
      <c r="C448" t="s">
        <v>3377</v>
      </c>
      <c r="F448" t="s">
        <v>3376</v>
      </c>
      <c r="G448" t="s">
        <v>6</v>
      </c>
      <c r="H448" t="s">
        <v>5</v>
      </c>
      <c r="I448" t="s">
        <v>3375</v>
      </c>
      <c r="J448" t="s">
        <v>3374</v>
      </c>
      <c r="K448" t="s">
        <v>3373</v>
      </c>
      <c r="L448" t="s">
        <v>3372</v>
      </c>
      <c r="M448" t="s">
        <v>18</v>
      </c>
      <c r="N448">
        <v>6</v>
      </c>
      <c r="O448" t="s">
        <v>3371</v>
      </c>
      <c r="P448" t="s">
        <v>3370</v>
      </c>
      <c r="Q448" t="s">
        <v>3369</v>
      </c>
      <c r="R448" s="7">
        <v>35373</v>
      </c>
      <c r="S448" s="8">
        <f t="shared" si="48"/>
        <v>1996</v>
      </c>
      <c r="T448" s="8">
        <v>1996</v>
      </c>
      <c r="U448" s="8">
        <f t="shared" si="49"/>
        <v>26</v>
      </c>
      <c r="V448" s="7">
        <v>35373</v>
      </c>
      <c r="W448" t="s">
        <v>1132</v>
      </c>
      <c r="X448" s="2">
        <v>1.1819999999999999</v>
      </c>
      <c r="Y448" s="6">
        <f t="shared" si="50"/>
        <v>3.1552814927524625E-2</v>
      </c>
      <c r="AA448">
        <v>36951</v>
      </c>
      <c r="AB448">
        <v>27030</v>
      </c>
      <c r="AD448" t="s">
        <v>1</v>
      </c>
      <c r="AE448">
        <v>69</v>
      </c>
      <c r="AF448">
        <v>19</v>
      </c>
      <c r="AH448" t="s">
        <v>3368</v>
      </c>
      <c r="AI448" t="s">
        <v>3367</v>
      </c>
      <c r="AK448" t="s">
        <v>3366</v>
      </c>
      <c r="AL448">
        <v>35</v>
      </c>
      <c r="AM448" s="5">
        <f t="shared" si="51"/>
        <v>1.3461538461538463</v>
      </c>
      <c r="AN448" s="4">
        <f t="shared" si="52"/>
        <v>2.0388547461625841E-3</v>
      </c>
      <c r="AO448" s="3"/>
      <c r="AP448">
        <v>0</v>
      </c>
      <c r="AR448" t="s">
        <v>0</v>
      </c>
      <c r="AT448" s="2">
        <v>3.7909999999999999</v>
      </c>
      <c r="AU448" s="1">
        <f t="shared" si="53"/>
        <v>2.2698626873116008</v>
      </c>
      <c r="AV448" s="1">
        <f t="shared" si="54"/>
        <v>1.6795834836843604</v>
      </c>
      <c r="AW448" s="1">
        <f t="shared" si="55"/>
        <v>1.0893042800571195</v>
      </c>
    </row>
    <row r="449" spans="1:49" x14ac:dyDescent="0.2">
      <c r="A449">
        <v>447</v>
      </c>
      <c r="B449" t="s">
        <v>3365</v>
      </c>
      <c r="F449" t="s">
        <v>581</v>
      </c>
      <c r="G449" t="s">
        <v>6</v>
      </c>
      <c r="H449" t="s">
        <v>5</v>
      </c>
      <c r="I449" t="s">
        <v>580</v>
      </c>
      <c r="J449">
        <v>60103561</v>
      </c>
      <c r="K449" t="s">
        <v>579</v>
      </c>
      <c r="L449" t="s">
        <v>578</v>
      </c>
      <c r="M449" t="s">
        <v>86</v>
      </c>
      <c r="N449">
        <v>8</v>
      </c>
      <c r="O449" t="s">
        <v>3364</v>
      </c>
      <c r="P449" t="s">
        <v>3363</v>
      </c>
      <c r="Q449" t="s">
        <v>577</v>
      </c>
      <c r="R449" s="7">
        <v>35370</v>
      </c>
      <c r="S449" s="8">
        <f t="shared" si="48"/>
        <v>1996</v>
      </c>
      <c r="T449" s="8">
        <v>1996</v>
      </c>
      <c r="U449" s="8">
        <f t="shared" si="49"/>
        <v>26</v>
      </c>
      <c r="V449" s="7">
        <v>35370</v>
      </c>
      <c r="W449" t="s">
        <v>644</v>
      </c>
      <c r="X449" s="2">
        <v>0.33500000000000002</v>
      </c>
      <c r="Y449" s="6">
        <f t="shared" si="50"/>
        <v>8.94263367235258E-3</v>
      </c>
      <c r="AA449">
        <v>10501827</v>
      </c>
      <c r="AB449">
        <v>78233</v>
      </c>
      <c r="AD449" t="s">
        <v>1</v>
      </c>
      <c r="AE449">
        <v>6</v>
      </c>
      <c r="AF449">
        <v>6</v>
      </c>
      <c r="AH449" t="s">
        <v>576</v>
      </c>
      <c r="AI449" t="s">
        <v>575</v>
      </c>
      <c r="AK449" t="s">
        <v>574</v>
      </c>
      <c r="AL449">
        <v>0</v>
      </c>
      <c r="AM449" s="5">
        <f t="shared" si="51"/>
        <v>0</v>
      </c>
      <c r="AN449" s="4">
        <f t="shared" si="52"/>
        <v>0</v>
      </c>
      <c r="AO449" s="3"/>
      <c r="AP449">
        <v>0</v>
      </c>
      <c r="AR449" t="s">
        <v>0</v>
      </c>
      <c r="AT449" s="2" t="s">
        <v>9</v>
      </c>
      <c r="AU449" s="1">
        <f t="shared" si="53"/>
        <v>0.62598435706468059</v>
      </c>
      <c r="AV449" s="1">
        <f t="shared" si="54"/>
        <v>0.44713168361762901</v>
      </c>
      <c r="AW449" s="1">
        <f t="shared" si="55"/>
        <v>0.26827901017057743</v>
      </c>
    </row>
    <row r="450" spans="1:49" x14ac:dyDescent="0.2">
      <c r="A450">
        <v>448</v>
      </c>
      <c r="B450" t="s">
        <v>3362</v>
      </c>
      <c r="F450" t="s">
        <v>3361</v>
      </c>
      <c r="G450" t="s">
        <v>6</v>
      </c>
      <c r="H450" t="s">
        <v>5</v>
      </c>
      <c r="I450" t="s">
        <v>3360</v>
      </c>
      <c r="J450" t="s">
        <v>3359</v>
      </c>
      <c r="K450" t="s">
        <v>3358</v>
      </c>
      <c r="L450" t="s">
        <v>3357</v>
      </c>
      <c r="M450" t="s">
        <v>61</v>
      </c>
      <c r="N450">
        <v>4</v>
      </c>
      <c r="O450" t="s">
        <v>3356</v>
      </c>
      <c r="P450" t="s">
        <v>3355</v>
      </c>
      <c r="Q450" t="s">
        <v>3354</v>
      </c>
      <c r="R450" s="7">
        <v>35370</v>
      </c>
      <c r="S450" s="8">
        <f t="shared" ref="S450:S513" si="56">YEAR(R450)</f>
        <v>1996</v>
      </c>
      <c r="T450" s="8">
        <v>1996</v>
      </c>
      <c r="U450" s="8">
        <f t="shared" ref="U450:U513" si="57">2022-T450</f>
        <v>26</v>
      </c>
      <c r="V450" s="7">
        <v>35370</v>
      </c>
      <c r="W450" t="s">
        <v>644</v>
      </c>
      <c r="X450" s="2">
        <v>0.33500000000000002</v>
      </c>
      <c r="Y450" s="6">
        <f t="shared" ref="Y450:Y513" si="58">(X450-$Z$3)/($Z$2-$Z$3)</f>
        <v>8.94263367235258E-3</v>
      </c>
      <c r="AA450">
        <v>10501827</v>
      </c>
      <c r="AB450">
        <v>78233</v>
      </c>
      <c r="AD450" t="s">
        <v>1</v>
      </c>
      <c r="AE450">
        <v>6</v>
      </c>
      <c r="AF450">
        <v>6</v>
      </c>
      <c r="AH450" t="s">
        <v>3353</v>
      </c>
      <c r="AI450" t="s">
        <v>3352</v>
      </c>
      <c r="AK450" t="s">
        <v>3351</v>
      </c>
      <c r="AL450">
        <v>5</v>
      </c>
      <c r="AM450" s="5">
        <f t="shared" ref="AM450:AM513" si="59">AL450/U450</f>
        <v>0.19230769230769232</v>
      </c>
      <c r="AN450" s="4">
        <f t="shared" ref="AN450:AN513" si="60">(AM450-$AO$3)/($AO$2-$AO$3)</f>
        <v>2.9126496373751206E-4</v>
      </c>
      <c r="AO450" s="3"/>
      <c r="AP450">
        <v>0</v>
      </c>
      <c r="AR450" t="s">
        <v>0</v>
      </c>
      <c r="AT450" s="2" t="s">
        <v>9</v>
      </c>
      <c r="AU450" s="1">
        <f t="shared" ref="AU450:AU513" si="61">(Y450*0.7+AN450*0.3)*100</f>
        <v>0.6347223059768059</v>
      </c>
      <c r="AV450" s="1">
        <f t="shared" ref="AV450:AV513" si="62">(Y450*0.5+AN450*0.5)*100</f>
        <v>0.46169493180450466</v>
      </c>
      <c r="AW450" s="1">
        <f t="shared" ref="AW450:AW513" si="63">(Y450*0.3+AN450*0.7)*100</f>
        <v>0.28866755763220325</v>
      </c>
    </row>
    <row r="451" spans="1:49" x14ac:dyDescent="0.2">
      <c r="A451">
        <v>449</v>
      </c>
      <c r="B451" t="s">
        <v>3350</v>
      </c>
      <c r="C451" t="s">
        <v>3349</v>
      </c>
      <c r="F451" t="s">
        <v>3348</v>
      </c>
      <c r="G451" t="s">
        <v>6</v>
      </c>
      <c r="H451" t="s">
        <v>5</v>
      </c>
      <c r="I451" t="s">
        <v>3347</v>
      </c>
      <c r="J451">
        <v>60015578</v>
      </c>
      <c r="K451" t="s">
        <v>3346</v>
      </c>
      <c r="L451" t="s">
        <v>3345</v>
      </c>
      <c r="M451" t="s">
        <v>2</v>
      </c>
      <c r="N451">
        <v>1</v>
      </c>
      <c r="O451" t="s">
        <v>3344</v>
      </c>
      <c r="P451">
        <v>57194894495</v>
      </c>
      <c r="Q451">
        <v>60015578</v>
      </c>
      <c r="R451" s="7">
        <v>35370</v>
      </c>
      <c r="S451" s="8">
        <f t="shared" si="56"/>
        <v>1996</v>
      </c>
      <c r="T451" s="8">
        <v>1996</v>
      </c>
      <c r="U451" s="8">
        <f t="shared" si="57"/>
        <v>26</v>
      </c>
      <c r="V451" s="7">
        <v>35370</v>
      </c>
      <c r="W451" t="s">
        <v>554</v>
      </c>
      <c r="X451" s="2" t="s">
        <v>9</v>
      </c>
      <c r="Y451" s="6" t="e">
        <f t="shared" si="58"/>
        <v>#VALUE!</v>
      </c>
      <c r="AA451">
        <v>947598</v>
      </c>
      <c r="AB451">
        <v>21100450478</v>
      </c>
      <c r="AD451" t="s">
        <v>1</v>
      </c>
      <c r="AE451">
        <v>48</v>
      </c>
      <c r="AF451">
        <v>11</v>
      </c>
      <c r="AH451" s="9">
        <v>44442</v>
      </c>
      <c r="AI451" t="s">
        <v>3343</v>
      </c>
      <c r="AK451" t="s">
        <v>3342</v>
      </c>
      <c r="AL451">
        <v>1</v>
      </c>
      <c r="AM451" s="5">
        <f t="shared" si="59"/>
        <v>3.8461538461538464E-2</v>
      </c>
      <c r="AN451" s="4">
        <f t="shared" si="60"/>
        <v>5.8252992747502406E-5</v>
      </c>
      <c r="AO451" s="3"/>
      <c r="AP451">
        <v>0</v>
      </c>
      <c r="AR451" t="s">
        <v>0</v>
      </c>
      <c r="AT451" s="2" t="s">
        <v>9</v>
      </c>
      <c r="AU451" s="1" t="e">
        <f t="shared" si="61"/>
        <v>#VALUE!</v>
      </c>
      <c r="AV451" s="1" t="e">
        <f t="shared" si="62"/>
        <v>#VALUE!</v>
      </c>
      <c r="AW451" s="1" t="e">
        <f t="shared" si="63"/>
        <v>#VALUE!</v>
      </c>
    </row>
    <row r="452" spans="1:49" x14ac:dyDescent="0.2">
      <c r="A452">
        <v>450</v>
      </c>
      <c r="B452" t="s">
        <v>3341</v>
      </c>
      <c r="C452" t="s">
        <v>3340</v>
      </c>
      <c r="F452" t="s">
        <v>3339</v>
      </c>
      <c r="G452" t="s">
        <v>6</v>
      </c>
      <c r="H452" t="s">
        <v>5</v>
      </c>
      <c r="I452" t="s">
        <v>3338</v>
      </c>
      <c r="J452">
        <v>60110235</v>
      </c>
      <c r="K452" t="s">
        <v>3337</v>
      </c>
      <c r="L452" t="s">
        <v>3336</v>
      </c>
      <c r="M452" t="s">
        <v>25</v>
      </c>
      <c r="N452">
        <v>2</v>
      </c>
      <c r="O452" t="s">
        <v>3335</v>
      </c>
      <c r="P452" t="s">
        <v>3334</v>
      </c>
      <c r="Q452" t="s">
        <v>3333</v>
      </c>
      <c r="R452" s="7">
        <v>35370</v>
      </c>
      <c r="S452" s="8">
        <f t="shared" si="56"/>
        <v>1996</v>
      </c>
      <c r="T452" s="8">
        <v>1996</v>
      </c>
      <c r="U452" s="8">
        <f t="shared" si="57"/>
        <v>26</v>
      </c>
      <c r="V452" s="7">
        <v>35370</v>
      </c>
      <c r="W452" t="s">
        <v>3257</v>
      </c>
      <c r="X452" s="2">
        <v>0.91800000000000004</v>
      </c>
      <c r="Y452" s="6">
        <f t="shared" si="58"/>
        <v>2.4505485705133341E-2</v>
      </c>
      <c r="AA452">
        <v>1431161</v>
      </c>
      <c r="AB452">
        <v>22674</v>
      </c>
      <c r="AC452">
        <v>13665901</v>
      </c>
      <c r="AD452" t="s">
        <v>1</v>
      </c>
      <c r="AE452">
        <v>17</v>
      </c>
      <c r="AF452">
        <v>16</v>
      </c>
      <c r="AH452" t="s">
        <v>3332</v>
      </c>
      <c r="AI452" t="s">
        <v>3331</v>
      </c>
      <c r="AK452" t="s">
        <v>3330</v>
      </c>
      <c r="AL452">
        <v>0</v>
      </c>
      <c r="AM452" s="5">
        <f t="shared" si="59"/>
        <v>0</v>
      </c>
      <c r="AN452" s="4">
        <f t="shared" si="60"/>
        <v>0</v>
      </c>
      <c r="AO452" s="3"/>
      <c r="AP452">
        <v>0</v>
      </c>
      <c r="AR452" t="s">
        <v>0</v>
      </c>
      <c r="AT452" s="2" t="s">
        <v>9</v>
      </c>
      <c r="AU452" s="1">
        <f t="shared" si="61"/>
        <v>1.7153839993593336</v>
      </c>
      <c r="AV452" s="1">
        <f t="shared" si="62"/>
        <v>1.2252742852566672</v>
      </c>
      <c r="AW452" s="1">
        <f t="shared" si="63"/>
        <v>0.73516457115400013</v>
      </c>
    </row>
    <row r="453" spans="1:49" x14ac:dyDescent="0.2">
      <c r="A453">
        <v>451</v>
      </c>
      <c r="B453" t="s">
        <v>3329</v>
      </c>
      <c r="C453" t="s">
        <v>3328</v>
      </c>
      <c r="F453" t="s">
        <v>3327</v>
      </c>
      <c r="G453" t="s">
        <v>6</v>
      </c>
      <c r="H453" t="s">
        <v>5</v>
      </c>
      <c r="I453" t="s">
        <v>3326</v>
      </c>
      <c r="J453">
        <v>60002644</v>
      </c>
      <c r="K453" t="s">
        <v>3325</v>
      </c>
      <c r="L453" t="s">
        <v>180</v>
      </c>
      <c r="M453" t="s">
        <v>179</v>
      </c>
      <c r="N453">
        <v>4</v>
      </c>
      <c r="O453" t="s">
        <v>3324</v>
      </c>
      <c r="P453" t="s">
        <v>3323</v>
      </c>
      <c r="Q453" t="s">
        <v>3322</v>
      </c>
      <c r="R453" s="7">
        <v>35370</v>
      </c>
      <c r="S453" s="8">
        <f t="shared" si="56"/>
        <v>1996</v>
      </c>
      <c r="T453" s="8">
        <v>1996</v>
      </c>
      <c r="U453" s="8">
        <f t="shared" si="57"/>
        <v>26</v>
      </c>
      <c r="V453" s="7">
        <v>35370</v>
      </c>
      <c r="W453" t="s">
        <v>3321</v>
      </c>
      <c r="X453" s="2" t="s">
        <v>9</v>
      </c>
      <c r="Y453" s="6" t="e">
        <f t="shared" si="58"/>
        <v>#VALUE!</v>
      </c>
      <c r="AA453" t="s">
        <v>3320</v>
      </c>
      <c r="AB453">
        <v>36685</v>
      </c>
      <c r="AD453" t="s">
        <v>1</v>
      </c>
      <c r="AE453">
        <v>27</v>
      </c>
      <c r="AF453">
        <v>6</v>
      </c>
      <c r="AH453" t="s">
        <v>3319</v>
      </c>
      <c r="AI453" t="s">
        <v>3318</v>
      </c>
      <c r="AJ453" t="s">
        <v>3317</v>
      </c>
      <c r="AK453" t="s">
        <v>3316</v>
      </c>
      <c r="AL453">
        <v>0</v>
      </c>
      <c r="AM453" s="5">
        <f t="shared" si="59"/>
        <v>0</v>
      </c>
      <c r="AN453" s="4">
        <f t="shared" si="60"/>
        <v>0</v>
      </c>
      <c r="AO453" s="3"/>
      <c r="AP453">
        <v>0</v>
      </c>
      <c r="AR453" t="s">
        <v>0</v>
      </c>
      <c r="AT453" s="2" t="s">
        <v>9</v>
      </c>
      <c r="AU453" s="1" t="e">
        <f t="shared" si="61"/>
        <v>#VALUE!</v>
      </c>
      <c r="AV453" s="1" t="e">
        <f t="shared" si="62"/>
        <v>#VALUE!</v>
      </c>
      <c r="AW453" s="1" t="e">
        <f t="shared" si="63"/>
        <v>#VALUE!</v>
      </c>
    </row>
    <row r="454" spans="1:49" x14ac:dyDescent="0.2">
      <c r="A454">
        <v>452</v>
      </c>
      <c r="B454" t="s">
        <v>3315</v>
      </c>
      <c r="F454" t="s">
        <v>3314</v>
      </c>
      <c r="G454" t="s">
        <v>6</v>
      </c>
      <c r="H454" t="s">
        <v>5</v>
      </c>
      <c r="I454" t="s">
        <v>3313</v>
      </c>
      <c r="J454" t="s">
        <v>3312</v>
      </c>
      <c r="K454" t="s">
        <v>3311</v>
      </c>
      <c r="L454" t="s">
        <v>3310</v>
      </c>
      <c r="M454" t="s">
        <v>3309</v>
      </c>
      <c r="N454">
        <v>5</v>
      </c>
      <c r="O454" t="s">
        <v>3308</v>
      </c>
      <c r="P454" t="s">
        <v>3307</v>
      </c>
      <c r="Q454" t="s">
        <v>3306</v>
      </c>
      <c r="R454" s="7">
        <v>35370</v>
      </c>
      <c r="S454" s="8">
        <f t="shared" si="56"/>
        <v>1996</v>
      </c>
      <c r="T454" s="8">
        <v>1996</v>
      </c>
      <c r="U454" s="8">
        <f t="shared" si="57"/>
        <v>26</v>
      </c>
      <c r="V454" s="7">
        <v>35370</v>
      </c>
      <c r="W454" t="s">
        <v>1207</v>
      </c>
      <c r="X454" s="2">
        <v>2.137</v>
      </c>
      <c r="Y454" s="6">
        <f t="shared" si="58"/>
        <v>5.7045994500947654E-2</v>
      </c>
      <c r="AA454">
        <v>46361</v>
      </c>
      <c r="AB454">
        <v>26750</v>
      </c>
      <c r="AD454" t="s">
        <v>1</v>
      </c>
      <c r="AE454">
        <v>315</v>
      </c>
      <c r="AF454">
        <v>1</v>
      </c>
      <c r="AI454" t="s">
        <v>3305</v>
      </c>
      <c r="AJ454" t="s">
        <v>3304</v>
      </c>
      <c r="AK454" t="s">
        <v>3303</v>
      </c>
      <c r="AL454">
        <v>5</v>
      </c>
      <c r="AM454" s="5">
        <f t="shared" si="59"/>
        <v>0.19230769230769232</v>
      </c>
      <c r="AN454" s="4">
        <f t="shared" si="60"/>
        <v>2.9126496373751206E-4</v>
      </c>
      <c r="AO454" s="3"/>
      <c r="AP454">
        <v>0</v>
      </c>
      <c r="AR454" t="s">
        <v>0</v>
      </c>
      <c r="AT454" s="2" t="s">
        <v>9</v>
      </c>
      <c r="AU454" s="1">
        <f t="shared" si="61"/>
        <v>4.0019575639784613</v>
      </c>
      <c r="AV454" s="1">
        <f t="shared" si="62"/>
        <v>2.8668629732342583</v>
      </c>
      <c r="AW454" s="1">
        <f t="shared" si="63"/>
        <v>1.7317683824900552</v>
      </c>
    </row>
    <row r="455" spans="1:49" x14ac:dyDescent="0.2">
      <c r="A455">
        <v>453</v>
      </c>
      <c r="B455" t="s">
        <v>3302</v>
      </c>
      <c r="C455" t="s">
        <v>3301</v>
      </c>
      <c r="F455" t="s">
        <v>3300</v>
      </c>
      <c r="G455" t="s">
        <v>6</v>
      </c>
      <c r="H455" t="s">
        <v>5</v>
      </c>
      <c r="I455" t="s">
        <v>652</v>
      </c>
      <c r="J455" t="s">
        <v>3299</v>
      </c>
      <c r="K455" t="s">
        <v>3298</v>
      </c>
      <c r="L455" t="s">
        <v>3297</v>
      </c>
      <c r="M455" t="s">
        <v>13</v>
      </c>
      <c r="N455">
        <v>4</v>
      </c>
      <c r="O455" t="s">
        <v>651</v>
      </c>
      <c r="P455" t="s">
        <v>650</v>
      </c>
      <c r="Q455" t="s">
        <v>3296</v>
      </c>
      <c r="R455" s="7">
        <v>35370</v>
      </c>
      <c r="S455" s="8">
        <f t="shared" si="56"/>
        <v>1996</v>
      </c>
      <c r="T455" s="8">
        <v>1996</v>
      </c>
      <c r="U455" s="8">
        <f t="shared" si="57"/>
        <v>26</v>
      </c>
      <c r="V455" s="7">
        <v>35370</v>
      </c>
      <c r="W455" t="s">
        <v>654</v>
      </c>
      <c r="X455" s="2">
        <v>0.66800000000000004</v>
      </c>
      <c r="Y455" s="6">
        <f t="shared" si="58"/>
        <v>1.7831878486959774E-2</v>
      </c>
      <c r="AA455" t="s">
        <v>653</v>
      </c>
      <c r="AB455">
        <v>29593</v>
      </c>
      <c r="AC455">
        <v>21553165</v>
      </c>
      <c r="AD455" t="s">
        <v>1</v>
      </c>
      <c r="AE455">
        <v>35</v>
      </c>
      <c r="AF455">
        <v>31</v>
      </c>
      <c r="AH455" t="s">
        <v>3295</v>
      </c>
      <c r="AI455" t="s">
        <v>3294</v>
      </c>
      <c r="AJ455" t="s">
        <v>3293</v>
      </c>
      <c r="AK455" t="s">
        <v>3292</v>
      </c>
      <c r="AL455">
        <v>7</v>
      </c>
      <c r="AM455" s="5">
        <f t="shared" si="59"/>
        <v>0.26923076923076922</v>
      </c>
      <c r="AN455" s="4">
        <f t="shared" si="60"/>
        <v>4.0777094923251682E-4</v>
      </c>
      <c r="AO455" s="3"/>
      <c r="AP455">
        <v>0</v>
      </c>
      <c r="AR455" t="s">
        <v>0</v>
      </c>
      <c r="AT455" s="2">
        <v>1.98</v>
      </c>
      <c r="AU455" s="1">
        <f t="shared" si="61"/>
        <v>1.2604646225641594</v>
      </c>
      <c r="AV455" s="1">
        <f t="shared" si="62"/>
        <v>0.91198247180961456</v>
      </c>
      <c r="AW455" s="1">
        <f t="shared" si="63"/>
        <v>0.56350032105506931</v>
      </c>
    </row>
    <row r="456" spans="1:49" x14ac:dyDescent="0.2">
      <c r="A456">
        <v>454</v>
      </c>
      <c r="B456" t="s">
        <v>3291</v>
      </c>
      <c r="F456" t="s">
        <v>3290</v>
      </c>
      <c r="G456" t="s">
        <v>6</v>
      </c>
      <c r="H456" t="s">
        <v>5</v>
      </c>
      <c r="I456" t="s">
        <v>3289</v>
      </c>
      <c r="J456">
        <v>60011313</v>
      </c>
      <c r="K456" t="s">
        <v>648</v>
      </c>
      <c r="L456" t="s">
        <v>647</v>
      </c>
      <c r="M456" t="s">
        <v>289</v>
      </c>
      <c r="N456">
        <v>3</v>
      </c>
      <c r="O456" t="s">
        <v>3288</v>
      </c>
      <c r="P456" t="s">
        <v>3287</v>
      </c>
      <c r="Q456" t="s">
        <v>3286</v>
      </c>
      <c r="R456" s="7">
        <v>35370</v>
      </c>
      <c r="S456" s="8">
        <f t="shared" si="56"/>
        <v>1996</v>
      </c>
      <c r="T456" s="8">
        <v>1996</v>
      </c>
      <c r="U456" s="8">
        <f t="shared" si="57"/>
        <v>26</v>
      </c>
      <c r="V456" s="7">
        <v>35370</v>
      </c>
      <c r="W456" t="s">
        <v>646</v>
      </c>
      <c r="X456" s="2">
        <v>0.42099999999999999</v>
      </c>
      <c r="Y456" s="6">
        <f t="shared" si="58"/>
        <v>1.1238354555404288E-2</v>
      </c>
      <c r="AA456">
        <v>10214437</v>
      </c>
      <c r="AB456">
        <v>17169</v>
      </c>
      <c r="AD456" t="s">
        <v>1</v>
      </c>
      <c r="AE456">
        <v>43</v>
      </c>
      <c r="AF456">
        <v>6</v>
      </c>
      <c r="AH456" t="s">
        <v>3285</v>
      </c>
      <c r="AI456" t="s">
        <v>3284</v>
      </c>
      <c r="AJ456" t="s">
        <v>3283</v>
      </c>
      <c r="AK456" t="s">
        <v>3282</v>
      </c>
      <c r="AL456">
        <v>1</v>
      </c>
      <c r="AM456" s="5">
        <f t="shared" si="59"/>
        <v>3.8461538461538464E-2</v>
      </c>
      <c r="AN456" s="4">
        <f t="shared" si="60"/>
        <v>5.8252992747502406E-5</v>
      </c>
      <c r="AO456" s="3"/>
      <c r="AP456">
        <v>0</v>
      </c>
      <c r="AR456" t="s">
        <v>0</v>
      </c>
      <c r="AT456" s="2">
        <v>1.4810000000000001</v>
      </c>
      <c r="AU456" s="1">
        <f t="shared" si="61"/>
        <v>0.78843240866072506</v>
      </c>
      <c r="AV456" s="1">
        <f t="shared" si="62"/>
        <v>0.56483037740758946</v>
      </c>
      <c r="AW456" s="1">
        <f t="shared" si="63"/>
        <v>0.3412283461544538</v>
      </c>
    </row>
    <row r="457" spans="1:49" x14ac:dyDescent="0.2">
      <c r="A457">
        <v>455</v>
      </c>
      <c r="B457" t="s">
        <v>3281</v>
      </c>
      <c r="F457" t="s">
        <v>3280</v>
      </c>
      <c r="G457" t="s">
        <v>6</v>
      </c>
      <c r="H457" t="s">
        <v>5</v>
      </c>
      <c r="I457" t="s">
        <v>3279</v>
      </c>
      <c r="J457" t="s">
        <v>3278</v>
      </c>
      <c r="K457" t="s">
        <v>3277</v>
      </c>
      <c r="L457" t="s">
        <v>3276</v>
      </c>
      <c r="M457" t="s">
        <v>3275</v>
      </c>
      <c r="N457">
        <v>3</v>
      </c>
      <c r="O457" t="s">
        <v>3274</v>
      </c>
      <c r="P457" t="s">
        <v>3273</v>
      </c>
      <c r="Q457" t="s">
        <v>3272</v>
      </c>
      <c r="R457" s="7">
        <v>35370</v>
      </c>
      <c r="S457" s="8">
        <f t="shared" si="56"/>
        <v>1996</v>
      </c>
      <c r="T457" s="8">
        <v>1996</v>
      </c>
      <c r="U457" s="8">
        <f t="shared" si="57"/>
        <v>26</v>
      </c>
      <c r="V457" s="7">
        <v>35370</v>
      </c>
      <c r="W457" t="s">
        <v>717</v>
      </c>
      <c r="X457" s="2">
        <v>0.439</v>
      </c>
      <c r="Y457" s="6">
        <f t="shared" si="58"/>
        <v>1.1718854275112784E-2</v>
      </c>
      <c r="AA457">
        <v>10637729</v>
      </c>
      <c r="AB457">
        <v>26760</v>
      </c>
      <c r="AD457" t="s">
        <v>1</v>
      </c>
      <c r="AE457">
        <v>40</v>
      </c>
      <c r="AF457">
        <v>6</v>
      </c>
      <c r="AH457" t="s">
        <v>3271</v>
      </c>
      <c r="AI457" t="s">
        <v>3270</v>
      </c>
      <c r="AK457" t="s">
        <v>3269</v>
      </c>
      <c r="AL457">
        <v>2</v>
      </c>
      <c r="AM457" s="5">
        <f t="shared" si="59"/>
        <v>7.6923076923076927E-2</v>
      </c>
      <c r="AN457" s="4">
        <f t="shared" si="60"/>
        <v>1.1650598549500481E-4</v>
      </c>
      <c r="AO457" s="3"/>
      <c r="AP457">
        <v>0</v>
      </c>
      <c r="AR457" t="s">
        <v>0</v>
      </c>
      <c r="AT457" s="2">
        <v>0.98</v>
      </c>
      <c r="AU457" s="1">
        <f t="shared" si="61"/>
        <v>0.82381497882274501</v>
      </c>
      <c r="AV457" s="1">
        <f t="shared" si="62"/>
        <v>0.59176801303038939</v>
      </c>
      <c r="AW457" s="1">
        <f t="shared" si="63"/>
        <v>0.35972104723803383</v>
      </c>
    </row>
    <row r="458" spans="1:49" x14ac:dyDescent="0.2">
      <c r="A458">
        <v>456</v>
      </c>
      <c r="B458" t="s">
        <v>3268</v>
      </c>
      <c r="C458" t="s">
        <v>3267</v>
      </c>
      <c r="F458" t="s">
        <v>3266</v>
      </c>
      <c r="G458" t="s">
        <v>6</v>
      </c>
      <c r="H458" t="s">
        <v>5</v>
      </c>
      <c r="I458" t="s">
        <v>3265</v>
      </c>
      <c r="J458" t="s">
        <v>3264</v>
      </c>
      <c r="K458" t="s">
        <v>3263</v>
      </c>
      <c r="L458" t="s">
        <v>3262</v>
      </c>
      <c r="M458" t="s">
        <v>3261</v>
      </c>
      <c r="N458">
        <v>3</v>
      </c>
      <c r="O458" t="s">
        <v>3260</v>
      </c>
      <c r="P458" t="s">
        <v>3259</v>
      </c>
      <c r="Q458" t="s">
        <v>3258</v>
      </c>
      <c r="R458" s="7">
        <v>35370</v>
      </c>
      <c r="S458" s="8">
        <f t="shared" si="56"/>
        <v>1996</v>
      </c>
      <c r="T458" s="8">
        <v>1996</v>
      </c>
      <c r="U458" s="8">
        <f t="shared" si="57"/>
        <v>26</v>
      </c>
      <c r="V458" s="7">
        <v>35370</v>
      </c>
      <c r="W458" t="s">
        <v>3257</v>
      </c>
      <c r="X458" s="2">
        <v>0.91800000000000004</v>
      </c>
      <c r="Y458" s="6">
        <f t="shared" si="58"/>
        <v>2.4505485705133341E-2</v>
      </c>
      <c r="AA458">
        <v>1431161</v>
      </c>
      <c r="AB458">
        <v>22674</v>
      </c>
      <c r="AC458">
        <v>13665901</v>
      </c>
      <c r="AD458" t="s">
        <v>1</v>
      </c>
      <c r="AE458">
        <v>17</v>
      </c>
      <c r="AF458">
        <v>16</v>
      </c>
      <c r="AH458" t="s">
        <v>3256</v>
      </c>
      <c r="AI458" t="s">
        <v>3255</v>
      </c>
      <c r="AK458" t="s">
        <v>3254</v>
      </c>
      <c r="AL458">
        <v>2</v>
      </c>
      <c r="AM458" s="5">
        <f t="shared" si="59"/>
        <v>7.6923076923076927E-2</v>
      </c>
      <c r="AN458" s="4">
        <f t="shared" si="60"/>
        <v>1.1650598549500481E-4</v>
      </c>
      <c r="AO458" s="3"/>
      <c r="AP458">
        <v>0</v>
      </c>
      <c r="AQ458" t="s">
        <v>130</v>
      </c>
      <c r="AR458" t="s">
        <v>0</v>
      </c>
      <c r="AS458" t="s">
        <v>129</v>
      </c>
      <c r="AT458" s="2" t="s">
        <v>9</v>
      </c>
      <c r="AU458" s="1">
        <f t="shared" si="61"/>
        <v>1.7188791789241837</v>
      </c>
      <c r="AV458" s="1">
        <f t="shared" si="62"/>
        <v>1.2310995845314172</v>
      </c>
      <c r="AW458" s="1">
        <f t="shared" si="63"/>
        <v>0.74331999013865047</v>
      </c>
    </row>
    <row r="459" spans="1:49" x14ac:dyDescent="0.2">
      <c r="A459">
        <v>457</v>
      </c>
      <c r="B459" t="s">
        <v>3253</v>
      </c>
      <c r="C459" t="s">
        <v>3252</v>
      </c>
      <c r="D459" t="s">
        <v>3251</v>
      </c>
      <c r="F459" t="s">
        <v>3250</v>
      </c>
      <c r="G459" t="s">
        <v>6</v>
      </c>
      <c r="H459" t="s">
        <v>5</v>
      </c>
      <c r="I459" t="s">
        <v>3249</v>
      </c>
      <c r="J459">
        <v>60009506</v>
      </c>
      <c r="K459" t="s">
        <v>3248</v>
      </c>
      <c r="L459" t="s">
        <v>3247</v>
      </c>
      <c r="M459" t="s">
        <v>3246</v>
      </c>
      <c r="N459">
        <v>1</v>
      </c>
      <c r="O459" t="s">
        <v>3245</v>
      </c>
      <c r="P459">
        <v>6603957268</v>
      </c>
      <c r="Q459">
        <v>60009506</v>
      </c>
      <c r="R459" s="7">
        <v>35370</v>
      </c>
      <c r="S459" s="8">
        <f t="shared" si="56"/>
        <v>1996</v>
      </c>
      <c r="T459" s="8">
        <v>1996</v>
      </c>
      <c r="U459" s="8">
        <f t="shared" si="57"/>
        <v>26</v>
      </c>
      <c r="V459" s="7">
        <v>35370</v>
      </c>
      <c r="W459" t="s">
        <v>392</v>
      </c>
      <c r="X459" s="2">
        <v>0.627</v>
      </c>
      <c r="Y459" s="6">
        <f t="shared" si="58"/>
        <v>1.6737406903179305E-2</v>
      </c>
      <c r="AA459">
        <v>9269851</v>
      </c>
      <c r="AB459">
        <v>28435</v>
      </c>
      <c r="AD459" t="s">
        <v>1</v>
      </c>
      <c r="AE459">
        <v>36</v>
      </c>
      <c r="AF459">
        <v>1</v>
      </c>
      <c r="AH459" t="s">
        <v>313</v>
      </c>
      <c r="AI459" t="s">
        <v>3244</v>
      </c>
      <c r="AJ459" t="s">
        <v>3243</v>
      </c>
      <c r="AK459" t="s">
        <v>3242</v>
      </c>
      <c r="AL459">
        <v>96</v>
      </c>
      <c r="AM459" s="5">
        <f t="shared" si="59"/>
        <v>3.6923076923076925</v>
      </c>
      <c r="AN459" s="4">
        <f t="shared" si="60"/>
        <v>5.592287303760231E-3</v>
      </c>
      <c r="AO459" s="3"/>
      <c r="AP459">
        <v>0</v>
      </c>
      <c r="AR459" t="s">
        <v>0</v>
      </c>
      <c r="AT459" s="2">
        <v>2.121</v>
      </c>
      <c r="AU459" s="1">
        <f t="shared" si="61"/>
        <v>1.3393871023353583</v>
      </c>
      <c r="AV459" s="1">
        <f t="shared" si="62"/>
        <v>1.1164847103469768</v>
      </c>
      <c r="AW459" s="1">
        <f t="shared" si="63"/>
        <v>0.89358231835859525</v>
      </c>
    </row>
    <row r="460" spans="1:49" x14ac:dyDescent="0.2">
      <c r="A460">
        <v>458</v>
      </c>
      <c r="B460" t="s">
        <v>3241</v>
      </c>
      <c r="F460" t="s">
        <v>3240</v>
      </c>
      <c r="G460" t="s">
        <v>6</v>
      </c>
      <c r="H460" t="s">
        <v>5</v>
      </c>
      <c r="I460" t="s">
        <v>3239</v>
      </c>
      <c r="J460">
        <v>60002959</v>
      </c>
      <c r="K460" t="s">
        <v>508</v>
      </c>
      <c r="L460" t="s">
        <v>507</v>
      </c>
      <c r="M460" t="s">
        <v>2</v>
      </c>
      <c r="N460">
        <v>3</v>
      </c>
      <c r="O460" t="s">
        <v>3238</v>
      </c>
      <c r="P460" t="s">
        <v>3237</v>
      </c>
      <c r="Q460" t="s">
        <v>719</v>
      </c>
      <c r="R460" s="7">
        <v>35370</v>
      </c>
      <c r="S460" s="8">
        <f t="shared" si="56"/>
        <v>1996</v>
      </c>
      <c r="T460" s="8">
        <v>1996</v>
      </c>
      <c r="U460" s="8">
        <f t="shared" si="57"/>
        <v>26</v>
      </c>
      <c r="V460" s="7">
        <v>35370</v>
      </c>
      <c r="W460" t="s">
        <v>3236</v>
      </c>
      <c r="X460" s="2">
        <v>0.115</v>
      </c>
      <c r="Y460" s="6">
        <f t="shared" si="58"/>
        <v>3.069859320359841E-3</v>
      </c>
      <c r="AA460">
        <v>933651</v>
      </c>
      <c r="AB460">
        <v>14396</v>
      </c>
      <c r="AD460" t="s">
        <v>1</v>
      </c>
      <c r="AE460">
        <v>37</v>
      </c>
      <c r="AF460">
        <v>11</v>
      </c>
      <c r="AI460" t="s">
        <v>3235</v>
      </c>
      <c r="AK460" t="s">
        <v>3234</v>
      </c>
      <c r="AL460">
        <v>1</v>
      </c>
      <c r="AM460" s="5">
        <f t="shared" si="59"/>
        <v>3.8461538461538464E-2</v>
      </c>
      <c r="AN460" s="4">
        <f t="shared" si="60"/>
        <v>5.8252992747502406E-5</v>
      </c>
      <c r="AO460" s="3"/>
      <c r="AP460">
        <v>0</v>
      </c>
      <c r="AR460" t="s">
        <v>0</v>
      </c>
      <c r="AT460" s="2">
        <v>0.17499999999999999</v>
      </c>
      <c r="AU460" s="1">
        <f t="shared" si="61"/>
        <v>0.21663774220761389</v>
      </c>
      <c r="AV460" s="1">
        <f t="shared" si="62"/>
        <v>0.15640561565536715</v>
      </c>
      <c r="AW460" s="1">
        <f t="shared" si="63"/>
        <v>9.6173489103120388E-2</v>
      </c>
    </row>
    <row r="461" spans="1:49" x14ac:dyDescent="0.2">
      <c r="A461">
        <v>459</v>
      </c>
      <c r="B461" t="s">
        <v>3233</v>
      </c>
      <c r="C461" t="s">
        <v>3232</v>
      </c>
      <c r="F461" t="s">
        <v>3231</v>
      </c>
      <c r="G461" t="s">
        <v>6</v>
      </c>
      <c r="H461" t="s">
        <v>5</v>
      </c>
      <c r="I461" t="s">
        <v>3230</v>
      </c>
      <c r="J461">
        <v>60027550</v>
      </c>
      <c r="K461" t="s">
        <v>113</v>
      </c>
      <c r="L461" t="s">
        <v>112</v>
      </c>
      <c r="M461" t="s">
        <v>2</v>
      </c>
      <c r="N461">
        <v>2</v>
      </c>
      <c r="O461" t="s">
        <v>3229</v>
      </c>
      <c r="P461" t="s">
        <v>3228</v>
      </c>
      <c r="Q461" t="s">
        <v>261</v>
      </c>
      <c r="R461" s="7">
        <v>35370</v>
      </c>
      <c r="S461" s="8">
        <f t="shared" si="56"/>
        <v>1996</v>
      </c>
      <c r="T461" s="8">
        <v>1996</v>
      </c>
      <c r="U461" s="8">
        <f t="shared" si="57"/>
        <v>26</v>
      </c>
      <c r="V461" s="7">
        <v>35370</v>
      </c>
      <c r="W461" t="s">
        <v>255</v>
      </c>
      <c r="X461" s="2">
        <v>0.22500000000000001</v>
      </c>
      <c r="Y461" s="6">
        <f t="shared" si="58"/>
        <v>6.0062464963562111E-3</v>
      </c>
      <c r="AA461">
        <v>2726343</v>
      </c>
      <c r="AB461">
        <v>16128</v>
      </c>
      <c r="AC461" t="s">
        <v>254</v>
      </c>
      <c r="AD461" t="s">
        <v>1</v>
      </c>
      <c r="AE461">
        <v>16</v>
      </c>
      <c r="AF461">
        <v>6</v>
      </c>
      <c r="AH461" t="s">
        <v>3227</v>
      </c>
      <c r="AI461" t="s">
        <v>3226</v>
      </c>
      <c r="AK461" t="s">
        <v>3225</v>
      </c>
      <c r="AL461">
        <v>5</v>
      </c>
      <c r="AM461" s="5">
        <f t="shared" si="59"/>
        <v>0.19230769230769232</v>
      </c>
      <c r="AN461" s="4">
        <f t="shared" si="60"/>
        <v>2.9126496373751206E-4</v>
      </c>
      <c r="AO461" s="3"/>
      <c r="AP461">
        <v>0</v>
      </c>
      <c r="AR461" t="s">
        <v>3224</v>
      </c>
      <c r="AS461" t="s">
        <v>292</v>
      </c>
      <c r="AT461" s="2">
        <v>1.099</v>
      </c>
      <c r="AU461" s="1">
        <f t="shared" si="61"/>
        <v>0.42917520365706008</v>
      </c>
      <c r="AV461" s="1">
        <f t="shared" si="62"/>
        <v>0.31487557300468616</v>
      </c>
      <c r="AW461" s="1">
        <f t="shared" si="63"/>
        <v>0.20057594235231216</v>
      </c>
    </row>
    <row r="462" spans="1:49" x14ac:dyDescent="0.2">
      <c r="A462">
        <v>460</v>
      </c>
      <c r="B462" t="s">
        <v>3223</v>
      </c>
      <c r="C462" t="s">
        <v>3222</v>
      </c>
      <c r="D462" t="s">
        <v>3221</v>
      </c>
      <c r="F462" t="s">
        <v>3220</v>
      </c>
      <c r="G462" t="s">
        <v>6</v>
      </c>
      <c r="H462" t="s">
        <v>5</v>
      </c>
      <c r="I462" t="s">
        <v>3219</v>
      </c>
      <c r="J462">
        <v>60014439</v>
      </c>
      <c r="K462" t="s">
        <v>3218</v>
      </c>
      <c r="L462" t="s">
        <v>3217</v>
      </c>
      <c r="M462" t="s">
        <v>2</v>
      </c>
      <c r="N462">
        <v>6</v>
      </c>
      <c r="O462" t="s">
        <v>3216</v>
      </c>
      <c r="P462" t="s">
        <v>3215</v>
      </c>
      <c r="Q462" t="s">
        <v>3214</v>
      </c>
      <c r="R462" s="7">
        <v>35370</v>
      </c>
      <c r="S462" s="8">
        <f t="shared" si="56"/>
        <v>1996</v>
      </c>
      <c r="T462" s="8">
        <v>1996</v>
      </c>
      <c r="U462" s="8">
        <f t="shared" si="57"/>
        <v>26</v>
      </c>
      <c r="V462" s="7">
        <v>35370</v>
      </c>
      <c r="W462" t="s">
        <v>142</v>
      </c>
      <c r="X462" s="2">
        <v>0.94</v>
      </c>
      <c r="Y462" s="6">
        <f t="shared" si="58"/>
        <v>2.5092763140332611E-2</v>
      </c>
      <c r="AA462">
        <v>10518207</v>
      </c>
      <c r="AB462">
        <v>63372</v>
      </c>
      <c r="AD462" t="s">
        <v>1</v>
      </c>
      <c r="AE462">
        <v>6</v>
      </c>
      <c r="AF462">
        <v>11</v>
      </c>
      <c r="AH462" t="s">
        <v>3213</v>
      </c>
      <c r="AI462" t="s">
        <v>3212</v>
      </c>
      <c r="AK462" t="s">
        <v>3211</v>
      </c>
      <c r="AL462">
        <v>37</v>
      </c>
      <c r="AM462" s="5">
        <f t="shared" si="59"/>
        <v>1.4230769230769231</v>
      </c>
      <c r="AN462" s="4">
        <f t="shared" si="60"/>
        <v>2.1553607316575889E-3</v>
      </c>
      <c r="AO462" s="3"/>
      <c r="AP462">
        <v>0</v>
      </c>
      <c r="AR462" t="s">
        <v>0</v>
      </c>
      <c r="AT462" s="2" t="s">
        <v>9</v>
      </c>
      <c r="AU462" s="1">
        <f t="shared" si="61"/>
        <v>1.8211542417730104</v>
      </c>
      <c r="AV462" s="1">
        <f t="shared" si="62"/>
        <v>1.36240619359951</v>
      </c>
      <c r="AW462" s="1">
        <f t="shared" si="63"/>
        <v>0.90365814542600953</v>
      </c>
    </row>
    <row r="463" spans="1:49" x14ac:dyDescent="0.2">
      <c r="A463">
        <v>461</v>
      </c>
      <c r="B463" t="s">
        <v>3210</v>
      </c>
      <c r="F463" t="s">
        <v>3209</v>
      </c>
      <c r="G463" t="s">
        <v>6</v>
      </c>
      <c r="H463" t="s">
        <v>5</v>
      </c>
      <c r="I463" t="s">
        <v>3208</v>
      </c>
      <c r="J463">
        <v>60001439</v>
      </c>
      <c r="K463" t="s">
        <v>134</v>
      </c>
      <c r="L463" t="s">
        <v>133</v>
      </c>
      <c r="M463" t="s">
        <v>2</v>
      </c>
      <c r="N463">
        <v>2</v>
      </c>
      <c r="O463" t="s">
        <v>3207</v>
      </c>
      <c r="P463" t="s">
        <v>3206</v>
      </c>
      <c r="Q463" t="s">
        <v>198</v>
      </c>
      <c r="R463" s="7">
        <v>35370</v>
      </c>
      <c r="S463" s="8">
        <f t="shared" si="56"/>
        <v>1996</v>
      </c>
      <c r="T463" s="8">
        <v>1996</v>
      </c>
      <c r="U463" s="8">
        <f t="shared" si="57"/>
        <v>26</v>
      </c>
      <c r="V463" s="7">
        <v>35370</v>
      </c>
      <c r="W463" t="s">
        <v>880</v>
      </c>
      <c r="X463" s="2">
        <v>0.216</v>
      </c>
      <c r="Y463" s="6">
        <f t="shared" si="58"/>
        <v>5.765996636501962E-3</v>
      </c>
      <c r="AA463">
        <v>10544887</v>
      </c>
      <c r="AB463">
        <v>13200</v>
      </c>
      <c r="AD463" t="s">
        <v>1</v>
      </c>
      <c r="AE463">
        <v>11</v>
      </c>
      <c r="AF463">
        <v>3</v>
      </c>
      <c r="AH463" s="10">
        <v>42248</v>
      </c>
      <c r="AI463" t="s">
        <v>3205</v>
      </c>
      <c r="AK463" t="s">
        <v>3204</v>
      </c>
      <c r="AL463">
        <v>2</v>
      </c>
      <c r="AM463" s="5">
        <f t="shared" si="59"/>
        <v>7.6923076923076927E-2</v>
      </c>
      <c r="AN463" s="4">
        <f t="shared" si="60"/>
        <v>1.1650598549500481E-4</v>
      </c>
      <c r="AO463" s="3"/>
      <c r="AP463">
        <v>0</v>
      </c>
      <c r="AR463" t="s">
        <v>0</v>
      </c>
      <c r="AT463" s="2" t="s">
        <v>9</v>
      </c>
      <c r="AU463" s="1">
        <f t="shared" si="61"/>
        <v>0.40711494411998739</v>
      </c>
      <c r="AV463" s="1">
        <f t="shared" si="62"/>
        <v>0.29412513109984834</v>
      </c>
      <c r="AW463" s="1">
        <f t="shared" si="63"/>
        <v>0.18113531807970917</v>
      </c>
    </row>
    <row r="464" spans="1:49" x14ac:dyDescent="0.2">
      <c r="A464">
        <v>462</v>
      </c>
      <c r="B464" t="s">
        <v>3203</v>
      </c>
      <c r="C464" t="s">
        <v>3202</v>
      </c>
      <c r="F464" t="s">
        <v>3201</v>
      </c>
      <c r="G464" t="s">
        <v>6</v>
      </c>
      <c r="H464" t="s">
        <v>5</v>
      </c>
      <c r="I464" t="s">
        <v>441</v>
      </c>
      <c r="J464">
        <v>60020975</v>
      </c>
      <c r="K464" t="s">
        <v>440</v>
      </c>
      <c r="L464" t="s">
        <v>439</v>
      </c>
      <c r="M464" t="s">
        <v>2</v>
      </c>
      <c r="N464">
        <v>1</v>
      </c>
      <c r="O464" t="s">
        <v>3200</v>
      </c>
      <c r="P464">
        <v>56219429900</v>
      </c>
      <c r="Q464">
        <v>60020975</v>
      </c>
      <c r="R464" s="7">
        <v>35370</v>
      </c>
      <c r="S464" s="8">
        <f t="shared" si="56"/>
        <v>1996</v>
      </c>
      <c r="T464" s="8">
        <v>1996</v>
      </c>
      <c r="U464" s="8">
        <f t="shared" si="57"/>
        <v>26</v>
      </c>
      <c r="V464" s="7">
        <v>35370</v>
      </c>
      <c r="W464" t="s">
        <v>255</v>
      </c>
      <c r="X464" s="2">
        <v>0.22500000000000001</v>
      </c>
      <c r="Y464" s="6">
        <f t="shared" si="58"/>
        <v>6.0062464963562111E-3</v>
      </c>
      <c r="AA464">
        <v>2726343</v>
      </c>
      <c r="AB464">
        <v>16128</v>
      </c>
      <c r="AC464" t="s">
        <v>254</v>
      </c>
      <c r="AD464" t="s">
        <v>1</v>
      </c>
      <c r="AE464">
        <v>16</v>
      </c>
      <c r="AF464">
        <v>6</v>
      </c>
      <c r="AH464" t="s">
        <v>3199</v>
      </c>
      <c r="AI464" t="s">
        <v>3198</v>
      </c>
      <c r="AK464" t="s">
        <v>3197</v>
      </c>
      <c r="AL464">
        <v>10</v>
      </c>
      <c r="AM464" s="5">
        <f t="shared" si="59"/>
        <v>0.38461538461538464</v>
      </c>
      <c r="AN464" s="4">
        <f t="shared" si="60"/>
        <v>5.8252992747502411E-4</v>
      </c>
      <c r="AO464" s="3"/>
      <c r="AP464">
        <v>0</v>
      </c>
      <c r="AQ464" t="s">
        <v>3196</v>
      </c>
      <c r="AR464" t="s">
        <v>0</v>
      </c>
      <c r="AS464" t="s">
        <v>3195</v>
      </c>
      <c r="AT464" s="2">
        <v>1.099</v>
      </c>
      <c r="AU464" s="1">
        <f t="shared" si="61"/>
        <v>0.4379131525691855</v>
      </c>
      <c r="AV464" s="1">
        <f t="shared" si="62"/>
        <v>0.32943882119156176</v>
      </c>
      <c r="AW464" s="1">
        <f t="shared" si="63"/>
        <v>0.22096448981393804</v>
      </c>
    </row>
    <row r="465" spans="1:49" x14ac:dyDescent="0.2">
      <c r="A465">
        <v>463</v>
      </c>
      <c r="B465" t="s">
        <v>3194</v>
      </c>
      <c r="F465" t="s">
        <v>3193</v>
      </c>
      <c r="G465" t="s">
        <v>6</v>
      </c>
      <c r="H465" t="s">
        <v>5</v>
      </c>
      <c r="I465" t="s">
        <v>3192</v>
      </c>
      <c r="N465">
        <v>2</v>
      </c>
      <c r="O465" t="s">
        <v>3191</v>
      </c>
      <c r="P465" t="s">
        <v>3190</v>
      </c>
      <c r="Q465" t="s">
        <v>460</v>
      </c>
      <c r="R465" s="7">
        <v>35370</v>
      </c>
      <c r="S465" s="8">
        <f t="shared" si="56"/>
        <v>1996</v>
      </c>
      <c r="T465" s="8">
        <v>1996</v>
      </c>
      <c r="U465" s="8">
        <f t="shared" si="57"/>
        <v>26</v>
      </c>
      <c r="V465" s="7">
        <v>35370</v>
      </c>
      <c r="W465" t="s">
        <v>74</v>
      </c>
      <c r="X465" s="2">
        <v>0.29499999999999998</v>
      </c>
      <c r="Y465" s="6">
        <f t="shared" si="58"/>
        <v>7.8748565174448087E-3</v>
      </c>
      <c r="AA465">
        <v>10642269</v>
      </c>
      <c r="AB465">
        <v>19554</v>
      </c>
      <c r="AD465" t="s">
        <v>1</v>
      </c>
      <c r="AE465">
        <v>41</v>
      </c>
      <c r="AF465">
        <v>14</v>
      </c>
      <c r="AH465" t="s">
        <v>3189</v>
      </c>
      <c r="AI465" t="s">
        <v>3188</v>
      </c>
      <c r="AK465" t="s">
        <v>3187</v>
      </c>
      <c r="AL465">
        <v>1</v>
      </c>
      <c r="AM465" s="5">
        <f t="shared" si="59"/>
        <v>3.8461538461538464E-2</v>
      </c>
      <c r="AN465" s="4">
        <f t="shared" si="60"/>
        <v>5.8252992747502406E-5</v>
      </c>
      <c r="AO465" s="3"/>
      <c r="AP465">
        <v>0</v>
      </c>
      <c r="AR465" t="s">
        <v>0</v>
      </c>
      <c r="AT465" s="2" t="s">
        <v>9</v>
      </c>
      <c r="AU465" s="1">
        <f t="shared" si="61"/>
        <v>0.55298754600356159</v>
      </c>
      <c r="AV465" s="1">
        <f t="shared" si="62"/>
        <v>0.39665547550961555</v>
      </c>
      <c r="AW465" s="1">
        <f t="shared" si="63"/>
        <v>0.2403234050156694</v>
      </c>
    </row>
    <row r="466" spans="1:49" x14ac:dyDescent="0.2">
      <c r="A466">
        <v>464</v>
      </c>
      <c r="B466" t="s">
        <v>3186</v>
      </c>
      <c r="F466" t="s">
        <v>3185</v>
      </c>
      <c r="G466" t="s">
        <v>6</v>
      </c>
      <c r="H466" t="s">
        <v>5</v>
      </c>
      <c r="I466" t="s">
        <v>3184</v>
      </c>
      <c r="J466">
        <v>60024751</v>
      </c>
      <c r="K466" t="s">
        <v>3183</v>
      </c>
      <c r="L466" t="s">
        <v>323</v>
      </c>
      <c r="M466" t="s">
        <v>44</v>
      </c>
      <c r="N466">
        <v>3</v>
      </c>
      <c r="O466" t="s">
        <v>3182</v>
      </c>
      <c r="P466" t="s">
        <v>3181</v>
      </c>
      <c r="Q466" t="s">
        <v>3180</v>
      </c>
      <c r="R466" s="7">
        <v>35370</v>
      </c>
      <c r="S466" s="8">
        <f t="shared" si="56"/>
        <v>1996</v>
      </c>
      <c r="T466" s="8">
        <v>1996</v>
      </c>
      <c r="U466" s="8">
        <f t="shared" si="57"/>
        <v>26</v>
      </c>
      <c r="V466" s="7">
        <v>35370</v>
      </c>
      <c r="W466" t="s">
        <v>880</v>
      </c>
      <c r="X466" s="2">
        <v>0.216</v>
      </c>
      <c r="Y466" s="6">
        <f t="shared" si="58"/>
        <v>5.765996636501962E-3</v>
      </c>
      <c r="AA466">
        <v>10544887</v>
      </c>
      <c r="AB466">
        <v>13200</v>
      </c>
      <c r="AD466" t="s">
        <v>1</v>
      </c>
      <c r="AE466">
        <v>11</v>
      </c>
      <c r="AF466">
        <v>3</v>
      </c>
      <c r="AH466" t="s">
        <v>3179</v>
      </c>
      <c r="AI466" t="s">
        <v>3178</v>
      </c>
      <c r="AK466" t="s">
        <v>3177</v>
      </c>
      <c r="AL466">
        <v>2</v>
      </c>
      <c r="AM466" s="5">
        <f t="shared" si="59"/>
        <v>7.6923076923076927E-2</v>
      </c>
      <c r="AN466" s="4">
        <f t="shared" si="60"/>
        <v>1.1650598549500481E-4</v>
      </c>
      <c r="AO466" s="3"/>
      <c r="AP466">
        <v>0</v>
      </c>
      <c r="AR466" t="s">
        <v>0</v>
      </c>
      <c r="AT466" s="2" t="s">
        <v>9</v>
      </c>
      <c r="AU466" s="1">
        <f t="shared" si="61"/>
        <v>0.40711494411998739</v>
      </c>
      <c r="AV466" s="1">
        <f t="shared" si="62"/>
        <v>0.29412513109984834</v>
      </c>
      <c r="AW466" s="1">
        <f t="shared" si="63"/>
        <v>0.18113531807970917</v>
      </c>
    </row>
    <row r="467" spans="1:49" x14ac:dyDescent="0.2">
      <c r="A467">
        <v>465</v>
      </c>
      <c r="B467" t="s">
        <v>3176</v>
      </c>
      <c r="C467" t="s">
        <v>3175</v>
      </c>
      <c r="F467" t="s">
        <v>3174</v>
      </c>
      <c r="G467" t="s">
        <v>6</v>
      </c>
      <c r="H467" t="s">
        <v>5</v>
      </c>
      <c r="I467" t="s">
        <v>3173</v>
      </c>
      <c r="J467">
        <v>60027090</v>
      </c>
      <c r="K467" t="s">
        <v>3172</v>
      </c>
      <c r="L467" t="s">
        <v>3171</v>
      </c>
      <c r="M467" t="s">
        <v>2</v>
      </c>
      <c r="N467">
        <v>2</v>
      </c>
      <c r="O467" t="s">
        <v>3170</v>
      </c>
      <c r="P467" t="s">
        <v>3169</v>
      </c>
      <c r="Q467" t="s">
        <v>3168</v>
      </c>
      <c r="R467" s="7">
        <v>35370</v>
      </c>
      <c r="S467" s="8">
        <f t="shared" si="56"/>
        <v>1996</v>
      </c>
      <c r="T467" s="8">
        <v>1996</v>
      </c>
      <c r="U467" s="8">
        <f t="shared" si="57"/>
        <v>26</v>
      </c>
      <c r="V467" s="7">
        <v>35370</v>
      </c>
      <c r="W467" t="s">
        <v>255</v>
      </c>
      <c r="X467" s="2">
        <v>0.22500000000000001</v>
      </c>
      <c r="Y467" s="6">
        <f t="shared" si="58"/>
        <v>6.0062464963562111E-3</v>
      </c>
      <c r="AA467">
        <v>2726343</v>
      </c>
      <c r="AB467">
        <v>16128</v>
      </c>
      <c r="AC467" t="s">
        <v>254</v>
      </c>
      <c r="AD467" t="s">
        <v>1</v>
      </c>
      <c r="AE467">
        <v>16</v>
      </c>
      <c r="AF467">
        <v>6</v>
      </c>
      <c r="AH467" t="s">
        <v>3167</v>
      </c>
      <c r="AI467" t="s">
        <v>3166</v>
      </c>
      <c r="AK467" t="s">
        <v>3165</v>
      </c>
      <c r="AL467">
        <v>3</v>
      </c>
      <c r="AM467" s="5">
        <f t="shared" si="59"/>
        <v>0.11538461538461539</v>
      </c>
      <c r="AN467" s="4">
        <f t="shared" si="60"/>
        <v>1.7475897824250722E-4</v>
      </c>
      <c r="AO467" s="3"/>
      <c r="AP467">
        <v>0</v>
      </c>
      <c r="AR467" t="s">
        <v>0</v>
      </c>
      <c r="AT467" s="2">
        <v>1.099</v>
      </c>
      <c r="AU467" s="1">
        <f t="shared" si="61"/>
        <v>0.42568002409220995</v>
      </c>
      <c r="AV467" s="1">
        <f t="shared" si="62"/>
        <v>0.30905027372993593</v>
      </c>
      <c r="AW467" s="1">
        <f t="shared" si="63"/>
        <v>0.19242052336766186</v>
      </c>
    </row>
    <row r="468" spans="1:49" x14ac:dyDescent="0.2">
      <c r="A468">
        <v>466</v>
      </c>
      <c r="B468" t="s">
        <v>3164</v>
      </c>
      <c r="C468" t="s">
        <v>3163</v>
      </c>
      <c r="D468" t="s">
        <v>3162</v>
      </c>
      <c r="F468" t="s">
        <v>3161</v>
      </c>
      <c r="G468" t="s">
        <v>6</v>
      </c>
      <c r="H468" t="s">
        <v>5</v>
      </c>
      <c r="I468" t="s">
        <v>603</v>
      </c>
      <c r="J468" t="s">
        <v>3160</v>
      </c>
      <c r="K468" t="s">
        <v>3159</v>
      </c>
      <c r="L468" t="s">
        <v>3158</v>
      </c>
      <c r="M468" t="s">
        <v>3157</v>
      </c>
      <c r="N468">
        <v>3</v>
      </c>
      <c r="O468" t="s">
        <v>3156</v>
      </c>
      <c r="P468" t="s">
        <v>602</v>
      </c>
      <c r="Q468" t="s">
        <v>3155</v>
      </c>
      <c r="R468" s="7">
        <v>35370</v>
      </c>
      <c r="S468" s="8">
        <f t="shared" si="56"/>
        <v>1996</v>
      </c>
      <c r="T468" s="8">
        <v>1996</v>
      </c>
      <c r="U468" s="8">
        <f t="shared" si="57"/>
        <v>26</v>
      </c>
      <c r="V468" s="7">
        <v>35370</v>
      </c>
      <c r="W468" t="s">
        <v>642</v>
      </c>
      <c r="X468" s="2">
        <v>1.3460000000000001</v>
      </c>
      <c r="Y468" s="6">
        <f t="shared" si="58"/>
        <v>3.593070126264649E-2</v>
      </c>
      <c r="AA468">
        <v>7338724</v>
      </c>
      <c r="AB468">
        <v>12178</v>
      </c>
      <c r="AD468" t="s">
        <v>1</v>
      </c>
      <c r="AE468">
        <v>14</v>
      </c>
      <c r="AF468">
        <v>11</v>
      </c>
      <c r="AH468" t="s">
        <v>3154</v>
      </c>
      <c r="AI468" t="s">
        <v>3153</v>
      </c>
      <c r="AK468" t="s">
        <v>3152</v>
      </c>
      <c r="AL468">
        <v>6</v>
      </c>
      <c r="AM468" s="5">
        <f t="shared" si="59"/>
        <v>0.23076923076923078</v>
      </c>
      <c r="AN468" s="4">
        <f t="shared" si="60"/>
        <v>3.4951795648501444E-4</v>
      </c>
      <c r="AO468" s="3"/>
      <c r="AP468">
        <v>0</v>
      </c>
      <c r="AR468" t="s">
        <v>0</v>
      </c>
      <c r="AT468" s="2">
        <v>4.1420000000000003</v>
      </c>
      <c r="AU468" s="1">
        <f t="shared" si="61"/>
        <v>2.5256346270798047</v>
      </c>
      <c r="AV468" s="1">
        <f t="shared" si="62"/>
        <v>1.8140109609565753</v>
      </c>
      <c r="AW468" s="1">
        <f t="shared" si="63"/>
        <v>1.1023872948333457</v>
      </c>
    </row>
    <row r="469" spans="1:49" x14ac:dyDescent="0.2">
      <c r="A469">
        <v>467</v>
      </c>
      <c r="B469" t="s">
        <v>3151</v>
      </c>
      <c r="C469" t="s">
        <v>3150</v>
      </c>
      <c r="F469" t="s">
        <v>3149</v>
      </c>
      <c r="G469" t="s">
        <v>6</v>
      </c>
      <c r="H469" t="s">
        <v>5</v>
      </c>
      <c r="I469" t="s">
        <v>3148</v>
      </c>
      <c r="J469">
        <v>60000964</v>
      </c>
      <c r="K469" t="s">
        <v>3147</v>
      </c>
      <c r="L469" t="s">
        <v>3146</v>
      </c>
      <c r="M469" t="s">
        <v>250</v>
      </c>
      <c r="N469">
        <v>2</v>
      </c>
      <c r="O469" t="s">
        <v>3145</v>
      </c>
      <c r="P469" t="s">
        <v>3144</v>
      </c>
      <c r="Q469" t="s">
        <v>3143</v>
      </c>
      <c r="R469" s="7">
        <v>35370</v>
      </c>
      <c r="S469" s="8">
        <f t="shared" si="56"/>
        <v>1996</v>
      </c>
      <c r="T469" s="8">
        <v>1996</v>
      </c>
      <c r="U469" s="8">
        <f t="shared" si="57"/>
        <v>26</v>
      </c>
      <c r="V469" s="7">
        <v>35370</v>
      </c>
      <c r="W469" t="s">
        <v>654</v>
      </c>
      <c r="X469" s="2">
        <v>0.66800000000000004</v>
      </c>
      <c r="Y469" s="6">
        <f t="shared" si="58"/>
        <v>1.7831878486959774E-2</v>
      </c>
      <c r="AA469" t="s">
        <v>653</v>
      </c>
      <c r="AB469">
        <v>29593</v>
      </c>
      <c r="AC469">
        <v>21553165</v>
      </c>
      <c r="AD469" t="s">
        <v>1</v>
      </c>
      <c r="AE469">
        <v>35</v>
      </c>
      <c r="AF469">
        <v>31</v>
      </c>
      <c r="AH469" t="s">
        <v>3142</v>
      </c>
      <c r="AI469" t="s">
        <v>3141</v>
      </c>
      <c r="AJ469" t="s">
        <v>3140</v>
      </c>
      <c r="AK469" t="s">
        <v>3139</v>
      </c>
      <c r="AL469">
        <v>21</v>
      </c>
      <c r="AM469" s="5">
        <f t="shared" si="59"/>
        <v>0.80769230769230771</v>
      </c>
      <c r="AN469" s="4">
        <f t="shared" si="60"/>
        <v>1.2233128476975504E-3</v>
      </c>
      <c r="AO469" s="3"/>
      <c r="AP469">
        <v>0</v>
      </c>
      <c r="AR469" t="s">
        <v>0</v>
      </c>
      <c r="AT469" s="2">
        <v>1.98</v>
      </c>
      <c r="AU469" s="1">
        <f t="shared" si="61"/>
        <v>1.2849308795181105</v>
      </c>
      <c r="AV469" s="1">
        <f t="shared" si="62"/>
        <v>0.95275956673286621</v>
      </c>
      <c r="AW469" s="1">
        <f t="shared" si="63"/>
        <v>0.62058825394762163</v>
      </c>
    </row>
    <row r="470" spans="1:49" x14ac:dyDescent="0.2">
      <c r="A470">
        <v>468</v>
      </c>
      <c r="B470" t="s">
        <v>3138</v>
      </c>
      <c r="F470" t="s">
        <v>3137</v>
      </c>
      <c r="G470" t="s">
        <v>6</v>
      </c>
      <c r="H470" t="s">
        <v>5</v>
      </c>
      <c r="I470" t="s">
        <v>3136</v>
      </c>
      <c r="J470">
        <v>60032179</v>
      </c>
      <c r="K470" t="s">
        <v>58</v>
      </c>
      <c r="L470" t="s">
        <v>57</v>
      </c>
      <c r="M470" t="s">
        <v>2</v>
      </c>
      <c r="N470">
        <v>4</v>
      </c>
      <c r="O470" t="s">
        <v>3135</v>
      </c>
      <c r="P470" t="s">
        <v>3134</v>
      </c>
      <c r="Q470" t="s">
        <v>3133</v>
      </c>
      <c r="R470" s="7">
        <v>35370</v>
      </c>
      <c r="S470" s="8">
        <f t="shared" si="56"/>
        <v>1996</v>
      </c>
      <c r="T470" s="8">
        <v>1996</v>
      </c>
      <c r="U470" s="8">
        <f t="shared" si="57"/>
        <v>26</v>
      </c>
      <c r="V470" s="7">
        <v>35370</v>
      </c>
      <c r="W470" t="s">
        <v>640</v>
      </c>
      <c r="X470" s="2" t="s">
        <v>9</v>
      </c>
      <c r="Y470" s="6" t="e">
        <f t="shared" si="58"/>
        <v>#VALUE!</v>
      </c>
      <c r="AA470">
        <v>10613528</v>
      </c>
      <c r="AB470">
        <v>35696</v>
      </c>
      <c r="AD470" t="s">
        <v>1</v>
      </c>
      <c r="AE470">
        <v>8</v>
      </c>
      <c r="AF470">
        <v>4</v>
      </c>
      <c r="AI470" t="s">
        <v>3132</v>
      </c>
      <c r="AK470" t="s">
        <v>3131</v>
      </c>
      <c r="AL470">
        <v>0</v>
      </c>
      <c r="AM470" s="5">
        <f t="shared" si="59"/>
        <v>0</v>
      </c>
      <c r="AN470" s="4">
        <f t="shared" si="60"/>
        <v>0</v>
      </c>
      <c r="AO470" s="3"/>
      <c r="AP470">
        <v>0</v>
      </c>
      <c r="AR470" t="s">
        <v>0</v>
      </c>
      <c r="AT470" s="2" t="s">
        <v>9</v>
      </c>
      <c r="AU470" s="1" t="e">
        <f t="shared" si="61"/>
        <v>#VALUE!</v>
      </c>
      <c r="AV470" s="1" t="e">
        <f t="shared" si="62"/>
        <v>#VALUE!</v>
      </c>
      <c r="AW470" s="1" t="e">
        <f t="shared" si="63"/>
        <v>#VALUE!</v>
      </c>
    </row>
    <row r="471" spans="1:49" x14ac:dyDescent="0.2">
      <c r="A471">
        <v>469</v>
      </c>
      <c r="B471" t="s">
        <v>3130</v>
      </c>
      <c r="F471" t="s">
        <v>3129</v>
      </c>
      <c r="G471" t="s">
        <v>6</v>
      </c>
      <c r="H471" t="s">
        <v>5</v>
      </c>
      <c r="I471" t="s">
        <v>3128</v>
      </c>
      <c r="J471">
        <v>60031004</v>
      </c>
      <c r="K471" t="s">
        <v>12</v>
      </c>
      <c r="L471" t="s">
        <v>11</v>
      </c>
      <c r="M471" t="s">
        <v>7</v>
      </c>
      <c r="N471">
        <v>2</v>
      </c>
      <c r="O471" t="s">
        <v>3127</v>
      </c>
      <c r="P471" t="s">
        <v>3126</v>
      </c>
      <c r="Q471" t="s">
        <v>10</v>
      </c>
      <c r="R471" s="7">
        <v>35370</v>
      </c>
      <c r="S471" s="8">
        <f t="shared" si="56"/>
        <v>1996</v>
      </c>
      <c r="T471" s="8">
        <v>1996</v>
      </c>
      <c r="U471" s="8">
        <f t="shared" si="57"/>
        <v>26</v>
      </c>
      <c r="V471" s="7">
        <v>35370</v>
      </c>
      <c r="W471" t="s">
        <v>63</v>
      </c>
      <c r="X471" s="2">
        <v>0.13800000000000001</v>
      </c>
      <c r="Y471" s="6">
        <f t="shared" si="58"/>
        <v>3.6838311844318095E-3</v>
      </c>
      <c r="AA471">
        <v>1926225</v>
      </c>
      <c r="AB471">
        <v>18580</v>
      </c>
      <c r="AD471" t="s">
        <v>1</v>
      </c>
      <c r="AE471">
        <v>39</v>
      </c>
      <c r="AF471">
        <v>11</v>
      </c>
      <c r="AI471" t="s">
        <v>3125</v>
      </c>
      <c r="AK471" t="s">
        <v>3124</v>
      </c>
      <c r="AL471">
        <v>1</v>
      </c>
      <c r="AM471" s="5">
        <f t="shared" si="59"/>
        <v>3.8461538461538464E-2</v>
      </c>
      <c r="AN471" s="4">
        <f t="shared" si="60"/>
        <v>5.8252992747502406E-5</v>
      </c>
      <c r="AO471" s="3"/>
      <c r="AP471">
        <v>0</v>
      </c>
      <c r="AR471" t="s">
        <v>0</v>
      </c>
      <c r="AT471" s="2">
        <v>0.30599999999999999</v>
      </c>
      <c r="AU471" s="1">
        <f t="shared" si="61"/>
        <v>0.25961577269265174</v>
      </c>
      <c r="AV471" s="1">
        <f t="shared" si="62"/>
        <v>0.18710420885896559</v>
      </c>
      <c r="AW471" s="1">
        <f t="shared" si="63"/>
        <v>0.11459264502527945</v>
      </c>
    </row>
    <row r="472" spans="1:49" x14ac:dyDescent="0.2">
      <c r="A472">
        <v>470</v>
      </c>
      <c r="B472" t="s">
        <v>3123</v>
      </c>
      <c r="F472" t="s">
        <v>3122</v>
      </c>
      <c r="G472" t="s">
        <v>6</v>
      </c>
      <c r="H472" t="s">
        <v>5</v>
      </c>
      <c r="I472" t="s">
        <v>3121</v>
      </c>
      <c r="N472">
        <v>3</v>
      </c>
      <c r="O472" t="s">
        <v>3120</v>
      </c>
      <c r="P472" t="s">
        <v>3119</v>
      </c>
      <c r="Q472" t="s">
        <v>75</v>
      </c>
      <c r="R472" s="7">
        <v>35370</v>
      </c>
      <c r="S472" s="8">
        <f t="shared" si="56"/>
        <v>1996</v>
      </c>
      <c r="T472" s="8">
        <v>1996</v>
      </c>
      <c r="U472" s="8">
        <f t="shared" si="57"/>
        <v>26</v>
      </c>
      <c r="V472" s="7">
        <v>35370</v>
      </c>
      <c r="W472" t="s">
        <v>74</v>
      </c>
      <c r="X472" s="2">
        <v>0.29499999999999998</v>
      </c>
      <c r="Y472" s="6">
        <f t="shared" si="58"/>
        <v>7.8748565174448087E-3</v>
      </c>
      <c r="AA472">
        <v>10642269</v>
      </c>
      <c r="AB472">
        <v>19554</v>
      </c>
      <c r="AD472" t="s">
        <v>1</v>
      </c>
      <c r="AE472">
        <v>41</v>
      </c>
      <c r="AF472">
        <v>14</v>
      </c>
      <c r="AH472" t="s">
        <v>3118</v>
      </c>
      <c r="AI472" t="s">
        <v>3117</v>
      </c>
      <c r="AK472" t="s">
        <v>3116</v>
      </c>
      <c r="AL472">
        <v>0</v>
      </c>
      <c r="AM472" s="5">
        <f t="shared" si="59"/>
        <v>0</v>
      </c>
      <c r="AN472" s="4">
        <f t="shared" si="60"/>
        <v>0</v>
      </c>
      <c r="AO472" s="3"/>
      <c r="AP472">
        <v>0</v>
      </c>
      <c r="AR472" t="s">
        <v>0</v>
      </c>
      <c r="AT472" s="2" t="s">
        <v>9</v>
      </c>
      <c r="AU472" s="1">
        <f t="shared" si="61"/>
        <v>0.55123995622113653</v>
      </c>
      <c r="AV472" s="1">
        <f t="shared" si="62"/>
        <v>0.39374282587224041</v>
      </c>
      <c r="AW472" s="1">
        <f t="shared" si="63"/>
        <v>0.23624569552334423</v>
      </c>
    </row>
    <row r="473" spans="1:49" x14ac:dyDescent="0.2">
      <c r="A473">
        <v>471</v>
      </c>
      <c r="B473" t="s">
        <v>3115</v>
      </c>
      <c r="F473" t="s">
        <v>3114</v>
      </c>
      <c r="G473" t="s">
        <v>6</v>
      </c>
      <c r="H473" t="s">
        <v>5</v>
      </c>
      <c r="I473" t="s">
        <v>3113</v>
      </c>
      <c r="J473">
        <v>60076933</v>
      </c>
      <c r="K473" t="s">
        <v>3112</v>
      </c>
      <c r="L473" t="s">
        <v>743</v>
      </c>
      <c r="M473" t="s">
        <v>2</v>
      </c>
      <c r="N473">
        <v>4</v>
      </c>
      <c r="O473" t="s">
        <v>3111</v>
      </c>
      <c r="P473" t="s">
        <v>3110</v>
      </c>
      <c r="Q473" t="s">
        <v>3109</v>
      </c>
      <c r="R473" s="7">
        <v>35370</v>
      </c>
      <c r="S473" s="8">
        <f t="shared" si="56"/>
        <v>1996</v>
      </c>
      <c r="T473" s="8">
        <v>1996</v>
      </c>
      <c r="U473" s="8">
        <f t="shared" si="57"/>
        <v>26</v>
      </c>
      <c r="V473" s="7">
        <v>35370</v>
      </c>
      <c r="W473" t="s">
        <v>63</v>
      </c>
      <c r="X473" s="2">
        <v>0.13800000000000001</v>
      </c>
      <c r="Y473" s="6">
        <f t="shared" si="58"/>
        <v>3.6838311844318095E-3</v>
      </c>
      <c r="AA473">
        <v>1926225</v>
      </c>
      <c r="AB473">
        <v>18580</v>
      </c>
      <c r="AD473" t="s">
        <v>1</v>
      </c>
      <c r="AE473">
        <v>39</v>
      </c>
      <c r="AF473">
        <v>11</v>
      </c>
      <c r="AI473" t="s">
        <v>3108</v>
      </c>
      <c r="AK473" t="s">
        <v>3107</v>
      </c>
      <c r="AL473">
        <v>2</v>
      </c>
      <c r="AM473" s="5">
        <f t="shared" si="59"/>
        <v>7.6923076923076927E-2</v>
      </c>
      <c r="AN473" s="4">
        <f t="shared" si="60"/>
        <v>1.1650598549500481E-4</v>
      </c>
      <c r="AO473" s="3"/>
      <c r="AP473">
        <v>0</v>
      </c>
      <c r="AR473" t="s">
        <v>0</v>
      </c>
      <c r="AT473" s="2">
        <v>0.30599999999999999</v>
      </c>
      <c r="AU473" s="1">
        <f t="shared" si="61"/>
        <v>0.2613633624750768</v>
      </c>
      <c r="AV473" s="1">
        <f t="shared" si="62"/>
        <v>0.19001685849634073</v>
      </c>
      <c r="AW473" s="1">
        <f t="shared" si="63"/>
        <v>0.11867035451760462</v>
      </c>
    </row>
    <row r="474" spans="1:49" x14ac:dyDescent="0.2">
      <c r="A474">
        <v>472</v>
      </c>
      <c r="B474" t="s">
        <v>3106</v>
      </c>
      <c r="C474" t="s">
        <v>3105</v>
      </c>
      <c r="D474" t="s">
        <v>3104</v>
      </c>
      <c r="F474" t="s">
        <v>3103</v>
      </c>
      <c r="G474" t="s">
        <v>6</v>
      </c>
      <c r="H474" t="s">
        <v>5</v>
      </c>
      <c r="I474" t="s">
        <v>3102</v>
      </c>
      <c r="J474" t="s">
        <v>3101</v>
      </c>
      <c r="K474" t="s">
        <v>3100</v>
      </c>
      <c r="L474" t="s">
        <v>3099</v>
      </c>
      <c r="M474" t="s">
        <v>276</v>
      </c>
      <c r="N474">
        <v>6</v>
      </c>
      <c r="O474" t="s">
        <v>3098</v>
      </c>
      <c r="P474" t="s">
        <v>3097</v>
      </c>
      <c r="Q474" t="s">
        <v>3096</v>
      </c>
      <c r="R474" s="7">
        <v>35370</v>
      </c>
      <c r="S474" s="8">
        <f t="shared" si="56"/>
        <v>1996</v>
      </c>
      <c r="T474" s="8">
        <v>1996</v>
      </c>
      <c r="U474" s="8">
        <f t="shared" si="57"/>
        <v>26</v>
      </c>
      <c r="V474" s="7">
        <v>35370</v>
      </c>
      <c r="W474" t="s">
        <v>161</v>
      </c>
      <c r="X474" s="2">
        <v>0.81</v>
      </c>
      <c r="Y474" s="6">
        <f t="shared" si="58"/>
        <v>2.1622487386882359E-2</v>
      </c>
      <c r="AA474">
        <v>10411135</v>
      </c>
      <c r="AB474">
        <v>12116</v>
      </c>
      <c r="AD474" t="s">
        <v>1</v>
      </c>
      <c r="AE474">
        <v>8</v>
      </c>
      <c r="AF474">
        <v>11</v>
      </c>
      <c r="AH474" t="s">
        <v>3095</v>
      </c>
      <c r="AI474" t="s">
        <v>3094</v>
      </c>
      <c r="AK474" t="s">
        <v>3093</v>
      </c>
      <c r="AL474">
        <v>51</v>
      </c>
      <c r="AM474" s="5">
        <f t="shared" si="59"/>
        <v>1.9615384615384615</v>
      </c>
      <c r="AN474" s="4">
        <f t="shared" si="60"/>
        <v>2.9709026301226226E-3</v>
      </c>
      <c r="AO474" s="3"/>
      <c r="AP474">
        <v>0</v>
      </c>
      <c r="AR474" t="s">
        <v>0</v>
      </c>
      <c r="AT474" s="2">
        <v>2.468</v>
      </c>
      <c r="AU474" s="1">
        <f t="shared" si="61"/>
        <v>1.6027011959854436</v>
      </c>
      <c r="AV474" s="1">
        <f t="shared" si="62"/>
        <v>1.229669500850249</v>
      </c>
      <c r="AW474" s="1">
        <f t="shared" si="63"/>
        <v>0.85663780571505443</v>
      </c>
    </row>
    <row r="475" spans="1:49" x14ac:dyDescent="0.2">
      <c r="A475">
        <v>473</v>
      </c>
      <c r="B475" t="s">
        <v>3092</v>
      </c>
      <c r="C475" t="s">
        <v>3091</v>
      </c>
      <c r="E475">
        <v>8901876</v>
      </c>
      <c r="F475" t="s">
        <v>3090</v>
      </c>
      <c r="G475" t="s">
        <v>6</v>
      </c>
      <c r="H475" t="s">
        <v>5</v>
      </c>
      <c r="I475" t="s">
        <v>3089</v>
      </c>
      <c r="J475" t="s">
        <v>3088</v>
      </c>
      <c r="K475" t="s">
        <v>3087</v>
      </c>
      <c r="L475" t="s">
        <v>483</v>
      </c>
      <c r="M475" t="s">
        <v>18</v>
      </c>
      <c r="N475">
        <v>6</v>
      </c>
      <c r="O475" t="s">
        <v>3086</v>
      </c>
      <c r="P475" t="s">
        <v>3085</v>
      </c>
      <c r="Q475" t="s">
        <v>3084</v>
      </c>
      <c r="R475" s="7">
        <v>35370</v>
      </c>
      <c r="S475" s="8">
        <f t="shared" si="56"/>
        <v>1996</v>
      </c>
      <c r="T475" s="8">
        <v>1996</v>
      </c>
      <c r="U475" s="8">
        <f t="shared" si="57"/>
        <v>26</v>
      </c>
      <c r="V475" s="7">
        <v>35370</v>
      </c>
      <c r="W475" t="s">
        <v>3083</v>
      </c>
      <c r="X475" s="2">
        <v>9.4480000000000004</v>
      </c>
      <c r="Y475" s="6">
        <f t="shared" si="58"/>
        <v>0.2522089639892155</v>
      </c>
      <c r="AA475">
        <v>10728368</v>
      </c>
      <c r="AB475">
        <v>39845</v>
      </c>
      <c r="AD475" t="s">
        <v>1</v>
      </c>
      <c r="AE475">
        <v>3</v>
      </c>
      <c r="AF475">
        <v>11</v>
      </c>
      <c r="AH475" t="s">
        <v>3082</v>
      </c>
      <c r="AI475" t="s">
        <v>3081</v>
      </c>
      <c r="AK475" t="s">
        <v>3080</v>
      </c>
      <c r="AL475">
        <v>306</v>
      </c>
      <c r="AM475" s="5">
        <f t="shared" si="59"/>
        <v>11.76923076923077</v>
      </c>
      <c r="AN475" s="4">
        <f t="shared" si="60"/>
        <v>1.7825415780735737E-2</v>
      </c>
      <c r="AO475" s="3"/>
      <c r="AP475">
        <v>0</v>
      </c>
      <c r="AR475" t="s">
        <v>0</v>
      </c>
      <c r="AT475" s="2" t="s">
        <v>9</v>
      </c>
      <c r="AU475" s="1">
        <f t="shared" si="61"/>
        <v>18.189389952667156</v>
      </c>
      <c r="AV475" s="1">
        <f t="shared" si="62"/>
        <v>13.501718988497563</v>
      </c>
      <c r="AW475" s="1">
        <f t="shared" si="63"/>
        <v>8.8140480243279669</v>
      </c>
    </row>
    <row r="476" spans="1:49" x14ac:dyDescent="0.2">
      <c r="A476">
        <v>474</v>
      </c>
      <c r="B476" t="s">
        <v>3079</v>
      </c>
      <c r="C476" t="s">
        <v>3078</v>
      </c>
      <c r="F476" t="s">
        <v>3077</v>
      </c>
      <c r="G476" t="s">
        <v>6</v>
      </c>
      <c r="H476" t="s">
        <v>5</v>
      </c>
      <c r="I476" t="s">
        <v>1802</v>
      </c>
      <c r="J476">
        <v>60009254</v>
      </c>
      <c r="K476" t="s">
        <v>2705</v>
      </c>
      <c r="L476" t="s">
        <v>2704</v>
      </c>
      <c r="M476" t="s">
        <v>2</v>
      </c>
      <c r="N476">
        <v>3</v>
      </c>
      <c r="O476" t="s">
        <v>1797</v>
      </c>
      <c r="P476" t="s">
        <v>1796</v>
      </c>
      <c r="Q476" t="s">
        <v>2701</v>
      </c>
      <c r="R476" s="7">
        <v>35370</v>
      </c>
      <c r="S476" s="8">
        <f t="shared" si="56"/>
        <v>1996</v>
      </c>
      <c r="T476" s="8">
        <v>1996</v>
      </c>
      <c r="U476" s="8">
        <f t="shared" si="57"/>
        <v>26</v>
      </c>
      <c r="V476" s="7">
        <v>35370</v>
      </c>
      <c r="W476" t="s">
        <v>649</v>
      </c>
      <c r="X476" s="2">
        <v>1.524</v>
      </c>
      <c r="Y476" s="6">
        <f t="shared" si="58"/>
        <v>4.0682309601986065E-2</v>
      </c>
      <c r="AA476">
        <v>1469592</v>
      </c>
      <c r="AB476">
        <v>12863</v>
      </c>
      <c r="AD476" t="s">
        <v>1</v>
      </c>
      <c r="AE476">
        <v>21</v>
      </c>
      <c r="AF476">
        <v>21</v>
      </c>
      <c r="AH476" t="s">
        <v>3076</v>
      </c>
      <c r="AI476" t="s">
        <v>3075</v>
      </c>
      <c r="AK476" t="s">
        <v>3074</v>
      </c>
      <c r="AL476">
        <v>68</v>
      </c>
      <c r="AM476" s="5">
        <f t="shared" si="59"/>
        <v>2.6153846153846154</v>
      </c>
      <c r="AN476" s="4">
        <f t="shared" si="60"/>
        <v>3.9612035068301637E-3</v>
      </c>
      <c r="AO476" s="3"/>
      <c r="AP476">
        <v>0</v>
      </c>
      <c r="AR476" t="s">
        <v>0</v>
      </c>
      <c r="AT476" s="2">
        <v>3.7759999999999998</v>
      </c>
      <c r="AU476" s="1">
        <f t="shared" si="61"/>
        <v>2.9665977773439289</v>
      </c>
      <c r="AV476" s="1">
        <f t="shared" si="62"/>
        <v>2.2321756554408116</v>
      </c>
      <c r="AW476" s="1">
        <f t="shared" si="63"/>
        <v>1.4977535335376935</v>
      </c>
    </row>
    <row r="477" spans="1:49" x14ac:dyDescent="0.2">
      <c r="A477">
        <v>475</v>
      </c>
      <c r="B477" t="s">
        <v>3073</v>
      </c>
      <c r="C477" t="s">
        <v>3072</v>
      </c>
      <c r="D477">
        <v>9898196063796</v>
      </c>
      <c r="E477">
        <v>8896901</v>
      </c>
      <c r="F477" t="s">
        <v>3071</v>
      </c>
      <c r="G477" t="s">
        <v>6</v>
      </c>
      <c r="H477" t="s">
        <v>5</v>
      </c>
      <c r="I477" t="s">
        <v>3070</v>
      </c>
      <c r="J477" t="s">
        <v>3069</v>
      </c>
      <c r="K477" t="s">
        <v>3068</v>
      </c>
      <c r="L477" t="s">
        <v>246</v>
      </c>
      <c r="M477" t="s">
        <v>182</v>
      </c>
      <c r="N477">
        <v>5</v>
      </c>
      <c r="O477" t="s">
        <v>3067</v>
      </c>
      <c r="P477" t="s">
        <v>3066</v>
      </c>
      <c r="Q477" t="s">
        <v>3065</v>
      </c>
      <c r="R477" s="7">
        <v>35367</v>
      </c>
      <c r="S477" s="8">
        <f t="shared" si="56"/>
        <v>1996</v>
      </c>
      <c r="T477" s="8">
        <v>1996</v>
      </c>
      <c r="U477" s="8">
        <f t="shared" si="57"/>
        <v>26</v>
      </c>
      <c r="V477" s="7">
        <v>35367</v>
      </c>
      <c r="W477" t="s">
        <v>3064</v>
      </c>
      <c r="X477" s="2">
        <v>0.92400000000000004</v>
      </c>
      <c r="Y477" s="6">
        <f t="shared" si="58"/>
        <v>2.4665652278369508E-2</v>
      </c>
      <c r="AA477">
        <v>98981</v>
      </c>
      <c r="AB477">
        <v>29286</v>
      </c>
      <c r="AD477" t="s">
        <v>1</v>
      </c>
      <c r="AE477">
        <v>254</v>
      </c>
      <c r="AF477">
        <v>2</v>
      </c>
      <c r="AH477" t="s">
        <v>3063</v>
      </c>
      <c r="AI477" t="s">
        <v>3062</v>
      </c>
      <c r="AJ477" t="s">
        <v>3061</v>
      </c>
      <c r="AK477" t="s">
        <v>3060</v>
      </c>
      <c r="AL477">
        <v>53</v>
      </c>
      <c r="AM477" s="5">
        <f t="shared" si="59"/>
        <v>2.0384615384615383</v>
      </c>
      <c r="AN477" s="4">
        <f t="shared" si="60"/>
        <v>3.087408615617627E-3</v>
      </c>
      <c r="AO477" s="3"/>
      <c r="AP477">
        <v>0</v>
      </c>
      <c r="AR477" t="s">
        <v>0</v>
      </c>
      <c r="AT477" s="2">
        <v>3.786</v>
      </c>
      <c r="AU477" s="1">
        <f t="shared" si="61"/>
        <v>1.8192179179543941</v>
      </c>
      <c r="AV477" s="1">
        <f t="shared" si="62"/>
        <v>1.3876530446993567</v>
      </c>
      <c r="AW477" s="1">
        <f t="shared" si="63"/>
        <v>0.95608817144431901</v>
      </c>
    </row>
    <row r="478" spans="1:49" x14ac:dyDescent="0.2">
      <c r="A478">
        <v>476</v>
      </c>
      <c r="B478" t="s">
        <v>3059</v>
      </c>
      <c r="C478" t="s">
        <v>3058</v>
      </c>
      <c r="F478" t="s">
        <v>3057</v>
      </c>
      <c r="G478" t="s">
        <v>6</v>
      </c>
      <c r="H478" t="s">
        <v>5</v>
      </c>
      <c r="I478" t="s">
        <v>3056</v>
      </c>
      <c r="J478">
        <v>60010065</v>
      </c>
      <c r="K478" t="s">
        <v>212</v>
      </c>
      <c r="L478" t="s">
        <v>211</v>
      </c>
      <c r="M478" t="s">
        <v>2</v>
      </c>
      <c r="N478">
        <v>2</v>
      </c>
      <c r="O478" t="s">
        <v>3055</v>
      </c>
      <c r="P478" t="s">
        <v>3054</v>
      </c>
      <c r="Q478" t="s">
        <v>3053</v>
      </c>
      <c r="R478" s="7">
        <v>35363</v>
      </c>
      <c r="S478" s="8">
        <f t="shared" si="56"/>
        <v>1996</v>
      </c>
      <c r="T478" s="8">
        <v>1996</v>
      </c>
      <c r="U478" s="8">
        <f t="shared" si="57"/>
        <v>26</v>
      </c>
      <c r="V478" s="7">
        <v>35363</v>
      </c>
      <c r="W478" t="s">
        <v>3052</v>
      </c>
      <c r="X478" s="2">
        <v>1.72</v>
      </c>
      <c r="Y478" s="6">
        <f t="shared" si="58"/>
        <v>4.5914417661034143E-2</v>
      </c>
      <c r="AA478">
        <v>221120</v>
      </c>
      <c r="AB478">
        <v>18537</v>
      </c>
      <c r="AD478" t="s">
        <v>1</v>
      </c>
      <c r="AE478">
        <v>325</v>
      </c>
      <c r="AH478" s="10">
        <v>46753</v>
      </c>
      <c r="AI478" t="s">
        <v>3051</v>
      </c>
      <c r="AK478" t="s">
        <v>3050</v>
      </c>
      <c r="AL478">
        <v>8</v>
      </c>
      <c r="AM478" s="5">
        <f t="shared" si="59"/>
        <v>0.30769230769230771</v>
      </c>
      <c r="AN478" s="4">
        <f t="shared" si="60"/>
        <v>4.6602394198001925E-4</v>
      </c>
      <c r="AO478" s="3"/>
      <c r="AP478">
        <v>0</v>
      </c>
      <c r="AR478" t="s">
        <v>0</v>
      </c>
      <c r="AT478" s="2">
        <v>3.6269999999999998</v>
      </c>
      <c r="AU478" s="1">
        <f t="shared" si="61"/>
        <v>3.2279899545317909</v>
      </c>
      <c r="AV478" s="1">
        <f t="shared" si="62"/>
        <v>2.3190220801507082</v>
      </c>
      <c r="AW478" s="1">
        <f t="shared" si="63"/>
        <v>1.4100542057696257</v>
      </c>
    </row>
    <row r="479" spans="1:49" x14ac:dyDescent="0.2">
      <c r="A479">
        <v>477</v>
      </c>
      <c r="B479" t="s">
        <v>3049</v>
      </c>
      <c r="C479" t="s">
        <v>3048</v>
      </c>
      <c r="F479" t="s">
        <v>3047</v>
      </c>
      <c r="G479" t="s">
        <v>6</v>
      </c>
      <c r="H479" t="s">
        <v>5</v>
      </c>
      <c r="I479" t="s">
        <v>3046</v>
      </c>
      <c r="J479">
        <v>60028112</v>
      </c>
      <c r="K479" t="s">
        <v>3045</v>
      </c>
      <c r="L479" t="s">
        <v>1775</v>
      </c>
      <c r="M479" t="s">
        <v>25</v>
      </c>
      <c r="N479">
        <v>4</v>
      </c>
      <c r="O479" t="s">
        <v>3044</v>
      </c>
      <c r="P479" t="s">
        <v>3043</v>
      </c>
      <c r="Q479" t="s">
        <v>3042</v>
      </c>
      <c r="R479" s="7">
        <v>35362</v>
      </c>
      <c r="S479" s="8">
        <f t="shared" si="56"/>
        <v>1996</v>
      </c>
      <c r="T479" s="8">
        <v>1996</v>
      </c>
      <c r="U479" s="8">
        <f t="shared" si="57"/>
        <v>26</v>
      </c>
      <c r="V479" s="7">
        <v>35362</v>
      </c>
      <c r="W479" t="s">
        <v>358</v>
      </c>
      <c r="X479" s="2">
        <v>0.375</v>
      </c>
      <c r="Y479" s="6">
        <f t="shared" si="58"/>
        <v>1.0010410827260351E-2</v>
      </c>
      <c r="AA479">
        <v>135194</v>
      </c>
      <c r="AB479">
        <v>24918</v>
      </c>
      <c r="AD479" t="s">
        <v>1</v>
      </c>
      <c r="AE479">
        <v>32</v>
      </c>
      <c r="AF479">
        <v>22</v>
      </c>
      <c r="AH479" t="s">
        <v>3041</v>
      </c>
      <c r="AI479" t="s">
        <v>3040</v>
      </c>
      <c r="AJ479" t="s">
        <v>3039</v>
      </c>
      <c r="AK479" t="s">
        <v>3038</v>
      </c>
      <c r="AL479">
        <v>2</v>
      </c>
      <c r="AM479" s="5">
        <f t="shared" si="59"/>
        <v>7.6923076923076927E-2</v>
      </c>
      <c r="AN479" s="4">
        <f t="shared" si="60"/>
        <v>1.1650598549500481E-4</v>
      </c>
      <c r="AO479" s="3"/>
      <c r="AP479">
        <v>0</v>
      </c>
      <c r="AR479" t="s">
        <v>0</v>
      </c>
      <c r="AT479" s="2">
        <v>1.3140000000000001</v>
      </c>
      <c r="AU479" s="1">
        <f t="shared" si="61"/>
        <v>0.70422393747307466</v>
      </c>
      <c r="AV479" s="1">
        <f t="shared" si="62"/>
        <v>0.50634584063776777</v>
      </c>
      <c r="AW479" s="1">
        <f t="shared" si="63"/>
        <v>0.30846774380246084</v>
      </c>
    </row>
    <row r="480" spans="1:49" x14ac:dyDescent="0.2">
      <c r="A480">
        <v>478</v>
      </c>
      <c r="B480" t="s">
        <v>3037</v>
      </c>
      <c r="C480" t="s">
        <v>3036</v>
      </c>
      <c r="F480" t="s">
        <v>3035</v>
      </c>
      <c r="G480" t="s">
        <v>6</v>
      </c>
      <c r="H480" t="s">
        <v>5</v>
      </c>
      <c r="I480" t="s">
        <v>3034</v>
      </c>
      <c r="J480">
        <v>60002787</v>
      </c>
      <c r="K480" t="s">
        <v>3033</v>
      </c>
      <c r="L480" t="s">
        <v>3032</v>
      </c>
      <c r="M480" t="s">
        <v>44</v>
      </c>
      <c r="N480">
        <v>2</v>
      </c>
      <c r="O480" t="s">
        <v>3031</v>
      </c>
      <c r="P480" t="s">
        <v>3030</v>
      </c>
      <c r="Q480" t="s">
        <v>3029</v>
      </c>
      <c r="R480" s="7">
        <v>35362</v>
      </c>
      <c r="S480" s="8">
        <f t="shared" si="56"/>
        <v>1996</v>
      </c>
      <c r="T480" s="8">
        <v>1996</v>
      </c>
      <c r="U480" s="8">
        <f t="shared" si="57"/>
        <v>26</v>
      </c>
      <c r="V480" s="7">
        <v>35362</v>
      </c>
      <c r="W480" t="s">
        <v>358</v>
      </c>
      <c r="X480" s="2">
        <v>0.375</v>
      </c>
      <c r="Y480" s="6">
        <f t="shared" si="58"/>
        <v>1.0010410827260351E-2</v>
      </c>
      <c r="AA480">
        <v>135194</v>
      </c>
      <c r="AB480">
        <v>24918</v>
      </c>
      <c r="AD480" t="s">
        <v>1</v>
      </c>
      <c r="AE480">
        <v>32</v>
      </c>
      <c r="AF480">
        <v>22</v>
      </c>
      <c r="AH480" t="s">
        <v>3028</v>
      </c>
      <c r="AI480" t="s">
        <v>3027</v>
      </c>
      <c r="AJ480" t="s">
        <v>3026</v>
      </c>
      <c r="AK480" t="s">
        <v>3025</v>
      </c>
      <c r="AL480">
        <v>13</v>
      </c>
      <c r="AM480" s="5">
        <f t="shared" si="59"/>
        <v>0.5</v>
      </c>
      <c r="AN480" s="4">
        <f t="shared" si="60"/>
        <v>7.572889057175312E-4</v>
      </c>
      <c r="AO480" s="3"/>
      <c r="AP480">
        <v>0</v>
      </c>
      <c r="AR480" t="s">
        <v>0</v>
      </c>
      <c r="AT480" s="2">
        <v>1.3140000000000001</v>
      </c>
      <c r="AU480" s="1">
        <f t="shared" si="61"/>
        <v>0.72344742507975057</v>
      </c>
      <c r="AV480" s="1">
        <f t="shared" si="62"/>
        <v>0.53838498664889411</v>
      </c>
      <c r="AW480" s="1">
        <f t="shared" si="63"/>
        <v>0.35332254821803771</v>
      </c>
    </row>
    <row r="481" spans="1:49" x14ac:dyDescent="0.2">
      <c r="A481">
        <v>479</v>
      </c>
      <c r="B481" t="s">
        <v>3024</v>
      </c>
      <c r="C481" t="s">
        <v>3023</v>
      </c>
      <c r="F481" t="s">
        <v>3022</v>
      </c>
      <c r="G481" t="s">
        <v>6</v>
      </c>
      <c r="H481" t="s">
        <v>5</v>
      </c>
      <c r="I481" t="s">
        <v>1341</v>
      </c>
      <c r="J481">
        <v>60013983</v>
      </c>
      <c r="K481" t="s">
        <v>404</v>
      </c>
      <c r="L481" t="s">
        <v>403</v>
      </c>
      <c r="M481" t="s">
        <v>391</v>
      </c>
      <c r="N481">
        <v>4</v>
      </c>
      <c r="O481" t="s">
        <v>3021</v>
      </c>
      <c r="P481" t="s">
        <v>3020</v>
      </c>
      <c r="Q481" t="s">
        <v>670</v>
      </c>
      <c r="R481" s="7">
        <v>35362</v>
      </c>
      <c r="S481" s="8">
        <f t="shared" si="56"/>
        <v>1996</v>
      </c>
      <c r="T481" s="8">
        <v>1996</v>
      </c>
      <c r="U481" s="8">
        <f t="shared" si="57"/>
        <v>26</v>
      </c>
      <c r="V481" s="7">
        <v>35362</v>
      </c>
      <c r="W481" t="s">
        <v>358</v>
      </c>
      <c r="X481" s="2">
        <v>0.375</v>
      </c>
      <c r="Y481" s="6">
        <f t="shared" si="58"/>
        <v>1.0010410827260351E-2</v>
      </c>
      <c r="AA481">
        <v>135194</v>
      </c>
      <c r="AB481">
        <v>24918</v>
      </c>
      <c r="AD481" t="s">
        <v>1</v>
      </c>
      <c r="AE481">
        <v>32</v>
      </c>
      <c r="AF481">
        <v>22</v>
      </c>
      <c r="AH481" t="s">
        <v>3019</v>
      </c>
      <c r="AI481" t="s">
        <v>3018</v>
      </c>
      <c r="AJ481" t="s">
        <v>3017</v>
      </c>
      <c r="AK481" t="s">
        <v>3016</v>
      </c>
      <c r="AL481">
        <v>34</v>
      </c>
      <c r="AM481" s="5">
        <f t="shared" si="59"/>
        <v>1.3076923076923077</v>
      </c>
      <c r="AN481" s="4">
        <f t="shared" si="60"/>
        <v>1.9806017534150819E-3</v>
      </c>
      <c r="AO481" s="3"/>
      <c r="AP481">
        <v>0</v>
      </c>
      <c r="AR481" t="s">
        <v>0</v>
      </c>
      <c r="AT481" s="2">
        <v>1.3140000000000001</v>
      </c>
      <c r="AU481" s="1">
        <f t="shared" si="61"/>
        <v>0.76014681051067701</v>
      </c>
      <c r="AV481" s="1">
        <f t="shared" si="62"/>
        <v>0.59955062903377165</v>
      </c>
      <c r="AW481" s="1">
        <f t="shared" si="63"/>
        <v>0.43895444755686619</v>
      </c>
    </row>
    <row r="482" spans="1:49" x14ac:dyDescent="0.2">
      <c r="A482">
        <v>480</v>
      </c>
      <c r="B482" t="s">
        <v>3015</v>
      </c>
      <c r="C482" t="s">
        <v>3014</v>
      </c>
      <c r="F482" t="s">
        <v>3013</v>
      </c>
      <c r="G482" t="s">
        <v>6</v>
      </c>
      <c r="H482" t="s">
        <v>5</v>
      </c>
      <c r="I482" t="s">
        <v>3012</v>
      </c>
      <c r="J482">
        <v>60110693</v>
      </c>
      <c r="K482" t="s">
        <v>231</v>
      </c>
      <c r="L482" t="s">
        <v>230</v>
      </c>
      <c r="M482" t="s">
        <v>25</v>
      </c>
      <c r="N482">
        <v>3</v>
      </c>
      <c r="O482" t="s">
        <v>3011</v>
      </c>
      <c r="P482" t="s">
        <v>3010</v>
      </c>
      <c r="Q482" t="s">
        <v>678</v>
      </c>
      <c r="R482" s="7">
        <v>35362</v>
      </c>
      <c r="S482" s="8">
        <f t="shared" si="56"/>
        <v>1996</v>
      </c>
      <c r="T482" s="8">
        <v>1996</v>
      </c>
      <c r="U482" s="8">
        <f t="shared" si="57"/>
        <v>26</v>
      </c>
      <c r="V482" s="7">
        <v>35362</v>
      </c>
      <c r="W482" t="s">
        <v>358</v>
      </c>
      <c r="X482" s="2">
        <v>0.375</v>
      </c>
      <c r="Y482" s="6">
        <f t="shared" si="58"/>
        <v>1.0010410827260351E-2</v>
      </c>
      <c r="AA482">
        <v>135194</v>
      </c>
      <c r="AB482">
        <v>24918</v>
      </c>
      <c r="AD482" t="s">
        <v>1</v>
      </c>
      <c r="AE482">
        <v>32</v>
      </c>
      <c r="AF482">
        <v>22</v>
      </c>
      <c r="AH482" t="s">
        <v>3009</v>
      </c>
      <c r="AI482" t="s">
        <v>3008</v>
      </c>
      <c r="AJ482" t="s">
        <v>3007</v>
      </c>
      <c r="AK482" t="s">
        <v>3006</v>
      </c>
      <c r="AL482">
        <v>11</v>
      </c>
      <c r="AM482" s="5">
        <f t="shared" si="59"/>
        <v>0.42307692307692307</v>
      </c>
      <c r="AN482" s="4">
        <f t="shared" si="60"/>
        <v>6.4078292022252644E-4</v>
      </c>
      <c r="AO482" s="3"/>
      <c r="AP482">
        <v>0</v>
      </c>
      <c r="AR482" t="s">
        <v>0</v>
      </c>
      <c r="AT482" s="2">
        <v>1.3140000000000001</v>
      </c>
      <c r="AU482" s="1">
        <f t="shared" si="61"/>
        <v>0.71995224551490034</v>
      </c>
      <c r="AV482" s="1">
        <f t="shared" si="62"/>
        <v>0.53255968737414383</v>
      </c>
      <c r="AW482" s="1">
        <f t="shared" si="63"/>
        <v>0.34516712923338738</v>
      </c>
    </row>
    <row r="483" spans="1:49" x14ac:dyDescent="0.2">
      <c r="A483">
        <v>481</v>
      </c>
      <c r="B483" t="s">
        <v>3005</v>
      </c>
      <c r="C483" t="s">
        <v>3004</v>
      </c>
      <c r="D483" t="s">
        <v>3003</v>
      </c>
      <c r="E483">
        <v>8912932</v>
      </c>
      <c r="F483" t="s">
        <v>3002</v>
      </c>
      <c r="G483" t="s">
        <v>6</v>
      </c>
      <c r="H483" t="s">
        <v>5</v>
      </c>
      <c r="I483" t="s">
        <v>3001</v>
      </c>
      <c r="J483" t="s">
        <v>3000</v>
      </c>
      <c r="K483" t="s">
        <v>2999</v>
      </c>
      <c r="L483" t="s">
        <v>2998</v>
      </c>
      <c r="M483" t="s">
        <v>107</v>
      </c>
      <c r="N483">
        <v>3</v>
      </c>
      <c r="O483" t="s">
        <v>2997</v>
      </c>
      <c r="P483" t="s">
        <v>2996</v>
      </c>
      <c r="Q483" t="s">
        <v>2995</v>
      </c>
      <c r="R483" s="7">
        <v>35359</v>
      </c>
      <c r="S483" s="8">
        <f t="shared" si="56"/>
        <v>1996</v>
      </c>
      <c r="T483" s="8">
        <v>1996</v>
      </c>
      <c r="U483" s="8">
        <f t="shared" si="57"/>
        <v>26</v>
      </c>
      <c r="V483" s="7">
        <v>35359</v>
      </c>
      <c r="W483" t="s">
        <v>2962</v>
      </c>
      <c r="X483" s="2">
        <v>0.98099999999999998</v>
      </c>
      <c r="Y483" s="6">
        <f t="shared" si="58"/>
        <v>2.6187234724113079E-2</v>
      </c>
      <c r="AA483">
        <v>1650270</v>
      </c>
      <c r="AB483">
        <v>16765</v>
      </c>
      <c r="AD483" t="s">
        <v>1</v>
      </c>
      <c r="AE483">
        <v>69</v>
      </c>
      <c r="AF483">
        <v>1</v>
      </c>
      <c r="AH483" t="s">
        <v>2994</v>
      </c>
      <c r="AI483" t="s">
        <v>2993</v>
      </c>
      <c r="AJ483" t="s">
        <v>2992</v>
      </c>
      <c r="AK483" t="s">
        <v>2991</v>
      </c>
      <c r="AL483">
        <v>7</v>
      </c>
      <c r="AM483" s="5">
        <f t="shared" si="59"/>
        <v>0.26923076923076922</v>
      </c>
      <c r="AN483" s="4">
        <f t="shared" si="60"/>
        <v>4.0777094923251682E-4</v>
      </c>
      <c r="AO483" s="3"/>
      <c r="AP483">
        <v>0</v>
      </c>
      <c r="AQ483" t="s">
        <v>2957</v>
      </c>
      <c r="AR483" t="s">
        <v>2990</v>
      </c>
      <c r="AS483" t="s">
        <v>2956</v>
      </c>
      <c r="AT483" s="2">
        <v>2.39</v>
      </c>
      <c r="AU483" s="1">
        <f t="shared" si="61"/>
        <v>1.8453395591648911</v>
      </c>
      <c r="AV483" s="1">
        <f t="shared" si="62"/>
        <v>1.3297502836672799</v>
      </c>
      <c r="AW483" s="1">
        <f t="shared" si="63"/>
        <v>0.81416100816966841</v>
      </c>
    </row>
    <row r="484" spans="1:49" x14ac:dyDescent="0.2">
      <c r="A484">
        <v>482</v>
      </c>
      <c r="B484" t="s">
        <v>2989</v>
      </c>
      <c r="C484" t="s">
        <v>2988</v>
      </c>
      <c r="D484" t="s">
        <v>2987</v>
      </c>
      <c r="E484">
        <v>8912940</v>
      </c>
      <c r="F484" t="s">
        <v>2986</v>
      </c>
      <c r="G484" t="s">
        <v>6</v>
      </c>
      <c r="H484" t="s">
        <v>5</v>
      </c>
      <c r="I484" t="s">
        <v>2985</v>
      </c>
      <c r="J484" t="s">
        <v>2984</v>
      </c>
      <c r="K484" t="s">
        <v>2983</v>
      </c>
      <c r="L484" t="s">
        <v>2982</v>
      </c>
      <c r="M484" t="s">
        <v>2981</v>
      </c>
      <c r="N484">
        <v>4</v>
      </c>
      <c r="O484" t="s">
        <v>2980</v>
      </c>
      <c r="P484" t="s">
        <v>2979</v>
      </c>
      <c r="Q484" t="s">
        <v>2978</v>
      </c>
      <c r="R484" s="7">
        <v>35359</v>
      </c>
      <c r="S484" s="8">
        <f t="shared" si="56"/>
        <v>1996</v>
      </c>
      <c r="T484" s="8">
        <v>1996</v>
      </c>
      <c r="U484" s="8">
        <f t="shared" si="57"/>
        <v>26</v>
      </c>
      <c r="V484" s="7">
        <v>35359</v>
      </c>
      <c r="W484" t="s">
        <v>2962</v>
      </c>
      <c r="X484" s="2">
        <v>0.98099999999999998</v>
      </c>
      <c r="Y484" s="6">
        <f t="shared" si="58"/>
        <v>2.6187234724113079E-2</v>
      </c>
      <c r="AA484">
        <v>1650270</v>
      </c>
      <c r="AB484">
        <v>16765</v>
      </c>
      <c r="AD484" t="s">
        <v>1</v>
      </c>
      <c r="AE484">
        <v>69</v>
      </c>
      <c r="AF484">
        <v>1</v>
      </c>
      <c r="AH484" t="s">
        <v>2977</v>
      </c>
      <c r="AI484" t="s">
        <v>2976</v>
      </c>
      <c r="AJ484" t="s">
        <v>2975</v>
      </c>
      <c r="AK484" t="s">
        <v>2974</v>
      </c>
      <c r="AL484">
        <v>23</v>
      </c>
      <c r="AM484" s="5">
        <f t="shared" si="59"/>
        <v>0.88461538461538458</v>
      </c>
      <c r="AN484" s="4">
        <f t="shared" si="60"/>
        <v>1.3398188331925553E-3</v>
      </c>
      <c r="AO484" s="3"/>
      <c r="AP484">
        <v>0</v>
      </c>
      <c r="AQ484" t="s">
        <v>2957</v>
      </c>
      <c r="AR484">
        <v>28495</v>
      </c>
      <c r="AS484" t="s">
        <v>2956</v>
      </c>
      <c r="AT484" s="2">
        <v>2.39</v>
      </c>
      <c r="AU484" s="1">
        <f t="shared" si="61"/>
        <v>1.8733009956836921</v>
      </c>
      <c r="AV484" s="1">
        <f t="shared" si="62"/>
        <v>1.3763526778652817</v>
      </c>
      <c r="AW484" s="1">
        <f t="shared" si="63"/>
        <v>0.87940436004687128</v>
      </c>
    </row>
    <row r="485" spans="1:49" x14ac:dyDescent="0.2">
      <c r="A485">
        <v>483</v>
      </c>
      <c r="B485" t="s">
        <v>2973</v>
      </c>
      <c r="C485" t="s">
        <v>2972</v>
      </c>
      <c r="D485" t="s">
        <v>2971</v>
      </c>
      <c r="E485">
        <v>8912934</v>
      </c>
      <c r="F485" t="s">
        <v>2970</v>
      </c>
      <c r="G485" t="s">
        <v>6</v>
      </c>
      <c r="H485" t="s">
        <v>5</v>
      </c>
      <c r="I485" t="s">
        <v>2969</v>
      </c>
      <c r="J485" t="s">
        <v>2968</v>
      </c>
      <c r="K485" t="s">
        <v>2967</v>
      </c>
      <c r="L485" t="s">
        <v>2966</v>
      </c>
      <c r="M485" t="s">
        <v>213</v>
      </c>
      <c r="N485">
        <v>2</v>
      </c>
      <c r="O485" t="s">
        <v>2965</v>
      </c>
      <c r="P485" t="s">
        <v>2964</v>
      </c>
      <c r="Q485" t="s">
        <v>2963</v>
      </c>
      <c r="R485" s="7">
        <v>35359</v>
      </c>
      <c r="S485" s="8">
        <f t="shared" si="56"/>
        <v>1996</v>
      </c>
      <c r="T485" s="8">
        <v>1996</v>
      </c>
      <c r="U485" s="8">
        <f t="shared" si="57"/>
        <v>26</v>
      </c>
      <c r="V485" s="7">
        <v>35359</v>
      </c>
      <c r="W485" t="s">
        <v>2962</v>
      </c>
      <c r="X485" s="2">
        <v>0.98099999999999998</v>
      </c>
      <c r="Y485" s="6">
        <f t="shared" si="58"/>
        <v>2.6187234724113079E-2</v>
      </c>
      <c r="AA485">
        <v>1650270</v>
      </c>
      <c r="AB485">
        <v>16765</v>
      </c>
      <c r="AD485" t="s">
        <v>1</v>
      </c>
      <c r="AE485">
        <v>69</v>
      </c>
      <c r="AF485">
        <v>1</v>
      </c>
      <c r="AH485" t="s">
        <v>2961</v>
      </c>
      <c r="AI485" t="s">
        <v>2960</v>
      </c>
      <c r="AJ485" t="s">
        <v>2959</v>
      </c>
      <c r="AK485" t="s">
        <v>2958</v>
      </c>
      <c r="AL485">
        <v>4</v>
      </c>
      <c r="AM485" s="5">
        <f t="shared" si="59"/>
        <v>0.15384615384615385</v>
      </c>
      <c r="AN485" s="4">
        <f t="shared" si="60"/>
        <v>2.3301197099000962E-4</v>
      </c>
      <c r="AO485" s="3"/>
      <c r="AP485">
        <v>0</v>
      </c>
      <c r="AQ485" t="s">
        <v>2957</v>
      </c>
      <c r="AR485" t="s">
        <v>0</v>
      </c>
      <c r="AS485" t="s">
        <v>2956</v>
      </c>
      <c r="AT485" s="2">
        <v>2.39</v>
      </c>
      <c r="AU485" s="1">
        <f t="shared" si="61"/>
        <v>1.8400967898176159</v>
      </c>
      <c r="AV485" s="1">
        <f t="shared" si="62"/>
        <v>1.3210123347551543</v>
      </c>
      <c r="AW485" s="1">
        <f t="shared" si="63"/>
        <v>0.80192787969269297</v>
      </c>
    </row>
    <row r="486" spans="1:49" x14ac:dyDescent="0.2">
      <c r="A486">
        <v>484</v>
      </c>
      <c r="B486" t="s">
        <v>2955</v>
      </c>
      <c r="C486" t="s">
        <v>2954</v>
      </c>
      <c r="F486" t="s">
        <v>2953</v>
      </c>
      <c r="G486" t="s">
        <v>6</v>
      </c>
      <c r="H486" t="s">
        <v>5</v>
      </c>
      <c r="I486" t="s">
        <v>2952</v>
      </c>
      <c r="J486">
        <v>60012392</v>
      </c>
      <c r="K486" t="s">
        <v>2951</v>
      </c>
      <c r="L486" t="s">
        <v>388</v>
      </c>
      <c r="M486" t="s">
        <v>146</v>
      </c>
      <c r="N486">
        <v>1</v>
      </c>
      <c r="O486" t="s">
        <v>2950</v>
      </c>
      <c r="P486">
        <v>23568867200</v>
      </c>
      <c r="Q486">
        <v>60012392</v>
      </c>
      <c r="R486" s="7">
        <v>35358</v>
      </c>
      <c r="S486" s="8">
        <f t="shared" si="56"/>
        <v>1996</v>
      </c>
      <c r="T486" s="8">
        <v>1996</v>
      </c>
      <c r="U486" s="8">
        <f t="shared" si="57"/>
        <v>26</v>
      </c>
      <c r="V486" s="7">
        <v>35358</v>
      </c>
      <c r="W486" t="s">
        <v>109</v>
      </c>
      <c r="X486" s="2">
        <v>0.30399999999999999</v>
      </c>
      <c r="Y486" s="6">
        <f t="shared" si="58"/>
        <v>8.115106377299057E-3</v>
      </c>
      <c r="AA486">
        <v>8952477</v>
      </c>
      <c r="AB486">
        <v>12250</v>
      </c>
      <c r="AD486" t="s">
        <v>1</v>
      </c>
      <c r="AE486">
        <v>13</v>
      </c>
      <c r="AF486">
        <v>3</v>
      </c>
      <c r="AH486" t="s">
        <v>2949</v>
      </c>
      <c r="AI486" t="s">
        <v>2948</v>
      </c>
      <c r="AJ486" t="s">
        <v>2947</v>
      </c>
      <c r="AK486" t="s">
        <v>2946</v>
      </c>
      <c r="AL486">
        <v>1</v>
      </c>
      <c r="AM486" s="5">
        <f t="shared" si="59"/>
        <v>3.8461538461538464E-2</v>
      </c>
      <c r="AN486" s="4">
        <f t="shared" si="60"/>
        <v>5.8252992747502406E-5</v>
      </c>
      <c r="AO486" s="3"/>
      <c r="AP486">
        <v>0</v>
      </c>
      <c r="AR486" t="s">
        <v>0</v>
      </c>
      <c r="AT486" s="2" t="s">
        <v>9</v>
      </c>
      <c r="AU486" s="1">
        <f t="shared" si="61"/>
        <v>0.56980503619335909</v>
      </c>
      <c r="AV486" s="1">
        <f t="shared" si="62"/>
        <v>0.40866796850232795</v>
      </c>
      <c r="AW486" s="1">
        <f t="shared" si="63"/>
        <v>0.24753090081129689</v>
      </c>
    </row>
    <row r="487" spans="1:49" x14ac:dyDescent="0.2">
      <c r="A487">
        <v>485</v>
      </c>
      <c r="B487" t="s">
        <v>2945</v>
      </c>
      <c r="C487" t="s">
        <v>2944</v>
      </c>
      <c r="F487" t="s">
        <v>2943</v>
      </c>
      <c r="G487" t="s">
        <v>6</v>
      </c>
      <c r="H487" t="s">
        <v>5</v>
      </c>
      <c r="I487" t="s">
        <v>621</v>
      </c>
      <c r="J487" t="s">
        <v>620</v>
      </c>
      <c r="K487" t="s">
        <v>619</v>
      </c>
      <c r="L487" t="s">
        <v>618</v>
      </c>
      <c r="M487" t="s">
        <v>617</v>
      </c>
      <c r="N487">
        <v>4</v>
      </c>
      <c r="O487" t="s">
        <v>616</v>
      </c>
      <c r="P487" t="s">
        <v>615</v>
      </c>
      <c r="Q487" t="s">
        <v>614</v>
      </c>
      <c r="R487" s="7">
        <v>35358</v>
      </c>
      <c r="S487" s="8">
        <f t="shared" si="56"/>
        <v>1996</v>
      </c>
      <c r="T487" s="8">
        <v>1996</v>
      </c>
      <c r="U487" s="8">
        <f t="shared" si="57"/>
        <v>26</v>
      </c>
      <c r="V487" s="7">
        <v>35358</v>
      </c>
      <c r="W487" t="s">
        <v>109</v>
      </c>
      <c r="X487" s="2">
        <v>0.30399999999999999</v>
      </c>
      <c r="Y487" s="6">
        <f t="shared" si="58"/>
        <v>8.115106377299057E-3</v>
      </c>
      <c r="AA487">
        <v>8952477</v>
      </c>
      <c r="AB487">
        <v>12250</v>
      </c>
      <c r="AD487" t="s">
        <v>1</v>
      </c>
      <c r="AE487">
        <v>13</v>
      </c>
      <c r="AF487">
        <v>3</v>
      </c>
      <c r="AH487" t="s">
        <v>2942</v>
      </c>
      <c r="AI487" t="s">
        <v>2941</v>
      </c>
      <c r="AJ487" t="s">
        <v>2940</v>
      </c>
      <c r="AK487" t="s">
        <v>2939</v>
      </c>
      <c r="AL487">
        <v>4</v>
      </c>
      <c r="AM487" s="5">
        <f t="shared" si="59"/>
        <v>0.15384615384615385</v>
      </c>
      <c r="AN487" s="4">
        <f t="shared" si="60"/>
        <v>2.3301197099000962E-4</v>
      </c>
      <c r="AO487" s="3"/>
      <c r="AP487">
        <v>0</v>
      </c>
      <c r="AR487" t="s">
        <v>0</v>
      </c>
      <c r="AT487" s="2" t="s">
        <v>9</v>
      </c>
      <c r="AU487" s="1">
        <f t="shared" si="61"/>
        <v>0.57504780554063428</v>
      </c>
      <c r="AV487" s="1">
        <f t="shared" si="62"/>
        <v>0.41740591741445332</v>
      </c>
      <c r="AW487" s="1">
        <f t="shared" si="63"/>
        <v>0.25976402928827236</v>
      </c>
    </row>
    <row r="488" spans="1:49" x14ac:dyDescent="0.2">
      <c r="A488">
        <v>486</v>
      </c>
      <c r="B488" t="s">
        <v>2938</v>
      </c>
      <c r="C488" t="s">
        <v>2937</v>
      </c>
      <c r="F488" t="s">
        <v>2936</v>
      </c>
      <c r="G488" t="s">
        <v>6</v>
      </c>
      <c r="H488" t="s">
        <v>5</v>
      </c>
      <c r="I488" t="s">
        <v>2935</v>
      </c>
      <c r="J488">
        <v>60021032</v>
      </c>
      <c r="K488" t="s">
        <v>2934</v>
      </c>
      <c r="L488" t="s">
        <v>2933</v>
      </c>
      <c r="M488" t="s">
        <v>2</v>
      </c>
      <c r="N488">
        <v>2</v>
      </c>
      <c r="O488" t="s">
        <v>2932</v>
      </c>
      <c r="P488" t="s">
        <v>2931</v>
      </c>
      <c r="Q488" t="s">
        <v>2930</v>
      </c>
      <c r="R488" s="7">
        <v>35358</v>
      </c>
      <c r="S488" s="8">
        <f t="shared" si="56"/>
        <v>1996</v>
      </c>
      <c r="T488" s="8">
        <v>1996</v>
      </c>
      <c r="U488" s="8">
        <f t="shared" si="57"/>
        <v>26</v>
      </c>
      <c r="V488" s="7">
        <v>35358</v>
      </c>
      <c r="W488" t="s">
        <v>109</v>
      </c>
      <c r="X488" s="2">
        <v>0.30399999999999999</v>
      </c>
      <c r="Y488" s="6">
        <f t="shared" si="58"/>
        <v>8.115106377299057E-3</v>
      </c>
      <c r="AA488">
        <v>8952477</v>
      </c>
      <c r="AB488">
        <v>12250</v>
      </c>
      <c r="AD488" t="s">
        <v>1</v>
      </c>
      <c r="AE488">
        <v>13</v>
      </c>
      <c r="AF488">
        <v>3</v>
      </c>
      <c r="AH488" t="s">
        <v>172</v>
      </c>
      <c r="AI488" t="s">
        <v>2929</v>
      </c>
      <c r="AJ488" t="s">
        <v>2928</v>
      </c>
      <c r="AK488" t="s">
        <v>2927</v>
      </c>
      <c r="AL488">
        <v>20</v>
      </c>
      <c r="AM488" s="5">
        <f t="shared" si="59"/>
        <v>0.76923076923076927</v>
      </c>
      <c r="AN488" s="4">
        <f t="shared" si="60"/>
        <v>1.1650598549500482E-3</v>
      </c>
      <c r="AO488" s="3"/>
      <c r="AP488">
        <v>0</v>
      </c>
      <c r="AR488" t="s">
        <v>0</v>
      </c>
      <c r="AT488" s="2" t="s">
        <v>9</v>
      </c>
      <c r="AU488" s="1">
        <f t="shared" si="61"/>
        <v>0.6030092420594354</v>
      </c>
      <c r="AV488" s="1">
        <f t="shared" si="62"/>
        <v>0.46400831161245526</v>
      </c>
      <c r="AW488" s="1">
        <f t="shared" si="63"/>
        <v>0.32500738116547506</v>
      </c>
    </row>
    <row r="489" spans="1:49" x14ac:dyDescent="0.2">
      <c r="A489">
        <v>487</v>
      </c>
      <c r="B489" t="s">
        <v>2926</v>
      </c>
      <c r="C489" t="s">
        <v>2925</v>
      </c>
      <c r="F489" t="s">
        <v>2924</v>
      </c>
      <c r="G489" t="s">
        <v>6</v>
      </c>
      <c r="H489" t="s">
        <v>5</v>
      </c>
      <c r="I489" t="s">
        <v>501</v>
      </c>
      <c r="J489">
        <v>60003771</v>
      </c>
      <c r="K489" t="s">
        <v>500</v>
      </c>
      <c r="L489" t="s">
        <v>499</v>
      </c>
      <c r="M489" t="s">
        <v>19</v>
      </c>
      <c r="N489">
        <v>3</v>
      </c>
      <c r="O489" t="s">
        <v>498</v>
      </c>
      <c r="P489" t="s">
        <v>497</v>
      </c>
      <c r="Q489" t="s">
        <v>496</v>
      </c>
      <c r="R489" s="7">
        <v>35358</v>
      </c>
      <c r="S489" s="8">
        <f t="shared" si="56"/>
        <v>1996</v>
      </c>
      <c r="T489" s="8">
        <v>1996</v>
      </c>
      <c r="U489" s="8">
        <f t="shared" si="57"/>
        <v>26</v>
      </c>
      <c r="V489" s="7">
        <v>35358</v>
      </c>
      <c r="W489" t="s">
        <v>109</v>
      </c>
      <c r="X489" s="2">
        <v>0.30399999999999999</v>
      </c>
      <c r="Y489" s="6">
        <f t="shared" si="58"/>
        <v>8.115106377299057E-3</v>
      </c>
      <c r="AA489">
        <v>8952477</v>
      </c>
      <c r="AB489">
        <v>12250</v>
      </c>
      <c r="AD489" t="s">
        <v>1</v>
      </c>
      <c r="AE489">
        <v>13</v>
      </c>
      <c r="AF489">
        <v>3</v>
      </c>
      <c r="AH489" t="s">
        <v>85</v>
      </c>
      <c r="AI489" t="s">
        <v>2923</v>
      </c>
      <c r="AJ489" t="s">
        <v>2922</v>
      </c>
      <c r="AK489" t="s">
        <v>2921</v>
      </c>
      <c r="AL489">
        <v>28</v>
      </c>
      <c r="AM489" s="5">
        <f t="shared" si="59"/>
        <v>1.0769230769230769</v>
      </c>
      <c r="AN489" s="4">
        <f t="shared" si="60"/>
        <v>1.6310837969300673E-3</v>
      </c>
      <c r="AO489" s="3"/>
      <c r="AP489">
        <v>0</v>
      </c>
      <c r="AR489" t="s">
        <v>0</v>
      </c>
      <c r="AT489" s="2" t="s">
        <v>9</v>
      </c>
      <c r="AU489" s="1">
        <f t="shared" si="61"/>
        <v>0.61698996031883602</v>
      </c>
      <c r="AV489" s="1">
        <f t="shared" si="62"/>
        <v>0.48730950871145623</v>
      </c>
      <c r="AW489" s="1">
        <f t="shared" si="63"/>
        <v>0.35762905710407644</v>
      </c>
    </row>
    <row r="490" spans="1:49" x14ac:dyDescent="0.2">
      <c r="A490">
        <v>488</v>
      </c>
      <c r="B490" t="s">
        <v>2920</v>
      </c>
      <c r="C490" t="s">
        <v>2919</v>
      </c>
      <c r="F490" t="s">
        <v>2918</v>
      </c>
      <c r="G490" t="s">
        <v>6</v>
      </c>
      <c r="H490" t="s">
        <v>5</v>
      </c>
      <c r="I490" t="s">
        <v>2917</v>
      </c>
      <c r="J490">
        <v>60028186</v>
      </c>
      <c r="K490" t="s">
        <v>2916</v>
      </c>
      <c r="L490" t="s">
        <v>2915</v>
      </c>
      <c r="M490" t="s">
        <v>73</v>
      </c>
      <c r="N490">
        <v>2</v>
      </c>
      <c r="O490" t="s">
        <v>2914</v>
      </c>
      <c r="P490" t="s">
        <v>2913</v>
      </c>
      <c r="Q490" t="s">
        <v>2912</v>
      </c>
      <c r="R490" s="7">
        <v>35358</v>
      </c>
      <c r="S490" s="8">
        <f t="shared" si="56"/>
        <v>1996</v>
      </c>
      <c r="T490" s="8">
        <v>1996</v>
      </c>
      <c r="U490" s="8">
        <f t="shared" si="57"/>
        <v>26</v>
      </c>
      <c r="V490" s="7">
        <v>35358</v>
      </c>
      <c r="W490" t="s">
        <v>109</v>
      </c>
      <c r="X490" s="2">
        <v>0.30399999999999999</v>
      </c>
      <c r="Y490" s="6">
        <f t="shared" si="58"/>
        <v>8.115106377299057E-3</v>
      </c>
      <c r="AA490">
        <v>8952477</v>
      </c>
      <c r="AB490">
        <v>12250</v>
      </c>
      <c r="AD490" t="s">
        <v>1</v>
      </c>
      <c r="AE490">
        <v>13</v>
      </c>
      <c r="AF490">
        <v>3</v>
      </c>
      <c r="AH490" t="s">
        <v>2911</v>
      </c>
      <c r="AI490" t="s">
        <v>2910</v>
      </c>
      <c r="AJ490" t="s">
        <v>2909</v>
      </c>
      <c r="AK490" t="s">
        <v>2908</v>
      </c>
      <c r="AL490">
        <v>4</v>
      </c>
      <c r="AM490" s="5">
        <f t="shared" si="59"/>
        <v>0.15384615384615385</v>
      </c>
      <c r="AN490" s="4">
        <f t="shared" si="60"/>
        <v>2.3301197099000962E-4</v>
      </c>
      <c r="AO490" s="3"/>
      <c r="AP490">
        <v>0</v>
      </c>
      <c r="AR490" t="s">
        <v>0</v>
      </c>
      <c r="AT490" s="2" t="s">
        <v>9</v>
      </c>
      <c r="AU490" s="1">
        <f t="shared" si="61"/>
        <v>0.57504780554063428</v>
      </c>
      <c r="AV490" s="1">
        <f t="shared" si="62"/>
        <v>0.41740591741445332</v>
      </c>
      <c r="AW490" s="1">
        <f t="shared" si="63"/>
        <v>0.25976402928827236</v>
      </c>
    </row>
    <row r="491" spans="1:49" x14ac:dyDescent="0.2">
      <c r="A491">
        <v>489</v>
      </c>
      <c r="B491" t="s">
        <v>2907</v>
      </c>
      <c r="C491" t="s">
        <v>2906</v>
      </c>
      <c r="F491" t="s">
        <v>2905</v>
      </c>
      <c r="G491" t="s">
        <v>6</v>
      </c>
      <c r="H491" t="s">
        <v>5</v>
      </c>
      <c r="I491" t="s">
        <v>311</v>
      </c>
      <c r="J491">
        <v>60003480</v>
      </c>
      <c r="K491" t="s">
        <v>310</v>
      </c>
      <c r="L491" t="s">
        <v>110</v>
      </c>
      <c r="M491" t="s">
        <v>7</v>
      </c>
      <c r="N491">
        <v>1</v>
      </c>
      <c r="O491" t="s">
        <v>309</v>
      </c>
      <c r="P491">
        <v>7006159446</v>
      </c>
      <c r="Q491">
        <v>60003480</v>
      </c>
      <c r="R491" s="7">
        <v>35358</v>
      </c>
      <c r="S491" s="8">
        <f t="shared" si="56"/>
        <v>1996</v>
      </c>
      <c r="T491" s="8">
        <v>1996</v>
      </c>
      <c r="U491" s="8">
        <f t="shared" si="57"/>
        <v>26</v>
      </c>
      <c r="V491" s="7">
        <v>35358</v>
      </c>
      <c r="W491" t="s">
        <v>109</v>
      </c>
      <c r="X491" s="2">
        <v>0.30399999999999999</v>
      </c>
      <c r="Y491" s="6">
        <f t="shared" si="58"/>
        <v>8.115106377299057E-3</v>
      </c>
      <c r="AA491">
        <v>8952477</v>
      </c>
      <c r="AB491">
        <v>12250</v>
      </c>
      <c r="AD491" t="s">
        <v>1</v>
      </c>
      <c r="AE491">
        <v>13</v>
      </c>
      <c r="AF491">
        <v>3</v>
      </c>
      <c r="AH491" t="s">
        <v>2904</v>
      </c>
      <c r="AI491" t="s">
        <v>2903</v>
      </c>
      <c r="AJ491" t="s">
        <v>2902</v>
      </c>
      <c r="AK491" t="s">
        <v>2901</v>
      </c>
      <c r="AL491">
        <v>11</v>
      </c>
      <c r="AM491" s="5">
        <f t="shared" si="59"/>
        <v>0.42307692307692307</v>
      </c>
      <c r="AN491" s="4">
        <f t="shared" si="60"/>
        <v>6.4078292022252644E-4</v>
      </c>
      <c r="AO491" s="3"/>
      <c r="AP491">
        <v>0</v>
      </c>
      <c r="AR491" t="s">
        <v>0</v>
      </c>
      <c r="AT491" s="2" t="s">
        <v>9</v>
      </c>
      <c r="AU491" s="1">
        <f t="shared" si="61"/>
        <v>0.58728093401760972</v>
      </c>
      <c r="AV491" s="1">
        <f t="shared" si="62"/>
        <v>0.43779446487607915</v>
      </c>
      <c r="AW491" s="1">
        <f t="shared" si="63"/>
        <v>0.28830799573454857</v>
      </c>
    </row>
    <row r="492" spans="1:49" x14ac:dyDescent="0.2">
      <c r="A492">
        <v>490</v>
      </c>
      <c r="B492" t="s">
        <v>2900</v>
      </c>
      <c r="C492" t="s">
        <v>2899</v>
      </c>
      <c r="F492" t="s">
        <v>2898</v>
      </c>
      <c r="G492" t="s">
        <v>6</v>
      </c>
      <c r="H492" t="s">
        <v>5</v>
      </c>
      <c r="I492" t="s">
        <v>2897</v>
      </c>
      <c r="J492">
        <v>60021392</v>
      </c>
      <c r="K492" t="s">
        <v>2896</v>
      </c>
      <c r="L492" t="s">
        <v>211</v>
      </c>
      <c r="M492" t="s">
        <v>2</v>
      </c>
      <c r="N492">
        <v>1</v>
      </c>
      <c r="O492" t="s">
        <v>2895</v>
      </c>
      <c r="P492">
        <v>7102212748</v>
      </c>
      <c r="Q492">
        <v>60021392</v>
      </c>
      <c r="R492" s="7">
        <v>35358</v>
      </c>
      <c r="S492" s="8">
        <f t="shared" si="56"/>
        <v>1996</v>
      </c>
      <c r="T492" s="8">
        <v>1996</v>
      </c>
      <c r="U492" s="8">
        <f t="shared" si="57"/>
        <v>26</v>
      </c>
      <c r="V492" s="7">
        <v>35358</v>
      </c>
      <c r="W492" t="s">
        <v>109</v>
      </c>
      <c r="X492" s="2">
        <v>0.30399999999999999</v>
      </c>
      <c r="Y492" s="6">
        <f t="shared" si="58"/>
        <v>8.115106377299057E-3</v>
      </c>
      <c r="AA492">
        <v>8952477</v>
      </c>
      <c r="AB492">
        <v>12250</v>
      </c>
      <c r="AD492" t="s">
        <v>1</v>
      </c>
      <c r="AE492">
        <v>13</v>
      </c>
      <c r="AF492">
        <v>3</v>
      </c>
      <c r="AH492" t="s">
        <v>744</v>
      </c>
      <c r="AI492" t="s">
        <v>2894</v>
      </c>
      <c r="AJ492" t="s">
        <v>2893</v>
      </c>
      <c r="AK492" t="s">
        <v>2892</v>
      </c>
      <c r="AL492">
        <v>4</v>
      </c>
      <c r="AM492" s="5">
        <f t="shared" si="59"/>
        <v>0.15384615384615385</v>
      </c>
      <c r="AN492" s="4">
        <f t="shared" si="60"/>
        <v>2.3301197099000962E-4</v>
      </c>
      <c r="AO492" s="3"/>
      <c r="AP492">
        <v>0</v>
      </c>
      <c r="AR492" t="s">
        <v>0</v>
      </c>
      <c r="AT492" s="2" t="s">
        <v>9</v>
      </c>
      <c r="AU492" s="1">
        <f t="shared" si="61"/>
        <v>0.57504780554063428</v>
      </c>
      <c r="AV492" s="1">
        <f t="shared" si="62"/>
        <v>0.41740591741445332</v>
      </c>
      <c r="AW492" s="1">
        <f t="shared" si="63"/>
        <v>0.25976402928827236</v>
      </c>
    </row>
    <row r="493" spans="1:49" x14ac:dyDescent="0.2">
      <c r="A493">
        <v>491</v>
      </c>
      <c r="B493" t="s">
        <v>2891</v>
      </c>
      <c r="C493" t="s">
        <v>2890</v>
      </c>
      <c r="E493">
        <v>8841130</v>
      </c>
      <c r="F493" t="s">
        <v>2889</v>
      </c>
      <c r="G493" t="s">
        <v>6</v>
      </c>
      <c r="H493" t="s">
        <v>5</v>
      </c>
      <c r="I493" t="s">
        <v>2888</v>
      </c>
      <c r="J493">
        <v>60008734</v>
      </c>
      <c r="K493" t="s">
        <v>527</v>
      </c>
      <c r="L493" t="s">
        <v>526</v>
      </c>
      <c r="M493" t="s">
        <v>59</v>
      </c>
      <c r="N493">
        <v>5</v>
      </c>
      <c r="O493" t="s">
        <v>2887</v>
      </c>
      <c r="P493" t="s">
        <v>2886</v>
      </c>
      <c r="Q493" t="s">
        <v>2885</v>
      </c>
      <c r="R493" s="7">
        <v>35357</v>
      </c>
      <c r="S493" s="8">
        <f t="shared" si="56"/>
        <v>1996</v>
      </c>
      <c r="T493" s="8">
        <v>1996</v>
      </c>
      <c r="U493" s="8">
        <f t="shared" si="57"/>
        <v>26</v>
      </c>
      <c r="V493" s="7">
        <v>1996</v>
      </c>
      <c r="W493" t="s">
        <v>591</v>
      </c>
      <c r="X493" s="2">
        <v>1.43</v>
      </c>
      <c r="Y493" s="6">
        <f t="shared" si="58"/>
        <v>3.8173033287952803E-2</v>
      </c>
      <c r="AA493">
        <v>62960</v>
      </c>
      <c r="AB493">
        <v>16867</v>
      </c>
      <c r="AD493" t="s">
        <v>1</v>
      </c>
      <c r="AE493">
        <v>35</v>
      </c>
      <c r="AF493">
        <v>39</v>
      </c>
      <c r="AH493" t="s">
        <v>2884</v>
      </c>
      <c r="AI493" t="s">
        <v>2883</v>
      </c>
      <c r="AK493" t="s">
        <v>2882</v>
      </c>
      <c r="AL493">
        <v>34</v>
      </c>
      <c r="AM493" s="5">
        <f t="shared" si="59"/>
        <v>1.3076923076923077</v>
      </c>
      <c r="AN493" s="4">
        <f t="shared" si="60"/>
        <v>1.9806017534150819E-3</v>
      </c>
      <c r="AO493" s="3"/>
      <c r="AP493">
        <v>0</v>
      </c>
      <c r="AR493" t="s">
        <v>0</v>
      </c>
      <c r="AT493" s="2">
        <v>3.1619999999999999</v>
      </c>
      <c r="AU493" s="1">
        <f t="shared" si="61"/>
        <v>2.7315303827591486</v>
      </c>
      <c r="AV493" s="1">
        <f t="shared" si="62"/>
        <v>2.0076817520683941</v>
      </c>
      <c r="AW493" s="1">
        <f t="shared" si="63"/>
        <v>1.2838331213776397</v>
      </c>
    </row>
    <row r="494" spans="1:49" x14ac:dyDescent="0.2">
      <c r="A494">
        <v>492</v>
      </c>
      <c r="B494" t="s">
        <v>2881</v>
      </c>
      <c r="C494" t="s">
        <v>2880</v>
      </c>
      <c r="F494" t="s">
        <v>2879</v>
      </c>
      <c r="G494" t="s">
        <v>6</v>
      </c>
      <c r="H494" t="s">
        <v>5</v>
      </c>
      <c r="I494" t="s">
        <v>2878</v>
      </c>
      <c r="J494" t="s">
        <v>2877</v>
      </c>
      <c r="K494" t="s">
        <v>2876</v>
      </c>
      <c r="L494" t="s">
        <v>2875</v>
      </c>
      <c r="M494" t="s">
        <v>88</v>
      </c>
      <c r="N494">
        <v>2</v>
      </c>
      <c r="O494" t="s">
        <v>2874</v>
      </c>
      <c r="P494" t="s">
        <v>2873</v>
      </c>
      <c r="Q494" t="s">
        <v>2872</v>
      </c>
      <c r="R494" s="7">
        <v>35353</v>
      </c>
      <c r="S494" s="8">
        <f t="shared" si="56"/>
        <v>1996</v>
      </c>
      <c r="T494" s="8">
        <v>1996</v>
      </c>
      <c r="U494" s="8">
        <f t="shared" si="57"/>
        <v>26</v>
      </c>
      <c r="V494" s="7">
        <v>35353</v>
      </c>
      <c r="W494" t="s">
        <v>2871</v>
      </c>
      <c r="X494" s="2" t="s">
        <v>9</v>
      </c>
      <c r="Y494" s="6" t="e">
        <f t="shared" si="58"/>
        <v>#VALUE!</v>
      </c>
      <c r="AA494">
        <v>364827</v>
      </c>
      <c r="AB494">
        <v>13626</v>
      </c>
      <c r="AD494" t="s">
        <v>1</v>
      </c>
      <c r="AE494">
        <v>81</v>
      </c>
      <c r="AF494">
        <v>3</v>
      </c>
      <c r="AH494" t="s">
        <v>2870</v>
      </c>
      <c r="AI494" t="s">
        <v>2869</v>
      </c>
      <c r="AJ494" t="s">
        <v>2868</v>
      </c>
      <c r="AK494" t="s">
        <v>2867</v>
      </c>
      <c r="AL494">
        <v>12</v>
      </c>
      <c r="AM494" s="5">
        <f t="shared" si="59"/>
        <v>0.46153846153846156</v>
      </c>
      <c r="AN494" s="4">
        <f t="shared" si="60"/>
        <v>6.9903591297002887E-4</v>
      </c>
      <c r="AO494" s="3"/>
      <c r="AP494">
        <v>0</v>
      </c>
      <c r="AR494" t="s">
        <v>0</v>
      </c>
      <c r="AT494" s="2" t="s">
        <v>9</v>
      </c>
      <c r="AU494" s="1" t="e">
        <f t="shared" si="61"/>
        <v>#VALUE!</v>
      </c>
      <c r="AV494" s="1" t="e">
        <f t="shared" si="62"/>
        <v>#VALUE!</v>
      </c>
      <c r="AW494" s="1" t="e">
        <f t="shared" si="63"/>
        <v>#VALUE!</v>
      </c>
    </row>
    <row r="495" spans="1:49" x14ac:dyDescent="0.2">
      <c r="A495">
        <v>493</v>
      </c>
      <c r="B495" t="s">
        <v>2866</v>
      </c>
      <c r="C495" t="s">
        <v>2865</v>
      </c>
      <c r="F495" t="s">
        <v>2864</v>
      </c>
      <c r="G495" t="s">
        <v>6</v>
      </c>
      <c r="H495" t="s">
        <v>5</v>
      </c>
      <c r="I495" t="s">
        <v>383</v>
      </c>
      <c r="J495">
        <v>60092258</v>
      </c>
      <c r="K495" t="s">
        <v>2863</v>
      </c>
      <c r="L495" t="s">
        <v>655</v>
      </c>
      <c r="M495" t="s">
        <v>44</v>
      </c>
      <c r="N495">
        <v>3</v>
      </c>
      <c r="O495" t="s">
        <v>2862</v>
      </c>
      <c r="P495" t="s">
        <v>2861</v>
      </c>
      <c r="Q495" t="s">
        <v>2860</v>
      </c>
      <c r="R495" s="7">
        <v>35352</v>
      </c>
      <c r="S495" s="8">
        <f t="shared" si="56"/>
        <v>1996</v>
      </c>
      <c r="T495" s="8">
        <v>1996</v>
      </c>
      <c r="U495" s="8">
        <f t="shared" si="57"/>
        <v>26</v>
      </c>
      <c r="V495" s="7">
        <v>35352</v>
      </c>
      <c r="W495" t="s">
        <v>1132</v>
      </c>
      <c r="X495" s="2">
        <v>1.1819999999999999</v>
      </c>
      <c r="Y495" s="6">
        <f t="shared" si="58"/>
        <v>3.1552814927524625E-2</v>
      </c>
      <c r="AA495">
        <v>36951</v>
      </c>
      <c r="AB495">
        <v>27030</v>
      </c>
      <c r="AD495" t="s">
        <v>1</v>
      </c>
      <c r="AE495">
        <v>69</v>
      </c>
      <c r="AF495">
        <v>16</v>
      </c>
      <c r="AH495" t="s">
        <v>2859</v>
      </c>
      <c r="AI495" t="s">
        <v>2858</v>
      </c>
      <c r="AK495" t="s">
        <v>2857</v>
      </c>
      <c r="AL495">
        <v>18</v>
      </c>
      <c r="AM495" s="5">
        <f t="shared" si="59"/>
        <v>0.69230769230769229</v>
      </c>
      <c r="AN495" s="4">
        <f t="shared" si="60"/>
        <v>1.0485538694550431E-3</v>
      </c>
      <c r="AO495" s="3"/>
      <c r="AP495">
        <v>0</v>
      </c>
      <c r="AR495" t="s">
        <v>0</v>
      </c>
      <c r="AT495" s="2">
        <v>3.7909999999999999</v>
      </c>
      <c r="AU495" s="1">
        <f t="shared" si="61"/>
        <v>2.2401536610103747</v>
      </c>
      <c r="AV495" s="1">
        <f t="shared" si="62"/>
        <v>1.6300684398489835</v>
      </c>
      <c r="AW495" s="1">
        <f t="shared" si="63"/>
        <v>1.0199832186875919</v>
      </c>
    </row>
    <row r="496" spans="1:49" x14ac:dyDescent="0.2">
      <c r="A496">
        <v>494</v>
      </c>
      <c r="B496" t="s">
        <v>2856</v>
      </c>
      <c r="F496" t="s">
        <v>2855</v>
      </c>
      <c r="G496" t="s">
        <v>6</v>
      </c>
      <c r="H496" t="s">
        <v>5</v>
      </c>
      <c r="I496" t="s">
        <v>2854</v>
      </c>
      <c r="J496">
        <v>60007670</v>
      </c>
      <c r="K496" t="s">
        <v>487</v>
      </c>
      <c r="L496" t="s">
        <v>106</v>
      </c>
      <c r="M496" t="s">
        <v>2</v>
      </c>
      <c r="N496">
        <v>1</v>
      </c>
      <c r="O496" t="s">
        <v>2853</v>
      </c>
      <c r="P496">
        <v>7403681352</v>
      </c>
      <c r="Q496">
        <v>60007670</v>
      </c>
      <c r="R496" s="7">
        <v>35349</v>
      </c>
      <c r="S496" s="8">
        <f t="shared" si="56"/>
        <v>1996</v>
      </c>
      <c r="T496" s="8">
        <v>1996</v>
      </c>
      <c r="U496" s="8">
        <f t="shared" si="57"/>
        <v>26</v>
      </c>
      <c r="V496" s="7">
        <v>35349</v>
      </c>
      <c r="W496" t="s">
        <v>2852</v>
      </c>
      <c r="X496" s="2">
        <v>0.28199999999999997</v>
      </c>
      <c r="Y496" s="6">
        <f t="shared" si="58"/>
        <v>7.527828942099783E-3</v>
      </c>
      <c r="AA496">
        <v>240966</v>
      </c>
      <c r="AB496">
        <v>20995</v>
      </c>
      <c r="AD496" t="s">
        <v>1</v>
      </c>
      <c r="AE496">
        <v>50</v>
      </c>
      <c r="AF496">
        <v>3</v>
      </c>
      <c r="AH496" t="s">
        <v>2851</v>
      </c>
      <c r="AI496" t="s">
        <v>2850</v>
      </c>
      <c r="AJ496" t="s">
        <v>2849</v>
      </c>
      <c r="AK496" t="s">
        <v>2848</v>
      </c>
      <c r="AL496">
        <v>17</v>
      </c>
      <c r="AM496" s="5">
        <f t="shared" si="59"/>
        <v>0.65384615384615385</v>
      </c>
      <c r="AN496" s="4">
        <f t="shared" si="60"/>
        <v>9.9030087670754093E-4</v>
      </c>
      <c r="AO496" s="3"/>
      <c r="AP496">
        <v>0</v>
      </c>
      <c r="AR496" t="s">
        <v>0</v>
      </c>
      <c r="AT496" s="2" t="s">
        <v>9</v>
      </c>
      <c r="AU496" s="1">
        <f t="shared" si="61"/>
        <v>0.55665705224821094</v>
      </c>
      <c r="AV496" s="1">
        <f t="shared" si="62"/>
        <v>0.42590649094036614</v>
      </c>
      <c r="AW496" s="1">
        <f t="shared" si="63"/>
        <v>0.29515592963252135</v>
      </c>
    </row>
    <row r="497" spans="1:49" x14ac:dyDescent="0.2">
      <c r="A497">
        <v>495</v>
      </c>
      <c r="B497" t="s">
        <v>2847</v>
      </c>
      <c r="C497" t="s">
        <v>2846</v>
      </c>
      <c r="F497" t="s">
        <v>2845</v>
      </c>
      <c r="G497" t="s">
        <v>6</v>
      </c>
      <c r="H497" t="s">
        <v>5</v>
      </c>
      <c r="I497" t="s">
        <v>2844</v>
      </c>
      <c r="J497">
        <v>60017161</v>
      </c>
      <c r="K497" t="s">
        <v>2843</v>
      </c>
      <c r="L497" t="s">
        <v>469</v>
      </c>
      <c r="M497" t="s">
        <v>468</v>
      </c>
      <c r="N497">
        <v>2</v>
      </c>
      <c r="O497" t="s">
        <v>2842</v>
      </c>
      <c r="P497" t="s">
        <v>2841</v>
      </c>
      <c r="Q497" t="s">
        <v>2840</v>
      </c>
      <c r="R497" s="7">
        <v>35348</v>
      </c>
      <c r="S497" s="8">
        <f t="shared" si="56"/>
        <v>1996</v>
      </c>
      <c r="T497" s="8">
        <v>1996</v>
      </c>
      <c r="U497" s="8">
        <f t="shared" si="57"/>
        <v>26</v>
      </c>
      <c r="V497" s="7">
        <v>35348</v>
      </c>
      <c r="W497" t="s">
        <v>358</v>
      </c>
      <c r="X497" s="2">
        <v>0.375</v>
      </c>
      <c r="Y497" s="6">
        <f t="shared" si="58"/>
        <v>1.0010410827260351E-2</v>
      </c>
      <c r="AA497">
        <v>135194</v>
      </c>
      <c r="AB497">
        <v>24918</v>
      </c>
      <c r="AD497" t="s">
        <v>1</v>
      </c>
      <c r="AE497">
        <v>32</v>
      </c>
      <c r="AF497">
        <v>21</v>
      </c>
      <c r="AH497" t="s">
        <v>2839</v>
      </c>
      <c r="AI497" t="s">
        <v>2838</v>
      </c>
      <c r="AJ497" t="s">
        <v>2837</v>
      </c>
      <c r="AK497" t="s">
        <v>2836</v>
      </c>
      <c r="AL497">
        <v>1</v>
      </c>
      <c r="AM497" s="5">
        <f t="shared" si="59"/>
        <v>3.8461538461538464E-2</v>
      </c>
      <c r="AN497" s="4">
        <f t="shared" si="60"/>
        <v>5.8252992747502406E-5</v>
      </c>
      <c r="AO497" s="3"/>
      <c r="AP497">
        <v>0</v>
      </c>
      <c r="AR497" t="s">
        <v>0</v>
      </c>
      <c r="AT497" s="2">
        <v>1.3140000000000001</v>
      </c>
      <c r="AU497" s="1">
        <f t="shared" si="61"/>
        <v>0.70247634769064971</v>
      </c>
      <c r="AV497" s="1">
        <f t="shared" si="62"/>
        <v>0.50343319100039263</v>
      </c>
      <c r="AW497" s="1">
        <f t="shared" si="63"/>
        <v>0.30439003431013567</v>
      </c>
    </row>
    <row r="498" spans="1:49" x14ac:dyDescent="0.2">
      <c r="A498">
        <v>496</v>
      </c>
      <c r="B498" t="s">
        <v>2835</v>
      </c>
      <c r="C498" t="s">
        <v>2834</v>
      </c>
      <c r="F498" t="s">
        <v>2833</v>
      </c>
      <c r="G498" t="s">
        <v>6</v>
      </c>
      <c r="H498" t="s">
        <v>5</v>
      </c>
      <c r="I498" t="s">
        <v>2832</v>
      </c>
      <c r="J498">
        <v>60030526</v>
      </c>
      <c r="K498" t="s">
        <v>2831</v>
      </c>
      <c r="L498" t="s">
        <v>45</v>
      </c>
      <c r="M498" t="s">
        <v>44</v>
      </c>
      <c r="N498">
        <v>3</v>
      </c>
      <c r="O498" t="s">
        <v>2830</v>
      </c>
      <c r="P498" t="s">
        <v>2829</v>
      </c>
      <c r="Q498" t="s">
        <v>2828</v>
      </c>
      <c r="R498" s="7">
        <v>35348</v>
      </c>
      <c r="S498" s="8">
        <f t="shared" si="56"/>
        <v>1996</v>
      </c>
      <c r="T498" s="8">
        <v>1996</v>
      </c>
      <c r="U498" s="8">
        <f t="shared" si="57"/>
        <v>26</v>
      </c>
      <c r="V498" s="7">
        <v>35348</v>
      </c>
      <c r="W498" t="s">
        <v>358</v>
      </c>
      <c r="X498" s="2">
        <v>0.375</v>
      </c>
      <c r="Y498" s="6">
        <f t="shared" si="58"/>
        <v>1.0010410827260351E-2</v>
      </c>
      <c r="AA498">
        <v>135194</v>
      </c>
      <c r="AB498">
        <v>24918</v>
      </c>
      <c r="AD498" t="s">
        <v>1</v>
      </c>
      <c r="AE498">
        <v>32</v>
      </c>
      <c r="AF498">
        <v>21</v>
      </c>
      <c r="AH498" t="s">
        <v>2827</v>
      </c>
      <c r="AI498" t="s">
        <v>2826</v>
      </c>
      <c r="AJ498" t="s">
        <v>2825</v>
      </c>
      <c r="AK498" t="s">
        <v>2824</v>
      </c>
      <c r="AL498">
        <v>4</v>
      </c>
      <c r="AM498" s="5">
        <f t="shared" si="59"/>
        <v>0.15384615384615385</v>
      </c>
      <c r="AN498" s="4">
        <f t="shared" si="60"/>
        <v>2.3301197099000962E-4</v>
      </c>
      <c r="AO498" s="3"/>
      <c r="AP498">
        <v>0</v>
      </c>
      <c r="AR498" t="s">
        <v>0</v>
      </c>
      <c r="AT498" s="2">
        <v>1.3140000000000001</v>
      </c>
      <c r="AU498" s="1">
        <f t="shared" si="61"/>
        <v>0.70771911703792489</v>
      </c>
      <c r="AV498" s="1">
        <f t="shared" si="62"/>
        <v>0.51217113991251806</v>
      </c>
      <c r="AW498" s="1">
        <f t="shared" si="63"/>
        <v>0.31662316278711117</v>
      </c>
    </row>
    <row r="499" spans="1:49" x14ac:dyDescent="0.2">
      <c r="A499">
        <v>497</v>
      </c>
      <c r="B499" t="s">
        <v>2823</v>
      </c>
      <c r="C499" t="s">
        <v>2822</v>
      </c>
      <c r="F499" t="s">
        <v>2821</v>
      </c>
      <c r="G499" t="s">
        <v>6</v>
      </c>
      <c r="H499" t="s">
        <v>5</v>
      </c>
      <c r="I499" t="s">
        <v>2820</v>
      </c>
      <c r="J499">
        <v>60025578</v>
      </c>
      <c r="K499" t="s">
        <v>738</v>
      </c>
      <c r="L499" t="s">
        <v>417</v>
      </c>
      <c r="M499" t="s">
        <v>35</v>
      </c>
      <c r="N499">
        <v>3</v>
      </c>
      <c r="O499" t="s">
        <v>2819</v>
      </c>
      <c r="P499" t="s">
        <v>2818</v>
      </c>
      <c r="Q499" t="s">
        <v>737</v>
      </c>
      <c r="R499" s="7">
        <v>35348</v>
      </c>
      <c r="S499" s="8">
        <f t="shared" si="56"/>
        <v>1996</v>
      </c>
      <c r="T499" s="8">
        <v>1996</v>
      </c>
      <c r="U499" s="8">
        <f t="shared" si="57"/>
        <v>26</v>
      </c>
      <c r="V499" s="7">
        <v>35348</v>
      </c>
      <c r="W499" t="s">
        <v>358</v>
      </c>
      <c r="X499" s="2">
        <v>0.375</v>
      </c>
      <c r="Y499" s="6">
        <f t="shared" si="58"/>
        <v>1.0010410827260351E-2</v>
      </c>
      <c r="AA499">
        <v>135194</v>
      </c>
      <c r="AB499">
        <v>24918</v>
      </c>
      <c r="AD499" t="s">
        <v>1</v>
      </c>
      <c r="AE499">
        <v>32</v>
      </c>
      <c r="AF499">
        <v>21</v>
      </c>
      <c r="AH499" t="s">
        <v>2817</v>
      </c>
      <c r="AI499" t="s">
        <v>2816</v>
      </c>
      <c r="AJ499" t="s">
        <v>2815</v>
      </c>
      <c r="AK499" t="s">
        <v>2814</v>
      </c>
      <c r="AL499">
        <v>16</v>
      </c>
      <c r="AM499" s="5">
        <f t="shared" si="59"/>
        <v>0.61538461538461542</v>
      </c>
      <c r="AN499" s="4">
        <f t="shared" si="60"/>
        <v>9.320478839600385E-4</v>
      </c>
      <c r="AO499" s="3"/>
      <c r="AP499">
        <v>0</v>
      </c>
      <c r="AR499" t="s">
        <v>0</v>
      </c>
      <c r="AT499" s="2">
        <v>1.3140000000000001</v>
      </c>
      <c r="AU499" s="1">
        <f t="shared" si="61"/>
        <v>0.72869019442702576</v>
      </c>
      <c r="AV499" s="1">
        <f t="shared" si="62"/>
        <v>0.54712293556101954</v>
      </c>
      <c r="AW499" s="1">
        <f t="shared" si="63"/>
        <v>0.36555567669501315</v>
      </c>
    </row>
    <row r="500" spans="1:49" x14ac:dyDescent="0.2">
      <c r="A500">
        <v>498</v>
      </c>
      <c r="B500" t="s">
        <v>2813</v>
      </c>
      <c r="C500" t="s">
        <v>2812</v>
      </c>
      <c r="F500" t="s">
        <v>2811</v>
      </c>
      <c r="G500" t="s">
        <v>6</v>
      </c>
      <c r="H500" t="s">
        <v>5</v>
      </c>
      <c r="I500" t="s">
        <v>661</v>
      </c>
      <c r="J500">
        <v>60015815</v>
      </c>
      <c r="K500" t="s">
        <v>660</v>
      </c>
      <c r="L500" t="s">
        <v>659</v>
      </c>
      <c r="M500" t="s">
        <v>30</v>
      </c>
      <c r="N500">
        <v>2</v>
      </c>
      <c r="O500" t="s">
        <v>658</v>
      </c>
      <c r="P500" t="s">
        <v>657</v>
      </c>
      <c r="Q500" t="s">
        <v>656</v>
      </c>
      <c r="R500" s="7">
        <v>35348</v>
      </c>
      <c r="S500" s="8">
        <f t="shared" si="56"/>
        <v>1996</v>
      </c>
      <c r="T500" s="8">
        <v>1996</v>
      </c>
      <c r="U500" s="8">
        <f t="shared" si="57"/>
        <v>26</v>
      </c>
      <c r="V500" s="7">
        <v>35348</v>
      </c>
      <c r="W500" t="s">
        <v>358</v>
      </c>
      <c r="X500" s="2">
        <v>0.375</v>
      </c>
      <c r="Y500" s="6">
        <f t="shared" si="58"/>
        <v>1.0010410827260351E-2</v>
      </c>
      <c r="AA500">
        <v>135194</v>
      </c>
      <c r="AB500">
        <v>24918</v>
      </c>
      <c r="AD500" t="s">
        <v>1</v>
      </c>
      <c r="AE500">
        <v>32</v>
      </c>
      <c r="AF500">
        <v>21</v>
      </c>
      <c r="AH500" t="s">
        <v>2810</v>
      </c>
      <c r="AI500" t="s">
        <v>2809</v>
      </c>
      <c r="AJ500" t="s">
        <v>2808</v>
      </c>
      <c r="AK500" t="s">
        <v>2807</v>
      </c>
      <c r="AL500">
        <v>5</v>
      </c>
      <c r="AM500" s="5">
        <f t="shared" si="59"/>
        <v>0.19230769230769232</v>
      </c>
      <c r="AN500" s="4">
        <f t="shared" si="60"/>
        <v>2.9126496373751206E-4</v>
      </c>
      <c r="AO500" s="3"/>
      <c r="AP500">
        <v>0</v>
      </c>
      <c r="AR500" t="s">
        <v>0</v>
      </c>
      <c r="AT500" s="2">
        <v>1.3140000000000001</v>
      </c>
      <c r="AU500" s="1">
        <f t="shared" si="61"/>
        <v>0.70946670682034996</v>
      </c>
      <c r="AV500" s="1">
        <f t="shared" si="62"/>
        <v>0.5150837895498932</v>
      </c>
      <c r="AW500" s="1">
        <f t="shared" si="63"/>
        <v>0.32070087227943639</v>
      </c>
    </row>
    <row r="501" spans="1:49" x14ac:dyDescent="0.2">
      <c r="A501">
        <v>499</v>
      </c>
      <c r="B501" t="s">
        <v>2806</v>
      </c>
      <c r="C501" t="s">
        <v>2805</v>
      </c>
      <c r="F501" t="s">
        <v>2804</v>
      </c>
      <c r="G501" t="s">
        <v>6</v>
      </c>
      <c r="H501" t="s">
        <v>5</v>
      </c>
      <c r="I501" t="s">
        <v>677</v>
      </c>
      <c r="J501">
        <v>60004636</v>
      </c>
      <c r="K501" t="s">
        <v>675</v>
      </c>
      <c r="L501" t="s">
        <v>636</v>
      </c>
      <c r="M501" t="s">
        <v>19</v>
      </c>
      <c r="N501">
        <v>3</v>
      </c>
      <c r="O501" t="s">
        <v>2803</v>
      </c>
      <c r="P501" t="s">
        <v>2802</v>
      </c>
      <c r="Q501" t="s">
        <v>672</v>
      </c>
      <c r="R501" s="7">
        <v>35348</v>
      </c>
      <c r="S501" s="8">
        <f t="shared" si="56"/>
        <v>1996</v>
      </c>
      <c r="T501" s="8">
        <v>1996</v>
      </c>
      <c r="U501" s="8">
        <f t="shared" si="57"/>
        <v>26</v>
      </c>
      <c r="V501" s="7">
        <v>35348</v>
      </c>
      <c r="W501" t="s">
        <v>358</v>
      </c>
      <c r="X501" s="2">
        <v>0.375</v>
      </c>
      <c r="Y501" s="6">
        <f t="shared" si="58"/>
        <v>1.0010410827260351E-2</v>
      </c>
      <c r="AA501">
        <v>135194</v>
      </c>
      <c r="AB501">
        <v>24918</v>
      </c>
      <c r="AD501" t="s">
        <v>1</v>
      </c>
      <c r="AE501">
        <v>32</v>
      </c>
      <c r="AF501">
        <v>21</v>
      </c>
      <c r="AH501" t="s">
        <v>2801</v>
      </c>
      <c r="AI501" t="s">
        <v>2800</v>
      </c>
      <c r="AJ501" t="s">
        <v>2799</v>
      </c>
      <c r="AK501" t="s">
        <v>2798</v>
      </c>
      <c r="AL501">
        <v>5</v>
      </c>
      <c r="AM501" s="5">
        <f t="shared" si="59"/>
        <v>0.19230769230769232</v>
      </c>
      <c r="AN501" s="4">
        <f t="shared" si="60"/>
        <v>2.9126496373751206E-4</v>
      </c>
      <c r="AO501" s="3"/>
      <c r="AP501">
        <v>0</v>
      </c>
      <c r="AR501" t="s">
        <v>0</v>
      </c>
      <c r="AT501" s="2">
        <v>1.3140000000000001</v>
      </c>
      <c r="AU501" s="1">
        <f t="shared" si="61"/>
        <v>0.70946670682034996</v>
      </c>
      <c r="AV501" s="1">
        <f t="shared" si="62"/>
        <v>0.5150837895498932</v>
      </c>
      <c r="AW501" s="1">
        <f t="shared" si="63"/>
        <v>0.32070087227943639</v>
      </c>
    </row>
    <row r="502" spans="1:49" x14ac:dyDescent="0.2">
      <c r="A502">
        <v>500</v>
      </c>
      <c r="B502" t="s">
        <v>2797</v>
      </c>
      <c r="C502" t="s">
        <v>2796</v>
      </c>
      <c r="F502" t="s">
        <v>2795</v>
      </c>
      <c r="G502" t="s">
        <v>6</v>
      </c>
      <c r="H502" t="s">
        <v>5</v>
      </c>
      <c r="I502" t="s">
        <v>2794</v>
      </c>
      <c r="J502" t="s">
        <v>2793</v>
      </c>
      <c r="K502" t="s">
        <v>2792</v>
      </c>
      <c r="L502" t="s">
        <v>2791</v>
      </c>
      <c r="M502" t="s">
        <v>27</v>
      </c>
      <c r="N502">
        <v>3</v>
      </c>
      <c r="O502" t="s">
        <v>2790</v>
      </c>
      <c r="P502" t="s">
        <v>2789</v>
      </c>
      <c r="Q502" t="s">
        <v>2788</v>
      </c>
      <c r="R502" s="7">
        <v>35348</v>
      </c>
      <c r="S502" s="8">
        <f t="shared" si="56"/>
        <v>1996</v>
      </c>
      <c r="T502" s="8">
        <v>1996</v>
      </c>
      <c r="U502" s="8">
        <f t="shared" si="57"/>
        <v>26</v>
      </c>
      <c r="V502" s="7">
        <v>35348</v>
      </c>
      <c r="W502" t="s">
        <v>358</v>
      </c>
      <c r="X502" s="2">
        <v>0.375</v>
      </c>
      <c r="Y502" s="6">
        <f t="shared" si="58"/>
        <v>1.0010410827260351E-2</v>
      </c>
      <c r="AA502">
        <v>135194</v>
      </c>
      <c r="AB502">
        <v>24918</v>
      </c>
      <c r="AD502" t="s">
        <v>1</v>
      </c>
      <c r="AE502">
        <v>32</v>
      </c>
      <c r="AF502">
        <v>21</v>
      </c>
      <c r="AH502" t="s">
        <v>2787</v>
      </c>
      <c r="AI502" t="s">
        <v>2786</v>
      </c>
      <c r="AJ502" t="s">
        <v>2785</v>
      </c>
      <c r="AK502" t="s">
        <v>2784</v>
      </c>
      <c r="AL502">
        <v>70</v>
      </c>
      <c r="AM502" s="5">
        <f t="shared" si="59"/>
        <v>2.6923076923076925</v>
      </c>
      <c r="AN502" s="4">
        <f t="shared" si="60"/>
        <v>4.0777094923251682E-3</v>
      </c>
      <c r="AO502" s="3"/>
      <c r="AP502">
        <v>0</v>
      </c>
      <c r="AR502" t="s">
        <v>0</v>
      </c>
      <c r="AT502" s="2">
        <v>1.3140000000000001</v>
      </c>
      <c r="AU502" s="1">
        <f t="shared" si="61"/>
        <v>0.82306004267797972</v>
      </c>
      <c r="AV502" s="1">
        <f t="shared" si="62"/>
        <v>0.70440601597927599</v>
      </c>
      <c r="AW502" s="1">
        <f t="shared" si="63"/>
        <v>0.58575198928057226</v>
      </c>
    </row>
    <row r="503" spans="1:49" x14ac:dyDescent="0.2">
      <c r="A503">
        <v>501</v>
      </c>
      <c r="B503" t="s">
        <v>2783</v>
      </c>
      <c r="C503" t="s">
        <v>2782</v>
      </c>
      <c r="F503" t="s">
        <v>2781</v>
      </c>
      <c r="G503" t="s">
        <v>6</v>
      </c>
      <c r="H503" t="s">
        <v>5</v>
      </c>
      <c r="I503" t="s">
        <v>2780</v>
      </c>
      <c r="N503">
        <v>2</v>
      </c>
      <c r="O503" t="s">
        <v>2779</v>
      </c>
      <c r="P503" t="s">
        <v>2778</v>
      </c>
      <c r="Q503" t="s">
        <v>460</v>
      </c>
      <c r="R503" s="7">
        <v>35348</v>
      </c>
      <c r="S503" s="8">
        <f t="shared" si="56"/>
        <v>1996</v>
      </c>
      <c r="T503" s="8">
        <v>1996</v>
      </c>
      <c r="U503" s="8">
        <f t="shared" si="57"/>
        <v>26</v>
      </c>
      <c r="V503" s="7">
        <v>35348</v>
      </c>
      <c r="W503" t="s">
        <v>358</v>
      </c>
      <c r="X503" s="2">
        <v>0.375</v>
      </c>
      <c r="Y503" s="6">
        <f t="shared" si="58"/>
        <v>1.0010410827260351E-2</v>
      </c>
      <c r="AA503">
        <v>135194</v>
      </c>
      <c r="AB503">
        <v>24918</v>
      </c>
      <c r="AD503" t="s">
        <v>1</v>
      </c>
      <c r="AE503">
        <v>32</v>
      </c>
      <c r="AF503">
        <v>21</v>
      </c>
      <c r="AH503" t="s">
        <v>2777</v>
      </c>
      <c r="AI503" t="s">
        <v>2776</v>
      </c>
      <c r="AJ503" t="s">
        <v>2775</v>
      </c>
      <c r="AK503" t="s">
        <v>2774</v>
      </c>
      <c r="AL503">
        <v>3</v>
      </c>
      <c r="AM503" s="5">
        <f t="shared" si="59"/>
        <v>0.11538461538461539</v>
      </c>
      <c r="AN503" s="4">
        <f t="shared" si="60"/>
        <v>1.7475897824250722E-4</v>
      </c>
      <c r="AO503" s="3"/>
      <c r="AP503">
        <v>0</v>
      </c>
      <c r="AR503" t="s">
        <v>0</v>
      </c>
      <c r="AT503" s="2">
        <v>1.3140000000000001</v>
      </c>
      <c r="AU503" s="1">
        <f t="shared" si="61"/>
        <v>0.70597152725549983</v>
      </c>
      <c r="AV503" s="1">
        <f t="shared" si="62"/>
        <v>0.50925849027514292</v>
      </c>
      <c r="AW503" s="1">
        <f t="shared" si="63"/>
        <v>0.312545453294786</v>
      </c>
    </row>
    <row r="504" spans="1:49" x14ac:dyDescent="0.2">
      <c r="A504">
        <v>502</v>
      </c>
      <c r="B504" t="s">
        <v>2773</v>
      </c>
      <c r="C504" t="s">
        <v>2772</v>
      </c>
      <c r="F504" t="s">
        <v>2771</v>
      </c>
      <c r="G504" t="s">
        <v>6</v>
      </c>
      <c r="H504" t="s">
        <v>5</v>
      </c>
      <c r="I504" t="s">
        <v>2770</v>
      </c>
      <c r="J504">
        <v>60032144</v>
      </c>
      <c r="K504" t="s">
        <v>317</v>
      </c>
      <c r="L504" t="s">
        <v>316</v>
      </c>
      <c r="M504" t="s">
        <v>17</v>
      </c>
      <c r="N504">
        <v>2</v>
      </c>
      <c r="O504" t="s">
        <v>2769</v>
      </c>
      <c r="P504" t="s">
        <v>2768</v>
      </c>
      <c r="Q504" t="s">
        <v>405</v>
      </c>
      <c r="R504" s="7">
        <v>35348</v>
      </c>
      <c r="S504" s="8">
        <f t="shared" si="56"/>
        <v>1996</v>
      </c>
      <c r="T504" s="8">
        <v>1996</v>
      </c>
      <c r="U504" s="8">
        <f t="shared" si="57"/>
        <v>26</v>
      </c>
      <c r="V504" s="7">
        <v>35348</v>
      </c>
      <c r="W504" t="s">
        <v>358</v>
      </c>
      <c r="X504" s="2">
        <v>0.375</v>
      </c>
      <c r="Y504" s="6">
        <f t="shared" si="58"/>
        <v>1.0010410827260351E-2</v>
      </c>
      <c r="AA504">
        <v>135194</v>
      </c>
      <c r="AB504">
        <v>24918</v>
      </c>
      <c r="AD504" t="s">
        <v>1</v>
      </c>
      <c r="AE504">
        <v>32</v>
      </c>
      <c r="AF504">
        <v>21</v>
      </c>
      <c r="AH504" t="s">
        <v>2767</v>
      </c>
      <c r="AI504" t="s">
        <v>2766</v>
      </c>
      <c r="AJ504" t="s">
        <v>2765</v>
      </c>
      <c r="AK504" t="s">
        <v>2764</v>
      </c>
      <c r="AL504">
        <v>3</v>
      </c>
      <c r="AM504" s="5">
        <f t="shared" si="59"/>
        <v>0.11538461538461539</v>
      </c>
      <c r="AN504" s="4">
        <f t="shared" si="60"/>
        <v>1.7475897824250722E-4</v>
      </c>
      <c r="AO504" s="3"/>
      <c r="AP504">
        <v>0</v>
      </c>
      <c r="AR504" t="s">
        <v>0</v>
      </c>
      <c r="AT504" s="2">
        <v>1.3140000000000001</v>
      </c>
      <c r="AU504" s="1">
        <f t="shared" si="61"/>
        <v>0.70597152725549983</v>
      </c>
      <c r="AV504" s="1">
        <f t="shared" si="62"/>
        <v>0.50925849027514292</v>
      </c>
      <c r="AW504" s="1">
        <f t="shared" si="63"/>
        <v>0.312545453294786</v>
      </c>
    </row>
    <row r="505" spans="1:49" x14ac:dyDescent="0.2">
      <c r="A505">
        <v>503</v>
      </c>
      <c r="B505" t="s">
        <v>2763</v>
      </c>
      <c r="E505">
        <v>8787736</v>
      </c>
      <c r="F505" t="s">
        <v>2762</v>
      </c>
      <c r="G505" t="s">
        <v>6</v>
      </c>
      <c r="H505" t="s">
        <v>5</v>
      </c>
      <c r="I505" t="s">
        <v>2761</v>
      </c>
      <c r="J505" t="s">
        <v>2760</v>
      </c>
      <c r="K505" t="s">
        <v>2759</v>
      </c>
      <c r="L505" t="s">
        <v>2758</v>
      </c>
      <c r="M505" t="s">
        <v>108</v>
      </c>
      <c r="N505">
        <v>3</v>
      </c>
      <c r="O505" t="s">
        <v>2757</v>
      </c>
      <c r="P505" t="s">
        <v>2756</v>
      </c>
      <c r="Q505" t="s">
        <v>2755</v>
      </c>
      <c r="R505" s="7">
        <v>35348</v>
      </c>
      <c r="S505" s="8">
        <f t="shared" si="56"/>
        <v>1996</v>
      </c>
      <c r="T505" s="8">
        <v>1996</v>
      </c>
      <c r="U505" s="8">
        <f t="shared" si="57"/>
        <v>26</v>
      </c>
      <c r="V505" s="7">
        <v>1996</v>
      </c>
      <c r="W505" t="s">
        <v>1121</v>
      </c>
      <c r="X505" s="2">
        <v>0.15</v>
      </c>
      <c r="Y505" s="6">
        <f t="shared" si="58"/>
        <v>4.0041643309041402E-3</v>
      </c>
      <c r="AA505">
        <v>9501991</v>
      </c>
      <c r="AB505">
        <v>14531</v>
      </c>
      <c r="AD505" t="s">
        <v>1</v>
      </c>
      <c r="AE505">
        <v>122</v>
      </c>
      <c r="AF505">
        <v>9</v>
      </c>
      <c r="AH505" t="s">
        <v>2754</v>
      </c>
      <c r="AI505" t="s">
        <v>2753</v>
      </c>
      <c r="AJ505" t="s">
        <v>2752</v>
      </c>
      <c r="AK505" t="s">
        <v>2751</v>
      </c>
      <c r="AL505">
        <v>69</v>
      </c>
      <c r="AM505" s="5">
        <f t="shared" si="59"/>
        <v>2.6538461538461537</v>
      </c>
      <c r="AN505" s="4">
        <f t="shared" si="60"/>
        <v>4.0194564995776659E-3</v>
      </c>
      <c r="AO505" s="3"/>
      <c r="AP505">
        <v>0</v>
      </c>
      <c r="AR505" t="s">
        <v>0</v>
      </c>
      <c r="AT505" s="2">
        <v>6.8680000000000003</v>
      </c>
      <c r="AU505" s="1">
        <f t="shared" si="61"/>
        <v>0.40087519815061978</v>
      </c>
      <c r="AV505" s="1">
        <f t="shared" si="62"/>
        <v>0.40118104152409034</v>
      </c>
      <c r="AW505" s="1">
        <f t="shared" si="63"/>
        <v>0.40148688489756079</v>
      </c>
    </row>
    <row r="506" spans="1:49" x14ac:dyDescent="0.2">
      <c r="A506">
        <v>504</v>
      </c>
      <c r="B506" t="s">
        <v>2750</v>
      </c>
      <c r="C506" t="s">
        <v>2749</v>
      </c>
      <c r="F506" t="s">
        <v>2748</v>
      </c>
      <c r="G506" t="s">
        <v>6</v>
      </c>
      <c r="H506" t="s">
        <v>5</v>
      </c>
      <c r="I506" t="s">
        <v>2747</v>
      </c>
      <c r="J506" t="s">
        <v>2746</v>
      </c>
      <c r="K506" t="s">
        <v>2745</v>
      </c>
      <c r="L506" t="s">
        <v>2744</v>
      </c>
      <c r="M506" t="s">
        <v>77</v>
      </c>
      <c r="N506">
        <v>4</v>
      </c>
      <c r="O506" t="s">
        <v>2743</v>
      </c>
      <c r="P506" t="s">
        <v>2742</v>
      </c>
      <c r="Q506" t="s">
        <v>2741</v>
      </c>
      <c r="R506" s="7">
        <v>35343</v>
      </c>
      <c r="S506" s="8">
        <f t="shared" si="56"/>
        <v>1996</v>
      </c>
      <c r="T506" s="8">
        <v>1996</v>
      </c>
      <c r="U506" s="8">
        <f t="shared" si="57"/>
        <v>26</v>
      </c>
      <c r="V506" s="7">
        <v>35343</v>
      </c>
      <c r="W506" t="s">
        <v>109</v>
      </c>
      <c r="X506" s="2">
        <v>0.30399999999999999</v>
      </c>
      <c r="Y506" s="6">
        <f t="shared" si="58"/>
        <v>8.115106377299057E-3</v>
      </c>
      <c r="AA506">
        <v>8952477</v>
      </c>
      <c r="AB506">
        <v>12250</v>
      </c>
      <c r="AD506" t="s">
        <v>1</v>
      </c>
      <c r="AE506">
        <v>13</v>
      </c>
      <c r="AF506">
        <v>2</v>
      </c>
      <c r="AH506" t="s">
        <v>2740</v>
      </c>
      <c r="AI506" t="s">
        <v>2739</v>
      </c>
      <c r="AJ506" t="s">
        <v>2738</v>
      </c>
      <c r="AK506" t="s">
        <v>2737</v>
      </c>
      <c r="AL506">
        <v>2</v>
      </c>
      <c r="AM506" s="5">
        <f t="shared" si="59"/>
        <v>7.6923076923076927E-2</v>
      </c>
      <c r="AN506" s="4">
        <f t="shared" si="60"/>
        <v>1.1650598549500481E-4</v>
      </c>
      <c r="AO506" s="3"/>
      <c r="AP506">
        <v>0</v>
      </c>
      <c r="AR506" t="s">
        <v>0</v>
      </c>
      <c r="AT506" s="2" t="s">
        <v>9</v>
      </c>
      <c r="AU506" s="1">
        <f t="shared" si="61"/>
        <v>0.57155262597578405</v>
      </c>
      <c r="AV506" s="1">
        <f t="shared" si="62"/>
        <v>0.41158061813970309</v>
      </c>
      <c r="AW506" s="1">
        <f t="shared" si="63"/>
        <v>0.25160861030362203</v>
      </c>
    </row>
    <row r="507" spans="1:49" x14ac:dyDescent="0.2">
      <c r="A507">
        <v>505</v>
      </c>
      <c r="B507" t="s">
        <v>2736</v>
      </c>
      <c r="C507" t="s">
        <v>2735</v>
      </c>
      <c r="F507" t="s">
        <v>2734</v>
      </c>
      <c r="G507" t="s">
        <v>6</v>
      </c>
      <c r="H507" t="s">
        <v>5</v>
      </c>
      <c r="I507" t="s">
        <v>2733</v>
      </c>
      <c r="J507">
        <v>60000745</v>
      </c>
      <c r="K507" t="s">
        <v>169</v>
      </c>
      <c r="L507" t="s">
        <v>168</v>
      </c>
      <c r="M507" t="s">
        <v>2</v>
      </c>
      <c r="N507">
        <v>4</v>
      </c>
      <c r="O507" t="s">
        <v>2732</v>
      </c>
      <c r="P507" t="s">
        <v>2731</v>
      </c>
      <c r="Q507" t="s">
        <v>2730</v>
      </c>
      <c r="R507" s="7">
        <v>35343</v>
      </c>
      <c r="S507" s="8">
        <f t="shared" si="56"/>
        <v>1996</v>
      </c>
      <c r="T507" s="8">
        <v>1996</v>
      </c>
      <c r="U507" s="8">
        <f t="shared" si="57"/>
        <v>26</v>
      </c>
      <c r="V507" s="7">
        <v>35343</v>
      </c>
      <c r="W507" t="s">
        <v>109</v>
      </c>
      <c r="X507" s="2">
        <v>0.30399999999999999</v>
      </c>
      <c r="Y507" s="6">
        <f t="shared" si="58"/>
        <v>8.115106377299057E-3</v>
      </c>
      <c r="AA507">
        <v>8952477</v>
      </c>
      <c r="AB507">
        <v>12250</v>
      </c>
      <c r="AD507" t="s">
        <v>1</v>
      </c>
      <c r="AE507">
        <v>13</v>
      </c>
      <c r="AF507">
        <v>2</v>
      </c>
      <c r="AH507" t="s">
        <v>612</v>
      </c>
      <c r="AI507" t="s">
        <v>2729</v>
      </c>
      <c r="AJ507" t="s">
        <v>2728</v>
      </c>
      <c r="AK507" t="s">
        <v>2727</v>
      </c>
      <c r="AL507">
        <v>13</v>
      </c>
      <c r="AM507" s="5">
        <f t="shared" si="59"/>
        <v>0.5</v>
      </c>
      <c r="AN507" s="4">
        <f t="shared" si="60"/>
        <v>7.572889057175312E-4</v>
      </c>
      <c r="AO507" s="3"/>
      <c r="AP507">
        <v>0</v>
      </c>
      <c r="AR507" t="s">
        <v>0</v>
      </c>
      <c r="AT507" s="2" t="s">
        <v>9</v>
      </c>
      <c r="AU507" s="1">
        <f t="shared" si="61"/>
        <v>0.59077611358245985</v>
      </c>
      <c r="AV507" s="1">
        <f t="shared" si="62"/>
        <v>0.44361976415082938</v>
      </c>
      <c r="AW507" s="1">
        <f t="shared" si="63"/>
        <v>0.2964634147191989</v>
      </c>
    </row>
    <row r="508" spans="1:49" x14ac:dyDescent="0.2">
      <c r="A508">
        <v>506</v>
      </c>
      <c r="B508" t="s">
        <v>2726</v>
      </c>
      <c r="C508" t="s">
        <v>2725</v>
      </c>
      <c r="F508" t="s">
        <v>2724</v>
      </c>
      <c r="G508" t="s">
        <v>6</v>
      </c>
      <c r="H508" t="s">
        <v>5</v>
      </c>
      <c r="I508" t="s">
        <v>2723</v>
      </c>
      <c r="J508">
        <v>60010818</v>
      </c>
      <c r="K508" t="s">
        <v>102</v>
      </c>
      <c r="L508" t="s">
        <v>101</v>
      </c>
      <c r="M508" t="s">
        <v>19</v>
      </c>
      <c r="N508">
        <v>2</v>
      </c>
      <c r="O508" t="s">
        <v>2722</v>
      </c>
      <c r="P508" t="s">
        <v>2721</v>
      </c>
      <c r="Q508" t="s">
        <v>158</v>
      </c>
      <c r="R508" s="7">
        <v>35343</v>
      </c>
      <c r="S508" s="8">
        <f t="shared" si="56"/>
        <v>1996</v>
      </c>
      <c r="T508" s="8">
        <v>1996</v>
      </c>
      <c r="U508" s="8">
        <f t="shared" si="57"/>
        <v>26</v>
      </c>
      <c r="V508" s="7">
        <v>35343</v>
      </c>
      <c r="W508" t="s">
        <v>109</v>
      </c>
      <c r="X508" s="2">
        <v>0.30399999999999999</v>
      </c>
      <c r="Y508" s="6">
        <f t="shared" si="58"/>
        <v>8.115106377299057E-3</v>
      </c>
      <c r="AA508">
        <v>8952477</v>
      </c>
      <c r="AB508">
        <v>12250</v>
      </c>
      <c r="AD508" t="s">
        <v>1</v>
      </c>
      <c r="AE508">
        <v>13</v>
      </c>
      <c r="AF508">
        <v>2</v>
      </c>
      <c r="AH508" t="s">
        <v>2720</v>
      </c>
      <c r="AI508" t="s">
        <v>2719</v>
      </c>
      <c r="AJ508" t="s">
        <v>2718</v>
      </c>
      <c r="AK508" t="s">
        <v>2717</v>
      </c>
      <c r="AL508">
        <v>2</v>
      </c>
      <c r="AM508" s="5">
        <f t="shared" si="59"/>
        <v>7.6923076923076927E-2</v>
      </c>
      <c r="AN508" s="4">
        <f t="shared" si="60"/>
        <v>1.1650598549500481E-4</v>
      </c>
      <c r="AO508" s="3"/>
      <c r="AP508">
        <v>0</v>
      </c>
      <c r="AR508" t="s">
        <v>0</v>
      </c>
      <c r="AT508" s="2" t="s">
        <v>9</v>
      </c>
      <c r="AU508" s="1">
        <f t="shared" si="61"/>
        <v>0.57155262597578405</v>
      </c>
      <c r="AV508" s="1">
        <f t="shared" si="62"/>
        <v>0.41158061813970309</v>
      </c>
      <c r="AW508" s="1">
        <f t="shared" si="63"/>
        <v>0.25160861030362203</v>
      </c>
    </row>
    <row r="509" spans="1:49" x14ac:dyDescent="0.2">
      <c r="A509">
        <v>507</v>
      </c>
      <c r="B509" t="s">
        <v>2716</v>
      </c>
      <c r="C509" t="s">
        <v>2715</v>
      </c>
      <c r="F509" t="s">
        <v>2714</v>
      </c>
      <c r="G509" t="s">
        <v>6</v>
      </c>
      <c r="H509" t="s">
        <v>5</v>
      </c>
      <c r="I509" t="s">
        <v>398</v>
      </c>
      <c r="J509">
        <v>60014171</v>
      </c>
      <c r="K509" t="s">
        <v>397</v>
      </c>
      <c r="L509" t="s">
        <v>396</v>
      </c>
      <c r="M509" t="s">
        <v>41</v>
      </c>
      <c r="N509">
        <v>2</v>
      </c>
      <c r="O509" t="s">
        <v>395</v>
      </c>
      <c r="P509" t="s">
        <v>394</v>
      </c>
      <c r="Q509" t="s">
        <v>393</v>
      </c>
      <c r="R509" s="7">
        <v>35343</v>
      </c>
      <c r="S509" s="8">
        <f t="shared" si="56"/>
        <v>1996</v>
      </c>
      <c r="T509" s="8">
        <v>1996</v>
      </c>
      <c r="U509" s="8">
        <f t="shared" si="57"/>
        <v>26</v>
      </c>
      <c r="V509" s="7">
        <v>35343</v>
      </c>
      <c r="W509" t="s">
        <v>109</v>
      </c>
      <c r="X509" s="2">
        <v>0.30399999999999999</v>
      </c>
      <c r="Y509" s="6">
        <f t="shared" si="58"/>
        <v>8.115106377299057E-3</v>
      </c>
      <c r="AA509">
        <v>8952477</v>
      </c>
      <c r="AB509">
        <v>12250</v>
      </c>
      <c r="AD509" t="s">
        <v>1</v>
      </c>
      <c r="AE509">
        <v>13</v>
      </c>
      <c r="AF509">
        <v>2</v>
      </c>
      <c r="AH509" t="s">
        <v>2713</v>
      </c>
      <c r="AI509" t="s">
        <v>2712</v>
      </c>
      <c r="AJ509" t="s">
        <v>2711</v>
      </c>
      <c r="AK509" t="s">
        <v>2710</v>
      </c>
      <c r="AL509">
        <v>2</v>
      </c>
      <c r="AM509" s="5">
        <f t="shared" si="59"/>
        <v>7.6923076923076927E-2</v>
      </c>
      <c r="AN509" s="4">
        <f t="shared" si="60"/>
        <v>1.1650598549500481E-4</v>
      </c>
      <c r="AO509" s="3"/>
      <c r="AP509">
        <v>0</v>
      </c>
      <c r="AR509" t="s">
        <v>0</v>
      </c>
      <c r="AT509" s="2" t="s">
        <v>9</v>
      </c>
      <c r="AU509" s="1">
        <f t="shared" si="61"/>
        <v>0.57155262597578405</v>
      </c>
      <c r="AV509" s="1">
        <f t="shared" si="62"/>
        <v>0.41158061813970309</v>
      </c>
      <c r="AW509" s="1">
        <f t="shared" si="63"/>
        <v>0.25160861030362203</v>
      </c>
    </row>
    <row r="510" spans="1:49" x14ac:dyDescent="0.2">
      <c r="A510">
        <v>508</v>
      </c>
      <c r="B510" t="s">
        <v>2709</v>
      </c>
      <c r="C510" t="s">
        <v>2708</v>
      </c>
      <c r="F510" t="s">
        <v>2707</v>
      </c>
      <c r="G510" t="s">
        <v>6</v>
      </c>
      <c r="H510" t="s">
        <v>5</v>
      </c>
      <c r="I510" t="s">
        <v>2706</v>
      </c>
      <c r="J510">
        <v>60009254</v>
      </c>
      <c r="K510" t="s">
        <v>2705</v>
      </c>
      <c r="L510" t="s">
        <v>2704</v>
      </c>
      <c r="M510" t="s">
        <v>2</v>
      </c>
      <c r="N510">
        <v>3</v>
      </c>
      <c r="O510" t="s">
        <v>2703</v>
      </c>
      <c r="P510" t="s">
        <v>2702</v>
      </c>
      <c r="Q510" t="s">
        <v>2701</v>
      </c>
      <c r="R510" s="7">
        <v>35342</v>
      </c>
      <c r="S510" s="8">
        <f t="shared" si="56"/>
        <v>1996</v>
      </c>
      <c r="T510" s="8">
        <v>1996</v>
      </c>
      <c r="U510" s="8">
        <f t="shared" si="57"/>
        <v>26</v>
      </c>
      <c r="V510" s="7">
        <v>35342</v>
      </c>
      <c r="W510" t="s">
        <v>2700</v>
      </c>
      <c r="X510" s="2">
        <v>1.2</v>
      </c>
      <c r="Y510" s="6">
        <f t="shared" si="58"/>
        <v>3.2033314647233121E-2</v>
      </c>
      <c r="AA510">
        <v>223263</v>
      </c>
      <c r="AB510">
        <v>25896</v>
      </c>
      <c r="AD510" t="s">
        <v>1</v>
      </c>
      <c r="AE510">
        <v>61</v>
      </c>
      <c r="AF510">
        <v>20</v>
      </c>
      <c r="AH510" t="s">
        <v>2699</v>
      </c>
      <c r="AI510" t="s">
        <v>2698</v>
      </c>
      <c r="AK510" t="s">
        <v>2697</v>
      </c>
      <c r="AL510">
        <v>14</v>
      </c>
      <c r="AM510" s="5">
        <f t="shared" si="59"/>
        <v>0.53846153846153844</v>
      </c>
      <c r="AN510" s="4">
        <f t="shared" si="60"/>
        <v>8.1554189846503363E-4</v>
      </c>
      <c r="AO510" s="3"/>
      <c r="AP510">
        <v>0</v>
      </c>
      <c r="AR510" t="s">
        <v>0</v>
      </c>
      <c r="AT510" s="2">
        <v>4.3540000000000001</v>
      </c>
      <c r="AU510" s="1">
        <f t="shared" si="61"/>
        <v>2.2667982822602695</v>
      </c>
      <c r="AV510" s="1">
        <f t="shared" si="62"/>
        <v>1.6424428272849079</v>
      </c>
      <c r="AW510" s="1">
        <f t="shared" si="63"/>
        <v>1.018087372309546</v>
      </c>
    </row>
    <row r="511" spans="1:49" x14ac:dyDescent="0.2">
      <c r="A511">
        <v>509</v>
      </c>
      <c r="B511" t="s">
        <v>2696</v>
      </c>
      <c r="F511" t="s">
        <v>2695</v>
      </c>
      <c r="G511" t="s">
        <v>6</v>
      </c>
      <c r="H511" t="s">
        <v>5</v>
      </c>
      <c r="I511" t="s">
        <v>2694</v>
      </c>
      <c r="J511">
        <v>60008721</v>
      </c>
      <c r="K511" t="s">
        <v>2693</v>
      </c>
      <c r="L511" t="s">
        <v>2692</v>
      </c>
      <c r="M511" t="s">
        <v>86</v>
      </c>
      <c r="N511">
        <v>3</v>
      </c>
      <c r="O511" t="s">
        <v>2691</v>
      </c>
      <c r="P511" t="s">
        <v>2690</v>
      </c>
      <c r="Q511" t="s">
        <v>2689</v>
      </c>
      <c r="R511" s="7">
        <v>35339</v>
      </c>
      <c r="S511" s="8">
        <f t="shared" si="56"/>
        <v>1996</v>
      </c>
      <c r="T511" s="8">
        <v>1996</v>
      </c>
      <c r="U511" s="8">
        <f t="shared" si="57"/>
        <v>26</v>
      </c>
      <c r="V511" s="7">
        <v>35339</v>
      </c>
      <c r="W511" t="s">
        <v>607</v>
      </c>
      <c r="X511" s="2">
        <v>0.112</v>
      </c>
      <c r="Y511" s="6">
        <f t="shared" si="58"/>
        <v>2.9897760337417581E-3</v>
      </c>
      <c r="AA511">
        <v>3678393</v>
      </c>
      <c r="AB511">
        <v>4800153103</v>
      </c>
      <c r="AD511" t="s">
        <v>1</v>
      </c>
      <c r="AE511">
        <v>25</v>
      </c>
      <c r="AF511">
        <v>5</v>
      </c>
      <c r="AH511" t="s">
        <v>2688</v>
      </c>
      <c r="AI511" t="s">
        <v>2687</v>
      </c>
      <c r="AK511" t="s">
        <v>2686</v>
      </c>
      <c r="AL511">
        <v>6</v>
      </c>
      <c r="AM511" s="5">
        <f t="shared" si="59"/>
        <v>0.23076923076923078</v>
      </c>
      <c r="AN511" s="4">
        <f t="shared" si="60"/>
        <v>3.4951795648501444E-4</v>
      </c>
      <c r="AO511" s="3"/>
      <c r="AP511">
        <v>0</v>
      </c>
      <c r="AR511" t="s">
        <v>0</v>
      </c>
      <c r="AT511" s="2" t="s">
        <v>9</v>
      </c>
      <c r="AU511" s="1">
        <f t="shared" si="61"/>
        <v>0.21976986105647348</v>
      </c>
      <c r="AV511" s="1">
        <f t="shared" si="62"/>
        <v>0.16696469951133863</v>
      </c>
      <c r="AW511" s="1">
        <f t="shared" si="63"/>
        <v>0.11415953796620375</v>
      </c>
    </row>
    <row r="512" spans="1:49" x14ac:dyDescent="0.2">
      <c r="A512">
        <v>510</v>
      </c>
      <c r="B512" t="s">
        <v>2685</v>
      </c>
      <c r="C512" t="s">
        <v>2684</v>
      </c>
      <c r="D512" t="s">
        <v>2683</v>
      </c>
      <c r="F512" t="s">
        <v>2682</v>
      </c>
      <c r="G512" t="s">
        <v>6</v>
      </c>
      <c r="H512" t="s">
        <v>5</v>
      </c>
      <c r="I512" t="s">
        <v>2681</v>
      </c>
      <c r="J512" t="s">
        <v>2680</v>
      </c>
      <c r="K512" t="s">
        <v>2679</v>
      </c>
      <c r="L512" t="s">
        <v>2678</v>
      </c>
      <c r="M512" t="s">
        <v>2677</v>
      </c>
      <c r="N512">
        <v>5</v>
      </c>
      <c r="O512" t="s">
        <v>2676</v>
      </c>
      <c r="P512" t="s">
        <v>2675</v>
      </c>
      <c r="Q512" t="s">
        <v>2674</v>
      </c>
      <c r="R512" s="7">
        <v>35339</v>
      </c>
      <c r="S512" s="8">
        <f t="shared" si="56"/>
        <v>1996</v>
      </c>
      <c r="T512" s="8">
        <v>1996</v>
      </c>
      <c r="U512" s="8">
        <f t="shared" si="57"/>
        <v>26</v>
      </c>
      <c r="V512" s="7">
        <v>35339</v>
      </c>
      <c r="W512" t="s">
        <v>2673</v>
      </c>
      <c r="X512" s="2">
        <v>0.66100000000000003</v>
      </c>
      <c r="Y512" s="6">
        <f t="shared" si="58"/>
        <v>1.7645017484850912E-2</v>
      </c>
      <c r="AA512">
        <v>189197</v>
      </c>
      <c r="AB512">
        <v>26022</v>
      </c>
      <c r="AD512" t="s">
        <v>1</v>
      </c>
      <c r="AE512">
        <v>32</v>
      </c>
      <c r="AF512">
        <v>10</v>
      </c>
      <c r="AH512" t="s">
        <v>2672</v>
      </c>
      <c r="AI512" t="s">
        <v>2671</v>
      </c>
      <c r="AK512" t="s">
        <v>2670</v>
      </c>
      <c r="AL512">
        <v>123</v>
      </c>
      <c r="AM512" s="5">
        <f t="shared" si="59"/>
        <v>4.7307692307692308</v>
      </c>
      <c r="AN512" s="4">
        <f t="shared" si="60"/>
        <v>7.165118107942796E-3</v>
      </c>
      <c r="AO512" s="3"/>
      <c r="AP512">
        <v>0</v>
      </c>
      <c r="AQ512" t="s">
        <v>210</v>
      </c>
      <c r="AR512" t="s">
        <v>627</v>
      </c>
      <c r="AS512" t="s">
        <v>209</v>
      </c>
      <c r="AT512" s="2">
        <v>2.3180000000000001</v>
      </c>
      <c r="AU512" s="1">
        <f t="shared" si="61"/>
        <v>1.4501047671778475</v>
      </c>
      <c r="AV512" s="1">
        <f t="shared" si="62"/>
        <v>1.2405067796396854</v>
      </c>
      <c r="AW512" s="1">
        <f t="shared" si="63"/>
        <v>1.0309087921015232</v>
      </c>
    </row>
    <row r="513" spans="1:49" x14ac:dyDescent="0.2">
      <c r="A513">
        <v>511</v>
      </c>
      <c r="B513" t="s">
        <v>2669</v>
      </c>
      <c r="C513" t="s">
        <v>2668</v>
      </c>
      <c r="D513" t="s">
        <v>2667</v>
      </c>
      <c r="F513" t="s">
        <v>2666</v>
      </c>
      <c r="G513" t="s">
        <v>6</v>
      </c>
      <c r="H513" t="s">
        <v>5</v>
      </c>
      <c r="I513" t="s">
        <v>2665</v>
      </c>
      <c r="J513" t="s">
        <v>2664</v>
      </c>
      <c r="K513" t="s">
        <v>2663</v>
      </c>
      <c r="L513" t="s">
        <v>726</v>
      </c>
      <c r="M513" t="s">
        <v>13</v>
      </c>
      <c r="N513">
        <v>6</v>
      </c>
      <c r="O513" t="s">
        <v>2662</v>
      </c>
      <c r="P513" t="s">
        <v>2661</v>
      </c>
      <c r="Q513" t="s">
        <v>2660</v>
      </c>
      <c r="R513" s="7">
        <v>35339</v>
      </c>
      <c r="S513" s="8">
        <f t="shared" si="56"/>
        <v>1996</v>
      </c>
      <c r="T513" s="8">
        <v>1996</v>
      </c>
      <c r="U513" s="8">
        <f t="shared" si="57"/>
        <v>26</v>
      </c>
      <c r="V513" s="7">
        <v>35339</v>
      </c>
      <c r="W513" t="s">
        <v>142</v>
      </c>
      <c r="X513" s="2">
        <v>0.94</v>
      </c>
      <c r="Y513" s="6">
        <f t="shared" si="58"/>
        <v>2.5092763140332611E-2</v>
      </c>
      <c r="AA513">
        <v>10518207</v>
      </c>
      <c r="AB513">
        <v>63372</v>
      </c>
      <c r="AD513" t="s">
        <v>1</v>
      </c>
      <c r="AE513">
        <v>6</v>
      </c>
      <c r="AF513">
        <v>10</v>
      </c>
      <c r="AH513" t="s">
        <v>2659</v>
      </c>
      <c r="AI513" t="s">
        <v>2658</v>
      </c>
      <c r="AK513" t="s">
        <v>2657</v>
      </c>
      <c r="AL513">
        <v>3</v>
      </c>
      <c r="AM513" s="5">
        <f t="shared" si="59"/>
        <v>0.11538461538461539</v>
      </c>
      <c r="AN513" s="4">
        <f t="shared" si="60"/>
        <v>1.7475897824250722E-4</v>
      </c>
      <c r="AO513" s="3"/>
      <c r="AP513">
        <v>0</v>
      </c>
      <c r="AR513" t="s">
        <v>0</v>
      </c>
      <c r="AT513" s="2" t="s">
        <v>9</v>
      </c>
      <c r="AU513" s="1">
        <f t="shared" si="61"/>
        <v>1.7617361891705579</v>
      </c>
      <c r="AV513" s="1">
        <f t="shared" si="62"/>
        <v>1.263376105928756</v>
      </c>
      <c r="AW513" s="1">
        <f t="shared" si="63"/>
        <v>0.76501602268695379</v>
      </c>
    </row>
    <row r="514" spans="1:49" x14ac:dyDescent="0.2">
      <c r="A514">
        <v>512</v>
      </c>
      <c r="B514" t="s">
        <v>2656</v>
      </c>
      <c r="C514" t="s">
        <v>2655</v>
      </c>
      <c r="D514" t="s">
        <v>2654</v>
      </c>
      <c r="F514" t="s">
        <v>2653</v>
      </c>
      <c r="G514" t="s">
        <v>6</v>
      </c>
      <c r="H514" t="s">
        <v>5</v>
      </c>
      <c r="I514" t="s">
        <v>2652</v>
      </c>
      <c r="J514" t="s">
        <v>2651</v>
      </c>
      <c r="K514" t="s">
        <v>2650</v>
      </c>
      <c r="L514" t="s">
        <v>2649</v>
      </c>
      <c r="M514" t="s">
        <v>2648</v>
      </c>
      <c r="N514">
        <v>3</v>
      </c>
      <c r="O514" t="s">
        <v>2647</v>
      </c>
      <c r="P514" t="s">
        <v>2646</v>
      </c>
      <c r="Q514" t="s">
        <v>2645</v>
      </c>
      <c r="R514" s="7">
        <v>35339</v>
      </c>
      <c r="S514" s="8">
        <f t="shared" ref="S514:S577" si="64">YEAR(R514)</f>
        <v>1996</v>
      </c>
      <c r="T514" s="8">
        <v>1996</v>
      </c>
      <c r="U514" s="8">
        <f t="shared" ref="U514:U577" si="65">2022-T514</f>
        <v>26</v>
      </c>
      <c r="V514" s="7">
        <v>35339</v>
      </c>
      <c r="W514" t="s">
        <v>643</v>
      </c>
      <c r="X514" s="2">
        <v>2.5710000000000002</v>
      </c>
      <c r="Y514" s="6">
        <f t="shared" ref="Y514:Y577" si="66">(X514-$Z$3)/($Z$2-$Z$3)</f>
        <v>6.8631376631696966E-2</v>
      </c>
      <c r="AA514">
        <v>189200</v>
      </c>
      <c r="AB514">
        <v>17278</v>
      </c>
      <c r="AD514" t="s">
        <v>1</v>
      </c>
      <c r="AE514">
        <v>31</v>
      </c>
      <c r="AF514">
        <v>10</v>
      </c>
      <c r="AH514" t="s">
        <v>2644</v>
      </c>
      <c r="AI514" t="s">
        <v>2643</v>
      </c>
      <c r="AK514" t="s">
        <v>2642</v>
      </c>
      <c r="AL514">
        <v>28</v>
      </c>
      <c r="AM514" s="5">
        <f t="shared" ref="AM514:AM577" si="67">AL514/U514</f>
        <v>1.0769230769230769</v>
      </c>
      <c r="AN514" s="4">
        <f t="shared" ref="AN514:AN577" si="68">(AM514-$AO$3)/($AO$2-$AO$3)</f>
        <v>1.6310837969300673E-3</v>
      </c>
      <c r="AO514" s="3"/>
      <c r="AP514">
        <v>0</v>
      </c>
      <c r="AR514" t="s">
        <v>0</v>
      </c>
      <c r="AT514" s="2">
        <v>5.0129999999999999</v>
      </c>
      <c r="AU514" s="1">
        <f t="shared" ref="AU514:AU577" si="69">(Y514*0.7+AN514*0.3)*100</f>
        <v>4.8531288781266895</v>
      </c>
      <c r="AV514" s="1">
        <f t="shared" ref="AV514:AV577" si="70">(Y514*0.5+AN514*0.5)*100</f>
        <v>3.5131230214313516</v>
      </c>
      <c r="AW514" s="1">
        <f t="shared" ref="AW514:AW577" si="71">(Y514*0.3+AN514*0.7)*100</f>
        <v>2.1731171647360137</v>
      </c>
    </row>
    <row r="515" spans="1:49" x14ac:dyDescent="0.2">
      <c r="A515">
        <v>513</v>
      </c>
      <c r="B515" t="s">
        <v>2641</v>
      </c>
      <c r="C515" t="s">
        <v>2640</v>
      </c>
      <c r="D515" t="s">
        <v>2639</v>
      </c>
      <c r="F515" t="s">
        <v>2638</v>
      </c>
      <c r="G515" t="s">
        <v>6</v>
      </c>
      <c r="H515" t="s">
        <v>5</v>
      </c>
      <c r="I515" t="s">
        <v>2637</v>
      </c>
      <c r="J515">
        <v>60031004</v>
      </c>
      <c r="K515" t="s">
        <v>12</v>
      </c>
      <c r="L515" t="s">
        <v>11</v>
      </c>
      <c r="M515" t="s">
        <v>7</v>
      </c>
      <c r="N515">
        <v>1</v>
      </c>
      <c r="O515" t="s">
        <v>2636</v>
      </c>
      <c r="P515">
        <v>7003280850</v>
      </c>
      <c r="Q515">
        <v>60031004</v>
      </c>
      <c r="R515" s="7">
        <v>35339</v>
      </c>
      <c r="S515" s="8">
        <f t="shared" si="64"/>
        <v>1996</v>
      </c>
      <c r="T515" s="8">
        <v>1996</v>
      </c>
      <c r="U515" s="8">
        <f t="shared" si="65"/>
        <v>26</v>
      </c>
      <c r="V515" s="7">
        <v>35339</v>
      </c>
      <c r="W515" t="s">
        <v>76</v>
      </c>
      <c r="X515" s="2">
        <v>0.998</v>
      </c>
      <c r="Y515" s="6">
        <f t="shared" si="66"/>
        <v>2.664104001494888E-2</v>
      </c>
      <c r="AA515">
        <v>207322</v>
      </c>
      <c r="AB515">
        <v>90127</v>
      </c>
      <c r="AD515" t="s">
        <v>1</v>
      </c>
      <c r="AE515">
        <v>25</v>
      </c>
      <c r="AF515">
        <v>4</v>
      </c>
      <c r="AH515" t="s">
        <v>2635</v>
      </c>
      <c r="AI515" t="s">
        <v>2634</v>
      </c>
      <c r="AJ515" t="s">
        <v>2633</v>
      </c>
      <c r="AK515" t="s">
        <v>2632</v>
      </c>
      <c r="AL515">
        <v>10</v>
      </c>
      <c r="AM515" s="5">
        <f t="shared" si="67"/>
        <v>0.38461538461538464</v>
      </c>
      <c r="AN515" s="4">
        <f t="shared" si="68"/>
        <v>5.8252992747502411E-4</v>
      </c>
      <c r="AO515" s="3"/>
      <c r="AP515">
        <v>0</v>
      </c>
      <c r="AR515" t="s">
        <v>0</v>
      </c>
      <c r="AT515" s="2" t="s">
        <v>9</v>
      </c>
      <c r="AU515" s="1">
        <f t="shared" si="69"/>
        <v>1.8823486988706724</v>
      </c>
      <c r="AV515" s="1">
        <f t="shared" si="70"/>
        <v>1.3611784971211953</v>
      </c>
      <c r="AW515" s="1">
        <f t="shared" si="71"/>
        <v>0.84000829537171817</v>
      </c>
    </row>
    <row r="516" spans="1:49" x14ac:dyDescent="0.2">
      <c r="A516">
        <v>514</v>
      </c>
      <c r="B516" t="s">
        <v>2631</v>
      </c>
      <c r="C516" t="s">
        <v>2630</v>
      </c>
      <c r="D516" t="s">
        <v>2629</v>
      </c>
      <c r="F516" t="s">
        <v>2628</v>
      </c>
      <c r="G516" t="s">
        <v>6</v>
      </c>
      <c r="H516" t="s">
        <v>5</v>
      </c>
      <c r="I516" t="s">
        <v>2627</v>
      </c>
      <c r="J516">
        <v>60003274</v>
      </c>
      <c r="K516" t="s">
        <v>194</v>
      </c>
      <c r="L516" t="s">
        <v>193</v>
      </c>
      <c r="M516" t="s">
        <v>25</v>
      </c>
      <c r="N516">
        <v>3</v>
      </c>
      <c r="O516" t="s">
        <v>2626</v>
      </c>
      <c r="P516" t="s">
        <v>2625</v>
      </c>
      <c r="Q516" t="s">
        <v>2624</v>
      </c>
      <c r="R516" s="7">
        <v>35339</v>
      </c>
      <c r="S516" s="8">
        <f t="shared" si="64"/>
        <v>1996</v>
      </c>
      <c r="T516" s="8">
        <v>1996</v>
      </c>
      <c r="U516" s="8">
        <f t="shared" si="65"/>
        <v>26</v>
      </c>
      <c r="V516" s="7">
        <v>35339</v>
      </c>
      <c r="W516" t="s">
        <v>76</v>
      </c>
      <c r="X516" s="2">
        <v>0.998</v>
      </c>
      <c r="Y516" s="6">
        <f t="shared" si="66"/>
        <v>2.664104001494888E-2</v>
      </c>
      <c r="AA516">
        <v>207322</v>
      </c>
      <c r="AB516">
        <v>90127</v>
      </c>
      <c r="AD516" t="s">
        <v>1</v>
      </c>
      <c r="AE516">
        <v>25</v>
      </c>
      <c r="AF516">
        <v>4</v>
      </c>
      <c r="AH516" t="s">
        <v>2623</v>
      </c>
      <c r="AI516" t="s">
        <v>2622</v>
      </c>
      <c r="AJ516" t="s">
        <v>2621</v>
      </c>
      <c r="AK516" t="s">
        <v>2620</v>
      </c>
      <c r="AL516">
        <v>26</v>
      </c>
      <c r="AM516" s="5">
        <f t="shared" si="67"/>
        <v>1</v>
      </c>
      <c r="AN516" s="4">
        <f t="shared" si="68"/>
        <v>1.5145778114350624E-3</v>
      </c>
      <c r="AO516" s="3"/>
      <c r="AP516">
        <v>0</v>
      </c>
      <c r="AR516" t="s">
        <v>0</v>
      </c>
      <c r="AT516" s="2" t="s">
        <v>9</v>
      </c>
      <c r="AU516" s="1">
        <f t="shared" si="69"/>
        <v>1.9103101353894734</v>
      </c>
      <c r="AV516" s="1">
        <f t="shared" si="70"/>
        <v>1.4077808913191971</v>
      </c>
      <c r="AW516" s="1">
        <f t="shared" si="71"/>
        <v>0.90525164724892071</v>
      </c>
    </row>
    <row r="517" spans="1:49" x14ac:dyDescent="0.2">
      <c r="A517">
        <v>515</v>
      </c>
      <c r="B517" t="s">
        <v>2619</v>
      </c>
      <c r="F517" t="s">
        <v>2618</v>
      </c>
      <c r="G517" t="s">
        <v>6</v>
      </c>
      <c r="H517" t="s">
        <v>5</v>
      </c>
      <c r="I517" t="s">
        <v>2617</v>
      </c>
      <c r="N517">
        <v>2</v>
      </c>
      <c r="O517" t="s">
        <v>2616</v>
      </c>
      <c r="P517" t="s">
        <v>2615</v>
      </c>
      <c r="Q517" t="s">
        <v>460</v>
      </c>
      <c r="R517" s="7">
        <v>35339</v>
      </c>
      <c r="S517" s="8">
        <f t="shared" si="64"/>
        <v>1996</v>
      </c>
      <c r="T517" s="8">
        <v>1996</v>
      </c>
      <c r="U517" s="8">
        <f t="shared" si="65"/>
        <v>26</v>
      </c>
      <c r="V517" s="7">
        <v>35339</v>
      </c>
      <c r="W517" t="s">
        <v>74</v>
      </c>
      <c r="X517" s="2">
        <v>0.29499999999999998</v>
      </c>
      <c r="Y517" s="6">
        <f t="shared" si="66"/>
        <v>7.8748565174448087E-3</v>
      </c>
      <c r="AA517">
        <v>10642269</v>
      </c>
      <c r="AB517">
        <v>19554</v>
      </c>
      <c r="AD517" t="s">
        <v>1</v>
      </c>
      <c r="AE517">
        <v>41</v>
      </c>
      <c r="AF517">
        <v>13</v>
      </c>
      <c r="AH517" t="s">
        <v>2614</v>
      </c>
      <c r="AI517" t="s">
        <v>2613</v>
      </c>
      <c r="AK517" t="s">
        <v>2612</v>
      </c>
      <c r="AL517">
        <v>0</v>
      </c>
      <c r="AM517" s="5">
        <f t="shared" si="67"/>
        <v>0</v>
      </c>
      <c r="AN517" s="4">
        <f t="shared" si="68"/>
        <v>0</v>
      </c>
      <c r="AO517" s="3"/>
      <c r="AP517">
        <v>0</v>
      </c>
      <c r="AR517" t="s">
        <v>0</v>
      </c>
      <c r="AT517" s="2" t="s">
        <v>9</v>
      </c>
      <c r="AU517" s="1">
        <f t="shared" si="69"/>
        <v>0.55123995622113653</v>
      </c>
      <c r="AV517" s="1">
        <f t="shared" si="70"/>
        <v>0.39374282587224041</v>
      </c>
      <c r="AW517" s="1">
        <f t="shared" si="71"/>
        <v>0.23624569552334423</v>
      </c>
    </row>
    <row r="518" spans="1:49" x14ac:dyDescent="0.2">
      <c r="A518">
        <v>516</v>
      </c>
      <c r="B518" t="s">
        <v>2611</v>
      </c>
      <c r="C518" t="s">
        <v>2610</v>
      </c>
      <c r="F518" t="s">
        <v>2609</v>
      </c>
      <c r="G518" t="s">
        <v>6</v>
      </c>
      <c r="H518" t="s">
        <v>5</v>
      </c>
      <c r="I518" t="s">
        <v>680</v>
      </c>
      <c r="J518" t="s">
        <v>2608</v>
      </c>
      <c r="K518" t="s">
        <v>2607</v>
      </c>
      <c r="L518" t="s">
        <v>2606</v>
      </c>
      <c r="M518" t="s">
        <v>2605</v>
      </c>
      <c r="N518">
        <v>4</v>
      </c>
      <c r="O518" t="s">
        <v>2604</v>
      </c>
      <c r="P518" t="s">
        <v>2603</v>
      </c>
      <c r="Q518" t="s">
        <v>2602</v>
      </c>
      <c r="R518" s="7">
        <v>35339</v>
      </c>
      <c r="S518" s="8">
        <f t="shared" si="64"/>
        <v>1996</v>
      </c>
      <c r="T518" s="8">
        <v>1996</v>
      </c>
      <c r="U518" s="8">
        <f t="shared" si="65"/>
        <v>26</v>
      </c>
      <c r="V518" s="7">
        <v>35339</v>
      </c>
      <c r="W518" t="s">
        <v>241</v>
      </c>
      <c r="X518" s="2">
        <v>0.88100000000000001</v>
      </c>
      <c r="Y518" s="6">
        <f t="shared" si="66"/>
        <v>2.3517791836843653E-2</v>
      </c>
      <c r="AA518">
        <v>10459243</v>
      </c>
      <c r="AB518">
        <v>17248</v>
      </c>
      <c r="AD518" t="s">
        <v>1</v>
      </c>
      <c r="AE518">
        <v>38</v>
      </c>
      <c r="AF518">
        <v>5</v>
      </c>
      <c r="AH518" s="10">
        <v>43282</v>
      </c>
      <c r="AI518" t="s">
        <v>2601</v>
      </c>
      <c r="AK518" t="s">
        <v>2600</v>
      </c>
      <c r="AL518">
        <v>4</v>
      </c>
      <c r="AM518" s="5">
        <f t="shared" si="67"/>
        <v>0.15384615384615385</v>
      </c>
      <c r="AN518" s="4">
        <f t="shared" si="68"/>
        <v>2.3301197099000962E-4</v>
      </c>
      <c r="AO518" s="3"/>
      <c r="AP518">
        <v>0</v>
      </c>
      <c r="AR518" t="s">
        <v>0</v>
      </c>
      <c r="AT518" s="2" t="s">
        <v>9</v>
      </c>
      <c r="AU518" s="1">
        <f t="shared" si="69"/>
        <v>1.653235787708756</v>
      </c>
      <c r="AV518" s="1">
        <f t="shared" si="70"/>
        <v>1.1875401903916831</v>
      </c>
      <c r="AW518" s="1">
        <f t="shared" si="71"/>
        <v>0.72184459307461024</v>
      </c>
    </row>
    <row r="519" spans="1:49" x14ac:dyDescent="0.2">
      <c r="A519">
        <v>517</v>
      </c>
      <c r="B519" t="s">
        <v>2599</v>
      </c>
      <c r="C519" t="s">
        <v>2598</v>
      </c>
      <c r="F519" t="s">
        <v>2597</v>
      </c>
      <c r="G519" t="s">
        <v>6</v>
      </c>
      <c r="H519" t="s">
        <v>5</v>
      </c>
      <c r="I519" t="s">
        <v>597</v>
      </c>
      <c r="J519">
        <v>60001247</v>
      </c>
      <c r="K519" t="s">
        <v>532</v>
      </c>
      <c r="M519" t="s">
        <v>2</v>
      </c>
      <c r="N519">
        <v>2</v>
      </c>
      <c r="O519" t="s">
        <v>2596</v>
      </c>
      <c r="P519" t="s">
        <v>2595</v>
      </c>
      <c r="Q519" t="s">
        <v>2594</v>
      </c>
      <c r="R519" s="7">
        <v>35339</v>
      </c>
      <c r="S519" s="8">
        <f t="shared" si="64"/>
        <v>1996</v>
      </c>
      <c r="T519" s="8">
        <v>1996</v>
      </c>
      <c r="U519" s="8">
        <f t="shared" si="65"/>
        <v>26</v>
      </c>
      <c r="V519" s="7">
        <v>35065</v>
      </c>
      <c r="W519" t="s">
        <v>358</v>
      </c>
      <c r="X519" s="2">
        <v>0.375</v>
      </c>
      <c r="Y519" s="6">
        <f t="shared" si="66"/>
        <v>1.0010410827260351E-2</v>
      </c>
      <c r="AA519">
        <v>135194</v>
      </c>
      <c r="AB519">
        <v>24918</v>
      </c>
      <c r="AD519" t="s">
        <v>1</v>
      </c>
      <c r="AE519">
        <v>32</v>
      </c>
      <c r="AF519">
        <v>22</v>
      </c>
      <c r="AH519" t="s">
        <v>2593</v>
      </c>
      <c r="AI519" t="s">
        <v>2592</v>
      </c>
      <c r="AK519" t="s">
        <v>2591</v>
      </c>
      <c r="AL519">
        <v>2</v>
      </c>
      <c r="AM519" s="5">
        <f t="shared" si="67"/>
        <v>7.6923076923076927E-2</v>
      </c>
      <c r="AN519" s="4">
        <f t="shared" si="68"/>
        <v>1.1650598549500481E-4</v>
      </c>
      <c r="AO519" s="3"/>
      <c r="AP519">
        <v>0</v>
      </c>
      <c r="AR519" t="s">
        <v>0</v>
      </c>
      <c r="AT519" s="2">
        <v>1.3140000000000001</v>
      </c>
      <c r="AU519" s="1">
        <f t="shared" si="69"/>
        <v>0.70422393747307466</v>
      </c>
      <c r="AV519" s="1">
        <f t="shared" si="70"/>
        <v>0.50634584063776777</v>
      </c>
      <c r="AW519" s="1">
        <f t="shared" si="71"/>
        <v>0.30846774380246084</v>
      </c>
    </row>
    <row r="520" spans="1:49" x14ac:dyDescent="0.2">
      <c r="A520">
        <v>518</v>
      </c>
      <c r="B520" t="s">
        <v>2590</v>
      </c>
      <c r="F520" t="s">
        <v>2589</v>
      </c>
      <c r="G520" t="s">
        <v>6</v>
      </c>
      <c r="H520" t="s">
        <v>5</v>
      </c>
      <c r="I520" t="s">
        <v>2588</v>
      </c>
      <c r="J520">
        <v>60005244</v>
      </c>
      <c r="K520" t="s">
        <v>284</v>
      </c>
      <c r="L520" t="s">
        <v>283</v>
      </c>
      <c r="M520" t="s">
        <v>35</v>
      </c>
      <c r="N520">
        <v>4</v>
      </c>
      <c r="O520" t="s">
        <v>2587</v>
      </c>
      <c r="P520" t="s">
        <v>2586</v>
      </c>
      <c r="Q520" t="s">
        <v>2585</v>
      </c>
      <c r="R520" s="7">
        <v>35339</v>
      </c>
      <c r="S520" s="8">
        <f t="shared" si="64"/>
        <v>1996</v>
      </c>
      <c r="T520" s="8">
        <v>1996</v>
      </c>
      <c r="U520" s="8">
        <f t="shared" si="65"/>
        <v>26</v>
      </c>
      <c r="V520" s="7">
        <v>35339</v>
      </c>
      <c r="W520" t="s">
        <v>2584</v>
      </c>
      <c r="X520" s="2" t="s">
        <v>9</v>
      </c>
      <c r="Y520" s="6" t="e">
        <f t="shared" si="66"/>
        <v>#VALUE!</v>
      </c>
      <c r="AA520">
        <v>10042822</v>
      </c>
      <c r="AB520">
        <v>29621</v>
      </c>
      <c r="AD520" t="s">
        <v>1</v>
      </c>
      <c r="AE520" t="s">
        <v>2583</v>
      </c>
      <c r="AF520">
        <v>5</v>
      </c>
      <c r="AH520" t="s">
        <v>2582</v>
      </c>
      <c r="AI520" t="s">
        <v>2581</v>
      </c>
      <c r="AK520" t="s">
        <v>2580</v>
      </c>
      <c r="AL520">
        <v>0</v>
      </c>
      <c r="AM520" s="5">
        <f t="shared" si="67"/>
        <v>0</v>
      </c>
      <c r="AN520" s="4">
        <f t="shared" si="68"/>
        <v>0</v>
      </c>
      <c r="AO520" s="3"/>
      <c r="AP520">
        <v>0</v>
      </c>
      <c r="AR520" t="s">
        <v>0</v>
      </c>
      <c r="AT520" s="2" t="s">
        <v>9</v>
      </c>
      <c r="AU520" s="1" t="e">
        <f t="shared" si="69"/>
        <v>#VALUE!</v>
      </c>
      <c r="AV520" s="1" t="e">
        <f t="shared" si="70"/>
        <v>#VALUE!</v>
      </c>
      <c r="AW520" s="1" t="e">
        <f t="shared" si="71"/>
        <v>#VALUE!</v>
      </c>
    </row>
    <row r="521" spans="1:49" x14ac:dyDescent="0.2">
      <c r="A521">
        <v>519</v>
      </c>
      <c r="B521" t="s">
        <v>2579</v>
      </c>
      <c r="F521" t="s">
        <v>2578</v>
      </c>
      <c r="G521" t="s">
        <v>6</v>
      </c>
      <c r="H521" t="s">
        <v>5</v>
      </c>
      <c r="I521" t="s">
        <v>2577</v>
      </c>
      <c r="N521">
        <v>2</v>
      </c>
      <c r="O521" t="s">
        <v>2576</v>
      </c>
      <c r="P521" t="s">
        <v>2575</v>
      </c>
      <c r="Q521" t="s">
        <v>460</v>
      </c>
      <c r="R521" s="7">
        <v>35339</v>
      </c>
      <c r="S521" s="8">
        <f t="shared" si="64"/>
        <v>1996</v>
      </c>
      <c r="T521" s="8">
        <v>1996</v>
      </c>
      <c r="U521" s="8">
        <f t="shared" si="65"/>
        <v>26</v>
      </c>
      <c r="V521" s="7">
        <v>35339</v>
      </c>
      <c r="W521" t="s">
        <v>74</v>
      </c>
      <c r="X521" s="2">
        <v>0.29499999999999998</v>
      </c>
      <c r="Y521" s="6">
        <f t="shared" si="66"/>
        <v>7.8748565174448087E-3</v>
      </c>
      <c r="AA521">
        <v>10642269</v>
      </c>
      <c r="AB521">
        <v>19554</v>
      </c>
      <c r="AD521" t="s">
        <v>1</v>
      </c>
      <c r="AE521">
        <v>41</v>
      </c>
      <c r="AF521">
        <v>13</v>
      </c>
      <c r="AH521" t="s">
        <v>2574</v>
      </c>
      <c r="AI521" t="s">
        <v>2573</v>
      </c>
      <c r="AK521" t="s">
        <v>2572</v>
      </c>
      <c r="AL521">
        <v>0</v>
      </c>
      <c r="AM521" s="5">
        <f t="shared" si="67"/>
        <v>0</v>
      </c>
      <c r="AN521" s="4">
        <f t="shared" si="68"/>
        <v>0</v>
      </c>
      <c r="AO521" s="3"/>
      <c r="AP521">
        <v>0</v>
      </c>
      <c r="AR521" t="s">
        <v>0</v>
      </c>
      <c r="AT521" s="2" t="s">
        <v>9</v>
      </c>
      <c r="AU521" s="1">
        <f t="shared" si="69"/>
        <v>0.55123995622113653</v>
      </c>
      <c r="AV521" s="1">
        <f t="shared" si="70"/>
        <v>0.39374282587224041</v>
      </c>
      <c r="AW521" s="1">
        <f t="shared" si="71"/>
        <v>0.23624569552334423</v>
      </c>
    </row>
    <row r="522" spans="1:49" x14ac:dyDescent="0.2">
      <c r="A522">
        <v>520</v>
      </c>
      <c r="B522" t="s">
        <v>2571</v>
      </c>
      <c r="C522" t="s">
        <v>2570</v>
      </c>
      <c r="F522" t="s">
        <v>2569</v>
      </c>
      <c r="G522" t="s">
        <v>6</v>
      </c>
      <c r="H522" t="s">
        <v>5</v>
      </c>
      <c r="I522" t="s">
        <v>2568</v>
      </c>
      <c r="N522">
        <v>1</v>
      </c>
      <c r="O522" t="s">
        <v>2567</v>
      </c>
      <c r="P522">
        <v>7404492537</v>
      </c>
      <c r="R522" s="7">
        <v>35339</v>
      </c>
      <c r="S522" s="8">
        <f t="shared" si="64"/>
        <v>1996</v>
      </c>
      <c r="T522" s="8">
        <v>1996</v>
      </c>
      <c r="U522" s="8">
        <f t="shared" si="65"/>
        <v>26</v>
      </c>
      <c r="V522" s="7">
        <v>35339</v>
      </c>
      <c r="W522" t="s">
        <v>241</v>
      </c>
      <c r="X522" s="2">
        <v>0.88100000000000001</v>
      </c>
      <c r="Y522" s="6">
        <f t="shared" si="66"/>
        <v>2.3517791836843653E-2</v>
      </c>
      <c r="AA522">
        <v>10459243</v>
      </c>
      <c r="AB522">
        <v>17248</v>
      </c>
      <c r="AD522" t="s">
        <v>1</v>
      </c>
      <c r="AE522">
        <v>38</v>
      </c>
      <c r="AF522">
        <v>5</v>
      </c>
      <c r="AH522" t="s">
        <v>2566</v>
      </c>
      <c r="AI522" t="s">
        <v>2565</v>
      </c>
      <c r="AK522" t="s">
        <v>2564</v>
      </c>
      <c r="AL522">
        <v>2</v>
      </c>
      <c r="AM522" s="5">
        <f t="shared" si="67"/>
        <v>7.6923076923076927E-2</v>
      </c>
      <c r="AN522" s="4">
        <f t="shared" si="68"/>
        <v>1.1650598549500481E-4</v>
      </c>
      <c r="AO522" s="3"/>
      <c r="AP522">
        <v>0</v>
      </c>
      <c r="AR522" t="s">
        <v>0</v>
      </c>
      <c r="AT522" s="2" t="s">
        <v>9</v>
      </c>
      <c r="AU522" s="1">
        <f t="shared" si="69"/>
        <v>1.6497406081439057</v>
      </c>
      <c r="AV522" s="1">
        <f t="shared" si="70"/>
        <v>1.1817148911169328</v>
      </c>
      <c r="AW522" s="1">
        <f t="shared" si="71"/>
        <v>0.71368917408995991</v>
      </c>
    </row>
    <row r="523" spans="1:49" x14ac:dyDescent="0.2">
      <c r="A523">
        <v>521</v>
      </c>
      <c r="B523" t="s">
        <v>2563</v>
      </c>
      <c r="F523" t="s">
        <v>2562</v>
      </c>
      <c r="G523" t="s">
        <v>6</v>
      </c>
      <c r="H523" t="s">
        <v>5</v>
      </c>
      <c r="I523" t="s">
        <v>2561</v>
      </c>
      <c r="N523">
        <v>3</v>
      </c>
      <c r="O523" t="s">
        <v>2560</v>
      </c>
      <c r="P523" t="s">
        <v>2559</v>
      </c>
      <c r="Q523" t="s">
        <v>75</v>
      </c>
      <c r="R523" s="7">
        <v>35339</v>
      </c>
      <c r="S523" s="8">
        <f t="shared" si="64"/>
        <v>1996</v>
      </c>
      <c r="T523" s="8">
        <v>1996</v>
      </c>
      <c r="U523" s="8">
        <f t="shared" si="65"/>
        <v>26</v>
      </c>
      <c r="V523" s="7">
        <v>35339</v>
      </c>
      <c r="W523" t="s">
        <v>74</v>
      </c>
      <c r="X523" s="2">
        <v>0.29499999999999998</v>
      </c>
      <c r="Y523" s="6">
        <f t="shared" si="66"/>
        <v>7.8748565174448087E-3</v>
      </c>
      <c r="AA523">
        <v>10642269</v>
      </c>
      <c r="AB523">
        <v>19554</v>
      </c>
      <c r="AD523" t="s">
        <v>1</v>
      </c>
      <c r="AE523">
        <v>41</v>
      </c>
      <c r="AF523">
        <v>13</v>
      </c>
      <c r="AH523" t="s">
        <v>2558</v>
      </c>
      <c r="AI523" t="s">
        <v>2557</v>
      </c>
      <c r="AK523" t="s">
        <v>2556</v>
      </c>
      <c r="AL523">
        <v>1</v>
      </c>
      <c r="AM523" s="5">
        <f t="shared" si="67"/>
        <v>3.8461538461538464E-2</v>
      </c>
      <c r="AN523" s="4">
        <f t="shared" si="68"/>
        <v>5.8252992747502406E-5</v>
      </c>
      <c r="AO523" s="3"/>
      <c r="AP523">
        <v>0</v>
      </c>
      <c r="AR523" t="s">
        <v>0</v>
      </c>
      <c r="AT523" s="2" t="s">
        <v>9</v>
      </c>
      <c r="AU523" s="1">
        <f t="shared" si="69"/>
        <v>0.55298754600356159</v>
      </c>
      <c r="AV523" s="1">
        <f t="shared" si="70"/>
        <v>0.39665547550961555</v>
      </c>
      <c r="AW523" s="1">
        <f t="shared" si="71"/>
        <v>0.2403234050156694</v>
      </c>
    </row>
    <row r="524" spans="1:49" x14ac:dyDescent="0.2">
      <c r="A524">
        <v>522</v>
      </c>
      <c r="B524" t="s">
        <v>2555</v>
      </c>
      <c r="F524" t="s">
        <v>2554</v>
      </c>
      <c r="G524" t="s">
        <v>6</v>
      </c>
      <c r="H524" t="s">
        <v>5</v>
      </c>
      <c r="I524" t="s">
        <v>2553</v>
      </c>
      <c r="J524">
        <v>100351170</v>
      </c>
      <c r="K524" t="s">
        <v>2552</v>
      </c>
      <c r="L524" t="s">
        <v>2551</v>
      </c>
      <c r="M524" t="s">
        <v>46</v>
      </c>
      <c r="N524">
        <v>2</v>
      </c>
      <c r="O524" t="s">
        <v>2550</v>
      </c>
      <c r="P524" t="s">
        <v>2549</v>
      </c>
      <c r="Q524" t="s">
        <v>2548</v>
      </c>
      <c r="R524" s="7">
        <v>35339</v>
      </c>
      <c r="S524" s="8">
        <f t="shared" si="64"/>
        <v>1996</v>
      </c>
      <c r="T524" s="8">
        <v>1996</v>
      </c>
      <c r="U524" s="8">
        <f t="shared" si="65"/>
        <v>26</v>
      </c>
      <c r="V524" s="7">
        <v>35339</v>
      </c>
      <c r="W524" t="s">
        <v>63</v>
      </c>
      <c r="X524" s="2">
        <v>0.13800000000000001</v>
      </c>
      <c r="Y524" s="6">
        <f t="shared" si="66"/>
        <v>3.6838311844318095E-3</v>
      </c>
      <c r="AA524">
        <v>1926225</v>
      </c>
      <c r="AB524">
        <v>18580</v>
      </c>
      <c r="AD524" t="s">
        <v>1</v>
      </c>
      <c r="AE524">
        <v>39</v>
      </c>
      <c r="AF524">
        <v>10</v>
      </c>
      <c r="AI524" t="s">
        <v>2547</v>
      </c>
      <c r="AK524" t="s">
        <v>2546</v>
      </c>
      <c r="AL524">
        <v>6</v>
      </c>
      <c r="AM524" s="5">
        <f t="shared" si="67"/>
        <v>0.23076923076923078</v>
      </c>
      <c r="AN524" s="4">
        <f t="shared" si="68"/>
        <v>3.4951795648501444E-4</v>
      </c>
      <c r="AO524" s="3"/>
      <c r="AP524">
        <v>0</v>
      </c>
      <c r="AR524" t="s">
        <v>0</v>
      </c>
      <c r="AT524" s="2">
        <v>0.30599999999999999</v>
      </c>
      <c r="AU524" s="1">
        <f t="shared" si="69"/>
        <v>0.26835372160477711</v>
      </c>
      <c r="AV524" s="1">
        <f t="shared" si="70"/>
        <v>0.20166745704584119</v>
      </c>
      <c r="AW524" s="1">
        <f t="shared" si="71"/>
        <v>0.13498119248690529</v>
      </c>
    </row>
    <row r="525" spans="1:49" x14ac:dyDescent="0.2">
      <c r="A525">
        <v>523</v>
      </c>
      <c r="B525" t="s">
        <v>2545</v>
      </c>
      <c r="F525" t="s">
        <v>2544</v>
      </c>
      <c r="G525" t="s">
        <v>6</v>
      </c>
      <c r="H525" t="s">
        <v>5</v>
      </c>
      <c r="I525" t="s">
        <v>2543</v>
      </c>
      <c r="J525">
        <v>60003088</v>
      </c>
      <c r="K525" t="s">
        <v>2542</v>
      </c>
      <c r="L525" t="s">
        <v>106</v>
      </c>
      <c r="M525" t="s">
        <v>2</v>
      </c>
      <c r="N525">
        <v>1</v>
      </c>
      <c r="O525" t="s">
        <v>2541</v>
      </c>
      <c r="P525">
        <v>7006218526</v>
      </c>
      <c r="Q525">
        <v>60003088</v>
      </c>
      <c r="R525" s="7">
        <v>35339</v>
      </c>
      <c r="S525" s="8">
        <f t="shared" si="64"/>
        <v>1996</v>
      </c>
      <c r="T525" s="8">
        <v>1996</v>
      </c>
      <c r="U525" s="8">
        <f t="shared" si="65"/>
        <v>26</v>
      </c>
      <c r="V525" s="7">
        <v>35339</v>
      </c>
      <c r="W525" t="s">
        <v>241</v>
      </c>
      <c r="X525" s="2">
        <v>0.88100000000000001</v>
      </c>
      <c r="Y525" s="6">
        <f t="shared" si="66"/>
        <v>2.3517791836843653E-2</v>
      </c>
      <c r="AA525">
        <v>10459243</v>
      </c>
      <c r="AB525">
        <v>17248</v>
      </c>
      <c r="AD525" t="s">
        <v>1</v>
      </c>
      <c r="AE525">
        <v>38</v>
      </c>
      <c r="AF525">
        <v>5</v>
      </c>
      <c r="AH525" t="s">
        <v>2540</v>
      </c>
      <c r="AI525" t="s">
        <v>2539</v>
      </c>
      <c r="AK525" t="s">
        <v>2538</v>
      </c>
      <c r="AL525">
        <v>0</v>
      </c>
      <c r="AM525" s="5">
        <f t="shared" si="67"/>
        <v>0</v>
      </c>
      <c r="AN525" s="4">
        <f t="shared" si="68"/>
        <v>0</v>
      </c>
      <c r="AO525" s="3"/>
      <c r="AP525">
        <v>0</v>
      </c>
      <c r="AR525" t="s">
        <v>0</v>
      </c>
      <c r="AT525" s="2" t="s">
        <v>9</v>
      </c>
      <c r="AU525" s="1">
        <f t="shared" si="69"/>
        <v>1.6462454285790555</v>
      </c>
      <c r="AV525" s="1">
        <f t="shared" si="70"/>
        <v>1.1758895918421826</v>
      </c>
      <c r="AW525" s="1">
        <f t="shared" si="71"/>
        <v>0.70553375510530958</v>
      </c>
    </row>
    <row r="526" spans="1:49" x14ac:dyDescent="0.2">
      <c r="A526">
        <v>524</v>
      </c>
      <c r="B526" t="s">
        <v>2537</v>
      </c>
      <c r="F526" t="s">
        <v>2536</v>
      </c>
      <c r="G526" t="s">
        <v>6</v>
      </c>
      <c r="H526" t="s">
        <v>5</v>
      </c>
      <c r="I526" t="s">
        <v>2535</v>
      </c>
      <c r="N526">
        <v>3</v>
      </c>
      <c r="O526" t="s">
        <v>2534</v>
      </c>
      <c r="P526" t="s">
        <v>2533</v>
      </c>
      <c r="Q526" t="s">
        <v>75</v>
      </c>
      <c r="R526" s="7">
        <v>35339</v>
      </c>
      <c r="S526" s="8">
        <f t="shared" si="64"/>
        <v>1996</v>
      </c>
      <c r="T526" s="8">
        <v>1996</v>
      </c>
      <c r="U526" s="8">
        <f t="shared" si="65"/>
        <v>26</v>
      </c>
      <c r="V526" s="7">
        <v>35339</v>
      </c>
      <c r="W526" t="s">
        <v>74</v>
      </c>
      <c r="X526" s="2">
        <v>0.29499999999999998</v>
      </c>
      <c r="Y526" s="6">
        <f t="shared" si="66"/>
        <v>7.8748565174448087E-3</v>
      </c>
      <c r="AA526">
        <v>10642269</v>
      </c>
      <c r="AB526">
        <v>19554</v>
      </c>
      <c r="AD526" t="s">
        <v>1</v>
      </c>
      <c r="AE526">
        <v>41</v>
      </c>
      <c r="AF526">
        <v>13</v>
      </c>
      <c r="AH526" t="s">
        <v>2532</v>
      </c>
      <c r="AI526" t="s">
        <v>2531</v>
      </c>
      <c r="AK526" t="s">
        <v>2530</v>
      </c>
      <c r="AL526">
        <v>0</v>
      </c>
      <c r="AM526" s="5">
        <f t="shared" si="67"/>
        <v>0</v>
      </c>
      <c r="AN526" s="4">
        <f t="shared" si="68"/>
        <v>0</v>
      </c>
      <c r="AO526" s="3"/>
      <c r="AP526">
        <v>0</v>
      </c>
      <c r="AR526" t="s">
        <v>0</v>
      </c>
      <c r="AT526" s="2" t="s">
        <v>9</v>
      </c>
      <c r="AU526" s="1">
        <f t="shared" si="69"/>
        <v>0.55123995622113653</v>
      </c>
      <c r="AV526" s="1">
        <f t="shared" si="70"/>
        <v>0.39374282587224041</v>
      </c>
      <c r="AW526" s="1">
        <f t="shared" si="71"/>
        <v>0.23624569552334423</v>
      </c>
    </row>
    <row r="527" spans="1:49" x14ac:dyDescent="0.2">
      <c r="A527">
        <v>525</v>
      </c>
      <c r="B527" t="s">
        <v>2529</v>
      </c>
      <c r="C527" t="s">
        <v>2528</v>
      </c>
      <c r="D527" t="s">
        <v>2527</v>
      </c>
      <c r="F527" t="s">
        <v>2526</v>
      </c>
      <c r="G527" t="s">
        <v>6</v>
      </c>
      <c r="H527" t="s">
        <v>5</v>
      </c>
      <c r="I527" t="s">
        <v>2525</v>
      </c>
      <c r="J527">
        <v>60017597</v>
      </c>
      <c r="K527" t="s">
        <v>416</v>
      </c>
      <c r="L527" t="s">
        <v>64</v>
      </c>
      <c r="M527" t="s">
        <v>41</v>
      </c>
      <c r="N527">
        <v>2</v>
      </c>
      <c r="O527" t="s">
        <v>2524</v>
      </c>
      <c r="P527" t="s">
        <v>2523</v>
      </c>
      <c r="Q527" t="s">
        <v>2522</v>
      </c>
      <c r="R527" s="7">
        <v>35339</v>
      </c>
      <c r="S527" s="8">
        <f t="shared" si="64"/>
        <v>1996</v>
      </c>
      <c r="T527" s="8">
        <v>1996</v>
      </c>
      <c r="U527" s="8">
        <f t="shared" si="65"/>
        <v>26</v>
      </c>
      <c r="V527" s="7">
        <v>35339</v>
      </c>
      <c r="W527" t="s">
        <v>132</v>
      </c>
      <c r="X527" s="2">
        <v>0.90700000000000003</v>
      </c>
      <c r="Y527" s="6">
        <f t="shared" si="66"/>
        <v>2.4211846987533703E-2</v>
      </c>
      <c r="AA527">
        <v>1651684</v>
      </c>
      <c r="AB527">
        <v>25548</v>
      </c>
      <c r="AD527" t="s">
        <v>1</v>
      </c>
      <c r="AE527">
        <v>54</v>
      </c>
      <c r="AF527">
        <v>2</v>
      </c>
      <c r="AH527" t="s">
        <v>476</v>
      </c>
      <c r="AI527" t="s">
        <v>2521</v>
      </c>
      <c r="AJ527" t="s">
        <v>2520</v>
      </c>
      <c r="AK527" t="s">
        <v>2519</v>
      </c>
      <c r="AL527">
        <v>6</v>
      </c>
      <c r="AM527" s="5">
        <f t="shared" si="67"/>
        <v>0.23076923076923078</v>
      </c>
      <c r="AN527" s="4">
        <f t="shared" si="68"/>
        <v>3.4951795648501444E-4</v>
      </c>
      <c r="AO527" s="3"/>
      <c r="AP527">
        <v>0</v>
      </c>
      <c r="AQ527" t="s">
        <v>80</v>
      </c>
      <c r="AR527" t="s">
        <v>0</v>
      </c>
      <c r="AS527" t="s">
        <v>622</v>
      </c>
      <c r="AT527" s="2">
        <v>4.6619999999999999</v>
      </c>
      <c r="AU527" s="1">
        <f t="shared" si="69"/>
        <v>1.7053148278219095</v>
      </c>
      <c r="AV527" s="1">
        <f t="shared" si="70"/>
        <v>1.2280682472009359</v>
      </c>
      <c r="AW527" s="1">
        <f t="shared" si="71"/>
        <v>0.75082166657996197</v>
      </c>
    </row>
    <row r="528" spans="1:49" x14ac:dyDescent="0.2">
      <c r="A528">
        <v>526</v>
      </c>
      <c r="B528" t="s">
        <v>2518</v>
      </c>
      <c r="C528" t="s">
        <v>2517</v>
      </c>
      <c r="F528" t="s">
        <v>2516</v>
      </c>
      <c r="G528" t="s">
        <v>6</v>
      </c>
      <c r="H528" t="s">
        <v>5</v>
      </c>
      <c r="I528" t="s">
        <v>2515</v>
      </c>
      <c r="J528" t="s">
        <v>2514</v>
      </c>
      <c r="K528" t="s">
        <v>2513</v>
      </c>
      <c r="L528" t="s">
        <v>2512</v>
      </c>
      <c r="M528" t="s">
        <v>2511</v>
      </c>
      <c r="N528">
        <v>5</v>
      </c>
      <c r="O528" t="s">
        <v>2510</v>
      </c>
      <c r="P528" t="s">
        <v>2509</v>
      </c>
      <c r="Q528" t="s">
        <v>2508</v>
      </c>
      <c r="R528" s="7">
        <v>35339</v>
      </c>
      <c r="S528" s="8">
        <f t="shared" si="64"/>
        <v>1996</v>
      </c>
      <c r="T528" s="8">
        <v>1996</v>
      </c>
      <c r="U528" s="8">
        <f t="shared" si="65"/>
        <v>26</v>
      </c>
      <c r="V528" s="7">
        <v>35339</v>
      </c>
      <c r="W528" t="s">
        <v>241</v>
      </c>
      <c r="X528" s="2">
        <v>0.88100000000000001</v>
      </c>
      <c r="Y528" s="6">
        <f t="shared" si="66"/>
        <v>2.3517791836843653E-2</v>
      </c>
      <c r="AA528">
        <v>10459243</v>
      </c>
      <c r="AB528">
        <v>17248</v>
      </c>
      <c r="AD528" t="s">
        <v>1</v>
      </c>
      <c r="AE528">
        <v>38</v>
      </c>
      <c r="AF528">
        <v>5</v>
      </c>
      <c r="AH528" t="s">
        <v>2507</v>
      </c>
      <c r="AI528" t="s">
        <v>2506</v>
      </c>
      <c r="AK528" t="s">
        <v>2505</v>
      </c>
      <c r="AL528">
        <v>15</v>
      </c>
      <c r="AM528" s="5">
        <f t="shared" si="67"/>
        <v>0.57692307692307687</v>
      </c>
      <c r="AN528" s="4">
        <f t="shared" si="68"/>
        <v>8.7379489121253596E-4</v>
      </c>
      <c r="AO528" s="3"/>
      <c r="AP528">
        <v>0</v>
      </c>
      <c r="AR528" t="s">
        <v>0</v>
      </c>
      <c r="AT528" s="2" t="s">
        <v>9</v>
      </c>
      <c r="AU528" s="1">
        <f t="shared" si="69"/>
        <v>1.6724592753154317</v>
      </c>
      <c r="AV528" s="1">
        <f t="shared" si="70"/>
        <v>1.2195793364028094</v>
      </c>
      <c r="AW528" s="1">
        <f t="shared" si="71"/>
        <v>0.76669939749018701</v>
      </c>
    </row>
    <row r="529" spans="1:49" x14ac:dyDescent="0.2">
      <c r="A529">
        <v>527</v>
      </c>
      <c r="B529" t="s">
        <v>2504</v>
      </c>
      <c r="C529" t="s">
        <v>2503</v>
      </c>
      <c r="F529" t="s">
        <v>2502</v>
      </c>
      <c r="G529" t="s">
        <v>6</v>
      </c>
      <c r="H529" t="s">
        <v>5</v>
      </c>
      <c r="I529" t="s">
        <v>2501</v>
      </c>
      <c r="N529">
        <v>1</v>
      </c>
      <c r="O529" t="s">
        <v>2500</v>
      </c>
      <c r="P529">
        <v>56212355200</v>
      </c>
      <c r="R529" s="7">
        <v>35339</v>
      </c>
      <c r="S529" s="8">
        <f t="shared" si="64"/>
        <v>1996</v>
      </c>
      <c r="T529" s="8">
        <v>1996</v>
      </c>
      <c r="U529" s="8">
        <f t="shared" si="65"/>
        <v>26</v>
      </c>
      <c r="V529" s="7">
        <v>35339</v>
      </c>
      <c r="W529" t="s">
        <v>241</v>
      </c>
      <c r="X529" s="2">
        <v>0.88100000000000001</v>
      </c>
      <c r="Y529" s="6">
        <f t="shared" si="66"/>
        <v>2.3517791836843653E-2</v>
      </c>
      <c r="AA529">
        <v>10459243</v>
      </c>
      <c r="AB529">
        <v>17248</v>
      </c>
      <c r="AD529" t="s">
        <v>1</v>
      </c>
      <c r="AE529">
        <v>38</v>
      </c>
      <c r="AF529">
        <v>5</v>
      </c>
      <c r="AH529" t="s">
        <v>2499</v>
      </c>
      <c r="AI529" t="s">
        <v>2498</v>
      </c>
      <c r="AK529" t="s">
        <v>2497</v>
      </c>
      <c r="AL529">
        <v>0</v>
      </c>
      <c r="AM529" s="5">
        <f t="shared" si="67"/>
        <v>0</v>
      </c>
      <c r="AN529" s="4">
        <f t="shared" si="68"/>
        <v>0</v>
      </c>
      <c r="AO529" s="3"/>
      <c r="AP529">
        <v>0</v>
      </c>
      <c r="AR529" t="s">
        <v>0</v>
      </c>
      <c r="AT529" s="2" t="s">
        <v>9</v>
      </c>
      <c r="AU529" s="1">
        <f t="shared" si="69"/>
        <v>1.6462454285790555</v>
      </c>
      <c r="AV529" s="1">
        <f t="shared" si="70"/>
        <v>1.1758895918421826</v>
      </c>
      <c r="AW529" s="1">
        <f t="shared" si="71"/>
        <v>0.70553375510530958</v>
      </c>
    </row>
    <row r="530" spans="1:49" x14ac:dyDescent="0.2">
      <c r="A530">
        <v>528</v>
      </c>
      <c r="B530" t="s">
        <v>2496</v>
      </c>
      <c r="F530" t="s">
        <v>2495</v>
      </c>
      <c r="G530" t="s">
        <v>6</v>
      </c>
      <c r="H530" t="s">
        <v>5</v>
      </c>
      <c r="I530" t="s">
        <v>2494</v>
      </c>
      <c r="J530">
        <v>60007457</v>
      </c>
      <c r="K530" t="s">
        <v>178</v>
      </c>
      <c r="L530" t="s">
        <v>98</v>
      </c>
      <c r="M530" t="s">
        <v>97</v>
      </c>
      <c r="N530">
        <v>3</v>
      </c>
      <c r="O530" t="s">
        <v>2493</v>
      </c>
      <c r="P530" t="s">
        <v>2492</v>
      </c>
      <c r="Q530" t="s">
        <v>1645</v>
      </c>
      <c r="R530" s="7">
        <v>35339</v>
      </c>
      <c r="S530" s="8">
        <f t="shared" si="64"/>
        <v>1996</v>
      </c>
      <c r="T530" s="8">
        <v>1996</v>
      </c>
      <c r="U530" s="8">
        <f t="shared" si="65"/>
        <v>26</v>
      </c>
      <c r="V530" s="7">
        <v>35339</v>
      </c>
      <c r="W530" t="s">
        <v>74</v>
      </c>
      <c r="X530" s="2">
        <v>0.29499999999999998</v>
      </c>
      <c r="Y530" s="6">
        <f t="shared" si="66"/>
        <v>7.8748565174448087E-3</v>
      </c>
      <c r="AA530">
        <v>10642269</v>
      </c>
      <c r="AB530">
        <v>19554</v>
      </c>
      <c r="AD530" t="s">
        <v>1</v>
      </c>
      <c r="AE530">
        <v>41</v>
      </c>
      <c r="AF530">
        <v>13</v>
      </c>
      <c r="AH530" t="s">
        <v>2491</v>
      </c>
      <c r="AI530" t="s">
        <v>2490</v>
      </c>
      <c r="AK530" t="s">
        <v>2489</v>
      </c>
      <c r="AL530">
        <v>1</v>
      </c>
      <c r="AM530" s="5">
        <f t="shared" si="67"/>
        <v>3.8461538461538464E-2</v>
      </c>
      <c r="AN530" s="4">
        <f t="shared" si="68"/>
        <v>5.8252992747502406E-5</v>
      </c>
      <c r="AO530" s="3"/>
      <c r="AP530">
        <v>0</v>
      </c>
      <c r="AR530" t="s">
        <v>0</v>
      </c>
      <c r="AT530" s="2" t="s">
        <v>9</v>
      </c>
      <c r="AU530" s="1">
        <f t="shared" si="69"/>
        <v>0.55298754600356159</v>
      </c>
      <c r="AV530" s="1">
        <f t="shared" si="70"/>
        <v>0.39665547550961555</v>
      </c>
      <c r="AW530" s="1">
        <f t="shared" si="71"/>
        <v>0.2403234050156694</v>
      </c>
    </row>
    <row r="531" spans="1:49" x14ac:dyDescent="0.2">
      <c r="A531">
        <v>529</v>
      </c>
      <c r="B531" t="s">
        <v>2488</v>
      </c>
      <c r="F531" t="s">
        <v>2487</v>
      </c>
      <c r="G531" t="s">
        <v>6</v>
      </c>
      <c r="H531" t="s">
        <v>5</v>
      </c>
      <c r="I531" t="s">
        <v>2486</v>
      </c>
      <c r="J531">
        <v>100343110</v>
      </c>
      <c r="K531" t="s">
        <v>2485</v>
      </c>
      <c r="L531" t="s">
        <v>2484</v>
      </c>
      <c r="M531" t="s">
        <v>2</v>
      </c>
      <c r="N531">
        <v>1</v>
      </c>
      <c r="O531" t="s">
        <v>2483</v>
      </c>
      <c r="P531">
        <v>36640184000</v>
      </c>
      <c r="Q531">
        <v>100343110</v>
      </c>
      <c r="R531" s="7">
        <v>35339</v>
      </c>
      <c r="S531" s="8">
        <f t="shared" si="64"/>
        <v>1996</v>
      </c>
      <c r="T531" s="8">
        <v>1996</v>
      </c>
      <c r="U531" s="8">
        <f t="shared" si="65"/>
        <v>26</v>
      </c>
      <c r="V531" s="7">
        <v>35339</v>
      </c>
      <c r="W531" t="s">
        <v>689</v>
      </c>
      <c r="X531" s="2" t="s">
        <v>9</v>
      </c>
      <c r="Y531" s="6" t="e">
        <f t="shared" si="66"/>
        <v>#VALUE!</v>
      </c>
      <c r="AA531" t="s">
        <v>688</v>
      </c>
      <c r="AB531">
        <v>26720</v>
      </c>
      <c r="AD531" t="s">
        <v>1</v>
      </c>
      <c r="AI531" t="s">
        <v>2482</v>
      </c>
      <c r="AK531" t="s">
        <v>2481</v>
      </c>
      <c r="AL531">
        <v>0</v>
      </c>
      <c r="AM531" s="5">
        <f t="shared" si="67"/>
        <v>0</v>
      </c>
      <c r="AN531" s="4">
        <f t="shared" si="68"/>
        <v>0</v>
      </c>
      <c r="AO531" s="3"/>
      <c r="AP531">
        <v>0</v>
      </c>
      <c r="AR531" t="s">
        <v>0</v>
      </c>
      <c r="AT531" s="2" t="s">
        <v>9</v>
      </c>
      <c r="AU531" s="1" t="e">
        <f t="shared" si="69"/>
        <v>#VALUE!</v>
      </c>
      <c r="AV531" s="1" t="e">
        <f t="shared" si="70"/>
        <v>#VALUE!</v>
      </c>
      <c r="AW531" s="1" t="e">
        <f t="shared" si="71"/>
        <v>#VALUE!</v>
      </c>
    </row>
    <row r="532" spans="1:49" x14ac:dyDescent="0.2">
      <c r="A532">
        <v>530</v>
      </c>
      <c r="B532" t="s">
        <v>2480</v>
      </c>
      <c r="C532" t="s">
        <v>2479</v>
      </c>
      <c r="D532" t="s">
        <v>2478</v>
      </c>
      <c r="F532" t="s">
        <v>2477</v>
      </c>
      <c r="G532" t="s">
        <v>6</v>
      </c>
      <c r="H532" t="s">
        <v>5</v>
      </c>
      <c r="I532" t="s">
        <v>2476</v>
      </c>
      <c r="J532" t="s">
        <v>2475</v>
      </c>
      <c r="K532" t="s">
        <v>2474</v>
      </c>
      <c r="L532" t="s">
        <v>2473</v>
      </c>
      <c r="M532" t="s">
        <v>2472</v>
      </c>
      <c r="N532">
        <v>2</v>
      </c>
      <c r="O532" t="s">
        <v>2471</v>
      </c>
      <c r="P532" t="s">
        <v>2470</v>
      </c>
      <c r="Q532" t="s">
        <v>2469</v>
      </c>
      <c r="R532" s="7">
        <v>35339</v>
      </c>
      <c r="S532" s="8">
        <f t="shared" si="64"/>
        <v>1996</v>
      </c>
      <c r="T532" s="8">
        <v>1996</v>
      </c>
      <c r="U532" s="8">
        <f t="shared" si="65"/>
        <v>26</v>
      </c>
      <c r="V532" s="7">
        <v>35339</v>
      </c>
      <c r="W532" t="s">
        <v>131</v>
      </c>
      <c r="X532" s="2">
        <v>0.752</v>
      </c>
      <c r="Y532" s="6">
        <f t="shared" si="66"/>
        <v>2.0074210512266089E-2</v>
      </c>
      <c r="AA532">
        <v>3649059</v>
      </c>
      <c r="AB532">
        <v>17277</v>
      </c>
      <c r="AD532" t="s">
        <v>1</v>
      </c>
      <c r="AE532">
        <v>21</v>
      </c>
      <c r="AF532">
        <v>4</v>
      </c>
      <c r="AH532" t="s">
        <v>2468</v>
      </c>
      <c r="AI532" t="s">
        <v>2467</v>
      </c>
      <c r="AK532" t="s">
        <v>2466</v>
      </c>
      <c r="AL532">
        <v>13</v>
      </c>
      <c r="AM532" s="5">
        <f t="shared" si="67"/>
        <v>0.5</v>
      </c>
      <c r="AN532" s="4">
        <f t="shared" si="68"/>
        <v>7.572889057175312E-4</v>
      </c>
      <c r="AO532" s="3"/>
      <c r="AP532">
        <v>0</v>
      </c>
      <c r="AQ532" t="s">
        <v>21</v>
      </c>
      <c r="AR532" t="s">
        <v>2465</v>
      </c>
      <c r="AS532" t="s">
        <v>20</v>
      </c>
      <c r="AT532" s="2">
        <v>3.5539999999999998</v>
      </c>
      <c r="AU532" s="1">
        <f t="shared" si="69"/>
        <v>1.4279134030301521</v>
      </c>
      <c r="AV532" s="1">
        <f t="shared" si="70"/>
        <v>1.0415749708991811</v>
      </c>
      <c r="AW532" s="1">
        <f t="shared" si="71"/>
        <v>0.65523653876820986</v>
      </c>
    </row>
    <row r="533" spans="1:49" x14ac:dyDescent="0.2">
      <c r="A533">
        <v>531</v>
      </c>
      <c r="B533" t="s">
        <v>2464</v>
      </c>
      <c r="C533" t="s">
        <v>2463</v>
      </c>
      <c r="F533" t="s">
        <v>2462</v>
      </c>
      <c r="G533" t="s">
        <v>6</v>
      </c>
      <c r="H533" t="s">
        <v>5</v>
      </c>
      <c r="I533" t="s">
        <v>2461</v>
      </c>
      <c r="J533" t="s">
        <v>2460</v>
      </c>
      <c r="K533" t="s">
        <v>2459</v>
      </c>
      <c r="L533" t="s">
        <v>2458</v>
      </c>
      <c r="M533" t="s">
        <v>2457</v>
      </c>
      <c r="N533">
        <v>1</v>
      </c>
      <c r="O533" t="s">
        <v>2456</v>
      </c>
      <c r="P533">
        <v>8266831600</v>
      </c>
      <c r="Q533" t="s">
        <v>2455</v>
      </c>
      <c r="R533" s="7">
        <v>35339</v>
      </c>
      <c r="S533" s="8">
        <f t="shared" si="64"/>
        <v>1996</v>
      </c>
      <c r="T533" s="8">
        <v>1996</v>
      </c>
      <c r="U533" s="8">
        <f t="shared" si="65"/>
        <v>26</v>
      </c>
      <c r="V533" s="7">
        <v>35339</v>
      </c>
      <c r="W533" t="s">
        <v>1553</v>
      </c>
      <c r="X533" s="2">
        <v>2.823</v>
      </c>
      <c r="Y533" s="6">
        <f t="shared" si="66"/>
        <v>7.5358372707615917E-2</v>
      </c>
      <c r="AA533">
        <v>1636804</v>
      </c>
      <c r="AB533">
        <v>17249</v>
      </c>
      <c r="AD533" t="s">
        <v>1</v>
      </c>
      <c r="AE533">
        <v>34</v>
      </c>
      <c r="AF533">
        <v>10</v>
      </c>
      <c r="AH533" t="s">
        <v>1519</v>
      </c>
      <c r="AI533" t="s">
        <v>2454</v>
      </c>
      <c r="AK533" t="s">
        <v>2453</v>
      </c>
      <c r="AL533">
        <v>21</v>
      </c>
      <c r="AM533" s="5">
        <f t="shared" si="67"/>
        <v>0.80769230769230771</v>
      </c>
      <c r="AN533" s="4">
        <f t="shared" si="68"/>
        <v>1.2233128476975504E-3</v>
      </c>
      <c r="AO533" s="3"/>
      <c r="AP533">
        <v>0</v>
      </c>
      <c r="AR533" t="s">
        <v>0</v>
      </c>
      <c r="AT533" s="2">
        <v>9.6189999999999998</v>
      </c>
      <c r="AU533" s="1">
        <f t="shared" si="69"/>
        <v>5.3117854749640401</v>
      </c>
      <c r="AV533" s="1">
        <f t="shared" si="70"/>
        <v>3.8290842777656735</v>
      </c>
      <c r="AW533" s="1">
        <f t="shared" si="71"/>
        <v>2.346383080567306</v>
      </c>
    </row>
    <row r="534" spans="1:49" x14ac:dyDescent="0.2">
      <c r="A534">
        <v>532</v>
      </c>
      <c r="B534" t="s">
        <v>2452</v>
      </c>
      <c r="C534" t="s">
        <v>2451</v>
      </c>
      <c r="F534" t="s">
        <v>2450</v>
      </c>
      <c r="G534" t="s">
        <v>6</v>
      </c>
      <c r="H534" t="s">
        <v>5</v>
      </c>
      <c r="I534" t="s">
        <v>2449</v>
      </c>
      <c r="J534" t="s">
        <v>2448</v>
      </c>
      <c r="K534" t="s">
        <v>2447</v>
      </c>
      <c r="L534" t="s">
        <v>2446</v>
      </c>
      <c r="M534" t="s">
        <v>276</v>
      </c>
      <c r="N534">
        <v>1</v>
      </c>
      <c r="O534" t="s">
        <v>2445</v>
      </c>
      <c r="P534">
        <v>57198326026</v>
      </c>
      <c r="Q534" t="s">
        <v>2444</v>
      </c>
      <c r="R534" s="7">
        <v>35339</v>
      </c>
      <c r="S534" s="8">
        <f t="shared" si="64"/>
        <v>1996</v>
      </c>
      <c r="T534" s="8">
        <v>1996</v>
      </c>
      <c r="U534" s="8">
        <f t="shared" si="65"/>
        <v>26</v>
      </c>
      <c r="V534" s="7">
        <v>35339</v>
      </c>
      <c r="W534" t="s">
        <v>544</v>
      </c>
      <c r="X534" s="2">
        <v>0.39600000000000002</v>
      </c>
      <c r="Y534" s="6">
        <f t="shared" si="66"/>
        <v>1.0570993833586931E-2</v>
      </c>
      <c r="AA534">
        <v>8858985</v>
      </c>
      <c r="AB534">
        <v>25993</v>
      </c>
      <c r="AD534" t="s">
        <v>1</v>
      </c>
      <c r="AE534">
        <v>11</v>
      </c>
      <c r="AF534">
        <v>10</v>
      </c>
      <c r="AH534" t="s">
        <v>2443</v>
      </c>
      <c r="AI534" t="s">
        <v>2442</v>
      </c>
      <c r="AK534" t="s">
        <v>2441</v>
      </c>
      <c r="AL534">
        <v>3</v>
      </c>
      <c r="AM534" s="5">
        <f t="shared" si="67"/>
        <v>0.11538461538461539</v>
      </c>
      <c r="AN534" s="4">
        <f t="shared" si="68"/>
        <v>1.7475897824250722E-4</v>
      </c>
      <c r="AO534" s="3"/>
      <c r="AP534">
        <v>0</v>
      </c>
      <c r="AQ534" t="s">
        <v>21</v>
      </c>
      <c r="AR534" t="s">
        <v>0</v>
      </c>
      <c r="AS534" t="s">
        <v>20</v>
      </c>
      <c r="AT534" s="2" t="s">
        <v>9</v>
      </c>
      <c r="AU534" s="1">
        <f t="shared" si="69"/>
        <v>0.74521233769836037</v>
      </c>
      <c r="AV534" s="1">
        <f t="shared" si="70"/>
        <v>0.53728764059147194</v>
      </c>
      <c r="AW534" s="1">
        <f t="shared" si="71"/>
        <v>0.32936294348458339</v>
      </c>
    </row>
    <row r="535" spans="1:49" x14ac:dyDescent="0.2">
      <c r="A535">
        <v>533</v>
      </c>
      <c r="B535" t="s">
        <v>2440</v>
      </c>
      <c r="C535" t="s">
        <v>2439</v>
      </c>
      <c r="F535" t="s">
        <v>2438</v>
      </c>
      <c r="G535" t="s">
        <v>6</v>
      </c>
      <c r="H535" t="s">
        <v>5</v>
      </c>
      <c r="I535" t="s">
        <v>2437</v>
      </c>
      <c r="J535">
        <v>60020547</v>
      </c>
      <c r="K535" t="s">
        <v>731</v>
      </c>
      <c r="L535" t="s">
        <v>730</v>
      </c>
      <c r="M535" t="s">
        <v>2</v>
      </c>
      <c r="N535">
        <v>2</v>
      </c>
      <c r="O535" t="s">
        <v>2436</v>
      </c>
      <c r="P535" t="s">
        <v>2435</v>
      </c>
      <c r="Q535" t="s">
        <v>729</v>
      </c>
      <c r="R535" s="7">
        <v>35339</v>
      </c>
      <c r="S535" s="8">
        <f t="shared" si="64"/>
        <v>1996</v>
      </c>
      <c r="T535" s="8">
        <v>1996</v>
      </c>
      <c r="U535" s="8">
        <f t="shared" si="65"/>
        <v>26</v>
      </c>
      <c r="V535" s="7">
        <v>35339</v>
      </c>
      <c r="W535" t="s">
        <v>410</v>
      </c>
      <c r="X535" s="2">
        <v>1.3720000000000001</v>
      </c>
      <c r="Y535" s="6">
        <f t="shared" si="66"/>
        <v>3.662475641333654E-2</v>
      </c>
      <c r="AA535">
        <v>189480</v>
      </c>
      <c r="AB535">
        <v>17366</v>
      </c>
      <c r="AD535" t="s">
        <v>1</v>
      </c>
      <c r="AE535">
        <v>44</v>
      </c>
      <c r="AF535" t="s">
        <v>2434</v>
      </c>
      <c r="AH535" t="s">
        <v>2433</v>
      </c>
      <c r="AI535" t="s">
        <v>2432</v>
      </c>
      <c r="AK535" t="s">
        <v>2431</v>
      </c>
      <c r="AL535">
        <v>7</v>
      </c>
      <c r="AM535" s="5">
        <f t="shared" si="67"/>
        <v>0.26923076923076922</v>
      </c>
      <c r="AN535" s="4">
        <f t="shared" si="68"/>
        <v>4.0777094923251682E-4</v>
      </c>
      <c r="AO535" s="3"/>
      <c r="AP535">
        <v>0</v>
      </c>
      <c r="AQ535" t="s">
        <v>716</v>
      </c>
      <c r="AR535" t="s">
        <v>0</v>
      </c>
      <c r="AS535" t="s">
        <v>715</v>
      </c>
      <c r="AT535" s="2" t="s">
        <v>9</v>
      </c>
      <c r="AU535" s="1">
        <f t="shared" si="69"/>
        <v>2.5759660774105333</v>
      </c>
      <c r="AV535" s="1">
        <f t="shared" si="70"/>
        <v>1.8516263681284526</v>
      </c>
      <c r="AW535" s="1">
        <f t="shared" si="71"/>
        <v>1.1272866588463724</v>
      </c>
    </row>
    <row r="536" spans="1:49" x14ac:dyDescent="0.2">
      <c r="A536">
        <v>534</v>
      </c>
      <c r="B536" t="s">
        <v>2430</v>
      </c>
      <c r="C536" t="s">
        <v>2429</v>
      </c>
      <c r="F536" t="s">
        <v>2428</v>
      </c>
      <c r="G536" t="s">
        <v>6</v>
      </c>
      <c r="H536" t="s">
        <v>5</v>
      </c>
      <c r="I536" t="s">
        <v>2427</v>
      </c>
      <c r="J536" t="s">
        <v>2426</v>
      </c>
      <c r="K536" t="s">
        <v>2425</v>
      </c>
      <c r="L536" t="s">
        <v>2424</v>
      </c>
      <c r="M536" t="s">
        <v>338</v>
      </c>
      <c r="N536">
        <v>3</v>
      </c>
      <c r="O536" t="s">
        <v>2423</v>
      </c>
      <c r="P536" t="s">
        <v>2422</v>
      </c>
      <c r="Q536" t="s">
        <v>2421</v>
      </c>
      <c r="R536" s="7">
        <v>35339</v>
      </c>
      <c r="S536" s="8">
        <f t="shared" si="64"/>
        <v>1996</v>
      </c>
      <c r="T536" s="8">
        <v>1996</v>
      </c>
      <c r="U536" s="8">
        <f t="shared" si="65"/>
        <v>26</v>
      </c>
      <c r="V536" s="7">
        <v>35339</v>
      </c>
      <c r="W536" t="s">
        <v>544</v>
      </c>
      <c r="X536" s="2">
        <v>0.39600000000000002</v>
      </c>
      <c r="Y536" s="6">
        <f t="shared" si="66"/>
        <v>1.0570993833586931E-2</v>
      </c>
      <c r="AA536">
        <v>8858985</v>
      </c>
      <c r="AB536">
        <v>25993</v>
      </c>
      <c r="AD536" t="s">
        <v>1</v>
      </c>
      <c r="AE536">
        <v>11</v>
      </c>
      <c r="AF536">
        <v>10</v>
      </c>
      <c r="AH536" t="s">
        <v>2420</v>
      </c>
      <c r="AL536">
        <v>27</v>
      </c>
      <c r="AM536" s="5">
        <f t="shared" si="67"/>
        <v>1.0384615384615385</v>
      </c>
      <c r="AN536" s="4">
        <f t="shared" si="68"/>
        <v>1.572830804182565E-3</v>
      </c>
      <c r="AO536" s="3"/>
      <c r="AP536">
        <v>0</v>
      </c>
      <c r="AR536" t="s">
        <v>0</v>
      </c>
      <c r="AT536" s="2" t="s">
        <v>9</v>
      </c>
      <c r="AU536" s="1">
        <f t="shared" si="69"/>
        <v>0.78715449247656211</v>
      </c>
      <c r="AV536" s="1">
        <f t="shared" si="70"/>
        <v>0.60719123188847479</v>
      </c>
      <c r="AW536" s="1">
        <f t="shared" si="71"/>
        <v>0.42722797130038748</v>
      </c>
    </row>
    <row r="537" spans="1:49" x14ac:dyDescent="0.2">
      <c r="A537">
        <v>535</v>
      </c>
      <c r="B537" t="s">
        <v>2419</v>
      </c>
      <c r="C537" t="s">
        <v>2418</v>
      </c>
      <c r="D537">
        <v>22169495029702</v>
      </c>
      <c r="F537" t="s">
        <v>2417</v>
      </c>
      <c r="G537" t="s">
        <v>6</v>
      </c>
      <c r="H537" t="s">
        <v>5</v>
      </c>
      <c r="I537" t="s">
        <v>2416</v>
      </c>
      <c r="J537" t="s">
        <v>2415</v>
      </c>
      <c r="K537" t="s">
        <v>2414</v>
      </c>
      <c r="L537" t="s">
        <v>2413</v>
      </c>
      <c r="M537" t="s">
        <v>13</v>
      </c>
      <c r="N537">
        <v>2</v>
      </c>
      <c r="O537" t="s">
        <v>2412</v>
      </c>
      <c r="P537" t="s">
        <v>2411</v>
      </c>
      <c r="Q537" t="s">
        <v>2410</v>
      </c>
      <c r="R537" s="7">
        <v>35339</v>
      </c>
      <c r="S537" s="8">
        <f t="shared" si="64"/>
        <v>1996</v>
      </c>
      <c r="T537" s="8">
        <v>1996</v>
      </c>
      <c r="U537" s="8">
        <f t="shared" si="65"/>
        <v>26</v>
      </c>
      <c r="V537" s="7">
        <v>35339</v>
      </c>
      <c r="W537" t="s">
        <v>2409</v>
      </c>
      <c r="X537" s="2">
        <v>1.6839999999999999</v>
      </c>
      <c r="Y537" s="6">
        <f t="shared" si="66"/>
        <v>4.495341822161715E-2</v>
      </c>
      <c r="AA537">
        <v>221694</v>
      </c>
      <c r="AB537">
        <v>50089</v>
      </c>
      <c r="AD537" t="s">
        <v>1</v>
      </c>
      <c r="AE537">
        <v>184</v>
      </c>
      <c r="AF537" s="9">
        <v>44228</v>
      </c>
      <c r="AH537" t="s">
        <v>2408</v>
      </c>
      <c r="AI537" t="s">
        <v>2407</v>
      </c>
      <c r="AK537" t="s">
        <v>2406</v>
      </c>
      <c r="AL537">
        <v>497</v>
      </c>
      <c r="AM537" s="5">
        <f t="shared" si="67"/>
        <v>19.115384615384617</v>
      </c>
      <c r="AN537" s="4">
        <f t="shared" si="68"/>
        <v>2.8951737395508697E-2</v>
      </c>
      <c r="AO537" s="3"/>
      <c r="AP537">
        <v>0</v>
      </c>
      <c r="AQ537" t="s">
        <v>54</v>
      </c>
      <c r="AR537" t="s">
        <v>2405</v>
      </c>
      <c r="AS537" t="s">
        <v>53</v>
      </c>
      <c r="AT537" s="2">
        <v>5.7220000000000004</v>
      </c>
      <c r="AU537" s="1">
        <f t="shared" si="69"/>
        <v>4.0152913973784603</v>
      </c>
      <c r="AV537" s="1">
        <f t="shared" si="70"/>
        <v>3.6952577808562923</v>
      </c>
      <c r="AW537" s="1">
        <f t="shared" si="71"/>
        <v>3.375224164334123</v>
      </c>
    </row>
    <row r="538" spans="1:49" x14ac:dyDescent="0.2">
      <c r="A538">
        <v>536</v>
      </c>
      <c r="B538" t="s">
        <v>2404</v>
      </c>
      <c r="C538" t="s">
        <v>2403</v>
      </c>
      <c r="E538">
        <v>8855320</v>
      </c>
      <c r="F538" t="s">
        <v>2402</v>
      </c>
      <c r="G538" t="s">
        <v>6</v>
      </c>
      <c r="H538" t="s">
        <v>5</v>
      </c>
      <c r="I538" t="s">
        <v>2401</v>
      </c>
      <c r="J538" t="s">
        <v>2400</v>
      </c>
      <c r="K538" t="s">
        <v>2399</v>
      </c>
      <c r="L538" t="s">
        <v>2398</v>
      </c>
      <c r="M538" t="s">
        <v>2397</v>
      </c>
      <c r="N538">
        <v>6</v>
      </c>
      <c r="O538" t="s">
        <v>2396</v>
      </c>
      <c r="P538" t="s">
        <v>2395</v>
      </c>
      <c r="Q538" t="s">
        <v>2394</v>
      </c>
      <c r="R538" s="7">
        <v>35339</v>
      </c>
      <c r="S538" s="8">
        <f t="shared" si="64"/>
        <v>1996</v>
      </c>
      <c r="T538" s="8">
        <v>1996</v>
      </c>
      <c r="U538" s="8">
        <f t="shared" si="65"/>
        <v>26</v>
      </c>
      <c r="V538" s="7">
        <v>35339</v>
      </c>
      <c r="W538" t="s">
        <v>740</v>
      </c>
      <c r="X538" s="2">
        <v>5.0110000000000001</v>
      </c>
      <c r="Y538" s="6">
        <f t="shared" si="66"/>
        <v>0.13376578308107098</v>
      </c>
      <c r="AA538">
        <v>278424</v>
      </c>
      <c r="AB538">
        <v>21121</v>
      </c>
      <c r="AD538" t="s">
        <v>1</v>
      </c>
      <c r="AE538">
        <v>93</v>
      </c>
      <c r="AF538">
        <v>20</v>
      </c>
      <c r="AH538" t="s">
        <v>2393</v>
      </c>
      <c r="AI538" t="s">
        <v>2392</v>
      </c>
      <c r="AJ538" t="s">
        <v>2391</v>
      </c>
      <c r="AK538" t="s">
        <v>2390</v>
      </c>
      <c r="AL538">
        <v>130</v>
      </c>
      <c r="AM538" s="5">
        <f t="shared" si="67"/>
        <v>5</v>
      </c>
      <c r="AN538" s="4">
        <f t="shared" si="68"/>
        <v>7.5728890571753124E-3</v>
      </c>
      <c r="AO538" s="3"/>
      <c r="AP538">
        <v>1</v>
      </c>
      <c r="AR538" t="s">
        <v>0</v>
      </c>
      <c r="AT538" s="2" t="s">
        <v>9</v>
      </c>
      <c r="AU538" s="1">
        <f t="shared" si="69"/>
        <v>9.5907914873902289</v>
      </c>
      <c r="AV538" s="1">
        <f t="shared" si="70"/>
        <v>7.0669336069123148</v>
      </c>
      <c r="AW538" s="1">
        <f t="shared" si="71"/>
        <v>4.5430757264344015</v>
      </c>
    </row>
    <row r="539" spans="1:49" x14ac:dyDescent="0.2">
      <c r="A539">
        <v>537</v>
      </c>
      <c r="B539" t="s">
        <v>2389</v>
      </c>
      <c r="C539" t="s">
        <v>2388</v>
      </c>
      <c r="D539" t="s">
        <v>2387</v>
      </c>
      <c r="F539" t="s">
        <v>2386</v>
      </c>
      <c r="G539" t="s">
        <v>6</v>
      </c>
      <c r="H539" t="s">
        <v>5</v>
      </c>
      <c r="I539" t="s">
        <v>2385</v>
      </c>
      <c r="J539">
        <v>60011047</v>
      </c>
      <c r="K539" t="s">
        <v>320</v>
      </c>
      <c r="L539" t="s">
        <v>319</v>
      </c>
      <c r="M539" t="s">
        <v>44</v>
      </c>
      <c r="N539">
        <v>3</v>
      </c>
      <c r="O539" t="s">
        <v>2384</v>
      </c>
      <c r="P539" t="s">
        <v>2383</v>
      </c>
      <c r="Q539" t="s">
        <v>318</v>
      </c>
      <c r="R539" s="7">
        <v>35339</v>
      </c>
      <c r="S539" s="8">
        <f t="shared" si="64"/>
        <v>1996</v>
      </c>
      <c r="T539" s="8">
        <v>1996</v>
      </c>
      <c r="U539" s="8">
        <f t="shared" si="65"/>
        <v>26</v>
      </c>
      <c r="V539" s="7">
        <v>35339</v>
      </c>
      <c r="W539" t="s">
        <v>2382</v>
      </c>
      <c r="X539" s="2" t="s">
        <v>9</v>
      </c>
      <c r="Y539" s="6" t="e">
        <f t="shared" si="66"/>
        <v>#VALUE!</v>
      </c>
      <c r="AA539">
        <v>9215107</v>
      </c>
      <c r="AB539">
        <v>17812</v>
      </c>
      <c r="AD539" t="s">
        <v>1</v>
      </c>
      <c r="AE539">
        <v>41</v>
      </c>
      <c r="AF539">
        <v>1</v>
      </c>
      <c r="AH539" t="s">
        <v>2381</v>
      </c>
      <c r="AI539" t="s">
        <v>2380</v>
      </c>
      <c r="AJ539" t="s">
        <v>2379</v>
      </c>
      <c r="AK539" t="s">
        <v>2378</v>
      </c>
      <c r="AL539">
        <v>40</v>
      </c>
      <c r="AM539" s="5">
        <f t="shared" si="67"/>
        <v>1.5384615384615385</v>
      </c>
      <c r="AN539" s="4">
        <f t="shared" si="68"/>
        <v>2.3301197099000965E-3</v>
      </c>
      <c r="AO539" s="3"/>
      <c r="AP539">
        <v>0</v>
      </c>
      <c r="AR539" t="s">
        <v>0</v>
      </c>
      <c r="AT539" s="2" t="s">
        <v>9</v>
      </c>
      <c r="AU539" s="1" t="e">
        <f t="shared" si="69"/>
        <v>#VALUE!</v>
      </c>
      <c r="AV539" s="1" t="e">
        <f t="shared" si="70"/>
        <v>#VALUE!</v>
      </c>
      <c r="AW539" s="1" t="e">
        <f t="shared" si="71"/>
        <v>#VALUE!</v>
      </c>
    </row>
    <row r="540" spans="1:49" x14ac:dyDescent="0.2">
      <c r="A540">
        <v>538</v>
      </c>
      <c r="B540" t="s">
        <v>2377</v>
      </c>
      <c r="C540" t="s">
        <v>2376</v>
      </c>
      <c r="D540">
        <v>375960196005737</v>
      </c>
      <c r="F540" t="s">
        <v>2375</v>
      </c>
      <c r="G540" t="s">
        <v>6</v>
      </c>
      <c r="H540" t="s">
        <v>5</v>
      </c>
      <c r="I540" t="s">
        <v>2374</v>
      </c>
      <c r="J540">
        <v>60026859</v>
      </c>
      <c r="K540" t="s">
        <v>504</v>
      </c>
      <c r="L540" t="s">
        <v>503</v>
      </c>
      <c r="M540" t="s">
        <v>179</v>
      </c>
      <c r="N540">
        <v>3</v>
      </c>
      <c r="O540" t="s">
        <v>2373</v>
      </c>
      <c r="P540" t="s">
        <v>2372</v>
      </c>
      <c r="Q540" t="s">
        <v>502</v>
      </c>
      <c r="R540" s="7">
        <v>35338</v>
      </c>
      <c r="S540" s="8">
        <f t="shared" si="64"/>
        <v>1996</v>
      </c>
      <c r="T540" s="8">
        <v>1996</v>
      </c>
      <c r="U540" s="8">
        <f t="shared" si="65"/>
        <v>26</v>
      </c>
      <c r="V540" s="7">
        <v>35338</v>
      </c>
      <c r="W540" t="s">
        <v>626</v>
      </c>
      <c r="X540" s="2">
        <v>0.499</v>
      </c>
      <c r="Y540" s="6">
        <f t="shared" si="66"/>
        <v>1.332052000747444E-2</v>
      </c>
      <c r="AA540">
        <v>3759601</v>
      </c>
      <c r="AB540">
        <v>29464</v>
      </c>
      <c r="AD540" t="s">
        <v>1</v>
      </c>
      <c r="AE540">
        <v>221</v>
      </c>
      <c r="AF540" s="9">
        <v>44289</v>
      </c>
      <c r="AH540" t="s">
        <v>2371</v>
      </c>
      <c r="AI540" t="s">
        <v>2370</v>
      </c>
      <c r="AJ540" t="s">
        <v>2369</v>
      </c>
      <c r="AK540" t="s">
        <v>2368</v>
      </c>
      <c r="AL540">
        <v>12</v>
      </c>
      <c r="AM540" s="5">
        <f t="shared" si="67"/>
        <v>0.46153846153846156</v>
      </c>
      <c r="AN540" s="4">
        <f t="shared" si="68"/>
        <v>6.9903591297002887E-4</v>
      </c>
      <c r="AO540" s="3"/>
      <c r="AP540">
        <v>0</v>
      </c>
      <c r="AR540" t="s">
        <v>0</v>
      </c>
      <c r="AS540" t="s">
        <v>2160</v>
      </c>
      <c r="AT540" s="2" t="s">
        <v>9</v>
      </c>
      <c r="AU540" s="1">
        <f t="shared" si="69"/>
        <v>0.95340747791231162</v>
      </c>
      <c r="AV540" s="1">
        <f t="shared" si="70"/>
        <v>0.70097779602222343</v>
      </c>
      <c r="AW540" s="1">
        <f t="shared" si="71"/>
        <v>0.44854811413213524</v>
      </c>
    </row>
    <row r="541" spans="1:49" x14ac:dyDescent="0.2">
      <c r="A541">
        <v>539</v>
      </c>
      <c r="B541" t="s">
        <v>2367</v>
      </c>
      <c r="C541" t="s">
        <v>2366</v>
      </c>
      <c r="E541">
        <v>8798563</v>
      </c>
      <c r="F541" t="s">
        <v>2365</v>
      </c>
      <c r="G541" t="s">
        <v>6</v>
      </c>
      <c r="H541" t="s">
        <v>5</v>
      </c>
      <c r="I541" t="s">
        <v>2364</v>
      </c>
      <c r="J541">
        <v>60023643</v>
      </c>
      <c r="K541" t="s">
        <v>2363</v>
      </c>
      <c r="L541" t="s">
        <v>2362</v>
      </c>
      <c r="M541" t="s">
        <v>19</v>
      </c>
      <c r="N541">
        <v>3</v>
      </c>
      <c r="O541" t="s">
        <v>2361</v>
      </c>
      <c r="P541" t="s">
        <v>2360</v>
      </c>
      <c r="Q541" t="s">
        <v>2359</v>
      </c>
      <c r="R541" s="7">
        <v>35338</v>
      </c>
      <c r="S541" s="8">
        <f t="shared" si="64"/>
        <v>1996</v>
      </c>
      <c r="T541" s="8">
        <v>1996</v>
      </c>
      <c r="U541" s="8">
        <f t="shared" si="65"/>
        <v>26</v>
      </c>
      <c r="V541" s="7">
        <v>1996</v>
      </c>
      <c r="W541" t="s">
        <v>590</v>
      </c>
      <c r="X541" s="2">
        <v>2.3610000000000002</v>
      </c>
      <c r="Y541" s="6">
        <f t="shared" si="66"/>
        <v>6.3025546568431179E-2</v>
      </c>
      <c r="AA541">
        <v>219258</v>
      </c>
      <c r="AB541">
        <v>17592</v>
      </c>
      <c r="AD541" t="s">
        <v>1</v>
      </c>
      <c r="AE541">
        <v>271</v>
      </c>
      <c r="AF541">
        <v>38</v>
      </c>
      <c r="AH541" t="s">
        <v>2358</v>
      </c>
      <c r="AI541" t="s">
        <v>2357</v>
      </c>
      <c r="AK541" t="s">
        <v>2356</v>
      </c>
      <c r="AL541">
        <v>39</v>
      </c>
      <c r="AM541" s="5">
        <f t="shared" si="67"/>
        <v>1.5</v>
      </c>
      <c r="AN541" s="4">
        <f t="shared" si="68"/>
        <v>2.2718667171525938E-3</v>
      </c>
      <c r="AO541" s="3"/>
      <c r="AP541">
        <v>1</v>
      </c>
      <c r="AR541" t="s">
        <v>0</v>
      </c>
      <c r="AT541" s="2">
        <v>5.157</v>
      </c>
      <c r="AU541" s="1">
        <f t="shared" si="69"/>
        <v>4.4799442613047598</v>
      </c>
      <c r="AV541" s="1">
        <f t="shared" si="70"/>
        <v>3.2648706642791887</v>
      </c>
      <c r="AW541" s="1">
        <f t="shared" si="71"/>
        <v>2.0497970672536168</v>
      </c>
    </row>
    <row r="542" spans="1:49" x14ac:dyDescent="0.2">
      <c r="A542">
        <v>540</v>
      </c>
      <c r="B542" t="s">
        <v>2355</v>
      </c>
      <c r="C542" t="s">
        <v>2354</v>
      </c>
      <c r="E542">
        <v>8810914</v>
      </c>
      <c r="F542" t="s">
        <v>2353</v>
      </c>
      <c r="G542" t="s">
        <v>6</v>
      </c>
      <c r="H542" t="s">
        <v>5</v>
      </c>
      <c r="I542" t="s">
        <v>2352</v>
      </c>
      <c r="J542" t="s">
        <v>2351</v>
      </c>
      <c r="K542" t="s">
        <v>2350</v>
      </c>
      <c r="L542" t="s">
        <v>2349</v>
      </c>
      <c r="M542" t="s">
        <v>173</v>
      </c>
      <c r="N542">
        <v>4</v>
      </c>
      <c r="O542" t="s">
        <v>2348</v>
      </c>
      <c r="P542" t="s">
        <v>2347</v>
      </c>
      <c r="Q542" t="s">
        <v>2346</v>
      </c>
      <c r="R542" s="7">
        <v>35338</v>
      </c>
      <c r="S542" s="8">
        <f t="shared" si="64"/>
        <v>1996</v>
      </c>
      <c r="T542" s="8">
        <v>1996</v>
      </c>
      <c r="U542" s="8">
        <f t="shared" si="65"/>
        <v>26</v>
      </c>
      <c r="V542" s="7">
        <v>1996</v>
      </c>
      <c r="W542" t="s">
        <v>591</v>
      </c>
      <c r="X542" s="2">
        <v>1.43</v>
      </c>
      <c r="Y542" s="6">
        <f t="shared" si="66"/>
        <v>3.8173033287952803E-2</v>
      </c>
      <c r="AA542">
        <v>62960</v>
      </c>
      <c r="AB542">
        <v>16867</v>
      </c>
      <c r="AD542" t="s">
        <v>1</v>
      </c>
      <c r="AE542">
        <v>35</v>
      </c>
      <c r="AF542">
        <v>37</v>
      </c>
      <c r="AH542" t="s">
        <v>2345</v>
      </c>
      <c r="AI542" t="s">
        <v>2344</v>
      </c>
      <c r="AK542" t="s">
        <v>2343</v>
      </c>
      <c r="AL542">
        <v>23</v>
      </c>
      <c r="AM542" s="5">
        <f t="shared" si="67"/>
        <v>0.88461538461538458</v>
      </c>
      <c r="AN542" s="4">
        <f t="shared" si="68"/>
        <v>1.3398188331925553E-3</v>
      </c>
      <c r="AO542" s="3"/>
      <c r="AP542">
        <v>0</v>
      </c>
      <c r="AQ542" t="s">
        <v>196</v>
      </c>
      <c r="AR542" t="s">
        <v>2342</v>
      </c>
      <c r="AS542" t="s">
        <v>195</v>
      </c>
      <c r="AT542" s="2">
        <v>3.1619999999999999</v>
      </c>
      <c r="AU542" s="1">
        <f t="shared" si="69"/>
        <v>2.7123068951524729</v>
      </c>
      <c r="AV542" s="1">
        <f t="shared" si="70"/>
        <v>1.975642606057268</v>
      </c>
      <c r="AW542" s="1">
        <f t="shared" si="71"/>
        <v>1.238978316962063</v>
      </c>
    </row>
    <row r="543" spans="1:49" x14ac:dyDescent="0.2">
      <c r="A543">
        <v>541</v>
      </c>
      <c r="B543" t="s">
        <v>2341</v>
      </c>
      <c r="C543" t="s">
        <v>2340</v>
      </c>
      <c r="D543">
        <v>304394096129694</v>
      </c>
      <c r="E543">
        <v>8904787</v>
      </c>
      <c r="F543" t="s">
        <v>2339</v>
      </c>
      <c r="G543" t="s">
        <v>6</v>
      </c>
      <c r="H543" t="s">
        <v>5</v>
      </c>
      <c r="I543" t="s">
        <v>2338</v>
      </c>
      <c r="J543">
        <v>100310442</v>
      </c>
      <c r="K543" t="s">
        <v>2337</v>
      </c>
      <c r="L543" t="s">
        <v>592</v>
      </c>
      <c r="M543" t="s">
        <v>44</v>
      </c>
      <c r="N543">
        <v>2</v>
      </c>
      <c r="O543" t="s">
        <v>2336</v>
      </c>
      <c r="P543" t="s">
        <v>2335</v>
      </c>
      <c r="Q543" t="s">
        <v>2334</v>
      </c>
      <c r="R543" s="7">
        <v>35335</v>
      </c>
      <c r="S543" s="8">
        <f t="shared" si="64"/>
        <v>1996</v>
      </c>
      <c r="T543" s="8">
        <v>1996</v>
      </c>
      <c r="U543" s="8">
        <f t="shared" si="65"/>
        <v>26</v>
      </c>
      <c r="V543" s="7">
        <v>35335</v>
      </c>
      <c r="W543" t="s">
        <v>2333</v>
      </c>
      <c r="X543" s="2">
        <v>0.94399999999999995</v>
      </c>
      <c r="Y543" s="6">
        <f t="shared" si="66"/>
        <v>2.5199540855823391E-2</v>
      </c>
      <c r="AA543">
        <v>3043940</v>
      </c>
      <c r="AB543">
        <v>18046</v>
      </c>
      <c r="AD543" t="s">
        <v>1</v>
      </c>
      <c r="AE543">
        <v>216</v>
      </c>
      <c r="AF543">
        <v>2</v>
      </c>
      <c r="AH543" t="s">
        <v>482</v>
      </c>
      <c r="AI543" t="s">
        <v>2332</v>
      </c>
      <c r="AJ543" t="s">
        <v>2331</v>
      </c>
      <c r="AK543" t="s">
        <v>2330</v>
      </c>
      <c r="AL543">
        <v>3</v>
      </c>
      <c r="AM543" s="5">
        <f t="shared" si="67"/>
        <v>0.11538461538461539</v>
      </c>
      <c r="AN543" s="4">
        <f t="shared" si="68"/>
        <v>1.7475897824250722E-4</v>
      </c>
      <c r="AO543" s="3"/>
      <c r="AP543">
        <v>0</v>
      </c>
      <c r="AR543" t="s">
        <v>0</v>
      </c>
      <c r="AT543" s="2">
        <v>3.0459999999999998</v>
      </c>
      <c r="AU543" s="1">
        <f t="shared" si="69"/>
        <v>1.7692106292549123</v>
      </c>
      <c r="AV543" s="1">
        <f t="shared" si="70"/>
        <v>1.2687149917032949</v>
      </c>
      <c r="AW543" s="1">
        <f t="shared" si="71"/>
        <v>0.76821935415167719</v>
      </c>
    </row>
    <row r="544" spans="1:49" x14ac:dyDescent="0.2">
      <c r="A544">
        <v>542</v>
      </c>
      <c r="B544" t="s">
        <v>2329</v>
      </c>
      <c r="C544" t="s">
        <v>2328</v>
      </c>
      <c r="D544">
        <v>375960196004628</v>
      </c>
      <c r="F544" t="s">
        <v>2327</v>
      </c>
      <c r="G544" t="s">
        <v>6</v>
      </c>
      <c r="H544" t="s">
        <v>5</v>
      </c>
      <c r="I544" t="s">
        <v>2326</v>
      </c>
      <c r="J544">
        <v>60032144</v>
      </c>
      <c r="K544" t="s">
        <v>317</v>
      </c>
      <c r="L544" t="s">
        <v>316</v>
      </c>
      <c r="M544" t="s">
        <v>17</v>
      </c>
      <c r="N544">
        <v>3</v>
      </c>
      <c r="O544" t="s">
        <v>2325</v>
      </c>
      <c r="P544" t="s">
        <v>2324</v>
      </c>
      <c r="Q544" t="s">
        <v>315</v>
      </c>
      <c r="R544" s="7">
        <v>35331</v>
      </c>
      <c r="S544" s="8">
        <f t="shared" si="64"/>
        <v>1996</v>
      </c>
      <c r="T544" s="8">
        <v>1996</v>
      </c>
      <c r="U544" s="8">
        <f t="shared" si="65"/>
        <v>26</v>
      </c>
      <c r="V544" s="7">
        <v>35331</v>
      </c>
      <c r="W544" t="s">
        <v>626</v>
      </c>
      <c r="X544" s="2">
        <v>0.499</v>
      </c>
      <c r="Y544" s="6">
        <f t="shared" si="66"/>
        <v>1.332052000747444E-2</v>
      </c>
      <c r="AA544">
        <v>3759601</v>
      </c>
      <c r="AB544">
        <v>29464</v>
      </c>
      <c r="AD544" t="s">
        <v>1</v>
      </c>
      <c r="AE544">
        <v>221</v>
      </c>
      <c r="AF544" s="9">
        <v>44228</v>
      </c>
      <c r="AH544" t="s">
        <v>2323</v>
      </c>
      <c r="AI544" t="s">
        <v>2322</v>
      </c>
      <c r="AJ544" t="s">
        <v>2321</v>
      </c>
      <c r="AK544" t="s">
        <v>2320</v>
      </c>
      <c r="AL544">
        <v>8</v>
      </c>
      <c r="AM544" s="5">
        <f t="shared" si="67"/>
        <v>0.30769230769230771</v>
      </c>
      <c r="AN544" s="4">
        <f t="shared" si="68"/>
        <v>4.6602394198001925E-4</v>
      </c>
      <c r="AO544" s="3"/>
      <c r="AP544">
        <v>0</v>
      </c>
      <c r="AR544" t="s">
        <v>0</v>
      </c>
      <c r="AT544" s="2" t="s">
        <v>9</v>
      </c>
      <c r="AU544" s="1">
        <f t="shared" si="69"/>
        <v>0.94641711878261148</v>
      </c>
      <c r="AV544" s="1">
        <f t="shared" si="70"/>
        <v>0.68932719747272297</v>
      </c>
      <c r="AW544" s="1">
        <f t="shared" si="71"/>
        <v>0.43223727616283453</v>
      </c>
    </row>
    <row r="545" spans="1:49" x14ac:dyDescent="0.2">
      <c r="A545">
        <v>543</v>
      </c>
      <c r="B545" t="s">
        <v>2319</v>
      </c>
      <c r="C545" t="s">
        <v>2318</v>
      </c>
      <c r="D545">
        <v>40402096007405</v>
      </c>
      <c r="F545" t="s">
        <v>2317</v>
      </c>
      <c r="G545" t="s">
        <v>6</v>
      </c>
      <c r="H545" t="s">
        <v>5</v>
      </c>
      <c r="I545" t="s">
        <v>214</v>
      </c>
      <c r="J545">
        <v>60105159</v>
      </c>
      <c r="K545" t="s">
        <v>2155</v>
      </c>
      <c r="L545" t="s">
        <v>2154</v>
      </c>
      <c r="M545" t="s">
        <v>44</v>
      </c>
      <c r="N545">
        <v>4</v>
      </c>
      <c r="O545" t="s">
        <v>2316</v>
      </c>
      <c r="P545" t="s">
        <v>2315</v>
      </c>
      <c r="Q545" t="s">
        <v>2314</v>
      </c>
      <c r="R545" s="7">
        <v>35324</v>
      </c>
      <c r="S545" s="8">
        <f t="shared" si="64"/>
        <v>1996</v>
      </c>
      <c r="T545" s="8">
        <v>1996</v>
      </c>
      <c r="U545" s="8">
        <f t="shared" si="65"/>
        <v>26</v>
      </c>
      <c r="V545" s="7">
        <v>35324</v>
      </c>
      <c r="W545" t="s">
        <v>2313</v>
      </c>
      <c r="X545" s="2">
        <v>0.58099999999999996</v>
      </c>
      <c r="Y545" s="6">
        <f t="shared" si="66"/>
        <v>1.5509463175035369E-2</v>
      </c>
      <c r="AA545">
        <v>404020</v>
      </c>
      <c r="AB545">
        <v>26512</v>
      </c>
      <c r="AD545" t="s">
        <v>1</v>
      </c>
      <c r="AE545">
        <v>52</v>
      </c>
      <c r="AF545">
        <v>38</v>
      </c>
      <c r="AH545" t="s">
        <v>2312</v>
      </c>
      <c r="AI545" t="s">
        <v>2311</v>
      </c>
      <c r="AK545" t="s">
        <v>2310</v>
      </c>
      <c r="AL545">
        <v>97</v>
      </c>
      <c r="AM545" s="5">
        <f t="shared" si="67"/>
        <v>3.7307692307692308</v>
      </c>
      <c r="AN545" s="4">
        <f t="shared" si="68"/>
        <v>5.6505402965077332E-3</v>
      </c>
      <c r="AO545" s="3"/>
      <c r="AP545">
        <v>0</v>
      </c>
      <c r="AQ545" t="s">
        <v>222</v>
      </c>
      <c r="AR545" t="s">
        <v>0</v>
      </c>
      <c r="AS545" t="s">
        <v>221</v>
      </c>
      <c r="AT545" s="2">
        <v>2.4569999999999999</v>
      </c>
      <c r="AU545" s="1">
        <f t="shared" si="69"/>
        <v>1.2551786311477078</v>
      </c>
      <c r="AV545" s="1">
        <f t="shared" si="70"/>
        <v>1.0580001735771551</v>
      </c>
      <c r="AW545" s="1">
        <f t="shared" si="71"/>
        <v>0.8608217160066024</v>
      </c>
    </row>
    <row r="546" spans="1:49" x14ac:dyDescent="0.2">
      <c r="A546">
        <v>544</v>
      </c>
      <c r="B546" t="s">
        <v>2309</v>
      </c>
      <c r="C546" t="s">
        <v>2308</v>
      </c>
      <c r="F546" t="s">
        <v>2307</v>
      </c>
      <c r="G546" t="s">
        <v>6</v>
      </c>
      <c r="H546" t="s">
        <v>5</v>
      </c>
      <c r="I546" t="s">
        <v>2306</v>
      </c>
      <c r="J546">
        <v>60000264</v>
      </c>
      <c r="K546" t="s">
        <v>324</v>
      </c>
      <c r="L546" t="s">
        <v>323</v>
      </c>
      <c r="M546" t="s">
        <v>44</v>
      </c>
      <c r="N546">
        <v>3</v>
      </c>
      <c r="O546" t="s">
        <v>2305</v>
      </c>
      <c r="P546" t="s">
        <v>2304</v>
      </c>
      <c r="Q546" t="s">
        <v>322</v>
      </c>
      <c r="R546" s="7">
        <v>35324</v>
      </c>
      <c r="S546" s="8">
        <f t="shared" si="64"/>
        <v>1996</v>
      </c>
      <c r="T546" s="8">
        <v>1996</v>
      </c>
      <c r="U546" s="8">
        <f t="shared" si="65"/>
        <v>26</v>
      </c>
      <c r="V546" s="7">
        <v>35324</v>
      </c>
      <c r="W546" t="s">
        <v>1132</v>
      </c>
      <c r="X546" s="2">
        <v>1.1819999999999999</v>
      </c>
      <c r="Y546" s="6">
        <f t="shared" si="66"/>
        <v>3.1552814927524625E-2</v>
      </c>
      <c r="AA546">
        <v>36951</v>
      </c>
      <c r="AB546">
        <v>27030</v>
      </c>
      <c r="AD546" t="s">
        <v>1</v>
      </c>
      <c r="AE546">
        <v>69</v>
      </c>
      <c r="AF546">
        <v>12</v>
      </c>
      <c r="AH546" t="s">
        <v>2303</v>
      </c>
      <c r="AI546" t="s">
        <v>2302</v>
      </c>
      <c r="AK546" t="s">
        <v>2301</v>
      </c>
      <c r="AL546">
        <v>29</v>
      </c>
      <c r="AM546" s="5">
        <f t="shared" si="67"/>
        <v>1.1153846153846154</v>
      </c>
      <c r="AN546" s="4">
        <f t="shared" si="68"/>
        <v>1.6893367896775697E-3</v>
      </c>
      <c r="AO546" s="3"/>
      <c r="AP546">
        <v>0</v>
      </c>
      <c r="AR546" t="s">
        <v>0</v>
      </c>
      <c r="AT546" s="2">
        <v>3.7909999999999999</v>
      </c>
      <c r="AU546" s="1">
        <f t="shared" si="69"/>
        <v>2.2593771486170504</v>
      </c>
      <c r="AV546" s="1">
        <f t="shared" si="70"/>
        <v>1.66210758586011</v>
      </c>
      <c r="AW546" s="1">
        <f t="shared" si="71"/>
        <v>1.0648380231031687</v>
      </c>
    </row>
    <row r="547" spans="1:49" x14ac:dyDescent="0.2">
      <c r="A547">
        <v>545</v>
      </c>
      <c r="B547" t="s">
        <v>2300</v>
      </c>
      <c r="C547" t="s">
        <v>2299</v>
      </c>
      <c r="E547">
        <v>8795636</v>
      </c>
      <c r="F547" t="s">
        <v>2298</v>
      </c>
      <c r="G547" t="s">
        <v>6</v>
      </c>
      <c r="H547" t="s">
        <v>5</v>
      </c>
      <c r="I547" t="s">
        <v>2297</v>
      </c>
      <c r="J547" t="s">
        <v>2296</v>
      </c>
      <c r="K547" t="s">
        <v>2295</v>
      </c>
      <c r="L547" t="s">
        <v>2294</v>
      </c>
      <c r="M547" t="s">
        <v>13</v>
      </c>
      <c r="N547">
        <v>2</v>
      </c>
      <c r="O547" t="s">
        <v>2293</v>
      </c>
      <c r="P547" t="s">
        <v>2292</v>
      </c>
      <c r="Q547" t="s">
        <v>2291</v>
      </c>
      <c r="R547" s="7">
        <v>35323</v>
      </c>
      <c r="S547" s="8">
        <f t="shared" si="64"/>
        <v>1996</v>
      </c>
      <c r="T547" s="8">
        <v>1996</v>
      </c>
      <c r="U547" s="8">
        <f t="shared" si="65"/>
        <v>26</v>
      </c>
      <c r="V547" s="7">
        <v>35323</v>
      </c>
      <c r="W547" t="s">
        <v>2276</v>
      </c>
      <c r="X547" s="2">
        <v>3.4830000000000001</v>
      </c>
      <c r="Y547" s="6">
        <f t="shared" si="66"/>
        <v>9.2976695763594144E-2</v>
      </c>
      <c r="AA547">
        <v>2706474</v>
      </c>
      <c r="AB547">
        <v>16764</v>
      </c>
      <c r="AD547" t="s">
        <v>1</v>
      </c>
      <c r="AE547">
        <v>16</v>
      </c>
      <c r="AF547">
        <v>18</v>
      </c>
      <c r="AH547" t="s">
        <v>2290</v>
      </c>
      <c r="AI547" t="s">
        <v>2289</v>
      </c>
      <c r="AJ547" t="s">
        <v>2288</v>
      </c>
      <c r="AK547" t="s">
        <v>2287</v>
      </c>
      <c r="AL547">
        <v>36</v>
      </c>
      <c r="AM547" s="5">
        <f t="shared" si="67"/>
        <v>1.3846153846153846</v>
      </c>
      <c r="AN547" s="4">
        <f t="shared" si="68"/>
        <v>2.0971077389100863E-3</v>
      </c>
      <c r="AO547" s="3"/>
      <c r="AP547">
        <v>1</v>
      </c>
      <c r="AR547" t="s">
        <v>0</v>
      </c>
      <c r="AT547" s="2">
        <v>6.1669999999999998</v>
      </c>
      <c r="AU547" s="1">
        <f t="shared" si="69"/>
        <v>6.5712819356188916</v>
      </c>
      <c r="AV547" s="1">
        <f t="shared" si="70"/>
        <v>4.7536901751252119</v>
      </c>
      <c r="AW547" s="1">
        <f t="shared" si="71"/>
        <v>2.9360984146315303</v>
      </c>
    </row>
    <row r="548" spans="1:49" x14ac:dyDescent="0.2">
      <c r="A548">
        <v>546</v>
      </c>
      <c r="B548" t="s">
        <v>2286</v>
      </c>
      <c r="C548" t="s">
        <v>2285</v>
      </c>
      <c r="E548">
        <v>8795635</v>
      </c>
      <c r="F548" t="s">
        <v>2284</v>
      </c>
      <c r="G548" t="s">
        <v>6</v>
      </c>
      <c r="H548" t="s">
        <v>5</v>
      </c>
      <c r="I548" t="s">
        <v>2283</v>
      </c>
      <c r="J548" t="s">
        <v>2282</v>
      </c>
      <c r="K548" t="s">
        <v>2281</v>
      </c>
      <c r="L548" t="s">
        <v>2280</v>
      </c>
      <c r="M548" t="s">
        <v>13</v>
      </c>
      <c r="N548">
        <v>2</v>
      </c>
      <c r="O548" t="s">
        <v>2279</v>
      </c>
      <c r="P548" t="s">
        <v>2278</v>
      </c>
      <c r="Q548" t="s">
        <v>2277</v>
      </c>
      <c r="R548" s="7">
        <v>35323</v>
      </c>
      <c r="S548" s="8">
        <f t="shared" si="64"/>
        <v>1996</v>
      </c>
      <c r="T548" s="8">
        <v>1996</v>
      </c>
      <c r="U548" s="8">
        <f t="shared" si="65"/>
        <v>26</v>
      </c>
      <c r="V548" s="7">
        <v>35323</v>
      </c>
      <c r="W548" t="s">
        <v>2276</v>
      </c>
      <c r="X548" s="2">
        <v>3.4830000000000001</v>
      </c>
      <c r="Y548" s="6">
        <f t="shared" si="66"/>
        <v>9.2976695763594144E-2</v>
      </c>
      <c r="AA548">
        <v>2706474</v>
      </c>
      <c r="AB548">
        <v>16764</v>
      </c>
      <c r="AD548" t="s">
        <v>1</v>
      </c>
      <c r="AE548">
        <v>16</v>
      </c>
      <c r="AF548">
        <v>18</v>
      </c>
      <c r="AH548" t="s">
        <v>2275</v>
      </c>
      <c r="AI548" t="s">
        <v>2274</v>
      </c>
      <c r="AJ548" t="s">
        <v>2273</v>
      </c>
      <c r="AK548" t="s">
        <v>2272</v>
      </c>
      <c r="AL548">
        <v>48</v>
      </c>
      <c r="AM548" s="5">
        <f t="shared" si="67"/>
        <v>1.8461538461538463</v>
      </c>
      <c r="AN548" s="4">
        <f t="shared" si="68"/>
        <v>2.7961436518801155E-3</v>
      </c>
      <c r="AO548" s="3"/>
      <c r="AP548">
        <v>1</v>
      </c>
      <c r="AR548" t="s">
        <v>0</v>
      </c>
      <c r="AT548" s="2">
        <v>6.1669999999999998</v>
      </c>
      <c r="AU548" s="1">
        <f t="shared" si="69"/>
        <v>6.5922530130079924</v>
      </c>
      <c r="AV548" s="1">
        <f t="shared" si="70"/>
        <v>4.7886419707737131</v>
      </c>
      <c r="AW548" s="1">
        <f t="shared" si="71"/>
        <v>2.9850309285394325</v>
      </c>
    </row>
    <row r="549" spans="1:49" x14ac:dyDescent="0.2">
      <c r="A549">
        <v>547</v>
      </c>
      <c r="B549" t="s">
        <v>2271</v>
      </c>
      <c r="C549" t="s">
        <v>2270</v>
      </c>
      <c r="F549" t="s">
        <v>2269</v>
      </c>
      <c r="G549" t="s">
        <v>6</v>
      </c>
      <c r="H549" t="s">
        <v>5</v>
      </c>
      <c r="I549" t="s">
        <v>2268</v>
      </c>
      <c r="J549">
        <v>60000745</v>
      </c>
      <c r="K549" t="s">
        <v>169</v>
      </c>
      <c r="L549" t="s">
        <v>168</v>
      </c>
      <c r="M549" t="s">
        <v>2</v>
      </c>
      <c r="N549">
        <v>2</v>
      </c>
      <c r="O549" t="s">
        <v>2267</v>
      </c>
      <c r="P549" t="s">
        <v>2266</v>
      </c>
      <c r="Q549" t="s">
        <v>167</v>
      </c>
      <c r="R549" s="7">
        <v>35320</v>
      </c>
      <c r="S549" s="8">
        <f t="shared" si="64"/>
        <v>1996</v>
      </c>
      <c r="T549" s="8">
        <v>1996</v>
      </c>
      <c r="U549" s="8">
        <f t="shared" si="65"/>
        <v>26</v>
      </c>
      <c r="V549" s="7">
        <v>35320</v>
      </c>
      <c r="W549" t="s">
        <v>358</v>
      </c>
      <c r="X549" s="2">
        <v>0.375</v>
      </c>
      <c r="Y549" s="6">
        <f t="shared" si="66"/>
        <v>1.0010410827260351E-2</v>
      </c>
      <c r="AA549">
        <v>135194</v>
      </c>
      <c r="AB549">
        <v>24918</v>
      </c>
      <c r="AD549" t="s">
        <v>1</v>
      </c>
      <c r="AE549">
        <v>32</v>
      </c>
      <c r="AF549">
        <v>19</v>
      </c>
      <c r="AH549" t="s">
        <v>2265</v>
      </c>
      <c r="AI549" t="s">
        <v>2264</v>
      </c>
      <c r="AJ549" t="s">
        <v>2263</v>
      </c>
      <c r="AK549" t="s">
        <v>2262</v>
      </c>
      <c r="AL549">
        <v>48</v>
      </c>
      <c r="AM549" s="5">
        <f t="shared" si="67"/>
        <v>1.8461538461538463</v>
      </c>
      <c r="AN549" s="4">
        <f t="shared" si="68"/>
        <v>2.7961436518801155E-3</v>
      </c>
      <c r="AO549" s="3"/>
      <c r="AP549">
        <v>0</v>
      </c>
      <c r="AR549" t="s">
        <v>0</v>
      </c>
      <c r="AT549" s="2">
        <v>1.3140000000000001</v>
      </c>
      <c r="AU549" s="1">
        <f t="shared" si="69"/>
        <v>0.784613067464628</v>
      </c>
      <c r="AV549" s="1">
        <f t="shared" si="70"/>
        <v>0.64032772395702331</v>
      </c>
      <c r="AW549" s="1">
        <f t="shared" si="71"/>
        <v>0.49604238044941862</v>
      </c>
    </row>
    <row r="550" spans="1:49" x14ac:dyDescent="0.2">
      <c r="A550">
        <v>548</v>
      </c>
      <c r="B550" t="s">
        <v>2261</v>
      </c>
      <c r="C550" t="s">
        <v>2260</v>
      </c>
      <c r="F550" t="s">
        <v>2259</v>
      </c>
      <c r="G550" t="s">
        <v>6</v>
      </c>
      <c r="H550" t="s">
        <v>5</v>
      </c>
      <c r="I550" t="s">
        <v>680</v>
      </c>
      <c r="J550">
        <v>60018714</v>
      </c>
      <c r="K550" t="s">
        <v>679</v>
      </c>
      <c r="L550" t="s">
        <v>64</v>
      </c>
      <c r="M550" t="s">
        <v>41</v>
      </c>
      <c r="N550">
        <v>3</v>
      </c>
      <c r="O550" t="s">
        <v>2258</v>
      </c>
      <c r="P550" t="s">
        <v>2257</v>
      </c>
      <c r="Q550" t="s">
        <v>2256</v>
      </c>
      <c r="R550" s="7">
        <v>35320</v>
      </c>
      <c r="S550" s="8">
        <f t="shared" si="64"/>
        <v>1996</v>
      </c>
      <c r="T550" s="8">
        <v>1996</v>
      </c>
      <c r="U550" s="8">
        <f t="shared" si="65"/>
        <v>26</v>
      </c>
      <c r="V550" s="7">
        <v>35320</v>
      </c>
      <c r="W550" t="s">
        <v>358</v>
      </c>
      <c r="X550" s="2">
        <v>0.375</v>
      </c>
      <c r="Y550" s="6">
        <f t="shared" si="66"/>
        <v>1.0010410827260351E-2</v>
      </c>
      <c r="AA550">
        <v>135194</v>
      </c>
      <c r="AB550">
        <v>24918</v>
      </c>
      <c r="AD550" t="s">
        <v>1</v>
      </c>
      <c r="AE550">
        <v>32</v>
      </c>
      <c r="AF550">
        <v>19</v>
      </c>
      <c r="AH550" t="s">
        <v>2255</v>
      </c>
      <c r="AI550" t="s">
        <v>2254</v>
      </c>
      <c r="AJ550" t="s">
        <v>682</v>
      </c>
      <c r="AK550" t="s">
        <v>2253</v>
      </c>
      <c r="AL550">
        <v>41</v>
      </c>
      <c r="AM550" s="5">
        <f t="shared" si="67"/>
        <v>1.5769230769230769</v>
      </c>
      <c r="AN550" s="4">
        <f t="shared" si="68"/>
        <v>2.3883727026475982E-3</v>
      </c>
      <c r="AO550" s="3"/>
      <c r="AP550">
        <v>0</v>
      </c>
      <c r="AR550" t="s">
        <v>0</v>
      </c>
      <c r="AT550" s="2">
        <v>1.3140000000000001</v>
      </c>
      <c r="AU550" s="1">
        <f t="shared" si="69"/>
        <v>0.77237993898765256</v>
      </c>
      <c r="AV550" s="1">
        <f t="shared" si="70"/>
        <v>0.61993917649539743</v>
      </c>
      <c r="AW550" s="1">
        <f t="shared" si="71"/>
        <v>0.4674984140031424</v>
      </c>
    </row>
    <row r="551" spans="1:49" x14ac:dyDescent="0.2">
      <c r="A551">
        <v>549</v>
      </c>
      <c r="B551" t="s">
        <v>2252</v>
      </c>
      <c r="C551" t="s">
        <v>2251</v>
      </c>
      <c r="F551" t="s">
        <v>2250</v>
      </c>
      <c r="G551" t="s">
        <v>6</v>
      </c>
      <c r="H551" t="s">
        <v>5</v>
      </c>
      <c r="I551" t="s">
        <v>2249</v>
      </c>
      <c r="J551">
        <v>60024495</v>
      </c>
      <c r="K551" t="s">
        <v>2248</v>
      </c>
      <c r="L551" t="s">
        <v>2247</v>
      </c>
      <c r="M551" t="s">
        <v>17</v>
      </c>
      <c r="N551">
        <v>2</v>
      </c>
      <c r="O551" t="s">
        <v>2246</v>
      </c>
      <c r="P551" t="s">
        <v>2245</v>
      </c>
      <c r="Q551" t="s">
        <v>2244</v>
      </c>
      <c r="R551" s="7">
        <v>35320</v>
      </c>
      <c r="S551" s="8">
        <f t="shared" si="64"/>
        <v>1996</v>
      </c>
      <c r="T551" s="8">
        <v>1996</v>
      </c>
      <c r="U551" s="8">
        <f t="shared" si="65"/>
        <v>26</v>
      </c>
      <c r="V551" s="7">
        <v>35320</v>
      </c>
      <c r="W551" t="s">
        <v>358</v>
      </c>
      <c r="X551" s="2">
        <v>0.375</v>
      </c>
      <c r="Y551" s="6">
        <f t="shared" si="66"/>
        <v>1.0010410827260351E-2</v>
      </c>
      <c r="AA551">
        <v>135194</v>
      </c>
      <c r="AB551">
        <v>24918</v>
      </c>
      <c r="AD551" t="s">
        <v>1</v>
      </c>
      <c r="AE551">
        <v>32</v>
      </c>
      <c r="AF551">
        <v>19</v>
      </c>
      <c r="AH551" t="s">
        <v>2243</v>
      </c>
      <c r="AI551" t="s">
        <v>2242</v>
      </c>
      <c r="AJ551" t="s">
        <v>2241</v>
      </c>
      <c r="AK551" t="s">
        <v>2240</v>
      </c>
      <c r="AL551">
        <v>6</v>
      </c>
      <c r="AM551" s="5">
        <f t="shared" si="67"/>
        <v>0.23076923076923078</v>
      </c>
      <c r="AN551" s="4">
        <f t="shared" si="68"/>
        <v>3.4951795648501444E-4</v>
      </c>
      <c r="AO551" s="3"/>
      <c r="AP551">
        <v>0</v>
      </c>
      <c r="AR551" t="s">
        <v>0</v>
      </c>
      <c r="AT551" s="2">
        <v>1.3140000000000001</v>
      </c>
      <c r="AU551" s="1">
        <f t="shared" si="69"/>
        <v>0.71121429660277502</v>
      </c>
      <c r="AV551" s="1">
        <f t="shared" si="70"/>
        <v>0.51799643918726834</v>
      </c>
      <c r="AW551" s="1">
        <f t="shared" si="71"/>
        <v>0.32477858177176155</v>
      </c>
    </row>
    <row r="552" spans="1:49" x14ac:dyDescent="0.2">
      <c r="A552">
        <v>550</v>
      </c>
      <c r="B552" t="s">
        <v>2239</v>
      </c>
      <c r="C552" t="s">
        <v>2238</v>
      </c>
      <c r="F552" t="s">
        <v>2237</v>
      </c>
      <c r="G552" t="s">
        <v>6</v>
      </c>
      <c r="H552" t="s">
        <v>5</v>
      </c>
      <c r="I552" t="s">
        <v>2236</v>
      </c>
      <c r="J552">
        <v>60018714</v>
      </c>
      <c r="K552" t="s">
        <v>679</v>
      </c>
      <c r="L552" t="s">
        <v>64</v>
      </c>
      <c r="M552" t="s">
        <v>41</v>
      </c>
      <c r="N552">
        <v>5</v>
      </c>
      <c r="O552" t="s">
        <v>2235</v>
      </c>
      <c r="P552" t="s">
        <v>2234</v>
      </c>
      <c r="Q552" t="s">
        <v>2233</v>
      </c>
      <c r="R552" s="7">
        <v>35320</v>
      </c>
      <c r="S552" s="8">
        <f t="shared" si="64"/>
        <v>1996</v>
      </c>
      <c r="T552" s="8">
        <v>1996</v>
      </c>
      <c r="U552" s="8">
        <f t="shared" si="65"/>
        <v>26</v>
      </c>
      <c r="V552" s="7">
        <v>35320</v>
      </c>
      <c r="W552" t="s">
        <v>358</v>
      </c>
      <c r="X552" s="2">
        <v>0.375</v>
      </c>
      <c r="Y552" s="6">
        <f t="shared" si="66"/>
        <v>1.0010410827260351E-2</v>
      </c>
      <c r="AA552">
        <v>135194</v>
      </c>
      <c r="AB552">
        <v>24918</v>
      </c>
      <c r="AD552" t="s">
        <v>1</v>
      </c>
      <c r="AE552">
        <v>32</v>
      </c>
      <c r="AF552">
        <v>19</v>
      </c>
      <c r="AH552" t="s">
        <v>2232</v>
      </c>
      <c r="AI552" t="s">
        <v>2231</v>
      </c>
      <c r="AJ552" t="s">
        <v>2230</v>
      </c>
      <c r="AK552" t="s">
        <v>2229</v>
      </c>
      <c r="AL552">
        <v>11</v>
      </c>
      <c r="AM552" s="5">
        <f t="shared" si="67"/>
        <v>0.42307692307692307</v>
      </c>
      <c r="AN552" s="4">
        <f t="shared" si="68"/>
        <v>6.4078292022252644E-4</v>
      </c>
      <c r="AO552" s="3"/>
      <c r="AP552">
        <v>0</v>
      </c>
      <c r="AR552" t="s">
        <v>0</v>
      </c>
      <c r="AT552" s="2">
        <v>1.3140000000000001</v>
      </c>
      <c r="AU552" s="1">
        <f t="shared" si="69"/>
        <v>0.71995224551490034</v>
      </c>
      <c r="AV552" s="1">
        <f t="shared" si="70"/>
        <v>0.53255968737414383</v>
      </c>
      <c r="AW552" s="1">
        <f t="shared" si="71"/>
        <v>0.34516712923338738</v>
      </c>
    </row>
    <row r="553" spans="1:49" x14ac:dyDescent="0.2">
      <c r="A553">
        <v>551</v>
      </c>
      <c r="B553" t="s">
        <v>2228</v>
      </c>
      <c r="C553" t="s">
        <v>2227</v>
      </c>
      <c r="F553" t="s">
        <v>2226</v>
      </c>
      <c r="G553" t="s">
        <v>6</v>
      </c>
      <c r="H553" t="s">
        <v>5</v>
      </c>
      <c r="I553" t="s">
        <v>2225</v>
      </c>
      <c r="J553" t="s">
        <v>2219</v>
      </c>
      <c r="K553" t="s">
        <v>2224</v>
      </c>
      <c r="L553" t="s">
        <v>2223</v>
      </c>
      <c r="M553" t="s">
        <v>2222</v>
      </c>
      <c r="N553">
        <v>2</v>
      </c>
      <c r="O553" t="s">
        <v>2221</v>
      </c>
      <c r="P553" t="s">
        <v>2220</v>
      </c>
      <c r="Q553" t="s">
        <v>2219</v>
      </c>
      <c r="R553" s="7">
        <v>35320</v>
      </c>
      <c r="S553" s="8">
        <f t="shared" si="64"/>
        <v>1996</v>
      </c>
      <c r="T553" s="8">
        <v>1996</v>
      </c>
      <c r="U553" s="8">
        <f t="shared" si="65"/>
        <v>26</v>
      </c>
      <c r="V553" s="7">
        <v>35320</v>
      </c>
      <c r="W553" t="s">
        <v>358</v>
      </c>
      <c r="X553" s="2">
        <v>0.375</v>
      </c>
      <c r="Y553" s="6">
        <f t="shared" si="66"/>
        <v>1.0010410827260351E-2</v>
      </c>
      <c r="AA553">
        <v>135194</v>
      </c>
      <c r="AB553">
        <v>24918</v>
      </c>
      <c r="AD553" t="s">
        <v>1</v>
      </c>
      <c r="AE553">
        <v>32</v>
      </c>
      <c r="AF553">
        <v>19</v>
      </c>
      <c r="AH553" t="s">
        <v>2218</v>
      </c>
      <c r="AI553" t="s">
        <v>2217</v>
      </c>
      <c r="AJ553" t="s">
        <v>2216</v>
      </c>
      <c r="AK553" t="s">
        <v>2215</v>
      </c>
      <c r="AL553">
        <v>36</v>
      </c>
      <c r="AM553" s="5">
        <f t="shared" si="67"/>
        <v>1.3846153846153846</v>
      </c>
      <c r="AN553" s="4">
        <f t="shared" si="68"/>
        <v>2.0971077389100863E-3</v>
      </c>
      <c r="AO553" s="3"/>
      <c r="AP553">
        <v>0</v>
      </c>
      <c r="AR553" t="s">
        <v>0</v>
      </c>
      <c r="AT553" s="2">
        <v>1.3140000000000001</v>
      </c>
      <c r="AU553" s="1">
        <f t="shared" si="69"/>
        <v>0.76364199007552713</v>
      </c>
      <c r="AV553" s="1">
        <f t="shared" si="70"/>
        <v>0.60537592830852194</v>
      </c>
      <c r="AW553" s="1">
        <f t="shared" si="71"/>
        <v>0.44710986654151652</v>
      </c>
    </row>
    <row r="554" spans="1:49" x14ac:dyDescent="0.2">
      <c r="A554">
        <v>552</v>
      </c>
      <c r="B554" t="s">
        <v>2214</v>
      </c>
      <c r="C554" t="s">
        <v>2213</v>
      </c>
      <c r="F554" t="s">
        <v>2212</v>
      </c>
      <c r="G554" t="s">
        <v>6</v>
      </c>
      <c r="H554" t="s">
        <v>5</v>
      </c>
      <c r="I554" t="s">
        <v>2211</v>
      </c>
      <c r="N554">
        <v>3</v>
      </c>
      <c r="O554" t="s">
        <v>2210</v>
      </c>
      <c r="P554" t="s">
        <v>2209</v>
      </c>
      <c r="Q554" t="s">
        <v>75</v>
      </c>
      <c r="R554" s="7">
        <v>35320</v>
      </c>
      <c r="S554" s="8">
        <f t="shared" si="64"/>
        <v>1996</v>
      </c>
      <c r="T554" s="8">
        <v>1996</v>
      </c>
      <c r="U554" s="8">
        <f t="shared" si="65"/>
        <v>26</v>
      </c>
      <c r="V554" s="7">
        <v>35320</v>
      </c>
      <c r="W554" t="s">
        <v>358</v>
      </c>
      <c r="X554" s="2">
        <v>0.375</v>
      </c>
      <c r="Y554" s="6">
        <f t="shared" si="66"/>
        <v>1.0010410827260351E-2</v>
      </c>
      <c r="AA554">
        <v>135194</v>
      </c>
      <c r="AB554">
        <v>24918</v>
      </c>
      <c r="AD554" t="s">
        <v>1</v>
      </c>
      <c r="AE554">
        <v>32</v>
      </c>
      <c r="AF554">
        <v>19</v>
      </c>
      <c r="AH554" t="s">
        <v>2208</v>
      </c>
      <c r="AI554" t="s">
        <v>2207</v>
      </c>
      <c r="AJ554" t="s">
        <v>2206</v>
      </c>
      <c r="AK554" t="s">
        <v>2205</v>
      </c>
      <c r="AL554">
        <v>7</v>
      </c>
      <c r="AM554" s="5">
        <f t="shared" si="67"/>
        <v>0.26923076923076922</v>
      </c>
      <c r="AN554" s="4">
        <f t="shared" si="68"/>
        <v>4.0777094923251682E-4</v>
      </c>
      <c r="AO554" s="3"/>
      <c r="AP554">
        <v>0</v>
      </c>
      <c r="AR554" t="s">
        <v>0</v>
      </c>
      <c r="AT554" s="2">
        <v>1.3140000000000001</v>
      </c>
      <c r="AU554" s="1">
        <f t="shared" si="69"/>
        <v>0.71296188638520008</v>
      </c>
      <c r="AV554" s="1">
        <f t="shared" si="70"/>
        <v>0.52090908882464348</v>
      </c>
      <c r="AW554" s="1">
        <f t="shared" si="71"/>
        <v>0.32885629126408672</v>
      </c>
    </row>
    <row r="555" spans="1:49" x14ac:dyDescent="0.2">
      <c r="A555">
        <v>553</v>
      </c>
      <c r="B555" t="s">
        <v>2204</v>
      </c>
      <c r="C555" t="s">
        <v>2203</v>
      </c>
      <c r="F555" t="s">
        <v>2202</v>
      </c>
      <c r="G555" t="s">
        <v>6</v>
      </c>
      <c r="H555" t="s">
        <v>5</v>
      </c>
      <c r="I555" t="s">
        <v>2201</v>
      </c>
      <c r="J555">
        <v>60019269</v>
      </c>
      <c r="K555" t="s">
        <v>2200</v>
      </c>
      <c r="L555" t="s">
        <v>2199</v>
      </c>
      <c r="M555" t="s">
        <v>25</v>
      </c>
      <c r="N555">
        <v>6</v>
      </c>
      <c r="O555" t="s">
        <v>2198</v>
      </c>
      <c r="P555" t="s">
        <v>2197</v>
      </c>
      <c r="Q555" t="s">
        <v>2196</v>
      </c>
      <c r="R555" s="7">
        <v>35318</v>
      </c>
      <c r="S555" s="8">
        <f t="shared" si="64"/>
        <v>1996</v>
      </c>
      <c r="T555" s="8">
        <v>1996</v>
      </c>
      <c r="U555" s="8">
        <f t="shared" si="65"/>
        <v>26</v>
      </c>
      <c r="V555" s="7">
        <v>35318</v>
      </c>
      <c r="W555" t="s">
        <v>654</v>
      </c>
      <c r="X555" s="2">
        <v>0.66800000000000004</v>
      </c>
      <c r="Y555" s="6">
        <f t="shared" si="66"/>
        <v>1.7831878486959774E-2</v>
      </c>
      <c r="AA555" t="s">
        <v>653</v>
      </c>
      <c r="AB555">
        <v>29593</v>
      </c>
      <c r="AC555">
        <v>21553165</v>
      </c>
      <c r="AD555" t="s">
        <v>1</v>
      </c>
      <c r="AE555">
        <v>35</v>
      </c>
      <c r="AF555">
        <v>26</v>
      </c>
      <c r="AH555" t="s">
        <v>2195</v>
      </c>
      <c r="AI555" t="s">
        <v>2194</v>
      </c>
      <c r="AK555" t="s">
        <v>2193</v>
      </c>
      <c r="AL555">
        <v>117</v>
      </c>
      <c r="AM555" s="5">
        <f t="shared" si="67"/>
        <v>4.5</v>
      </c>
      <c r="AN555" s="4">
        <f t="shared" si="68"/>
        <v>6.815600151457781E-3</v>
      </c>
      <c r="AO555" s="3"/>
      <c r="AP555">
        <v>0</v>
      </c>
      <c r="AQ555" t="s">
        <v>2192</v>
      </c>
      <c r="AR555">
        <v>219299</v>
      </c>
      <c r="AS555" t="s">
        <v>2191</v>
      </c>
      <c r="AT555" s="2">
        <v>1.98</v>
      </c>
      <c r="AU555" s="1">
        <f t="shared" si="69"/>
        <v>1.4526994986309174</v>
      </c>
      <c r="AV555" s="1">
        <f t="shared" si="70"/>
        <v>1.2323739319208777</v>
      </c>
      <c r="AW555" s="1">
        <f t="shared" si="71"/>
        <v>1.0120483652108376</v>
      </c>
    </row>
    <row r="556" spans="1:49" x14ac:dyDescent="0.2">
      <c r="A556">
        <v>554</v>
      </c>
      <c r="B556" t="s">
        <v>2190</v>
      </c>
      <c r="C556" t="s">
        <v>2189</v>
      </c>
      <c r="E556">
        <v>8876467</v>
      </c>
      <c r="F556" t="s">
        <v>2188</v>
      </c>
      <c r="G556" t="s">
        <v>6</v>
      </c>
      <c r="H556" t="s">
        <v>5</v>
      </c>
      <c r="I556" t="s">
        <v>2187</v>
      </c>
      <c r="J556">
        <v>60010065</v>
      </c>
      <c r="K556" t="s">
        <v>212</v>
      </c>
      <c r="L556" t="s">
        <v>211</v>
      </c>
      <c r="M556" t="s">
        <v>2</v>
      </c>
      <c r="N556">
        <v>3</v>
      </c>
      <c r="O556" t="s">
        <v>2186</v>
      </c>
      <c r="P556" t="s">
        <v>2185</v>
      </c>
      <c r="Q556" t="s">
        <v>2184</v>
      </c>
      <c r="R556" s="7">
        <v>35317</v>
      </c>
      <c r="S556" s="8">
        <f t="shared" si="64"/>
        <v>1996</v>
      </c>
      <c r="T556" s="8">
        <v>1996</v>
      </c>
      <c r="U556" s="8">
        <f t="shared" si="65"/>
        <v>26</v>
      </c>
      <c r="V556" s="7">
        <v>35317</v>
      </c>
      <c r="W556" t="s">
        <v>625</v>
      </c>
      <c r="X556" s="2">
        <v>1.855</v>
      </c>
      <c r="Y556" s="6">
        <f t="shared" si="66"/>
        <v>4.9518165558847867E-2</v>
      </c>
      <c r="AA556">
        <v>219967</v>
      </c>
      <c r="AB556">
        <v>16689</v>
      </c>
      <c r="AD556" t="s">
        <v>1</v>
      </c>
      <c r="AE556">
        <v>373</v>
      </c>
      <c r="AF556">
        <v>1</v>
      </c>
      <c r="AH556" t="s">
        <v>2183</v>
      </c>
      <c r="AI556" t="s">
        <v>2182</v>
      </c>
      <c r="AJ556" t="s">
        <v>2181</v>
      </c>
      <c r="AK556" t="s">
        <v>2180</v>
      </c>
      <c r="AL556">
        <v>50</v>
      </c>
      <c r="AM556" s="5">
        <f t="shared" si="67"/>
        <v>1.9230769230769231</v>
      </c>
      <c r="AN556" s="4">
        <f t="shared" si="68"/>
        <v>2.9126496373751204E-3</v>
      </c>
      <c r="AO556" s="3"/>
      <c r="AP556">
        <v>0</v>
      </c>
      <c r="AQ556" t="s">
        <v>269</v>
      </c>
      <c r="AR556" t="s">
        <v>2179</v>
      </c>
      <c r="AS556" t="s">
        <v>268</v>
      </c>
      <c r="AT556" s="2">
        <v>3.2149999999999999</v>
      </c>
      <c r="AU556" s="1">
        <f t="shared" si="69"/>
        <v>3.5536510782406041</v>
      </c>
      <c r="AV556" s="1">
        <f t="shared" si="70"/>
        <v>2.6215407598111495</v>
      </c>
      <c r="AW556" s="1">
        <f t="shared" si="71"/>
        <v>1.6894304413816941</v>
      </c>
    </row>
    <row r="557" spans="1:49" x14ac:dyDescent="0.2">
      <c r="A557">
        <v>555</v>
      </c>
      <c r="B557" t="s">
        <v>2178</v>
      </c>
      <c r="C557" t="s">
        <v>2177</v>
      </c>
      <c r="D557" t="s">
        <v>2176</v>
      </c>
      <c r="E557">
        <v>8806628</v>
      </c>
      <c r="F557" t="s">
        <v>2175</v>
      </c>
      <c r="G557" t="s">
        <v>6</v>
      </c>
      <c r="H557" t="s">
        <v>5</v>
      </c>
      <c r="I557" t="s">
        <v>2174</v>
      </c>
      <c r="J557" t="s">
        <v>2173</v>
      </c>
      <c r="K557" t="s">
        <v>2172</v>
      </c>
      <c r="L557" t="s">
        <v>2171</v>
      </c>
      <c r="M557" t="s">
        <v>216</v>
      </c>
      <c r="N557">
        <v>3</v>
      </c>
      <c r="O557" t="s">
        <v>2170</v>
      </c>
      <c r="P557" t="s">
        <v>2169</v>
      </c>
      <c r="Q557" t="s">
        <v>2168</v>
      </c>
      <c r="R557" s="7">
        <v>35312</v>
      </c>
      <c r="S557" s="8">
        <f t="shared" si="64"/>
        <v>1996</v>
      </c>
      <c r="T557" s="8">
        <v>1996</v>
      </c>
      <c r="U557" s="8">
        <f t="shared" si="65"/>
        <v>26</v>
      </c>
      <c r="V557" s="7">
        <v>35312</v>
      </c>
      <c r="W557" t="s">
        <v>2167</v>
      </c>
      <c r="X557" s="2">
        <v>0.998</v>
      </c>
      <c r="Y557" s="6">
        <f t="shared" si="66"/>
        <v>2.664104001494888E-2</v>
      </c>
      <c r="AA557" t="s">
        <v>2166</v>
      </c>
      <c r="AB557">
        <v>16845</v>
      </c>
      <c r="AD557" t="s">
        <v>1</v>
      </c>
      <c r="AE557">
        <v>226</v>
      </c>
      <c r="AF557">
        <v>1</v>
      </c>
      <c r="AH557" t="s">
        <v>2165</v>
      </c>
      <c r="AI557" t="s">
        <v>2164</v>
      </c>
      <c r="AK557" t="s">
        <v>2163</v>
      </c>
      <c r="AL557">
        <v>37</v>
      </c>
      <c r="AM557" s="5">
        <f t="shared" si="67"/>
        <v>1.4230769230769231</v>
      </c>
      <c r="AN557" s="4">
        <f t="shared" si="68"/>
        <v>2.1553607316575889E-3</v>
      </c>
      <c r="AO557" s="3"/>
      <c r="AP557">
        <v>0</v>
      </c>
      <c r="AQ557" t="s">
        <v>2162</v>
      </c>
      <c r="AR557" t="s">
        <v>2161</v>
      </c>
      <c r="AS557" t="s">
        <v>2160</v>
      </c>
      <c r="AT557" s="2" t="s">
        <v>9</v>
      </c>
      <c r="AU557" s="1">
        <f t="shared" si="69"/>
        <v>1.9295336229961495</v>
      </c>
      <c r="AV557" s="1">
        <f t="shared" si="70"/>
        <v>1.4398200373303236</v>
      </c>
      <c r="AW557" s="1">
        <f t="shared" si="71"/>
        <v>0.9501064516644977</v>
      </c>
    </row>
    <row r="558" spans="1:49" x14ac:dyDescent="0.2">
      <c r="A558">
        <v>556</v>
      </c>
      <c r="B558" t="s">
        <v>2159</v>
      </c>
      <c r="C558" t="s">
        <v>2158</v>
      </c>
      <c r="D558" t="s">
        <v>2157</v>
      </c>
      <c r="F558" t="s">
        <v>2156</v>
      </c>
      <c r="G558" t="s">
        <v>6</v>
      </c>
      <c r="H558" t="s">
        <v>5</v>
      </c>
      <c r="I558" t="s">
        <v>214</v>
      </c>
      <c r="J558">
        <v>60105159</v>
      </c>
      <c r="K558" t="s">
        <v>2155</v>
      </c>
      <c r="L558" t="s">
        <v>2154</v>
      </c>
      <c r="M558" t="s">
        <v>44</v>
      </c>
      <c r="N558">
        <v>5</v>
      </c>
      <c r="O558" t="s">
        <v>2153</v>
      </c>
      <c r="P558" t="s">
        <v>2152</v>
      </c>
      <c r="Q558" t="s">
        <v>2151</v>
      </c>
      <c r="R558" s="7">
        <v>35311</v>
      </c>
      <c r="S558" s="8">
        <f t="shared" si="64"/>
        <v>1996</v>
      </c>
      <c r="T558" s="8">
        <v>1996</v>
      </c>
      <c r="U558" s="8">
        <f t="shared" si="65"/>
        <v>26</v>
      </c>
      <c r="V558" s="7">
        <v>35311</v>
      </c>
      <c r="W558" t="s">
        <v>2150</v>
      </c>
      <c r="X558" s="2">
        <v>0.61699999999999999</v>
      </c>
      <c r="Y558" s="6">
        <f t="shared" si="66"/>
        <v>1.6470462614452366E-2</v>
      </c>
      <c r="AA558" t="s">
        <v>2149</v>
      </c>
      <c r="AB558">
        <v>25788</v>
      </c>
      <c r="AD558" t="s">
        <v>1</v>
      </c>
      <c r="AE558">
        <v>6</v>
      </c>
      <c r="AF558">
        <v>17</v>
      </c>
      <c r="AH558" t="s">
        <v>2148</v>
      </c>
      <c r="AI558" t="s">
        <v>2147</v>
      </c>
      <c r="AK558" t="s">
        <v>2146</v>
      </c>
      <c r="AL558">
        <v>12</v>
      </c>
      <c r="AM558" s="5">
        <f t="shared" si="67"/>
        <v>0.46153846153846156</v>
      </c>
      <c r="AN558" s="4">
        <f t="shared" si="68"/>
        <v>6.9903591297002887E-4</v>
      </c>
      <c r="AO558" s="3"/>
      <c r="AP558">
        <v>0</v>
      </c>
      <c r="AR558" t="s">
        <v>0</v>
      </c>
      <c r="AT558" s="2" t="s">
        <v>9</v>
      </c>
      <c r="AU558" s="1">
        <f t="shared" si="69"/>
        <v>1.1739034604007663</v>
      </c>
      <c r="AV558" s="1">
        <f t="shared" si="70"/>
        <v>0.85847492637111977</v>
      </c>
      <c r="AW558" s="1">
        <f t="shared" si="71"/>
        <v>0.54304639234147301</v>
      </c>
    </row>
    <row r="559" spans="1:49" x14ac:dyDescent="0.2">
      <c r="A559">
        <v>557</v>
      </c>
      <c r="B559" t="s">
        <v>2145</v>
      </c>
      <c r="C559" t="s">
        <v>2144</v>
      </c>
      <c r="E559">
        <v>8876449</v>
      </c>
      <c r="F559" t="s">
        <v>2143</v>
      </c>
      <c r="G559" t="s">
        <v>6</v>
      </c>
      <c r="H559" t="s">
        <v>5</v>
      </c>
      <c r="I559" t="s">
        <v>2142</v>
      </c>
      <c r="J559" t="s">
        <v>2141</v>
      </c>
      <c r="K559" t="s">
        <v>2140</v>
      </c>
      <c r="L559" t="s">
        <v>2139</v>
      </c>
      <c r="M559" t="s">
        <v>442</v>
      </c>
      <c r="N559">
        <v>2</v>
      </c>
      <c r="O559" t="s">
        <v>2138</v>
      </c>
      <c r="P559" t="s">
        <v>2137</v>
      </c>
      <c r="Q559" t="s">
        <v>2136</v>
      </c>
      <c r="R559" s="7">
        <v>35310</v>
      </c>
      <c r="S559" s="8">
        <f t="shared" si="64"/>
        <v>1996</v>
      </c>
      <c r="T559" s="8">
        <v>1996</v>
      </c>
      <c r="U559" s="8">
        <f t="shared" si="65"/>
        <v>26</v>
      </c>
      <c r="V559" s="7">
        <v>35310</v>
      </c>
      <c r="W559" t="s">
        <v>625</v>
      </c>
      <c r="X559" s="2">
        <v>1.855</v>
      </c>
      <c r="Y559" s="6">
        <f t="shared" si="66"/>
        <v>4.9518165558847867E-2</v>
      </c>
      <c r="AA559">
        <v>219967</v>
      </c>
      <c r="AB559">
        <v>16689</v>
      </c>
      <c r="AD559" t="s">
        <v>1</v>
      </c>
      <c r="AE559">
        <v>372</v>
      </c>
      <c r="AF559">
        <v>4</v>
      </c>
      <c r="AH559" t="s">
        <v>2135</v>
      </c>
      <c r="AI559" t="s">
        <v>2134</v>
      </c>
      <c r="AJ559" t="s">
        <v>2133</v>
      </c>
      <c r="AK559" t="s">
        <v>2132</v>
      </c>
      <c r="AL559">
        <v>141</v>
      </c>
      <c r="AM559" s="5">
        <f t="shared" si="67"/>
        <v>5.4230769230769234</v>
      </c>
      <c r="AN559" s="4">
        <f t="shared" si="68"/>
        <v>8.2136719773978385E-3</v>
      </c>
      <c r="AO559" s="3"/>
      <c r="AP559">
        <v>0</v>
      </c>
      <c r="AR559" t="s">
        <v>0</v>
      </c>
      <c r="AT559" s="2">
        <v>3.2149999999999999</v>
      </c>
      <c r="AU559" s="1">
        <f t="shared" si="69"/>
        <v>3.7126817484412857</v>
      </c>
      <c r="AV559" s="1">
        <f t="shared" si="70"/>
        <v>2.8865918768122856</v>
      </c>
      <c r="AW559" s="1">
        <f t="shared" si="71"/>
        <v>2.0605020051832845</v>
      </c>
    </row>
    <row r="560" spans="1:49" x14ac:dyDescent="0.2">
      <c r="A560">
        <v>558</v>
      </c>
      <c r="B560" t="s">
        <v>2131</v>
      </c>
      <c r="C560" t="s">
        <v>2130</v>
      </c>
      <c r="F560" t="s">
        <v>2129</v>
      </c>
      <c r="G560" t="s">
        <v>6</v>
      </c>
      <c r="H560" t="s">
        <v>5</v>
      </c>
      <c r="I560" t="s">
        <v>2128</v>
      </c>
      <c r="J560">
        <v>100677157</v>
      </c>
      <c r="K560" t="s">
        <v>2127</v>
      </c>
      <c r="L560" t="s">
        <v>2126</v>
      </c>
      <c r="M560" t="s">
        <v>97</v>
      </c>
      <c r="N560">
        <v>3</v>
      </c>
      <c r="O560" t="s">
        <v>2125</v>
      </c>
      <c r="P560" t="s">
        <v>2124</v>
      </c>
      <c r="Q560" t="s">
        <v>2123</v>
      </c>
      <c r="R560" s="7">
        <v>35309</v>
      </c>
      <c r="S560" s="8">
        <f t="shared" si="64"/>
        <v>1996</v>
      </c>
      <c r="T560" s="8">
        <v>1996</v>
      </c>
      <c r="U560" s="8">
        <f t="shared" si="65"/>
        <v>26</v>
      </c>
      <c r="V560" s="7">
        <v>35309</v>
      </c>
      <c r="W560" t="s">
        <v>608</v>
      </c>
      <c r="X560" s="2">
        <v>0.318</v>
      </c>
      <c r="Y560" s="6">
        <f t="shared" si="66"/>
        <v>8.4888283815167786E-3</v>
      </c>
      <c r="AA560">
        <v>338443</v>
      </c>
      <c r="AB560">
        <v>27160</v>
      </c>
      <c r="AC560">
        <v>15739120</v>
      </c>
      <c r="AD560" t="s">
        <v>1</v>
      </c>
      <c r="AE560">
        <v>39</v>
      </c>
      <c r="AF560">
        <v>9</v>
      </c>
      <c r="AH560" t="s">
        <v>2122</v>
      </c>
      <c r="AI560" t="s">
        <v>2121</v>
      </c>
      <c r="AJ560" t="s">
        <v>2120</v>
      </c>
      <c r="AK560" t="s">
        <v>2119</v>
      </c>
      <c r="AL560">
        <v>6</v>
      </c>
      <c r="AM560" s="5">
        <f t="shared" si="67"/>
        <v>0.23076923076923078</v>
      </c>
      <c r="AN560" s="4">
        <f t="shared" si="68"/>
        <v>3.4951795648501444E-4</v>
      </c>
      <c r="AO560" s="3"/>
      <c r="AP560">
        <v>0</v>
      </c>
      <c r="AR560" t="s">
        <v>0</v>
      </c>
      <c r="AT560" s="2">
        <v>0.77</v>
      </c>
      <c r="AU560" s="1">
        <f t="shared" si="69"/>
        <v>0.60470352540072492</v>
      </c>
      <c r="AV560" s="1">
        <f t="shared" si="70"/>
        <v>0.44191731690008967</v>
      </c>
      <c r="AW560" s="1">
        <f t="shared" si="71"/>
        <v>0.27913110839945438</v>
      </c>
    </row>
    <row r="561" spans="1:49" x14ac:dyDescent="0.2">
      <c r="A561">
        <v>559</v>
      </c>
      <c r="B561" t="s">
        <v>2118</v>
      </c>
      <c r="C561" t="s">
        <v>2117</v>
      </c>
      <c r="E561">
        <v>8837512</v>
      </c>
      <c r="F561" t="s">
        <v>2116</v>
      </c>
      <c r="G561" t="s">
        <v>6</v>
      </c>
      <c r="H561" t="s">
        <v>5</v>
      </c>
      <c r="I561" t="s">
        <v>2115</v>
      </c>
      <c r="J561" t="s">
        <v>2114</v>
      </c>
      <c r="K561" t="s">
        <v>2113</v>
      </c>
      <c r="L561" t="s">
        <v>2112</v>
      </c>
      <c r="M561" t="s">
        <v>276</v>
      </c>
      <c r="N561">
        <v>6</v>
      </c>
      <c r="O561" t="s">
        <v>2111</v>
      </c>
      <c r="P561" t="s">
        <v>2110</v>
      </c>
      <c r="Q561" t="s">
        <v>2109</v>
      </c>
      <c r="R561" s="7">
        <v>35309</v>
      </c>
      <c r="S561" s="8">
        <f t="shared" si="64"/>
        <v>1996</v>
      </c>
      <c r="T561" s="8">
        <v>1996</v>
      </c>
      <c r="U561" s="8">
        <f t="shared" si="65"/>
        <v>26</v>
      </c>
      <c r="V561" s="7">
        <v>35309</v>
      </c>
      <c r="W561" t="s">
        <v>2108</v>
      </c>
      <c r="X561" s="2">
        <v>5.3239999999999998</v>
      </c>
      <c r="Y561" s="6">
        <f t="shared" si="66"/>
        <v>0.14212113931822429</v>
      </c>
      <c r="AA561">
        <v>10404651</v>
      </c>
      <c r="AB561">
        <v>16594</v>
      </c>
      <c r="AD561" t="s">
        <v>1</v>
      </c>
      <c r="AE561">
        <v>8</v>
      </c>
      <c r="AF561">
        <v>9</v>
      </c>
      <c r="AH561" t="s">
        <v>2107</v>
      </c>
      <c r="AI561" t="s">
        <v>2106</v>
      </c>
      <c r="AK561" t="s">
        <v>2105</v>
      </c>
      <c r="AL561">
        <v>381</v>
      </c>
      <c r="AM561" s="5">
        <f t="shared" si="67"/>
        <v>14.653846153846153</v>
      </c>
      <c r="AN561" s="4">
        <f t="shared" si="68"/>
        <v>2.2194390236798416E-2</v>
      </c>
      <c r="AO561" s="3"/>
      <c r="AP561">
        <v>1</v>
      </c>
      <c r="AR561" t="s">
        <v>0</v>
      </c>
      <c r="AT561" s="2">
        <v>11.276999999999999</v>
      </c>
      <c r="AU561" s="1">
        <f t="shared" si="69"/>
        <v>10.614311459379651</v>
      </c>
      <c r="AV561" s="1">
        <f t="shared" si="70"/>
        <v>8.2157764777511346</v>
      </c>
      <c r="AW561" s="1">
        <f t="shared" si="71"/>
        <v>5.8172414961226178</v>
      </c>
    </row>
    <row r="562" spans="1:49" x14ac:dyDescent="0.2">
      <c r="A562">
        <v>560</v>
      </c>
      <c r="B562" t="s">
        <v>2104</v>
      </c>
      <c r="F562" t="s">
        <v>2103</v>
      </c>
      <c r="G562" t="s">
        <v>6</v>
      </c>
      <c r="H562" t="s">
        <v>5</v>
      </c>
      <c r="I562" t="s">
        <v>2102</v>
      </c>
      <c r="J562">
        <v>60011774</v>
      </c>
      <c r="K562" t="s">
        <v>610</v>
      </c>
      <c r="L562" t="s">
        <v>609</v>
      </c>
      <c r="M562" t="s">
        <v>97</v>
      </c>
      <c r="N562">
        <v>4</v>
      </c>
      <c r="O562" t="s">
        <v>2101</v>
      </c>
      <c r="P562" t="s">
        <v>2100</v>
      </c>
      <c r="Q562" t="s">
        <v>2099</v>
      </c>
      <c r="R562" s="7">
        <v>35309</v>
      </c>
      <c r="S562" s="8">
        <f t="shared" si="64"/>
        <v>1996</v>
      </c>
      <c r="T562" s="8">
        <v>1996</v>
      </c>
      <c r="U562" s="8">
        <f t="shared" si="65"/>
        <v>26</v>
      </c>
      <c r="V562" s="7">
        <v>35309</v>
      </c>
      <c r="W562" t="s">
        <v>492</v>
      </c>
      <c r="X562" s="2">
        <v>0.32500000000000001</v>
      </c>
      <c r="Y562" s="6">
        <f t="shared" si="66"/>
        <v>8.6756893836256385E-3</v>
      </c>
      <c r="AA562">
        <v>10637710</v>
      </c>
      <c r="AB562">
        <v>12922</v>
      </c>
      <c r="AD562" t="s">
        <v>1</v>
      </c>
      <c r="AE562">
        <v>42</v>
      </c>
      <c r="AF562">
        <v>5</v>
      </c>
      <c r="AH562" t="s">
        <v>337</v>
      </c>
      <c r="AI562" t="s">
        <v>2098</v>
      </c>
      <c r="AK562" t="s">
        <v>2097</v>
      </c>
      <c r="AL562">
        <v>12</v>
      </c>
      <c r="AM562" s="5">
        <f t="shared" si="67"/>
        <v>0.46153846153846156</v>
      </c>
      <c r="AN562" s="4">
        <f t="shared" si="68"/>
        <v>6.9903591297002887E-4</v>
      </c>
      <c r="AO562" s="3"/>
      <c r="AP562">
        <v>0</v>
      </c>
      <c r="AR562" t="s">
        <v>0</v>
      </c>
      <c r="AT562" s="2">
        <v>0.85599999999999998</v>
      </c>
      <c r="AU562" s="1">
        <f t="shared" si="69"/>
        <v>0.62826933424289555</v>
      </c>
      <c r="AV562" s="1">
        <f t="shared" si="70"/>
        <v>0.46873626482978337</v>
      </c>
      <c r="AW562" s="1">
        <f t="shared" si="71"/>
        <v>0.30920319541667118</v>
      </c>
    </row>
    <row r="563" spans="1:49" x14ac:dyDescent="0.2">
      <c r="A563">
        <v>561</v>
      </c>
      <c r="B563" t="s">
        <v>2096</v>
      </c>
      <c r="C563" t="s">
        <v>2095</v>
      </c>
      <c r="F563" t="s">
        <v>2094</v>
      </c>
      <c r="G563" t="s">
        <v>6</v>
      </c>
      <c r="H563" t="s">
        <v>5</v>
      </c>
      <c r="I563" t="s">
        <v>2093</v>
      </c>
      <c r="J563" t="s">
        <v>2092</v>
      </c>
      <c r="K563" t="s">
        <v>2091</v>
      </c>
      <c r="L563" t="s">
        <v>2090</v>
      </c>
      <c r="M563" t="s">
        <v>126</v>
      </c>
      <c r="N563">
        <v>4</v>
      </c>
      <c r="O563" t="s">
        <v>2089</v>
      </c>
      <c r="P563" t="s">
        <v>2088</v>
      </c>
      <c r="Q563" t="s">
        <v>2087</v>
      </c>
      <c r="R563" s="7">
        <v>35309</v>
      </c>
      <c r="S563" s="8">
        <f t="shared" si="64"/>
        <v>1996</v>
      </c>
      <c r="T563" s="8">
        <v>1996</v>
      </c>
      <c r="U563" s="8">
        <f t="shared" si="65"/>
        <v>26</v>
      </c>
      <c r="V563" s="7">
        <v>35309</v>
      </c>
      <c r="W563" t="s">
        <v>22</v>
      </c>
      <c r="X563" s="2">
        <v>0.53400000000000003</v>
      </c>
      <c r="Y563" s="6">
        <f t="shared" si="66"/>
        <v>1.4254825018018741E-2</v>
      </c>
      <c r="AA563">
        <v>8927553</v>
      </c>
      <c r="AB563">
        <v>20484</v>
      </c>
      <c r="AD563" t="s">
        <v>1</v>
      </c>
      <c r="AE563">
        <v>9</v>
      </c>
      <c r="AF563">
        <v>5</v>
      </c>
      <c r="AH563" t="s">
        <v>2086</v>
      </c>
      <c r="AI563" t="s">
        <v>2085</v>
      </c>
      <c r="AJ563" t="s">
        <v>2084</v>
      </c>
      <c r="AK563" t="s">
        <v>2083</v>
      </c>
      <c r="AL563">
        <v>38</v>
      </c>
      <c r="AM563" s="5">
        <f t="shared" si="67"/>
        <v>1.4615384615384615</v>
      </c>
      <c r="AN563" s="4">
        <f t="shared" si="68"/>
        <v>2.2136137244050912E-3</v>
      </c>
      <c r="AO563" s="3"/>
      <c r="AP563">
        <v>0</v>
      </c>
      <c r="AR563" t="s">
        <v>0</v>
      </c>
      <c r="AT563" s="2">
        <v>1.3089999999999999</v>
      </c>
      <c r="AU563" s="1">
        <f t="shared" si="69"/>
        <v>1.0642461629934648</v>
      </c>
      <c r="AV563" s="1">
        <f t="shared" si="70"/>
        <v>0.8234219371211916</v>
      </c>
      <c r="AW563" s="1">
        <f t="shared" si="71"/>
        <v>0.58259771124891857</v>
      </c>
    </row>
    <row r="564" spans="1:49" x14ac:dyDescent="0.2">
      <c r="A564">
        <v>562</v>
      </c>
      <c r="B564" t="s">
        <v>2082</v>
      </c>
      <c r="C564" t="s">
        <v>2081</v>
      </c>
      <c r="F564" t="s">
        <v>2080</v>
      </c>
      <c r="G564" t="s">
        <v>6</v>
      </c>
      <c r="H564" t="s">
        <v>5</v>
      </c>
      <c r="I564" t="s">
        <v>2079</v>
      </c>
      <c r="J564" t="s">
        <v>2078</v>
      </c>
      <c r="K564" t="s">
        <v>2077</v>
      </c>
      <c r="L564" t="s">
        <v>2076</v>
      </c>
      <c r="M564" t="s">
        <v>13</v>
      </c>
      <c r="N564">
        <v>3</v>
      </c>
      <c r="O564" t="s">
        <v>2075</v>
      </c>
      <c r="P564" t="s">
        <v>2074</v>
      </c>
      <c r="Q564" t="s">
        <v>2073</v>
      </c>
      <c r="R564" s="7">
        <v>35309</v>
      </c>
      <c r="S564" s="8">
        <f t="shared" si="64"/>
        <v>1996</v>
      </c>
      <c r="T564" s="8">
        <v>1996</v>
      </c>
      <c r="U564" s="8">
        <f t="shared" si="65"/>
        <v>26</v>
      </c>
      <c r="V564" s="7">
        <v>35309</v>
      </c>
      <c r="W564" t="s">
        <v>22</v>
      </c>
      <c r="X564" s="2">
        <v>0.53400000000000003</v>
      </c>
      <c r="Y564" s="6">
        <f t="shared" si="66"/>
        <v>1.4254825018018741E-2</v>
      </c>
      <c r="AA564">
        <v>8927553</v>
      </c>
      <c r="AB564">
        <v>20484</v>
      </c>
      <c r="AD564" t="s">
        <v>1</v>
      </c>
      <c r="AE564">
        <v>9</v>
      </c>
      <c r="AF564">
        <v>5</v>
      </c>
      <c r="AH564" t="s">
        <v>2072</v>
      </c>
      <c r="AI564" t="s">
        <v>2071</v>
      </c>
      <c r="AJ564" t="s">
        <v>2070</v>
      </c>
      <c r="AK564" t="s">
        <v>2069</v>
      </c>
      <c r="AL564">
        <v>10</v>
      </c>
      <c r="AM564" s="5">
        <f t="shared" si="67"/>
        <v>0.38461538461538464</v>
      </c>
      <c r="AN564" s="4">
        <f t="shared" si="68"/>
        <v>5.8252992747502411E-4</v>
      </c>
      <c r="AO564" s="3"/>
      <c r="AP564">
        <v>0</v>
      </c>
      <c r="AR564" t="s">
        <v>0</v>
      </c>
      <c r="AT564" s="2">
        <v>1.3089999999999999</v>
      </c>
      <c r="AU564" s="1">
        <f t="shared" si="69"/>
        <v>1.0153136490855625</v>
      </c>
      <c r="AV564" s="1">
        <f t="shared" si="70"/>
        <v>0.74186774727468829</v>
      </c>
      <c r="AW564" s="1">
        <f t="shared" si="71"/>
        <v>0.46842184546381394</v>
      </c>
    </row>
    <row r="565" spans="1:49" x14ac:dyDescent="0.2">
      <c r="A565">
        <v>563</v>
      </c>
      <c r="B565" t="s">
        <v>2068</v>
      </c>
      <c r="F565" t="s">
        <v>2067</v>
      </c>
      <c r="G565" t="s">
        <v>6</v>
      </c>
      <c r="H565" t="s">
        <v>5</v>
      </c>
      <c r="I565" t="s">
        <v>2066</v>
      </c>
      <c r="J565">
        <v>60019549</v>
      </c>
      <c r="K565" t="s">
        <v>2065</v>
      </c>
      <c r="L565" t="s">
        <v>2064</v>
      </c>
      <c r="M565" t="s">
        <v>2063</v>
      </c>
      <c r="N565">
        <v>1</v>
      </c>
      <c r="O565" t="s">
        <v>2062</v>
      </c>
      <c r="P565">
        <v>6507313394</v>
      </c>
      <c r="Q565">
        <v>60019549</v>
      </c>
      <c r="R565" s="7">
        <v>35309</v>
      </c>
      <c r="S565" s="8">
        <f t="shared" si="64"/>
        <v>1996</v>
      </c>
      <c r="T565" s="8">
        <v>1996</v>
      </c>
      <c r="U565" s="8">
        <f t="shared" si="65"/>
        <v>26</v>
      </c>
      <c r="V565" s="7">
        <v>35309</v>
      </c>
      <c r="W565" t="s">
        <v>2061</v>
      </c>
      <c r="X565" s="2">
        <v>0.372</v>
      </c>
      <c r="Y565" s="6">
        <f t="shared" si="66"/>
        <v>9.930327540642268E-3</v>
      </c>
      <c r="AA565">
        <v>10213589</v>
      </c>
      <c r="AB565">
        <v>19103</v>
      </c>
      <c r="AD565" t="s">
        <v>1</v>
      </c>
      <c r="AE565">
        <v>4</v>
      </c>
      <c r="AF565">
        <v>2</v>
      </c>
      <c r="AH565" t="s">
        <v>2060</v>
      </c>
      <c r="AI565" t="s">
        <v>2059</v>
      </c>
      <c r="AJ565" t="s">
        <v>2058</v>
      </c>
      <c r="AK565" t="s">
        <v>2057</v>
      </c>
      <c r="AL565">
        <v>1</v>
      </c>
      <c r="AM565" s="5">
        <f t="shared" si="67"/>
        <v>3.8461538461538464E-2</v>
      </c>
      <c r="AN565" s="4">
        <f t="shared" si="68"/>
        <v>5.8252992747502406E-5</v>
      </c>
      <c r="AO565" s="3"/>
      <c r="AP565">
        <v>0</v>
      </c>
      <c r="AR565" t="s">
        <v>0</v>
      </c>
      <c r="AT565" s="2">
        <v>1.1879999999999999</v>
      </c>
      <c r="AU565" s="1">
        <f t="shared" si="69"/>
        <v>0.69687051762738383</v>
      </c>
      <c r="AV565" s="1">
        <f t="shared" si="70"/>
        <v>0.49942902666948852</v>
      </c>
      <c r="AW565" s="1">
        <f t="shared" si="71"/>
        <v>0.3019875357115932</v>
      </c>
    </row>
    <row r="566" spans="1:49" x14ac:dyDescent="0.2">
      <c r="A566">
        <v>564</v>
      </c>
      <c r="B566" t="s">
        <v>2056</v>
      </c>
      <c r="F566" t="s">
        <v>2055</v>
      </c>
      <c r="G566" t="s">
        <v>6</v>
      </c>
      <c r="H566" t="s">
        <v>5</v>
      </c>
      <c r="I566" t="s">
        <v>2054</v>
      </c>
      <c r="J566">
        <v>60031888</v>
      </c>
      <c r="K566" t="s">
        <v>2053</v>
      </c>
      <c r="L566" t="s">
        <v>2052</v>
      </c>
      <c r="M566" t="s">
        <v>97</v>
      </c>
      <c r="N566">
        <v>3</v>
      </c>
      <c r="O566" t="s">
        <v>2051</v>
      </c>
      <c r="P566" t="s">
        <v>2050</v>
      </c>
      <c r="Q566" t="s">
        <v>2049</v>
      </c>
      <c r="R566" s="7">
        <v>35309</v>
      </c>
      <c r="S566" s="8">
        <f t="shared" si="64"/>
        <v>1996</v>
      </c>
      <c r="T566" s="8">
        <v>1996</v>
      </c>
      <c r="U566" s="8">
        <f t="shared" si="65"/>
        <v>26</v>
      </c>
      <c r="V566" s="7">
        <v>35309</v>
      </c>
      <c r="W566" t="s">
        <v>2048</v>
      </c>
      <c r="X566" s="2" t="s">
        <v>9</v>
      </c>
      <c r="Y566" s="6" t="e">
        <f t="shared" si="66"/>
        <v>#VALUE!</v>
      </c>
      <c r="AA566">
        <v>220930</v>
      </c>
      <c r="AB566">
        <v>17614</v>
      </c>
      <c r="AD566" t="s">
        <v>1</v>
      </c>
      <c r="AE566">
        <v>32</v>
      </c>
      <c r="AF566">
        <v>5</v>
      </c>
      <c r="AH566" t="s">
        <v>2047</v>
      </c>
      <c r="AI566" t="s">
        <v>2046</v>
      </c>
      <c r="AK566" t="s">
        <v>2045</v>
      </c>
      <c r="AL566">
        <v>0</v>
      </c>
      <c r="AM566" s="5">
        <f t="shared" si="67"/>
        <v>0</v>
      </c>
      <c r="AN566" s="4">
        <f t="shared" si="68"/>
        <v>0</v>
      </c>
      <c r="AO566" s="3"/>
      <c r="AP566">
        <v>0</v>
      </c>
      <c r="AR566" t="s">
        <v>0</v>
      </c>
      <c r="AT566" s="2" t="s">
        <v>9</v>
      </c>
      <c r="AU566" s="1" t="e">
        <f t="shared" si="69"/>
        <v>#VALUE!</v>
      </c>
      <c r="AV566" s="1" t="e">
        <f t="shared" si="70"/>
        <v>#VALUE!</v>
      </c>
      <c r="AW566" s="1" t="e">
        <f t="shared" si="71"/>
        <v>#VALUE!</v>
      </c>
    </row>
    <row r="567" spans="1:49" x14ac:dyDescent="0.2">
      <c r="A567">
        <v>565</v>
      </c>
      <c r="B567" t="s">
        <v>2044</v>
      </c>
      <c r="C567" t="s">
        <v>2043</v>
      </c>
      <c r="D567">
        <v>22098196000081</v>
      </c>
      <c r="F567" t="s">
        <v>2042</v>
      </c>
      <c r="G567" t="s">
        <v>6</v>
      </c>
      <c r="H567" t="s">
        <v>5</v>
      </c>
      <c r="I567" t="s">
        <v>2041</v>
      </c>
      <c r="J567" t="s">
        <v>2040</v>
      </c>
      <c r="K567" t="s">
        <v>2039</v>
      </c>
      <c r="L567" t="s">
        <v>2038</v>
      </c>
      <c r="M567" t="s">
        <v>2037</v>
      </c>
      <c r="N567">
        <v>4</v>
      </c>
      <c r="O567" t="s">
        <v>2036</v>
      </c>
      <c r="P567" t="s">
        <v>2035</v>
      </c>
      <c r="Q567" t="s">
        <v>2034</v>
      </c>
      <c r="R567" s="7">
        <v>35309</v>
      </c>
      <c r="S567" s="8">
        <f t="shared" si="64"/>
        <v>1996</v>
      </c>
      <c r="T567" s="8">
        <v>1996</v>
      </c>
      <c r="U567" s="8">
        <f t="shared" si="65"/>
        <v>26</v>
      </c>
      <c r="V567" s="7">
        <v>35309</v>
      </c>
      <c r="W567" t="s">
        <v>71</v>
      </c>
      <c r="X567" s="2">
        <v>0.96499999999999997</v>
      </c>
      <c r="Y567" s="6">
        <f t="shared" si="66"/>
        <v>2.5760123862149969E-2</v>
      </c>
      <c r="AA567">
        <v>220981</v>
      </c>
      <c r="AB567">
        <v>29606</v>
      </c>
      <c r="AD567" t="s">
        <v>1</v>
      </c>
      <c r="AE567">
        <v>201</v>
      </c>
      <c r="AF567" s="9">
        <v>44228</v>
      </c>
      <c r="AH567" t="s">
        <v>2033</v>
      </c>
      <c r="AI567" t="s">
        <v>2032</v>
      </c>
      <c r="AJ567" t="s">
        <v>2031</v>
      </c>
      <c r="AK567" t="s">
        <v>2030</v>
      </c>
      <c r="AL567">
        <v>43</v>
      </c>
      <c r="AM567" s="5">
        <f t="shared" si="67"/>
        <v>1.6538461538461537</v>
      </c>
      <c r="AN567" s="4">
        <f t="shared" si="68"/>
        <v>2.5048786881426031E-3</v>
      </c>
      <c r="AO567" s="3"/>
      <c r="AP567">
        <v>0</v>
      </c>
      <c r="AQ567" t="s">
        <v>130</v>
      </c>
      <c r="AR567" t="s">
        <v>0</v>
      </c>
      <c r="AS567" t="s">
        <v>2029</v>
      </c>
      <c r="AT567" s="2" t="s">
        <v>9</v>
      </c>
      <c r="AU567" s="1">
        <f t="shared" si="69"/>
        <v>1.8783550309947759</v>
      </c>
      <c r="AV567" s="1">
        <f t="shared" si="70"/>
        <v>1.4132501275146288</v>
      </c>
      <c r="AW567" s="1">
        <f t="shared" si="71"/>
        <v>0.94814522403448132</v>
      </c>
    </row>
    <row r="568" spans="1:49" x14ac:dyDescent="0.2">
      <c r="A568">
        <v>566</v>
      </c>
      <c r="B568" t="s">
        <v>2028</v>
      </c>
      <c r="C568" t="s">
        <v>2027</v>
      </c>
      <c r="E568">
        <v>9214802</v>
      </c>
      <c r="F568" t="s">
        <v>2026</v>
      </c>
      <c r="G568" t="s">
        <v>6</v>
      </c>
      <c r="H568" t="s">
        <v>5</v>
      </c>
      <c r="I568" t="s">
        <v>2025</v>
      </c>
      <c r="J568" t="s">
        <v>2024</v>
      </c>
      <c r="K568" t="s">
        <v>2023</v>
      </c>
      <c r="L568" t="s">
        <v>2022</v>
      </c>
      <c r="M568" t="s">
        <v>2021</v>
      </c>
      <c r="N568">
        <v>10</v>
      </c>
      <c r="O568" t="s">
        <v>2020</v>
      </c>
      <c r="P568" t="s">
        <v>2019</v>
      </c>
      <c r="Q568" t="s">
        <v>2018</v>
      </c>
      <c r="R568" s="7">
        <v>35309</v>
      </c>
      <c r="S568" s="8">
        <f t="shared" si="64"/>
        <v>1996</v>
      </c>
      <c r="T568" s="8">
        <v>1996</v>
      </c>
      <c r="U568" s="8">
        <f t="shared" si="65"/>
        <v>26</v>
      </c>
      <c r="V568" s="7">
        <v>35309</v>
      </c>
      <c r="W568" t="s">
        <v>645</v>
      </c>
      <c r="X568" s="2">
        <v>1.1479999999999999</v>
      </c>
      <c r="Y568" s="6">
        <f t="shared" si="66"/>
        <v>3.0645204345853019E-2</v>
      </c>
      <c r="AA568">
        <v>189294</v>
      </c>
      <c r="AB568">
        <v>16318</v>
      </c>
      <c r="AD568" t="s">
        <v>1</v>
      </c>
      <c r="AE568">
        <v>43</v>
      </c>
      <c r="AF568">
        <v>9</v>
      </c>
      <c r="AH568" t="s">
        <v>2017</v>
      </c>
      <c r="AI568" t="s">
        <v>2016</v>
      </c>
      <c r="AK568" t="s">
        <v>2015</v>
      </c>
      <c r="AL568">
        <v>137</v>
      </c>
      <c r="AM568" s="5">
        <f t="shared" si="67"/>
        <v>5.2692307692307692</v>
      </c>
      <c r="AN568" s="4">
        <f t="shared" si="68"/>
        <v>7.9806600064078297E-3</v>
      </c>
      <c r="AO568" s="3"/>
      <c r="AP568">
        <v>0</v>
      </c>
      <c r="AR568" t="s">
        <v>0</v>
      </c>
      <c r="AT568" s="2" t="s">
        <v>9</v>
      </c>
      <c r="AU568" s="1">
        <f t="shared" si="69"/>
        <v>2.384584104401946</v>
      </c>
      <c r="AV568" s="1">
        <f t="shared" si="70"/>
        <v>1.9312932176130424</v>
      </c>
      <c r="AW568" s="1">
        <f t="shared" si="71"/>
        <v>1.4780023308241386</v>
      </c>
    </row>
    <row r="569" spans="1:49" x14ac:dyDescent="0.2">
      <c r="A569">
        <v>567</v>
      </c>
      <c r="B569" t="s">
        <v>2014</v>
      </c>
      <c r="C569" t="s">
        <v>2013</v>
      </c>
      <c r="F569" t="s">
        <v>2012</v>
      </c>
      <c r="G569" t="s">
        <v>6</v>
      </c>
      <c r="H569" t="s">
        <v>5</v>
      </c>
      <c r="I569" t="s">
        <v>2011</v>
      </c>
      <c r="J569">
        <v>100699054</v>
      </c>
      <c r="K569" t="s">
        <v>2010</v>
      </c>
      <c r="L569" t="s">
        <v>2009</v>
      </c>
      <c r="M569" t="s">
        <v>17</v>
      </c>
      <c r="N569">
        <v>2</v>
      </c>
      <c r="O569" t="s">
        <v>2008</v>
      </c>
      <c r="P569" t="s">
        <v>2007</v>
      </c>
      <c r="Q569" t="s">
        <v>2006</v>
      </c>
      <c r="R569" s="7">
        <v>35309</v>
      </c>
      <c r="S569" s="8">
        <f t="shared" si="64"/>
        <v>1996</v>
      </c>
      <c r="T569" s="8">
        <v>1996</v>
      </c>
      <c r="U569" s="8">
        <f t="shared" si="65"/>
        <v>26</v>
      </c>
      <c r="V569" s="7">
        <v>35309</v>
      </c>
      <c r="W569" t="s">
        <v>361</v>
      </c>
      <c r="X569" s="2">
        <v>1.468</v>
      </c>
      <c r="Y569" s="6">
        <f t="shared" si="66"/>
        <v>3.9187421585115186E-2</v>
      </c>
      <c r="AA569">
        <v>906778</v>
      </c>
      <c r="AB569">
        <v>18931</v>
      </c>
      <c r="AD569" t="s">
        <v>1</v>
      </c>
      <c r="AE569">
        <v>44</v>
      </c>
      <c r="AF569">
        <v>9</v>
      </c>
      <c r="AH569" t="s">
        <v>2005</v>
      </c>
      <c r="AI569" t="s">
        <v>2004</v>
      </c>
      <c r="AK569" t="s">
        <v>2003</v>
      </c>
      <c r="AL569">
        <v>4</v>
      </c>
      <c r="AM569" s="5">
        <f t="shared" si="67"/>
        <v>0.15384615384615385</v>
      </c>
      <c r="AN569" s="4">
        <f t="shared" si="68"/>
        <v>2.3301197099000962E-4</v>
      </c>
      <c r="AO569" s="3"/>
      <c r="AP569">
        <v>0</v>
      </c>
      <c r="AR569" t="s">
        <v>0</v>
      </c>
      <c r="AT569" s="2">
        <v>5.0830000000000002</v>
      </c>
      <c r="AU569" s="1">
        <f t="shared" si="69"/>
        <v>2.7501098700877633</v>
      </c>
      <c r="AV569" s="1">
        <f t="shared" si="70"/>
        <v>1.9710216778052598</v>
      </c>
      <c r="AW569" s="1">
        <f t="shared" si="71"/>
        <v>1.1919334855227564</v>
      </c>
    </row>
    <row r="570" spans="1:49" x14ac:dyDescent="0.2">
      <c r="A570">
        <v>568</v>
      </c>
      <c r="B570" t="s">
        <v>2002</v>
      </c>
      <c r="C570" t="s">
        <v>2001</v>
      </c>
      <c r="F570" t="s">
        <v>2000</v>
      </c>
      <c r="G570" t="s">
        <v>6</v>
      </c>
      <c r="H570" t="s">
        <v>5</v>
      </c>
      <c r="I570" t="s">
        <v>1999</v>
      </c>
      <c r="J570">
        <v>60012708</v>
      </c>
      <c r="K570" t="s">
        <v>16</v>
      </c>
      <c r="L570" t="s">
        <v>15</v>
      </c>
      <c r="M570" t="s">
        <v>2</v>
      </c>
      <c r="N570">
        <v>2</v>
      </c>
      <c r="O570" t="s">
        <v>1998</v>
      </c>
      <c r="P570" t="s">
        <v>1997</v>
      </c>
      <c r="Q570" t="s">
        <v>14</v>
      </c>
      <c r="R570" s="7">
        <v>35309</v>
      </c>
      <c r="S570" s="8">
        <f t="shared" si="64"/>
        <v>1996</v>
      </c>
      <c r="T570" s="8">
        <v>1996</v>
      </c>
      <c r="U570" s="8">
        <f t="shared" si="65"/>
        <v>26</v>
      </c>
      <c r="V570" s="7">
        <v>35309</v>
      </c>
      <c r="W570" t="s">
        <v>361</v>
      </c>
      <c r="X570" s="2">
        <v>1.468</v>
      </c>
      <c r="Y570" s="6">
        <f t="shared" si="66"/>
        <v>3.9187421585115186E-2</v>
      </c>
      <c r="AA570">
        <v>906778</v>
      </c>
      <c r="AB570">
        <v>18931</v>
      </c>
      <c r="AD570" t="s">
        <v>1</v>
      </c>
      <c r="AE570">
        <v>44</v>
      </c>
      <c r="AF570">
        <v>9</v>
      </c>
      <c r="AH570" t="s">
        <v>1996</v>
      </c>
      <c r="AI570" t="s">
        <v>1995</v>
      </c>
      <c r="AK570" t="s">
        <v>1994</v>
      </c>
      <c r="AL570">
        <v>16</v>
      </c>
      <c r="AM570" s="5">
        <f t="shared" si="67"/>
        <v>0.61538461538461542</v>
      </c>
      <c r="AN570" s="4">
        <f t="shared" si="68"/>
        <v>9.320478839600385E-4</v>
      </c>
      <c r="AO570" s="3"/>
      <c r="AP570">
        <v>0</v>
      </c>
      <c r="AR570" t="s">
        <v>0</v>
      </c>
      <c r="AS570" t="s">
        <v>1993</v>
      </c>
      <c r="AT570" s="2">
        <v>5.0830000000000002</v>
      </c>
      <c r="AU570" s="1">
        <f t="shared" si="69"/>
        <v>2.7710809474768641</v>
      </c>
      <c r="AV570" s="1">
        <f t="shared" si="70"/>
        <v>2.0059734734537611</v>
      </c>
      <c r="AW570" s="1">
        <f t="shared" si="71"/>
        <v>1.2408659994306581</v>
      </c>
    </row>
    <row r="571" spans="1:49" x14ac:dyDescent="0.2">
      <c r="A571">
        <v>569</v>
      </c>
      <c r="B571" t="s">
        <v>1992</v>
      </c>
      <c r="C571" t="s">
        <v>1991</v>
      </c>
      <c r="F571" t="s">
        <v>1561</v>
      </c>
      <c r="G571" t="s">
        <v>6</v>
      </c>
      <c r="H571" t="s">
        <v>5</v>
      </c>
      <c r="I571" t="s">
        <v>1560</v>
      </c>
      <c r="J571" t="s">
        <v>1990</v>
      </c>
      <c r="K571" t="s">
        <v>1989</v>
      </c>
      <c r="L571" t="s">
        <v>1988</v>
      </c>
      <c r="M571" t="s">
        <v>1987</v>
      </c>
      <c r="N571">
        <v>1</v>
      </c>
      <c r="O571" t="s">
        <v>1555</v>
      </c>
      <c r="P571">
        <v>7003541251</v>
      </c>
      <c r="Q571" t="s">
        <v>1986</v>
      </c>
      <c r="R571" s="7">
        <v>35309</v>
      </c>
      <c r="S571" s="8">
        <f t="shared" si="64"/>
        <v>1996</v>
      </c>
      <c r="T571" s="8">
        <v>1996</v>
      </c>
      <c r="U571" s="8">
        <f t="shared" si="65"/>
        <v>26</v>
      </c>
      <c r="V571" s="7">
        <v>35309</v>
      </c>
      <c r="W571" t="s">
        <v>1553</v>
      </c>
      <c r="X571" s="2">
        <v>2.823</v>
      </c>
      <c r="Y571" s="6">
        <f t="shared" si="66"/>
        <v>7.5358372707615917E-2</v>
      </c>
      <c r="AA571">
        <v>1636804</v>
      </c>
      <c r="AB571">
        <v>17249</v>
      </c>
      <c r="AD571" t="s">
        <v>1</v>
      </c>
      <c r="AE571">
        <v>34</v>
      </c>
      <c r="AF571">
        <v>9</v>
      </c>
      <c r="AH571" t="s">
        <v>1552</v>
      </c>
      <c r="AI571" t="s">
        <v>1551</v>
      </c>
      <c r="AK571" t="s">
        <v>1550</v>
      </c>
      <c r="AL571">
        <v>8</v>
      </c>
      <c r="AM571" s="5">
        <f t="shared" si="67"/>
        <v>0.30769230769230771</v>
      </c>
      <c r="AN571" s="4">
        <f t="shared" si="68"/>
        <v>4.6602394198001925E-4</v>
      </c>
      <c r="AO571" s="3"/>
      <c r="AP571">
        <v>0</v>
      </c>
      <c r="AR571" t="s">
        <v>0</v>
      </c>
      <c r="AT571" s="2">
        <v>9.6189999999999998</v>
      </c>
      <c r="AU571" s="1">
        <f t="shared" si="69"/>
        <v>5.2890668077925147</v>
      </c>
      <c r="AV571" s="1">
        <f t="shared" si="70"/>
        <v>3.7912198324797965</v>
      </c>
      <c r="AW571" s="1">
        <f t="shared" si="71"/>
        <v>2.2933728571670788</v>
      </c>
    </row>
    <row r="572" spans="1:49" x14ac:dyDescent="0.2">
      <c r="A572">
        <v>570</v>
      </c>
      <c r="B572" t="s">
        <v>1985</v>
      </c>
      <c r="C572" t="s">
        <v>1984</v>
      </c>
      <c r="F572" t="s">
        <v>572</v>
      </c>
      <c r="G572" t="s">
        <v>6</v>
      </c>
      <c r="H572" t="s">
        <v>5</v>
      </c>
      <c r="I572" t="s">
        <v>571</v>
      </c>
      <c r="J572">
        <v>60025778</v>
      </c>
      <c r="K572" t="s">
        <v>96</v>
      </c>
      <c r="L572" t="s">
        <v>95</v>
      </c>
      <c r="M572" t="s">
        <v>2</v>
      </c>
      <c r="N572">
        <v>3</v>
      </c>
      <c r="O572" t="s">
        <v>570</v>
      </c>
      <c r="P572" t="s">
        <v>569</v>
      </c>
      <c r="Q572" t="s">
        <v>94</v>
      </c>
      <c r="R572" s="7">
        <v>35309</v>
      </c>
      <c r="S572" s="8">
        <f t="shared" si="64"/>
        <v>1996</v>
      </c>
      <c r="T572" s="8">
        <v>1996</v>
      </c>
      <c r="U572" s="8">
        <f t="shared" si="65"/>
        <v>26</v>
      </c>
      <c r="V572" s="7">
        <v>35309</v>
      </c>
      <c r="W572" t="s">
        <v>294</v>
      </c>
      <c r="X572" s="2">
        <v>0.249</v>
      </c>
      <c r="Y572" s="6">
        <f t="shared" si="66"/>
        <v>6.6469127893008734E-3</v>
      </c>
      <c r="AA572">
        <v>8943370</v>
      </c>
      <c r="AB572">
        <v>18200</v>
      </c>
      <c r="AD572" t="s">
        <v>1</v>
      </c>
      <c r="AE572">
        <v>9</v>
      </c>
      <c r="AF572">
        <v>5</v>
      </c>
      <c r="AH572" t="s">
        <v>568</v>
      </c>
      <c r="AI572" t="s">
        <v>567</v>
      </c>
      <c r="AK572" t="s">
        <v>566</v>
      </c>
      <c r="AL572">
        <v>2</v>
      </c>
      <c r="AM572" s="5">
        <f t="shared" si="67"/>
        <v>7.6923076923076927E-2</v>
      </c>
      <c r="AN572" s="4">
        <f t="shared" si="68"/>
        <v>1.1650598549500481E-4</v>
      </c>
      <c r="AO572" s="3"/>
      <c r="AP572">
        <v>0</v>
      </c>
      <c r="AR572" t="s">
        <v>0</v>
      </c>
      <c r="AT572" s="2" t="s">
        <v>9</v>
      </c>
      <c r="AU572" s="1">
        <f t="shared" si="69"/>
        <v>0.46877907481591125</v>
      </c>
      <c r="AV572" s="1">
        <f t="shared" si="70"/>
        <v>0.33817093873979387</v>
      </c>
      <c r="AW572" s="1">
        <f t="shared" si="71"/>
        <v>0.20756280266367652</v>
      </c>
    </row>
    <row r="573" spans="1:49" x14ac:dyDescent="0.2">
      <c r="A573">
        <v>571</v>
      </c>
      <c r="B573" t="s">
        <v>1983</v>
      </c>
      <c r="C573" t="s">
        <v>1982</v>
      </c>
      <c r="F573" t="s">
        <v>1981</v>
      </c>
      <c r="G573" t="s">
        <v>6</v>
      </c>
      <c r="H573" t="s">
        <v>5</v>
      </c>
      <c r="I573" t="s">
        <v>1980</v>
      </c>
      <c r="J573">
        <v>60015916</v>
      </c>
      <c r="K573" t="s">
        <v>1979</v>
      </c>
      <c r="L573" t="s">
        <v>37</v>
      </c>
      <c r="M573" t="s">
        <v>2</v>
      </c>
      <c r="N573">
        <v>1</v>
      </c>
      <c r="O573" t="s">
        <v>1978</v>
      </c>
      <c r="P573">
        <v>7006400060</v>
      </c>
      <c r="Q573">
        <v>60015916</v>
      </c>
      <c r="R573" s="7">
        <v>35309</v>
      </c>
      <c r="S573" s="8">
        <f t="shared" si="64"/>
        <v>1996</v>
      </c>
      <c r="T573" s="8">
        <v>1996</v>
      </c>
      <c r="U573" s="8">
        <f t="shared" si="65"/>
        <v>26</v>
      </c>
      <c r="V573" s="7">
        <v>35309</v>
      </c>
      <c r="W573" t="s">
        <v>544</v>
      </c>
      <c r="X573" s="2">
        <v>0.39600000000000002</v>
      </c>
      <c r="Y573" s="6">
        <f t="shared" si="66"/>
        <v>1.0570993833586931E-2</v>
      </c>
      <c r="AA573">
        <v>8858985</v>
      </c>
      <c r="AB573">
        <v>25993</v>
      </c>
      <c r="AD573" t="s">
        <v>1</v>
      </c>
      <c r="AE573">
        <v>11</v>
      </c>
      <c r="AF573">
        <v>9</v>
      </c>
      <c r="AH573" t="s">
        <v>159</v>
      </c>
      <c r="AI573" t="s">
        <v>1977</v>
      </c>
      <c r="AK573" t="s">
        <v>1976</v>
      </c>
      <c r="AL573">
        <v>6</v>
      </c>
      <c r="AM573" s="5">
        <f t="shared" si="67"/>
        <v>0.23076923076923078</v>
      </c>
      <c r="AN573" s="4">
        <f t="shared" si="68"/>
        <v>3.4951795648501444E-4</v>
      </c>
      <c r="AO573" s="3"/>
      <c r="AP573">
        <v>0</v>
      </c>
      <c r="AR573" t="s">
        <v>0</v>
      </c>
      <c r="AT573" s="2" t="s">
        <v>9</v>
      </c>
      <c r="AU573" s="1">
        <f t="shared" si="69"/>
        <v>0.75045510704563556</v>
      </c>
      <c r="AV573" s="1">
        <f t="shared" si="70"/>
        <v>0.54602558950359725</v>
      </c>
      <c r="AW573" s="1">
        <f t="shared" si="71"/>
        <v>0.34159607196155894</v>
      </c>
    </row>
    <row r="574" spans="1:49" x14ac:dyDescent="0.2">
      <c r="A574">
        <v>572</v>
      </c>
      <c r="B574" t="s">
        <v>1975</v>
      </c>
      <c r="C574" t="s">
        <v>1974</v>
      </c>
      <c r="F574" t="s">
        <v>1973</v>
      </c>
      <c r="G574" t="s">
        <v>6</v>
      </c>
      <c r="H574" t="s">
        <v>5</v>
      </c>
      <c r="I574" t="s">
        <v>1972</v>
      </c>
      <c r="J574">
        <v>60001881</v>
      </c>
      <c r="K574" t="s">
        <v>368</v>
      </c>
      <c r="L574" t="s">
        <v>367</v>
      </c>
      <c r="M574" t="s">
        <v>19</v>
      </c>
      <c r="N574">
        <v>3</v>
      </c>
      <c r="O574" t="s">
        <v>1971</v>
      </c>
      <c r="P574" t="s">
        <v>1970</v>
      </c>
      <c r="Q574" t="s">
        <v>366</v>
      </c>
      <c r="R574" s="7">
        <v>35309</v>
      </c>
      <c r="S574" s="8">
        <f t="shared" si="64"/>
        <v>1996</v>
      </c>
      <c r="T574" s="8">
        <v>1996</v>
      </c>
      <c r="U574" s="8">
        <f t="shared" si="65"/>
        <v>26</v>
      </c>
      <c r="V574" s="7">
        <v>35309</v>
      </c>
      <c r="W574" t="s">
        <v>150</v>
      </c>
      <c r="X574" s="2">
        <v>1.6519999999999999</v>
      </c>
      <c r="Y574" s="6">
        <f t="shared" si="66"/>
        <v>4.409919649769093E-2</v>
      </c>
      <c r="AA574" t="s">
        <v>149</v>
      </c>
      <c r="AB574">
        <v>17337</v>
      </c>
      <c r="AD574" t="s">
        <v>1</v>
      </c>
      <c r="AE574">
        <v>44</v>
      </c>
      <c r="AF574">
        <v>9</v>
      </c>
      <c r="AH574" t="s">
        <v>1969</v>
      </c>
      <c r="AI574" t="s">
        <v>1968</v>
      </c>
      <c r="AK574" t="s">
        <v>1967</v>
      </c>
      <c r="AL574">
        <v>4</v>
      </c>
      <c r="AM574" s="5">
        <f t="shared" si="67"/>
        <v>0.15384615384615385</v>
      </c>
      <c r="AN574" s="4">
        <f t="shared" si="68"/>
        <v>2.3301197099000962E-4</v>
      </c>
      <c r="AO574" s="3"/>
      <c r="AP574">
        <v>0</v>
      </c>
      <c r="AR574" t="s">
        <v>0</v>
      </c>
      <c r="AT574" s="2" t="s">
        <v>9</v>
      </c>
      <c r="AU574" s="1">
        <f t="shared" si="69"/>
        <v>3.0939341139680656</v>
      </c>
      <c r="AV574" s="1">
        <f t="shared" si="70"/>
        <v>2.2166104234340471</v>
      </c>
      <c r="AW574" s="1">
        <f t="shared" si="71"/>
        <v>1.3392867329000284</v>
      </c>
    </row>
    <row r="575" spans="1:49" x14ac:dyDescent="0.2">
      <c r="A575">
        <v>573</v>
      </c>
      <c r="B575" t="s">
        <v>1966</v>
      </c>
      <c r="C575" t="s">
        <v>1965</v>
      </c>
      <c r="F575" t="s">
        <v>1964</v>
      </c>
      <c r="G575" t="s">
        <v>6</v>
      </c>
      <c r="H575" t="s">
        <v>5</v>
      </c>
      <c r="I575" t="s">
        <v>1963</v>
      </c>
      <c r="J575">
        <v>60015481</v>
      </c>
      <c r="K575" t="s">
        <v>281</v>
      </c>
      <c r="L575" t="s">
        <v>280</v>
      </c>
      <c r="M575" t="s">
        <v>2</v>
      </c>
      <c r="N575">
        <v>3</v>
      </c>
      <c r="O575" t="s">
        <v>1962</v>
      </c>
      <c r="P575" t="s">
        <v>1961</v>
      </c>
      <c r="Q575" t="s">
        <v>279</v>
      </c>
      <c r="R575" s="7">
        <v>35309</v>
      </c>
      <c r="S575" s="8">
        <f t="shared" si="64"/>
        <v>1996</v>
      </c>
      <c r="T575" s="8">
        <v>1996</v>
      </c>
      <c r="U575" s="8">
        <f t="shared" si="65"/>
        <v>26</v>
      </c>
      <c r="V575" s="7">
        <v>35309</v>
      </c>
      <c r="W575" t="s">
        <v>125</v>
      </c>
      <c r="X575" s="2">
        <v>0.371</v>
      </c>
      <c r="Y575" s="6">
        <f t="shared" si="66"/>
        <v>9.9036331117695747E-3</v>
      </c>
      <c r="AA575">
        <v>486604</v>
      </c>
      <c r="AB575">
        <v>28580</v>
      </c>
      <c r="AC575" t="s">
        <v>1960</v>
      </c>
      <c r="AD575" t="s">
        <v>1</v>
      </c>
      <c r="AE575">
        <v>31</v>
      </c>
      <c r="AF575">
        <v>5</v>
      </c>
      <c r="AH575" t="s">
        <v>1959</v>
      </c>
      <c r="AI575" t="s">
        <v>1958</v>
      </c>
      <c r="AK575" t="s">
        <v>1957</v>
      </c>
      <c r="AL575">
        <v>3</v>
      </c>
      <c r="AM575" s="5">
        <f t="shared" si="67"/>
        <v>0.11538461538461539</v>
      </c>
      <c r="AN575" s="4">
        <f t="shared" si="68"/>
        <v>1.7475897824250722E-4</v>
      </c>
      <c r="AO575" s="3"/>
      <c r="AP575">
        <v>0</v>
      </c>
      <c r="AR575" t="s">
        <v>0</v>
      </c>
      <c r="AT575" s="2">
        <v>1.431</v>
      </c>
      <c r="AU575" s="1">
        <f t="shared" si="69"/>
        <v>0.69849708717114545</v>
      </c>
      <c r="AV575" s="1">
        <f t="shared" si="70"/>
        <v>0.50391960450060402</v>
      </c>
      <c r="AW575" s="1">
        <f t="shared" si="71"/>
        <v>0.30934212183006277</v>
      </c>
    </row>
    <row r="576" spans="1:49" x14ac:dyDescent="0.2">
      <c r="A576">
        <v>574</v>
      </c>
      <c r="B576" t="s">
        <v>1956</v>
      </c>
      <c r="C576" t="s">
        <v>1955</v>
      </c>
      <c r="D576" t="s">
        <v>1954</v>
      </c>
      <c r="F576" t="s">
        <v>1953</v>
      </c>
      <c r="G576" t="s">
        <v>6</v>
      </c>
      <c r="H576" t="s">
        <v>5</v>
      </c>
      <c r="I576" t="s">
        <v>433</v>
      </c>
      <c r="J576" t="s">
        <v>432</v>
      </c>
      <c r="K576" t="s">
        <v>431</v>
      </c>
      <c r="L576" t="s">
        <v>430</v>
      </c>
      <c r="M576" t="s">
        <v>13</v>
      </c>
      <c r="N576">
        <v>3</v>
      </c>
      <c r="O576" t="s">
        <v>429</v>
      </c>
      <c r="P576" t="s">
        <v>428</v>
      </c>
      <c r="Q576" t="s">
        <v>427</v>
      </c>
      <c r="R576" s="7">
        <v>35309</v>
      </c>
      <c r="S576" s="8">
        <f t="shared" si="64"/>
        <v>1996</v>
      </c>
      <c r="T576" s="8">
        <v>1996</v>
      </c>
      <c r="U576" s="8">
        <f t="shared" si="65"/>
        <v>26</v>
      </c>
      <c r="V576" s="7">
        <v>35309</v>
      </c>
      <c r="W576" t="s">
        <v>838</v>
      </c>
      <c r="X576" s="2">
        <v>1.337</v>
      </c>
      <c r="Y576" s="6">
        <f t="shared" si="66"/>
        <v>3.5690451402792235E-2</v>
      </c>
      <c r="AA576">
        <v>7413106</v>
      </c>
      <c r="AB576">
        <v>26005</v>
      </c>
      <c r="AD576" t="s">
        <v>1</v>
      </c>
      <c r="AE576">
        <v>17</v>
      </c>
      <c r="AF576">
        <v>9</v>
      </c>
      <c r="AH576" t="s">
        <v>1952</v>
      </c>
      <c r="AI576" t="s">
        <v>1951</v>
      </c>
      <c r="AK576" t="s">
        <v>1950</v>
      </c>
      <c r="AL576">
        <v>10</v>
      </c>
      <c r="AM576" s="5">
        <f t="shared" si="67"/>
        <v>0.38461538461538464</v>
      </c>
      <c r="AN576" s="4">
        <f t="shared" si="68"/>
        <v>5.8252992747502411E-4</v>
      </c>
      <c r="AO576" s="3"/>
      <c r="AP576">
        <v>0</v>
      </c>
      <c r="AR576" t="s">
        <v>0</v>
      </c>
      <c r="AT576" s="2">
        <v>4.1870000000000003</v>
      </c>
      <c r="AU576" s="1">
        <f t="shared" si="69"/>
        <v>2.5158074960197072</v>
      </c>
      <c r="AV576" s="1">
        <f t="shared" si="70"/>
        <v>1.8136490665133631</v>
      </c>
      <c r="AW576" s="1">
        <f t="shared" si="71"/>
        <v>1.1114906370070188</v>
      </c>
    </row>
    <row r="577" spans="1:49" x14ac:dyDescent="0.2">
      <c r="A577">
        <v>575</v>
      </c>
      <c r="B577" t="s">
        <v>1949</v>
      </c>
      <c r="F577" t="s">
        <v>587</v>
      </c>
      <c r="G577" t="s">
        <v>6</v>
      </c>
      <c r="H577" t="s">
        <v>5</v>
      </c>
      <c r="I577" t="s">
        <v>586</v>
      </c>
      <c r="J577" t="s">
        <v>1948</v>
      </c>
      <c r="K577" t="s">
        <v>1947</v>
      </c>
      <c r="L577" t="s">
        <v>1946</v>
      </c>
      <c r="M577" t="s">
        <v>13</v>
      </c>
      <c r="N577">
        <v>4</v>
      </c>
      <c r="O577" t="s">
        <v>585</v>
      </c>
      <c r="P577" t="s">
        <v>584</v>
      </c>
      <c r="Q577" t="s">
        <v>1945</v>
      </c>
      <c r="R577" s="7">
        <v>35309</v>
      </c>
      <c r="S577" s="8">
        <f t="shared" si="64"/>
        <v>1996</v>
      </c>
      <c r="T577" s="8">
        <v>1996</v>
      </c>
      <c r="U577" s="8">
        <f t="shared" si="65"/>
        <v>26</v>
      </c>
      <c r="V577" s="7">
        <v>35309</v>
      </c>
      <c r="W577" t="s">
        <v>644</v>
      </c>
      <c r="X577" s="2">
        <v>0.33500000000000002</v>
      </c>
      <c r="Y577" s="6">
        <f t="shared" si="66"/>
        <v>8.94263367235258E-3</v>
      </c>
      <c r="AA577">
        <v>10501827</v>
      </c>
      <c r="AB577">
        <v>78233</v>
      </c>
      <c r="AD577" t="s">
        <v>1</v>
      </c>
      <c r="AE577">
        <v>6</v>
      </c>
      <c r="AF577">
        <v>5</v>
      </c>
      <c r="AH577" t="s">
        <v>583</v>
      </c>
      <c r="AI577" t="s">
        <v>1944</v>
      </c>
      <c r="AK577" t="s">
        <v>582</v>
      </c>
      <c r="AL577">
        <v>2</v>
      </c>
      <c r="AM577" s="5">
        <f t="shared" si="67"/>
        <v>7.6923076923076927E-2</v>
      </c>
      <c r="AN577" s="4">
        <f t="shared" si="68"/>
        <v>1.1650598549500481E-4</v>
      </c>
      <c r="AO577" s="3"/>
      <c r="AP577">
        <v>0</v>
      </c>
      <c r="AR577" t="s">
        <v>0</v>
      </c>
      <c r="AT577" s="2" t="s">
        <v>9</v>
      </c>
      <c r="AU577" s="1">
        <f t="shared" si="69"/>
        <v>0.62947953662953071</v>
      </c>
      <c r="AV577" s="1">
        <f t="shared" si="70"/>
        <v>0.45295698289237923</v>
      </c>
      <c r="AW577" s="1">
        <f t="shared" si="71"/>
        <v>0.27643442915522776</v>
      </c>
    </row>
    <row r="578" spans="1:49" x14ac:dyDescent="0.2">
      <c r="A578">
        <v>576</v>
      </c>
      <c r="B578" t="s">
        <v>1943</v>
      </c>
      <c r="C578" t="s">
        <v>1942</v>
      </c>
      <c r="F578" t="s">
        <v>563</v>
      </c>
      <c r="G578" t="s">
        <v>6</v>
      </c>
      <c r="H578" t="s">
        <v>5</v>
      </c>
      <c r="I578" t="s">
        <v>562</v>
      </c>
      <c r="J578">
        <v>60031226</v>
      </c>
      <c r="K578" t="s">
        <v>561</v>
      </c>
      <c r="L578" t="s">
        <v>480</v>
      </c>
      <c r="M578" t="s">
        <v>7</v>
      </c>
      <c r="N578">
        <v>3</v>
      </c>
      <c r="O578" t="s">
        <v>560</v>
      </c>
      <c r="P578" t="s">
        <v>559</v>
      </c>
      <c r="Q578" t="s">
        <v>558</v>
      </c>
      <c r="R578" s="7">
        <v>35309</v>
      </c>
      <c r="S578" s="8">
        <f t="shared" ref="S578:S641" si="72">YEAR(R578)</f>
        <v>1996</v>
      </c>
      <c r="T578" s="8">
        <v>1996</v>
      </c>
      <c r="U578" s="8">
        <f t="shared" ref="U578:U641" si="73">2022-T578</f>
        <v>26</v>
      </c>
      <c r="V578" s="7">
        <v>35309</v>
      </c>
      <c r="W578" t="s">
        <v>557</v>
      </c>
      <c r="X578" s="2">
        <v>0.91300000000000003</v>
      </c>
      <c r="Y578" s="6">
        <f t="shared" ref="Y578:Y641" si="74">(X578-$Z$3)/($Z$2-$Z$3)</f>
        <v>2.4372013560769869E-2</v>
      </c>
      <c r="AA578">
        <v>954616</v>
      </c>
      <c r="AB578">
        <v>25179</v>
      </c>
      <c r="AD578" t="s">
        <v>1</v>
      </c>
      <c r="AE578">
        <v>34</v>
      </c>
      <c r="AF578">
        <v>2</v>
      </c>
      <c r="AH578" t="s">
        <v>556</v>
      </c>
      <c r="AI578" t="s">
        <v>1941</v>
      </c>
      <c r="AK578" t="s">
        <v>555</v>
      </c>
      <c r="AL578">
        <v>8</v>
      </c>
      <c r="AM578" s="5">
        <f t="shared" ref="AM578:AM641" si="75">AL578/U578</f>
        <v>0.30769230769230771</v>
      </c>
      <c r="AN578" s="4">
        <f t="shared" ref="AN578:AN641" si="76">(AM578-$AO$3)/($AO$2-$AO$3)</f>
        <v>4.6602394198001925E-4</v>
      </c>
      <c r="AO578" s="3"/>
      <c r="AP578">
        <v>0</v>
      </c>
      <c r="AR578" t="s">
        <v>0</v>
      </c>
      <c r="AT578" s="2">
        <v>3.5819999999999999</v>
      </c>
      <c r="AU578" s="1">
        <f t="shared" ref="AU578:AU641" si="77">(Y578*0.7+AN578*0.3)*100</f>
        <v>1.7200216675132913</v>
      </c>
      <c r="AV578" s="1">
        <f t="shared" ref="AV578:AV641" si="78">(Y578*0.5+AN578*0.5)*100</f>
        <v>1.2419018751374944</v>
      </c>
      <c r="AW578" s="1">
        <f t="shared" ref="AW578:AW641" si="79">(Y578*0.3+AN578*0.7)*100</f>
        <v>0.76378208276169735</v>
      </c>
    </row>
    <row r="579" spans="1:49" x14ac:dyDescent="0.2">
      <c r="A579">
        <v>577</v>
      </c>
      <c r="B579" t="s">
        <v>1940</v>
      </c>
      <c r="C579" t="s">
        <v>1939</v>
      </c>
      <c r="D579" t="s">
        <v>1938</v>
      </c>
      <c r="E579">
        <v>9014332</v>
      </c>
      <c r="F579" t="s">
        <v>1937</v>
      </c>
      <c r="G579" t="s">
        <v>6</v>
      </c>
      <c r="H579" t="s">
        <v>5</v>
      </c>
      <c r="I579" t="s">
        <v>1936</v>
      </c>
      <c r="J579">
        <v>60028868</v>
      </c>
      <c r="K579" t="s">
        <v>288</v>
      </c>
      <c r="L579" t="s">
        <v>287</v>
      </c>
      <c r="M579" t="s">
        <v>42</v>
      </c>
      <c r="N579">
        <v>5</v>
      </c>
      <c r="O579" t="s">
        <v>1935</v>
      </c>
      <c r="P579" t="s">
        <v>1934</v>
      </c>
      <c r="Q579" t="s">
        <v>1933</v>
      </c>
      <c r="R579" s="7">
        <v>35309</v>
      </c>
      <c r="S579" s="8">
        <f t="shared" si="72"/>
        <v>1996</v>
      </c>
      <c r="T579" s="8">
        <v>1996</v>
      </c>
      <c r="U579" s="8">
        <f t="shared" si="73"/>
        <v>26</v>
      </c>
      <c r="V579" s="7">
        <v>35309</v>
      </c>
      <c r="W579" t="s">
        <v>82</v>
      </c>
      <c r="X579" s="2">
        <v>1.718</v>
      </c>
      <c r="Y579" s="6">
        <f t="shared" si="74"/>
        <v>4.5861028803288753E-2</v>
      </c>
      <c r="AA579">
        <v>9651748</v>
      </c>
      <c r="AB579">
        <v>20384</v>
      </c>
      <c r="AD579" t="s">
        <v>1</v>
      </c>
      <c r="AE579">
        <v>26</v>
      </c>
      <c r="AF579" s="9">
        <v>44447</v>
      </c>
      <c r="AH579" t="s">
        <v>1932</v>
      </c>
      <c r="AI579" t="s">
        <v>1931</v>
      </c>
      <c r="AJ579" t="s">
        <v>1930</v>
      </c>
      <c r="AK579" t="s">
        <v>1929</v>
      </c>
      <c r="AL579">
        <v>51</v>
      </c>
      <c r="AM579" s="5">
        <f t="shared" si="75"/>
        <v>1.9615384615384615</v>
      </c>
      <c r="AN579" s="4">
        <f t="shared" si="76"/>
        <v>2.9709026301226226E-3</v>
      </c>
      <c r="AO579" s="3"/>
      <c r="AP579">
        <v>0</v>
      </c>
      <c r="AR579" t="s">
        <v>0</v>
      </c>
      <c r="AT579" s="2" t="s">
        <v>9</v>
      </c>
      <c r="AU579" s="1">
        <f t="shared" si="77"/>
        <v>3.2993990951338912</v>
      </c>
      <c r="AV579" s="1">
        <f t="shared" si="78"/>
        <v>2.4415965716705688</v>
      </c>
      <c r="AW579" s="1">
        <f t="shared" si="79"/>
        <v>1.5837940482072459</v>
      </c>
    </row>
    <row r="580" spans="1:49" x14ac:dyDescent="0.2">
      <c r="A580">
        <v>578</v>
      </c>
      <c r="B580" t="s">
        <v>1928</v>
      </c>
      <c r="C580" t="s">
        <v>1927</v>
      </c>
      <c r="D580" t="s">
        <v>1926</v>
      </c>
      <c r="E580">
        <v>9014328</v>
      </c>
      <c r="F580" t="s">
        <v>1925</v>
      </c>
      <c r="G580" t="s">
        <v>6</v>
      </c>
      <c r="H580" t="s">
        <v>5</v>
      </c>
      <c r="I580" t="s">
        <v>1924</v>
      </c>
      <c r="J580">
        <v>60018373</v>
      </c>
      <c r="K580" t="s">
        <v>1923</v>
      </c>
      <c r="L580" t="s">
        <v>659</v>
      </c>
      <c r="M580" t="s">
        <v>30</v>
      </c>
      <c r="N580">
        <v>7</v>
      </c>
      <c r="O580" t="s">
        <v>1922</v>
      </c>
      <c r="P580" t="s">
        <v>1921</v>
      </c>
      <c r="Q580" t="s">
        <v>1920</v>
      </c>
      <c r="R580" s="7">
        <v>35309</v>
      </c>
      <c r="S580" s="8">
        <f t="shared" si="72"/>
        <v>1996</v>
      </c>
      <c r="T580" s="8">
        <v>1996</v>
      </c>
      <c r="U580" s="8">
        <f t="shared" si="73"/>
        <v>26</v>
      </c>
      <c r="V580" s="7">
        <v>35309</v>
      </c>
      <c r="W580" t="s">
        <v>82</v>
      </c>
      <c r="X580" s="2">
        <v>1.718</v>
      </c>
      <c r="Y580" s="6">
        <f t="shared" si="74"/>
        <v>4.5861028803288753E-2</v>
      </c>
      <c r="AA580">
        <v>9651748</v>
      </c>
      <c r="AB580">
        <v>20384</v>
      </c>
      <c r="AD580" t="s">
        <v>1</v>
      </c>
      <c r="AE580">
        <v>26</v>
      </c>
      <c r="AF580" s="9">
        <v>44447</v>
      </c>
      <c r="AH580" t="s">
        <v>1919</v>
      </c>
      <c r="AI580" t="s">
        <v>1918</v>
      </c>
      <c r="AJ580" t="s">
        <v>1917</v>
      </c>
      <c r="AK580" t="s">
        <v>1916</v>
      </c>
      <c r="AL580">
        <v>93</v>
      </c>
      <c r="AM580" s="5">
        <f t="shared" si="75"/>
        <v>3.5769230769230771</v>
      </c>
      <c r="AN580" s="4">
        <f t="shared" si="76"/>
        <v>5.4175283255177235E-3</v>
      </c>
      <c r="AO580" s="3"/>
      <c r="AP580">
        <v>0</v>
      </c>
      <c r="AQ580" t="s">
        <v>100</v>
      </c>
      <c r="AR580" t="s">
        <v>0</v>
      </c>
      <c r="AS580" t="s">
        <v>99</v>
      </c>
      <c r="AT580" s="2" t="s">
        <v>9</v>
      </c>
      <c r="AU580" s="1">
        <f t="shared" si="77"/>
        <v>3.3727978659957443</v>
      </c>
      <c r="AV580" s="1">
        <f t="shared" si="78"/>
        <v>2.5639278564403236</v>
      </c>
      <c r="AW580" s="1">
        <f t="shared" si="79"/>
        <v>1.7550578468849034</v>
      </c>
    </row>
    <row r="581" spans="1:49" x14ac:dyDescent="0.2">
      <c r="A581">
        <v>579</v>
      </c>
      <c r="B581" t="s">
        <v>1915</v>
      </c>
      <c r="F581" t="s">
        <v>1914</v>
      </c>
      <c r="G581" t="s">
        <v>6</v>
      </c>
      <c r="H581" t="s">
        <v>5</v>
      </c>
      <c r="I581" t="s">
        <v>1913</v>
      </c>
      <c r="J581">
        <v>60020536</v>
      </c>
      <c r="K581" t="s">
        <v>1912</v>
      </c>
      <c r="L581" t="s">
        <v>15</v>
      </c>
      <c r="M581" t="s">
        <v>2</v>
      </c>
      <c r="N581">
        <v>1</v>
      </c>
      <c r="O581" t="s">
        <v>1911</v>
      </c>
      <c r="P581">
        <v>7103192194</v>
      </c>
      <c r="Q581">
        <v>60020536</v>
      </c>
      <c r="R581" s="7">
        <v>35309</v>
      </c>
      <c r="S581" s="8">
        <f t="shared" si="72"/>
        <v>1996</v>
      </c>
      <c r="T581" s="8">
        <v>1996</v>
      </c>
      <c r="U581" s="8">
        <f t="shared" si="73"/>
        <v>26</v>
      </c>
      <c r="V581" s="7">
        <v>35309</v>
      </c>
      <c r="W581" t="s">
        <v>1887</v>
      </c>
      <c r="X581" s="2" t="s">
        <v>9</v>
      </c>
      <c r="Y581" s="6" t="e">
        <f t="shared" si="74"/>
        <v>#VALUE!</v>
      </c>
      <c r="AA581">
        <v>134902</v>
      </c>
      <c r="AB581">
        <v>32898</v>
      </c>
      <c r="AD581" t="s">
        <v>1</v>
      </c>
      <c r="AE581">
        <v>68</v>
      </c>
      <c r="AF581">
        <v>837</v>
      </c>
      <c r="AI581" t="s">
        <v>1910</v>
      </c>
      <c r="AK581" t="s">
        <v>1909</v>
      </c>
      <c r="AL581">
        <v>0</v>
      </c>
      <c r="AM581" s="5">
        <f t="shared" si="75"/>
        <v>0</v>
      </c>
      <c r="AN581" s="4">
        <f t="shared" si="76"/>
        <v>0</v>
      </c>
      <c r="AO581" s="3"/>
      <c r="AP581">
        <v>0</v>
      </c>
      <c r="AR581" t="s">
        <v>0</v>
      </c>
      <c r="AT581" s="2" t="s">
        <v>9</v>
      </c>
      <c r="AU581" s="1" t="e">
        <f t="shared" si="77"/>
        <v>#VALUE!</v>
      </c>
      <c r="AV581" s="1" t="e">
        <f t="shared" si="78"/>
        <v>#VALUE!</v>
      </c>
      <c r="AW581" s="1" t="e">
        <f t="shared" si="79"/>
        <v>#VALUE!</v>
      </c>
    </row>
    <row r="582" spans="1:49" x14ac:dyDescent="0.2">
      <c r="A582">
        <v>580</v>
      </c>
      <c r="B582" t="s">
        <v>1908</v>
      </c>
      <c r="F582" t="s">
        <v>1907</v>
      </c>
      <c r="G582" t="s">
        <v>6</v>
      </c>
      <c r="H582" t="s">
        <v>5</v>
      </c>
      <c r="I582" t="s">
        <v>1906</v>
      </c>
      <c r="N582">
        <v>2</v>
      </c>
      <c r="O582" t="s">
        <v>1905</v>
      </c>
      <c r="P582" t="s">
        <v>1904</v>
      </c>
      <c r="Q582" t="s">
        <v>460</v>
      </c>
      <c r="R582" s="7">
        <v>35309</v>
      </c>
      <c r="S582" s="8">
        <f t="shared" si="72"/>
        <v>1996</v>
      </c>
      <c r="T582" s="8">
        <v>1996</v>
      </c>
      <c r="U582" s="8">
        <f t="shared" si="73"/>
        <v>26</v>
      </c>
      <c r="V582" s="7">
        <v>35309</v>
      </c>
      <c r="W582" t="s">
        <v>1903</v>
      </c>
      <c r="X582" s="2" t="s">
        <v>9</v>
      </c>
      <c r="Y582" s="6" t="e">
        <f t="shared" si="74"/>
        <v>#VALUE!</v>
      </c>
      <c r="AB582">
        <v>101320</v>
      </c>
      <c r="AD582" t="s">
        <v>1</v>
      </c>
      <c r="AF582">
        <v>10</v>
      </c>
      <c r="AH582" t="s">
        <v>1902</v>
      </c>
      <c r="AI582" t="s">
        <v>1901</v>
      </c>
      <c r="AK582" t="s">
        <v>1900</v>
      </c>
      <c r="AL582">
        <v>1</v>
      </c>
      <c r="AM582" s="5">
        <f t="shared" si="75"/>
        <v>3.8461538461538464E-2</v>
      </c>
      <c r="AN582" s="4">
        <f t="shared" si="76"/>
        <v>5.8252992747502406E-5</v>
      </c>
      <c r="AO582" s="3"/>
      <c r="AP582">
        <v>0</v>
      </c>
      <c r="AR582" t="s">
        <v>0</v>
      </c>
      <c r="AT582" s="2" t="s">
        <v>9</v>
      </c>
      <c r="AU582" s="1" t="e">
        <f t="shared" si="77"/>
        <v>#VALUE!</v>
      </c>
      <c r="AV582" s="1" t="e">
        <f t="shared" si="78"/>
        <v>#VALUE!</v>
      </c>
      <c r="AW582" s="1" t="e">
        <f t="shared" si="79"/>
        <v>#VALUE!</v>
      </c>
    </row>
    <row r="583" spans="1:49" x14ac:dyDescent="0.2">
      <c r="A583">
        <v>581</v>
      </c>
      <c r="B583" t="s">
        <v>1899</v>
      </c>
      <c r="F583" t="s">
        <v>1898</v>
      </c>
      <c r="G583" t="s">
        <v>6</v>
      </c>
      <c r="H583" t="s">
        <v>5</v>
      </c>
      <c r="I583" t="s">
        <v>1897</v>
      </c>
      <c r="N583">
        <v>2</v>
      </c>
      <c r="O583" t="s">
        <v>1896</v>
      </c>
      <c r="P583" t="s">
        <v>1895</v>
      </c>
      <c r="Q583" t="s">
        <v>460</v>
      </c>
      <c r="R583" s="7">
        <v>35309</v>
      </c>
      <c r="S583" s="8">
        <f t="shared" si="72"/>
        <v>1996</v>
      </c>
      <c r="T583" s="8">
        <v>1996</v>
      </c>
      <c r="U583" s="8">
        <f t="shared" si="73"/>
        <v>26</v>
      </c>
      <c r="V583" s="7">
        <v>35309</v>
      </c>
      <c r="W583" t="s">
        <v>74</v>
      </c>
      <c r="X583" s="2">
        <v>0.29499999999999998</v>
      </c>
      <c r="Y583" s="6">
        <f t="shared" si="74"/>
        <v>7.8748565174448087E-3</v>
      </c>
      <c r="AA583">
        <v>10642269</v>
      </c>
      <c r="AB583">
        <v>19554</v>
      </c>
      <c r="AD583" t="s">
        <v>1</v>
      </c>
      <c r="AE583">
        <v>41</v>
      </c>
      <c r="AF583">
        <v>12</v>
      </c>
      <c r="AH583" t="s">
        <v>1894</v>
      </c>
      <c r="AI583" t="s">
        <v>1893</v>
      </c>
      <c r="AK583" t="s">
        <v>1892</v>
      </c>
      <c r="AL583">
        <v>0</v>
      </c>
      <c r="AM583" s="5">
        <f t="shared" si="75"/>
        <v>0</v>
      </c>
      <c r="AN583" s="4">
        <f t="shared" si="76"/>
        <v>0</v>
      </c>
      <c r="AO583" s="3"/>
      <c r="AP583">
        <v>0</v>
      </c>
      <c r="AR583" t="s">
        <v>0</v>
      </c>
      <c r="AT583" s="2" t="s">
        <v>9</v>
      </c>
      <c r="AU583" s="1">
        <f t="shared" si="77"/>
        <v>0.55123995622113653</v>
      </c>
      <c r="AV583" s="1">
        <f t="shared" si="78"/>
        <v>0.39374282587224041</v>
      </c>
      <c r="AW583" s="1">
        <f t="shared" si="79"/>
        <v>0.23624569552334423</v>
      </c>
    </row>
    <row r="584" spans="1:49" x14ac:dyDescent="0.2">
      <c r="A584">
        <v>582</v>
      </c>
      <c r="B584" t="s">
        <v>1891</v>
      </c>
      <c r="F584" t="s">
        <v>1890</v>
      </c>
      <c r="G584" t="s">
        <v>6</v>
      </c>
      <c r="H584" t="s">
        <v>5</v>
      </c>
      <c r="I584" t="s">
        <v>1889</v>
      </c>
      <c r="N584">
        <v>1</v>
      </c>
      <c r="O584" t="s">
        <v>1888</v>
      </c>
      <c r="P584">
        <v>7801539613</v>
      </c>
      <c r="R584" s="7">
        <v>35309</v>
      </c>
      <c r="S584" s="8">
        <f t="shared" si="72"/>
        <v>1996</v>
      </c>
      <c r="T584" s="8">
        <v>1996</v>
      </c>
      <c r="U584" s="8">
        <f t="shared" si="73"/>
        <v>26</v>
      </c>
      <c r="V584" s="7">
        <v>35309</v>
      </c>
      <c r="W584" t="s">
        <v>1887</v>
      </c>
      <c r="X584" s="2" t="s">
        <v>9</v>
      </c>
      <c r="Y584" s="6" t="e">
        <f t="shared" si="74"/>
        <v>#VALUE!</v>
      </c>
      <c r="AA584">
        <v>134902</v>
      </c>
      <c r="AB584">
        <v>32898</v>
      </c>
      <c r="AD584" t="s">
        <v>1</v>
      </c>
      <c r="AE584">
        <v>68</v>
      </c>
      <c r="AF584">
        <v>837</v>
      </c>
      <c r="AI584" t="s">
        <v>1886</v>
      </c>
      <c r="AK584" t="s">
        <v>1885</v>
      </c>
      <c r="AL584">
        <v>0</v>
      </c>
      <c r="AM584" s="5">
        <f t="shared" si="75"/>
        <v>0</v>
      </c>
      <c r="AN584" s="4">
        <f t="shared" si="76"/>
        <v>0</v>
      </c>
      <c r="AO584" s="3"/>
      <c r="AP584">
        <v>0</v>
      </c>
      <c r="AR584" t="s">
        <v>0</v>
      </c>
      <c r="AT584" s="2" t="s">
        <v>9</v>
      </c>
      <c r="AU584" s="1" t="e">
        <f t="shared" si="77"/>
        <v>#VALUE!</v>
      </c>
      <c r="AV584" s="1" t="e">
        <f t="shared" si="78"/>
        <v>#VALUE!</v>
      </c>
      <c r="AW584" s="1" t="e">
        <f t="shared" si="79"/>
        <v>#VALUE!</v>
      </c>
    </row>
    <row r="585" spans="1:49" x14ac:dyDescent="0.2">
      <c r="A585">
        <v>583</v>
      </c>
      <c r="B585" t="s">
        <v>1884</v>
      </c>
      <c r="F585" t="s">
        <v>1883</v>
      </c>
      <c r="G585" t="s">
        <v>6</v>
      </c>
      <c r="H585" t="s">
        <v>5</v>
      </c>
      <c r="I585" t="s">
        <v>1882</v>
      </c>
      <c r="J585" t="s">
        <v>1881</v>
      </c>
      <c r="K585" t="s">
        <v>1880</v>
      </c>
      <c r="L585" t="s">
        <v>1879</v>
      </c>
      <c r="M585" t="s">
        <v>1878</v>
      </c>
      <c r="N585">
        <v>1</v>
      </c>
      <c r="O585" t="s">
        <v>1877</v>
      </c>
      <c r="P585">
        <v>7402119930</v>
      </c>
      <c r="Q585" t="s">
        <v>1876</v>
      </c>
      <c r="R585" s="7">
        <v>35309</v>
      </c>
      <c r="S585" s="8">
        <f t="shared" si="72"/>
        <v>1996</v>
      </c>
      <c r="T585" s="8">
        <v>1996</v>
      </c>
      <c r="U585" s="8">
        <f t="shared" si="73"/>
        <v>26</v>
      </c>
      <c r="V585" s="7">
        <v>35309</v>
      </c>
      <c r="W585" t="s">
        <v>732</v>
      </c>
      <c r="X585" s="2" t="s">
        <v>9</v>
      </c>
      <c r="Y585" s="6" t="e">
        <f t="shared" si="74"/>
        <v>#VALUE!</v>
      </c>
      <c r="AA585">
        <v>10196587</v>
      </c>
      <c r="AB585">
        <v>18354</v>
      </c>
      <c r="AD585" t="s">
        <v>1</v>
      </c>
      <c r="AF585">
        <v>269</v>
      </c>
      <c r="AH585" t="s">
        <v>1875</v>
      </c>
      <c r="AI585" t="s">
        <v>1874</v>
      </c>
      <c r="AK585" t="s">
        <v>1873</v>
      </c>
      <c r="AL585">
        <v>1</v>
      </c>
      <c r="AM585" s="5">
        <f t="shared" si="75"/>
        <v>3.8461538461538464E-2</v>
      </c>
      <c r="AN585" s="4">
        <f t="shared" si="76"/>
        <v>5.8252992747502406E-5</v>
      </c>
      <c r="AO585" s="3"/>
      <c r="AP585">
        <v>0</v>
      </c>
      <c r="AR585" t="s">
        <v>0</v>
      </c>
      <c r="AT585" s="2" t="s">
        <v>9</v>
      </c>
      <c r="AU585" s="1" t="e">
        <f t="shared" si="77"/>
        <v>#VALUE!</v>
      </c>
      <c r="AV585" s="1" t="e">
        <f t="shared" si="78"/>
        <v>#VALUE!</v>
      </c>
      <c r="AW585" s="1" t="e">
        <f t="shared" si="79"/>
        <v>#VALUE!</v>
      </c>
    </row>
    <row r="586" spans="1:49" x14ac:dyDescent="0.2">
      <c r="A586">
        <v>584</v>
      </c>
      <c r="B586" t="s">
        <v>1872</v>
      </c>
      <c r="F586" t="s">
        <v>1871</v>
      </c>
      <c r="G586" t="s">
        <v>6</v>
      </c>
      <c r="H586" t="s">
        <v>5</v>
      </c>
      <c r="I586" t="s">
        <v>1870</v>
      </c>
      <c r="J586">
        <v>100488162</v>
      </c>
      <c r="K586" t="s">
        <v>1869</v>
      </c>
      <c r="L586" t="s">
        <v>98</v>
      </c>
      <c r="M586" t="s">
        <v>97</v>
      </c>
      <c r="N586">
        <v>2</v>
      </c>
      <c r="O586" t="s">
        <v>1868</v>
      </c>
      <c r="P586" t="s">
        <v>1867</v>
      </c>
      <c r="Q586" t="s">
        <v>1866</v>
      </c>
      <c r="R586" s="7">
        <v>35309</v>
      </c>
      <c r="S586" s="8">
        <f t="shared" si="72"/>
        <v>1996</v>
      </c>
      <c r="T586" s="8">
        <v>1996</v>
      </c>
      <c r="U586" s="8">
        <f t="shared" si="73"/>
        <v>26</v>
      </c>
      <c r="V586" s="7">
        <v>35309</v>
      </c>
      <c r="W586" t="s">
        <v>74</v>
      </c>
      <c r="X586" s="2">
        <v>0.29499999999999998</v>
      </c>
      <c r="Y586" s="6">
        <f t="shared" si="74"/>
        <v>7.8748565174448087E-3</v>
      </c>
      <c r="AA586">
        <v>10642269</v>
      </c>
      <c r="AB586">
        <v>19554</v>
      </c>
      <c r="AD586" t="s">
        <v>1</v>
      </c>
      <c r="AE586">
        <v>41</v>
      </c>
      <c r="AF586">
        <v>12</v>
      </c>
      <c r="AH586" t="s">
        <v>697</v>
      </c>
      <c r="AI586" t="s">
        <v>1865</v>
      </c>
      <c r="AK586" t="s">
        <v>1864</v>
      </c>
      <c r="AL586">
        <v>0</v>
      </c>
      <c r="AM586" s="5">
        <f t="shared" si="75"/>
        <v>0</v>
      </c>
      <c r="AN586" s="4">
        <f t="shared" si="76"/>
        <v>0</v>
      </c>
      <c r="AO586" s="3"/>
      <c r="AP586">
        <v>0</v>
      </c>
      <c r="AR586" t="s">
        <v>0</v>
      </c>
      <c r="AT586" s="2" t="s">
        <v>9</v>
      </c>
      <c r="AU586" s="1">
        <f t="shared" si="77"/>
        <v>0.55123995622113653</v>
      </c>
      <c r="AV586" s="1">
        <f t="shared" si="78"/>
        <v>0.39374282587224041</v>
      </c>
      <c r="AW586" s="1">
        <f t="shared" si="79"/>
        <v>0.23624569552334423</v>
      </c>
    </row>
    <row r="587" spans="1:49" x14ac:dyDescent="0.2">
      <c r="A587">
        <v>585</v>
      </c>
      <c r="B587" t="s">
        <v>1863</v>
      </c>
      <c r="F587" t="s">
        <v>1862</v>
      </c>
      <c r="G587" t="s">
        <v>6</v>
      </c>
      <c r="H587" t="s">
        <v>5</v>
      </c>
      <c r="I587" t="s">
        <v>1861</v>
      </c>
      <c r="N587">
        <v>3</v>
      </c>
      <c r="O587" t="s">
        <v>1860</v>
      </c>
      <c r="P587" t="s">
        <v>1859</v>
      </c>
      <c r="Q587" t="s">
        <v>75</v>
      </c>
      <c r="R587" s="7">
        <v>35309</v>
      </c>
      <c r="S587" s="8">
        <f t="shared" si="72"/>
        <v>1996</v>
      </c>
      <c r="T587" s="8">
        <v>1996</v>
      </c>
      <c r="U587" s="8">
        <f t="shared" si="73"/>
        <v>26</v>
      </c>
      <c r="V587" s="7">
        <v>35309</v>
      </c>
      <c r="W587" t="s">
        <v>74</v>
      </c>
      <c r="X587" s="2">
        <v>0.29499999999999998</v>
      </c>
      <c r="Y587" s="6">
        <f t="shared" si="74"/>
        <v>7.8748565174448087E-3</v>
      </c>
      <c r="AA587">
        <v>10642269</v>
      </c>
      <c r="AB587">
        <v>19554</v>
      </c>
      <c r="AD587" t="s">
        <v>1</v>
      </c>
      <c r="AE587">
        <v>41</v>
      </c>
      <c r="AF587">
        <v>11</v>
      </c>
      <c r="AH587" t="s">
        <v>1858</v>
      </c>
      <c r="AI587" t="s">
        <v>1857</v>
      </c>
      <c r="AK587" t="s">
        <v>1856</v>
      </c>
      <c r="AL587">
        <v>0</v>
      </c>
      <c r="AM587" s="5">
        <f t="shared" si="75"/>
        <v>0</v>
      </c>
      <c r="AN587" s="4">
        <f t="shared" si="76"/>
        <v>0</v>
      </c>
      <c r="AO587" s="3"/>
      <c r="AP587">
        <v>0</v>
      </c>
      <c r="AR587" t="s">
        <v>0</v>
      </c>
      <c r="AT587" s="2" t="s">
        <v>9</v>
      </c>
      <c r="AU587" s="1">
        <f t="shared" si="77"/>
        <v>0.55123995622113653</v>
      </c>
      <c r="AV587" s="1">
        <f t="shared" si="78"/>
        <v>0.39374282587224041</v>
      </c>
      <c r="AW587" s="1">
        <f t="shared" si="79"/>
        <v>0.23624569552334423</v>
      </c>
    </row>
    <row r="588" spans="1:49" x14ac:dyDescent="0.2">
      <c r="A588">
        <v>586</v>
      </c>
      <c r="B588" t="s">
        <v>1855</v>
      </c>
      <c r="F588" t="s">
        <v>1854</v>
      </c>
      <c r="G588" t="s">
        <v>6</v>
      </c>
      <c r="H588" t="s">
        <v>5</v>
      </c>
      <c r="I588" t="s">
        <v>1853</v>
      </c>
      <c r="J588">
        <v>60029225</v>
      </c>
      <c r="K588" t="s">
        <v>707</v>
      </c>
      <c r="L588" t="s">
        <v>98</v>
      </c>
      <c r="M588" t="s">
        <v>97</v>
      </c>
      <c r="N588">
        <v>2</v>
      </c>
      <c r="O588" t="s">
        <v>1852</v>
      </c>
      <c r="P588" t="s">
        <v>1851</v>
      </c>
      <c r="Q588" t="s">
        <v>1850</v>
      </c>
      <c r="R588" s="7">
        <v>35309</v>
      </c>
      <c r="S588" s="8">
        <f t="shared" si="72"/>
        <v>1996</v>
      </c>
      <c r="T588" s="8">
        <v>1996</v>
      </c>
      <c r="U588" s="8">
        <f t="shared" si="73"/>
        <v>26</v>
      </c>
      <c r="V588" s="7">
        <v>35309</v>
      </c>
      <c r="W588" t="s">
        <v>74</v>
      </c>
      <c r="X588" s="2">
        <v>0.29499999999999998</v>
      </c>
      <c r="Y588" s="6">
        <f t="shared" si="74"/>
        <v>7.8748565174448087E-3</v>
      </c>
      <c r="AA588">
        <v>10642269</v>
      </c>
      <c r="AB588">
        <v>19554</v>
      </c>
      <c r="AD588" t="s">
        <v>1</v>
      </c>
      <c r="AE588">
        <v>41</v>
      </c>
      <c r="AF588">
        <v>12</v>
      </c>
      <c r="AH588" t="s">
        <v>1849</v>
      </c>
      <c r="AI588" t="s">
        <v>1848</v>
      </c>
      <c r="AK588" t="s">
        <v>1847</v>
      </c>
      <c r="AL588">
        <v>0</v>
      </c>
      <c r="AM588" s="5">
        <f t="shared" si="75"/>
        <v>0</v>
      </c>
      <c r="AN588" s="4">
        <f t="shared" si="76"/>
        <v>0</v>
      </c>
      <c r="AO588" s="3"/>
      <c r="AP588">
        <v>0</v>
      </c>
      <c r="AR588" t="s">
        <v>0</v>
      </c>
      <c r="AT588" s="2" t="s">
        <v>9</v>
      </c>
      <c r="AU588" s="1">
        <f t="shared" si="77"/>
        <v>0.55123995622113653</v>
      </c>
      <c r="AV588" s="1">
        <f t="shared" si="78"/>
        <v>0.39374282587224041</v>
      </c>
      <c r="AW588" s="1">
        <f t="shared" si="79"/>
        <v>0.23624569552334423</v>
      </c>
    </row>
    <row r="589" spans="1:49" x14ac:dyDescent="0.2">
      <c r="A589">
        <v>587</v>
      </c>
      <c r="B589" t="s">
        <v>1846</v>
      </c>
      <c r="F589" t="s">
        <v>1845</v>
      </c>
      <c r="G589" t="s">
        <v>6</v>
      </c>
      <c r="H589" t="s">
        <v>5</v>
      </c>
      <c r="I589" t="s">
        <v>1024</v>
      </c>
      <c r="N589">
        <v>2</v>
      </c>
      <c r="O589" t="s">
        <v>1844</v>
      </c>
      <c r="P589" t="s">
        <v>1843</v>
      </c>
      <c r="Q589" t="s">
        <v>460</v>
      </c>
      <c r="R589" s="7">
        <v>35309</v>
      </c>
      <c r="S589" s="8">
        <f t="shared" si="72"/>
        <v>1996</v>
      </c>
      <c r="T589" s="8">
        <v>1996</v>
      </c>
      <c r="U589" s="8">
        <f t="shared" si="73"/>
        <v>26</v>
      </c>
      <c r="V589" s="7">
        <v>35309</v>
      </c>
      <c r="W589" t="s">
        <v>74</v>
      </c>
      <c r="X589" s="2">
        <v>0.29499999999999998</v>
      </c>
      <c r="Y589" s="6">
        <f t="shared" si="74"/>
        <v>7.8748565174448087E-3</v>
      </c>
      <c r="AA589">
        <v>10642269</v>
      </c>
      <c r="AB589">
        <v>19554</v>
      </c>
      <c r="AD589" t="s">
        <v>1</v>
      </c>
      <c r="AE589">
        <v>41</v>
      </c>
      <c r="AF589">
        <v>11</v>
      </c>
      <c r="AH589" t="s">
        <v>1842</v>
      </c>
      <c r="AI589" t="s">
        <v>1841</v>
      </c>
      <c r="AK589" t="s">
        <v>1840</v>
      </c>
      <c r="AL589">
        <v>1</v>
      </c>
      <c r="AM589" s="5">
        <f t="shared" si="75"/>
        <v>3.8461538461538464E-2</v>
      </c>
      <c r="AN589" s="4">
        <f t="shared" si="76"/>
        <v>5.8252992747502406E-5</v>
      </c>
      <c r="AO589" s="3"/>
      <c r="AP589">
        <v>0</v>
      </c>
      <c r="AR589" t="s">
        <v>0</v>
      </c>
      <c r="AT589" s="2" t="s">
        <v>9</v>
      </c>
      <c r="AU589" s="1">
        <f t="shared" si="77"/>
        <v>0.55298754600356159</v>
      </c>
      <c r="AV589" s="1">
        <f t="shared" si="78"/>
        <v>0.39665547550961555</v>
      </c>
      <c r="AW589" s="1">
        <f t="shared" si="79"/>
        <v>0.2403234050156694</v>
      </c>
    </row>
    <row r="590" spans="1:49" x14ac:dyDescent="0.2">
      <c r="A590">
        <v>588</v>
      </c>
      <c r="B590" t="s">
        <v>1839</v>
      </c>
      <c r="F590" t="s">
        <v>1838</v>
      </c>
      <c r="G590" t="s">
        <v>6</v>
      </c>
      <c r="H590" t="s">
        <v>5</v>
      </c>
      <c r="I590" t="s">
        <v>1837</v>
      </c>
      <c r="N590">
        <v>1</v>
      </c>
      <c r="O590" t="s">
        <v>1836</v>
      </c>
      <c r="P590">
        <v>7202673450</v>
      </c>
      <c r="R590" s="7">
        <v>35309</v>
      </c>
      <c r="S590" s="8">
        <f t="shared" si="72"/>
        <v>1996</v>
      </c>
      <c r="T590" s="8">
        <v>1996</v>
      </c>
      <c r="U590" s="8">
        <f t="shared" si="73"/>
        <v>26</v>
      </c>
      <c r="V590" s="7">
        <v>35309</v>
      </c>
      <c r="W590" t="s">
        <v>74</v>
      </c>
      <c r="X590" s="2">
        <v>0.29499999999999998</v>
      </c>
      <c r="Y590" s="6">
        <f t="shared" si="74"/>
        <v>7.8748565174448087E-3</v>
      </c>
      <c r="AA590">
        <v>10642269</v>
      </c>
      <c r="AB590">
        <v>19554</v>
      </c>
      <c r="AD590" t="s">
        <v>1</v>
      </c>
      <c r="AE590">
        <v>41</v>
      </c>
      <c r="AF590">
        <v>11</v>
      </c>
      <c r="AH590" t="s">
        <v>1835</v>
      </c>
      <c r="AI590" t="s">
        <v>1834</v>
      </c>
      <c r="AK590" t="s">
        <v>1833</v>
      </c>
      <c r="AL590">
        <v>0</v>
      </c>
      <c r="AM590" s="5">
        <f t="shared" si="75"/>
        <v>0</v>
      </c>
      <c r="AN590" s="4">
        <f t="shared" si="76"/>
        <v>0</v>
      </c>
      <c r="AO590" s="3"/>
      <c r="AP590">
        <v>0</v>
      </c>
      <c r="AR590" t="s">
        <v>0</v>
      </c>
      <c r="AT590" s="2" t="s">
        <v>9</v>
      </c>
      <c r="AU590" s="1">
        <f t="shared" si="77"/>
        <v>0.55123995622113653</v>
      </c>
      <c r="AV590" s="1">
        <f t="shared" si="78"/>
        <v>0.39374282587224041</v>
      </c>
      <c r="AW590" s="1">
        <f t="shared" si="79"/>
        <v>0.23624569552334423</v>
      </c>
    </row>
    <row r="591" spans="1:49" x14ac:dyDescent="0.2">
      <c r="A591">
        <v>589</v>
      </c>
      <c r="B591" t="s">
        <v>1832</v>
      </c>
      <c r="F591" t="s">
        <v>1831</v>
      </c>
      <c r="G591" t="s">
        <v>6</v>
      </c>
      <c r="H591" t="s">
        <v>5</v>
      </c>
      <c r="I591" t="s">
        <v>1830</v>
      </c>
      <c r="N591">
        <v>1</v>
      </c>
      <c r="O591" t="s">
        <v>1829</v>
      </c>
      <c r="P591">
        <v>7201706485</v>
      </c>
      <c r="R591" s="7">
        <v>35309</v>
      </c>
      <c r="S591" s="8">
        <f t="shared" si="72"/>
        <v>1996</v>
      </c>
      <c r="T591" s="8">
        <v>1996</v>
      </c>
      <c r="U591" s="8">
        <f t="shared" si="73"/>
        <v>26</v>
      </c>
      <c r="V591" s="7">
        <v>35309</v>
      </c>
      <c r="W591" t="s">
        <v>687</v>
      </c>
      <c r="X591" s="2" t="s">
        <v>9</v>
      </c>
      <c r="Y591" s="6" t="e">
        <f t="shared" si="74"/>
        <v>#VALUE!</v>
      </c>
      <c r="AA591">
        <v>1477439</v>
      </c>
      <c r="AB591">
        <v>53559</v>
      </c>
      <c r="AD591" t="s">
        <v>1</v>
      </c>
      <c r="AE591">
        <v>20</v>
      </c>
      <c r="AF591">
        <v>9</v>
      </c>
      <c r="AI591" t="s">
        <v>1828</v>
      </c>
      <c r="AK591" t="s">
        <v>1827</v>
      </c>
      <c r="AL591">
        <v>0</v>
      </c>
      <c r="AM591" s="5">
        <f t="shared" si="75"/>
        <v>0</v>
      </c>
      <c r="AN591" s="4">
        <f t="shared" si="76"/>
        <v>0</v>
      </c>
      <c r="AO591" s="3"/>
      <c r="AP591">
        <v>0</v>
      </c>
      <c r="AR591" t="s">
        <v>0</v>
      </c>
      <c r="AT591" s="2" t="s">
        <v>9</v>
      </c>
      <c r="AU591" s="1" t="e">
        <f t="shared" si="77"/>
        <v>#VALUE!</v>
      </c>
      <c r="AV591" s="1" t="e">
        <f t="shared" si="78"/>
        <v>#VALUE!</v>
      </c>
      <c r="AW591" s="1" t="e">
        <f t="shared" si="79"/>
        <v>#VALUE!</v>
      </c>
    </row>
    <row r="592" spans="1:49" x14ac:dyDescent="0.2">
      <c r="A592">
        <v>590</v>
      </c>
      <c r="B592" t="s">
        <v>1826</v>
      </c>
      <c r="F592" t="s">
        <v>1825</v>
      </c>
      <c r="G592" t="s">
        <v>6</v>
      </c>
      <c r="H592" t="s">
        <v>5</v>
      </c>
      <c r="I592" t="s">
        <v>1824</v>
      </c>
      <c r="J592">
        <v>60062408</v>
      </c>
      <c r="K592" t="s">
        <v>1823</v>
      </c>
      <c r="L592" t="s">
        <v>26</v>
      </c>
      <c r="M592" t="s">
        <v>25</v>
      </c>
      <c r="N592">
        <v>1</v>
      </c>
      <c r="O592" t="s">
        <v>1822</v>
      </c>
      <c r="P592">
        <v>7005908460</v>
      </c>
      <c r="Q592">
        <v>60062408</v>
      </c>
      <c r="R592" s="7">
        <v>35309</v>
      </c>
      <c r="S592" s="8">
        <f t="shared" si="72"/>
        <v>1996</v>
      </c>
      <c r="T592" s="8">
        <v>1996</v>
      </c>
      <c r="U592" s="8">
        <f t="shared" si="73"/>
        <v>26</v>
      </c>
      <c r="V592" s="7">
        <v>35309</v>
      </c>
      <c r="W592" t="s">
        <v>1821</v>
      </c>
      <c r="X592" s="2" t="s">
        <v>9</v>
      </c>
      <c r="Y592" s="6" t="e">
        <f t="shared" si="74"/>
        <v>#VALUE!</v>
      </c>
      <c r="AA592">
        <v>304026</v>
      </c>
      <c r="AB592">
        <v>110152</v>
      </c>
      <c r="AD592" t="s">
        <v>1</v>
      </c>
      <c r="AE592">
        <v>103</v>
      </c>
      <c r="AF592">
        <v>3</v>
      </c>
      <c r="AH592" t="s">
        <v>702</v>
      </c>
      <c r="AI592" t="s">
        <v>1820</v>
      </c>
      <c r="AK592" t="s">
        <v>1819</v>
      </c>
      <c r="AL592">
        <v>0</v>
      </c>
      <c r="AM592" s="5">
        <f t="shared" si="75"/>
        <v>0</v>
      </c>
      <c r="AN592" s="4">
        <f t="shared" si="76"/>
        <v>0</v>
      </c>
      <c r="AO592" s="3"/>
      <c r="AP592">
        <v>0</v>
      </c>
      <c r="AR592" t="s">
        <v>0</v>
      </c>
      <c r="AT592" s="2" t="s">
        <v>9</v>
      </c>
      <c r="AU592" s="1" t="e">
        <f t="shared" si="77"/>
        <v>#VALUE!</v>
      </c>
      <c r="AV592" s="1" t="e">
        <f t="shared" si="78"/>
        <v>#VALUE!</v>
      </c>
      <c r="AW592" s="1" t="e">
        <f t="shared" si="79"/>
        <v>#VALUE!</v>
      </c>
    </row>
    <row r="593" spans="1:49" x14ac:dyDescent="0.2">
      <c r="A593">
        <v>591</v>
      </c>
      <c r="B593" t="s">
        <v>1818</v>
      </c>
      <c r="F593" t="s">
        <v>1817</v>
      </c>
      <c r="G593" t="s">
        <v>6</v>
      </c>
      <c r="H593" t="s">
        <v>5</v>
      </c>
      <c r="I593" t="s">
        <v>1816</v>
      </c>
      <c r="J593" t="s">
        <v>1815</v>
      </c>
      <c r="K593" t="s">
        <v>1814</v>
      </c>
      <c r="L593" t="s">
        <v>1813</v>
      </c>
      <c r="M593" t="s">
        <v>513</v>
      </c>
      <c r="N593">
        <v>3</v>
      </c>
      <c r="O593" t="s">
        <v>1812</v>
      </c>
      <c r="P593" t="s">
        <v>1811</v>
      </c>
      <c r="Q593" t="s">
        <v>1810</v>
      </c>
      <c r="R593" s="7">
        <v>35309</v>
      </c>
      <c r="S593" s="8">
        <f t="shared" si="72"/>
        <v>1996</v>
      </c>
      <c r="T593" s="8">
        <v>1996</v>
      </c>
      <c r="U593" s="8">
        <f t="shared" si="73"/>
        <v>26</v>
      </c>
      <c r="V593" s="7">
        <v>35309</v>
      </c>
      <c r="W593" t="s">
        <v>1809</v>
      </c>
      <c r="X593" s="2" t="s">
        <v>9</v>
      </c>
      <c r="Y593" s="6" t="e">
        <f t="shared" si="74"/>
        <v>#VALUE!</v>
      </c>
      <c r="AA593" t="s">
        <v>1808</v>
      </c>
      <c r="AB593">
        <v>28395</v>
      </c>
      <c r="AD593" t="s">
        <v>1</v>
      </c>
      <c r="AE593">
        <v>96</v>
      </c>
      <c r="AF593">
        <v>5</v>
      </c>
      <c r="AH593" t="s">
        <v>1807</v>
      </c>
      <c r="AL593">
        <v>0</v>
      </c>
      <c r="AM593" s="5">
        <f t="shared" si="75"/>
        <v>0</v>
      </c>
      <c r="AN593" s="4">
        <f t="shared" si="76"/>
        <v>0</v>
      </c>
      <c r="AO593" s="3"/>
      <c r="AP593">
        <v>0</v>
      </c>
      <c r="AR593" t="s">
        <v>0</v>
      </c>
      <c r="AT593" s="2" t="s">
        <v>9</v>
      </c>
      <c r="AU593" s="1" t="e">
        <f t="shared" si="77"/>
        <v>#VALUE!</v>
      </c>
      <c r="AV593" s="1" t="e">
        <f t="shared" si="78"/>
        <v>#VALUE!</v>
      </c>
      <c r="AW593" s="1" t="e">
        <f t="shared" si="79"/>
        <v>#VALUE!</v>
      </c>
    </row>
    <row r="594" spans="1:49" x14ac:dyDescent="0.2">
      <c r="A594">
        <v>592</v>
      </c>
      <c r="B594" t="s">
        <v>1806</v>
      </c>
      <c r="C594" t="s">
        <v>1805</v>
      </c>
      <c r="D594" t="s">
        <v>1804</v>
      </c>
      <c r="F594" t="s">
        <v>1803</v>
      </c>
      <c r="G594" t="s">
        <v>6</v>
      </c>
      <c r="H594" t="s">
        <v>5</v>
      </c>
      <c r="I594" t="s">
        <v>1802</v>
      </c>
      <c r="J594" t="s">
        <v>1801</v>
      </c>
      <c r="K594" t="s">
        <v>1800</v>
      </c>
      <c r="L594" t="s">
        <v>1799</v>
      </c>
      <c r="M594" t="s">
        <v>1798</v>
      </c>
      <c r="N594">
        <v>3</v>
      </c>
      <c r="O594" t="s">
        <v>1797</v>
      </c>
      <c r="P594" t="s">
        <v>1796</v>
      </c>
      <c r="Q594" t="s">
        <v>1795</v>
      </c>
      <c r="R594" s="7">
        <v>35309</v>
      </c>
      <c r="S594" s="8">
        <f t="shared" si="72"/>
        <v>1996</v>
      </c>
      <c r="T594" s="8">
        <v>1996</v>
      </c>
      <c r="U594" s="8">
        <f t="shared" si="73"/>
        <v>26</v>
      </c>
      <c r="V594" s="7">
        <v>35309</v>
      </c>
      <c r="W594" t="s">
        <v>725</v>
      </c>
      <c r="X594" s="2">
        <v>1.131</v>
      </c>
      <c r="Y594" s="6">
        <f t="shared" si="74"/>
        <v>3.0191399055017221E-2</v>
      </c>
      <c r="AA594" t="s">
        <v>724</v>
      </c>
      <c r="AB594">
        <v>26023</v>
      </c>
      <c r="AD594" t="s">
        <v>1</v>
      </c>
      <c r="AE594">
        <v>2</v>
      </c>
      <c r="AF594">
        <v>3</v>
      </c>
      <c r="AH594" t="s">
        <v>1794</v>
      </c>
      <c r="AI594" t="s">
        <v>1793</v>
      </c>
      <c r="AK594" t="s">
        <v>1792</v>
      </c>
      <c r="AL594">
        <v>87</v>
      </c>
      <c r="AM594" s="5">
        <f t="shared" si="75"/>
        <v>3.3461538461538463</v>
      </c>
      <c r="AN594" s="4">
        <f t="shared" si="76"/>
        <v>5.0680103690327093E-3</v>
      </c>
      <c r="AO594" s="3"/>
      <c r="AP594">
        <v>0</v>
      </c>
      <c r="AQ594" t="s">
        <v>24</v>
      </c>
      <c r="AR594" t="s">
        <v>1791</v>
      </c>
      <c r="AS594" t="s">
        <v>23</v>
      </c>
      <c r="AT594" s="2" t="s">
        <v>9</v>
      </c>
      <c r="AU594" s="1">
        <f t="shared" si="77"/>
        <v>2.2654382449221866</v>
      </c>
      <c r="AV594" s="1">
        <f t="shared" si="78"/>
        <v>1.7629704712024967</v>
      </c>
      <c r="AW594" s="1">
        <f t="shared" si="79"/>
        <v>1.2605026974828064</v>
      </c>
    </row>
    <row r="595" spans="1:49" x14ac:dyDescent="0.2">
      <c r="A595">
        <v>593</v>
      </c>
      <c r="B595" t="s">
        <v>1790</v>
      </c>
      <c r="C595" t="s">
        <v>1789</v>
      </c>
      <c r="F595" t="s">
        <v>1788</v>
      </c>
      <c r="G595" t="s">
        <v>6</v>
      </c>
      <c r="H595" t="s">
        <v>5</v>
      </c>
      <c r="I595" t="s">
        <v>240</v>
      </c>
      <c r="J595" t="s">
        <v>1237</v>
      </c>
      <c r="K595" t="s">
        <v>1236</v>
      </c>
      <c r="L595" t="s">
        <v>1235</v>
      </c>
      <c r="M595" t="s">
        <v>1234</v>
      </c>
      <c r="N595">
        <v>6</v>
      </c>
      <c r="O595" t="s">
        <v>1787</v>
      </c>
      <c r="P595" t="s">
        <v>1786</v>
      </c>
      <c r="Q595" t="s">
        <v>1785</v>
      </c>
      <c r="R595" s="7">
        <v>35309</v>
      </c>
      <c r="S595" s="8">
        <f t="shared" si="72"/>
        <v>1996</v>
      </c>
      <c r="T595" s="8">
        <v>1996</v>
      </c>
      <c r="U595" s="8">
        <f t="shared" si="73"/>
        <v>26</v>
      </c>
      <c r="V595" s="7">
        <v>35309</v>
      </c>
      <c r="W595" t="s">
        <v>519</v>
      </c>
      <c r="X595" s="2">
        <v>1.0329999999999999</v>
      </c>
      <c r="Y595" s="6">
        <f t="shared" si="74"/>
        <v>2.7575345025493178E-2</v>
      </c>
      <c r="AA595">
        <v>9532048</v>
      </c>
      <c r="AB595">
        <v>12278</v>
      </c>
      <c r="AD595" t="s">
        <v>1</v>
      </c>
      <c r="AE595">
        <v>9</v>
      </c>
      <c r="AF595">
        <v>9</v>
      </c>
      <c r="AH595" t="s">
        <v>1784</v>
      </c>
      <c r="AI595" t="s">
        <v>1783</v>
      </c>
      <c r="AK595" t="s">
        <v>1782</v>
      </c>
      <c r="AL595">
        <v>23</v>
      </c>
      <c r="AM595" s="5">
        <f t="shared" si="75"/>
        <v>0.88461538461538458</v>
      </c>
      <c r="AN595" s="4">
        <f t="shared" si="76"/>
        <v>1.3398188331925553E-3</v>
      </c>
      <c r="AO595" s="3"/>
      <c r="AP595">
        <v>0</v>
      </c>
      <c r="AR595" t="s">
        <v>0</v>
      </c>
      <c r="AT595" s="2" t="s">
        <v>9</v>
      </c>
      <c r="AU595" s="1">
        <f t="shared" si="77"/>
        <v>1.9704687167802988</v>
      </c>
      <c r="AV595" s="1">
        <f t="shared" si="78"/>
        <v>1.4457581929342866</v>
      </c>
      <c r="AW595" s="1">
        <f t="shared" si="79"/>
        <v>0.92104766908827418</v>
      </c>
    </row>
    <row r="596" spans="1:49" x14ac:dyDescent="0.2">
      <c r="A596">
        <v>594</v>
      </c>
      <c r="B596" t="s">
        <v>1781</v>
      </c>
      <c r="C596" t="s">
        <v>1780</v>
      </c>
      <c r="D596" t="s">
        <v>1779</v>
      </c>
      <c r="F596" t="s">
        <v>1778</v>
      </c>
      <c r="G596" t="s">
        <v>6</v>
      </c>
      <c r="H596" t="s">
        <v>5</v>
      </c>
      <c r="I596" t="s">
        <v>1777</v>
      </c>
      <c r="J596">
        <v>60019894</v>
      </c>
      <c r="K596" t="s">
        <v>1776</v>
      </c>
      <c r="L596" t="s">
        <v>1775</v>
      </c>
      <c r="M596" t="s">
        <v>25</v>
      </c>
      <c r="N596">
        <v>2</v>
      </c>
      <c r="O596" t="s">
        <v>1774</v>
      </c>
      <c r="P596" t="s">
        <v>1773</v>
      </c>
      <c r="Q596" t="s">
        <v>1772</v>
      </c>
      <c r="R596" s="7">
        <v>35309</v>
      </c>
      <c r="S596" s="8">
        <f t="shared" si="72"/>
        <v>1996</v>
      </c>
      <c r="T596" s="8">
        <v>1996</v>
      </c>
      <c r="U596" s="8">
        <f t="shared" si="73"/>
        <v>26</v>
      </c>
      <c r="V596" s="7">
        <v>35309</v>
      </c>
      <c r="W596" t="s">
        <v>92</v>
      </c>
      <c r="X596" s="2">
        <v>1.1339999999999999</v>
      </c>
      <c r="Y596" s="6">
        <f t="shared" si="74"/>
        <v>3.0271482341635299E-2</v>
      </c>
      <c r="AA596">
        <v>945765</v>
      </c>
      <c r="AB596">
        <v>12372</v>
      </c>
      <c r="AD596" t="s">
        <v>1</v>
      </c>
      <c r="AE596">
        <v>39</v>
      </c>
      <c r="AF596">
        <v>5</v>
      </c>
      <c r="AH596" t="s">
        <v>1771</v>
      </c>
      <c r="AI596" t="s">
        <v>1770</v>
      </c>
      <c r="AK596" t="s">
        <v>1769</v>
      </c>
      <c r="AL596">
        <v>5</v>
      </c>
      <c r="AM596" s="5">
        <f t="shared" si="75"/>
        <v>0.19230769230769232</v>
      </c>
      <c r="AN596" s="4">
        <f t="shared" si="76"/>
        <v>2.9126496373751206E-4</v>
      </c>
      <c r="AO596" s="3"/>
      <c r="AP596">
        <v>0</v>
      </c>
      <c r="AR596" t="s">
        <v>0</v>
      </c>
      <c r="AT596" s="2">
        <v>2.4129999999999998</v>
      </c>
      <c r="AU596" s="1">
        <f t="shared" si="77"/>
        <v>2.1277417128265959</v>
      </c>
      <c r="AV596" s="1">
        <f t="shared" si="78"/>
        <v>1.5281373652686405</v>
      </c>
      <c r="AW596" s="1">
        <f t="shared" si="79"/>
        <v>0.92853301771068475</v>
      </c>
    </row>
    <row r="597" spans="1:49" x14ac:dyDescent="0.2">
      <c r="A597">
        <v>595</v>
      </c>
      <c r="B597" t="s">
        <v>1768</v>
      </c>
      <c r="F597" t="s">
        <v>1767</v>
      </c>
      <c r="G597" t="s">
        <v>6</v>
      </c>
      <c r="H597" t="s">
        <v>5</v>
      </c>
      <c r="I597" t="s">
        <v>1766</v>
      </c>
      <c r="J597">
        <v>101185499</v>
      </c>
      <c r="K597" t="s">
        <v>1765</v>
      </c>
      <c r="L597" t="s">
        <v>1764</v>
      </c>
      <c r="M597" t="s">
        <v>2</v>
      </c>
      <c r="N597">
        <v>1</v>
      </c>
      <c r="O597" t="s">
        <v>1763</v>
      </c>
      <c r="P597">
        <v>6602920640</v>
      </c>
      <c r="Q597">
        <v>101185499</v>
      </c>
      <c r="R597" s="7">
        <v>35309</v>
      </c>
      <c r="S597" s="8">
        <f t="shared" si="72"/>
        <v>1996</v>
      </c>
      <c r="T597" s="8">
        <v>1996</v>
      </c>
      <c r="U597" s="8">
        <f t="shared" si="73"/>
        <v>26</v>
      </c>
      <c r="V597" s="7">
        <v>35309</v>
      </c>
      <c r="W597" t="s">
        <v>63</v>
      </c>
      <c r="X597" s="2">
        <v>0.13800000000000001</v>
      </c>
      <c r="Y597" s="6">
        <f t="shared" si="74"/>
        <v>3.6838311844318095E-3</v>
      </c>
      <c r="AA597">
        <v>1926225</v>
      </c>
      <c r="AB597">
        <v>18580</v>
      </c>
      <c r="AD597" t="s">
        <v>1</v>
      </c>
      <c r="AE597">
        <v>39</v>
      </c>
      <c r="AF597">
        <v>9</v>
      </c>
      <c r="AI597" t="s">
        <v>1762</v>
      </c>
      <c r="AK597" t="s">
        <v>1761</v>
      </c>
      <c r="AL597">
        <v>0</v>
      </c>
      <c r="AM597" s="5">
        <f t="shared" si="75"/>
        <v>0</v>
      </c>
      <c r="AN597" s="4">
        <f t="shared" si="76"/>
        <v>0</v>
      </c>
      <c r="AO597" s="3"/>
      <c r="AP597">
        <v>0</v>
      </c>
      <c r="AR597" t="s">
        <v>0</v>
      </c>
      <c r="AT597" s="2">
        <v>0.30599999999999999</v>
      </c>
      <c r="AU597" s="1">
        <f t="shared" si="77"/>
        <v>0.25786818291022667</v>
      </c>
      <c r="AV597" s="1">
        <f t="shared" si="78"/>
        <v>0.18419155922159047</v>
      </c>
      <c r="AW597" s="1">
        <f t="shared" si="79"/>
        <v>0.11051493553295429</v>
      </c>
    </row>
    <row r="598" spans="1:49" x14ac:dyDescent="0.2">
      <c r="A598">
        <v>596</v>
      </c>
      <c r="B598" t="s">
        <v>1760</v>
      </c>
      <c r="F598" t="s">
        <v>1759</v>
      </c>
      <c r="G598" t="s">
        <v>6</v>
      </c>
      <c r="H598" t="s">
        <v>5</v>
      </c>
      <c r="I598" t="s">
        <v>1758</v>
      </c>
      <c r="J598">
        <v>60002286</v>
      </c>
      <c r="K598" t="s">
        <v>1512</v>
      </c>
      <c r="L598" t="s">
        <v>478</v>
      </c>
      <c r="M598" t="s">
        <v>59</v>
      </c>
      <c r="N598">
        <v>2</v>
      </c>
      <c r="O598" t="s">
        <v>1757</v>
      </c>
      <c r="P598" t="s">
        <v>1756</v>
      </c>
      <c r="Q598" t="s">
        <v>1755</v>
      </c>
      <c r="R598" s="7">
        <v>35309</v>
      </c>
      <c r="S598" s="8">
        <f t="shared" si="72"/>
        <v>1996</v>
      </c>
      <c r="T598" s="8">
        <v>1996</v>
      </c>
      <c r="U598" s="8">
        <f t="shared" si="73"/>
        <v>26</v>
      </c>
      <c r="V598" s="7">
        <v>35309</v>
      </c>
      <c r="W598" t="s">
        <v>63</v>
      </c>
      <c r="X598" s="2">
        <v>0.13800000000000001</v>
      </c>
      <c r="Y598" s="6">
        <f t="shared" si="74"/>
        <v>3.6838311844318095E-3</v>
      </c>
      <c r="AA598">
        <v>1926225</v>
      </c>
      <c r="AB598">
        <v>18580</v>
      </c>
      <c r="AD598" t="s">
        <v>1</v>
      </c>
      <c r="AE598">
        <v>39</v>
      </c>
      <c r="AF598">
        <v>9</v>
      </c>
      <c r="AI598" t="s">
        <v>1754</v>
      </c>
      <c r="AK598" t="s">
        <v>1753</v>
      </c>
      <c r="AL598">
        <v>2</v>
      </c>
      <c r="AM598" s="5">
        <f t="shared" si="75"/>
        <v>7.6923076923076927E-2</v>
      </c>
      <c r="AN598" s="4">
        <f t="shared" si="76"/>
        <v>1.1650598549500481E-4</v>
      </c>
      <c r="AO598" s="3"/>
      <c r="AP598">
        <v>0</v>
      </c>
      <c r="AR598" t="s">
        <v>0</v>
      </c>
      <c r="AT598" s="2">
        <v>0.30599999999999999</v>
      </c>
      <c r="AU598" s="1">
        <f t="shared" si="77"/>
        <v>0.2613633624750768</v>
      </c>
      <c r="AV598" s="1">
        <f t="shared" si="78"/>
        <v>0.19001685849634073</v>
      </c>
      <c r="AW598" s="1">
        <f t="shared" si="79"/>
        <v>0.11867035451760462</v>
      </c>
    </row>
    <row r="599" spans="1:49" x14ac:dyDescent="0.2">
      <c r="A599">
        <v>597</v>
      </c>
      <c r="B599" t="s">
        <v>1752</v>
      </c>
      <c r="F599" t="s">
        <v>1751</v>
      </c>
      <c r="G599" t="s">
        <v>6</v>
      </c>
      <c r="H599" t="s">
        <v>5</v>
      </c>
      <c r="I599" t="s">
        <v>1750</v>
      </c>
      <c r="J599">
        <v>60011476</v>
      </c>
      <c r="K599" t="s">
        <v>181</v>
      </c>
      <c r="L599" t="s">
        <v>180</v>
      </c>
      <c r="M599" t="s">
        <v>179</v>
      </c>
      <c r="N599">
        <v>2</v>
      </c>
      <c r="O599" t="s">
        <v>1749</v>
      </c>
      <c r="P599" t="s">
        <v>1748</v>
      </c>
      <c r="Q599" t="s">
        <v>1747</v>
      </c>
      <c r="R599" s="7">
        <v>35309</v>
      </c>
      <c r="S599" s="8">
        <f t="shared" si="72"/>
        <v>1996</v>
      </c>
      <c r="T599" s="8">
        <v>1996</v>
      </c>
      <c r="U599" s="8">
        <f t="shared" si="73"/>
        <v>26</v>
      </c>
      <c r="V599" s="7">
        <v>35309</v>
      </c>
      <c r="W599" t="s">
        <v>63</v>
      </c>
      <c r="X599" s="2">
        <v>0.13800000000000001</v>
      </c>
      <c r="Y599" s="6">
        <f t="shared" si="74"/>
        <v>3.6838311844318095E-3</v>
      </c>
      <c r="AA599">
        <v>1926225</v>
      </c>
      <c r="AB599">
        <v>18580</v>
      </c>
      <c r="AD599" t="s">
        <v>1</v>
      </c>
      <c r="AE599">
        <v>39</v>
      </c>
      <c r="AF599">
        <v>9</v>
      </c>
      <c r="AI599" t="s">
        <v>1746</v>
      </c>
      <c r="AK599" t="s">
        <v>1745</v>
      </c>
      <c r="AL599">
        <v>20</v>
      </c>
      <c r="AM599" s="5">
        <f t="shared" si="75"/>
        <v>0.76923076923076927</v>
      </c>
      <c r="AN599" s="4">
        <f t="shared" si="76"/>
        <v>1.1650598549500482E-3</v>
      </c>
      <c r="AO599" s="3"/>
      <c r="AP599">
        <v>0</v>
      </c>
      <c r="AR599" t="s">
        <v>0</v>
      </c>
      <c r="AT599" s="2">
        <v>0.30599999999999999</v>
      </c>
      <c r="AU599" s="1">
        <f t="shared" si="77"/>
        <v>0.2928199785587281</v>
      </c>
      <c r="AV599" s="1">
        <f t="shared" si="78"/>
        <v>0.2424445519690929</v>
      </c>
      <c r="AW599" s="1">
        <f t="shared" si="79"/>
        <v>0.19206912537945764</v>
      </c>
    </row>
    <row r="600" spans="1:49" x14ac:dyDescent="0.2">
      <c r="A600">
        <v>598</v>
      </c>
      <c r="B600" t="s">
        <v>1744</v>
      </c>
      <c r="C600" t="s">
        <v>1743</v>
      </c>
      <c r="F600" t="s">
        <v>1742</v>
      </c>
      <c r="G600" t="s">
        <v>6</v>
      </c>
      <c r="H600" t="s">
        <v>5</v>
      </c>
      <c r="I600" t="s">
        <v>1741</v>
      </c>
      <c r="J600">
        <v>60012370</v>
      </c>
      <c r="K600" t="s">
        <v>1740</v>
      </c>
      <c r="L600" t="s">
        <v>1739</v>
      </c>
      <c r="M600" t="s">
        <v>146</v>
      </c>
      <c r="N600">
        <v>4</v>
      </c>
      <c r="O600" t="s">
        <v>1738</v>
      </c>
      <c r="P600" t="s">
        <v>1737</v>
      </c>
      <c r="Q600" t="s">
        <v>1736</v>
      </c>
      <c r="R600" s="7">
        <v>35309</v>
      </c>
      <c r="S600" s="8">
        <f t="shared" si="72"/>
        <v>1996</v>
      </c>
      <c r="T600" s="8">
        <v>1996</v>
      </c>
      <c r="U600" s="8">
        <f t="shared" si="73"/>
        <v>26</v>
      </c>
      <c r="V600" s="7">
        <v>35309</v>
      </c>
      <c r="W600" t="s">
        <v>589</v>
      </c>
      <c r="X600" s="2">
        <v>0.69899999999999995</v>
      </c>
      <c r="Y600" s="6">
        <f t="shared" si="74"/>
        <v>1.8659405782013295E-2</v>
      </c>
      <c r="AA600">
        <v>218979</v>
      </c>
      <c r="AB600">
        <v>28132</v>
      </c>
      <c r="AD600" t="s">
        <v>1</v>
      </c>
      <c r="AE600">
        <v>80</v>
      </c>
      <c r="AF600">
        <v>5</v>
      </c>
      <c r="AH600" t="s">
        <v>1735</v>
      </c>
      <c r="AI600" t="s">
        <v>1734</v>
      </c>
      <c r="AK600" t="s">
        <v>1733</v>
      </c>
      <c r="AL600">
        <v>24</v>
      </c>
      <c r="AM600" s="5">
        <f t="shared" si="75"/>
        <v>0.92307692307692313</v>
      </c>
      <c r="AN600" s="4">
        <f t="shared" si="76"/>
        <v>1.3980718259400577E-3</v>
      </c>
      <c r="AO600" s="3"/>
      <c r="AP600">
        <v>0</v>
      </c>
      <c r="AR600" t="s">
        <v>0</v>
      </c>
      <c r="AT600" s="2">
        <v>2.5459999999999998</v>
      </c>
      <c r="AU600" s="1">
        <f t="shared" si="77"/>
        <v>1.3481005595191322</v>
      </c>
      <c r="AV600" s="1">
        <f t="shared" si="78"/>
        <v>1.0028738803976676</v>
      </c>
      <c r="AW600" s="1">
        <f t="shared" si="79"/>
        <v>0.6576472012762028</v>
      </c>
    </row>
    <row r="601" spans="1:49" x14ac:dyDescent="0.2">
      <c r="A601">
        <v>599</v>
      </c>
      <c r="B601" t="s">
        <v>1732</v>
      </c>
      <c r="F601" t="s">
        <v>1731</v>
      </c>
      <c r="G601" t="s">
        <v>6</v>
      </c>
      <c r="H601" t="s">
        <v>5</v>
      </c>
      <c r="I601" t="s">
        <v>1730</v>
      </c>
      <c r="J601" t="s">
        <v>1729</v>
      </c>
      <c r="K601" t="s">
        <v>1728</v>
      </c>
      <c r="L601" t="s">
        <v>1727</v>
      </c>
      <c r="M601" t="s">
        <v>1726</v>
      </c>
      <c r="N601">
        <v>5</v>
      </c>
      <c r="O601" t="s">
        <v>1725</v>
      </c>
      <c r="P601" t="s">
        <v>1724</v>
      </c>
      <c r="Q601" t="s">
        <v>1723</v>
      </c>
      <c r="R601" s="7">
        <v>35309</v>
      </c>
      <c r="S601" s="8">
        <f t="shared" si="72"/>
        <v>1996</v>
      </c>
      <c r="T601" s="8">
        <v>1996</v>
      </c>
      <c r="U601" s="8">
        <f t="shared" si="73"/>
        <v>26</v>
      </c>
      <c r="V601" s="7">
        <v>35309</v>
      </c>
      <c r="W601" t="s">
        <v>1722</v>
      </c>
      <c r="X601" s="2">
        <v>0.219</v>
      </c>
      <c r="Y601" s="6">
        <f t="shared" si="74"/>
        <v>5.8460799231200454E-3</v>
      </c>
      <c r="AA601">
        <v>10709762</v>
      </c>
      <c r="AB601">
        <v>12184</v>
      </c>
      <c r="AD601" t="s">
        <v>1</v>
      </c>
      <c r="AE601">
        <v>63</v>
      </c>
      <c r="AF601">
        <v>9</v>
      </c>
      <c r="AH601" t="s">
        <v>1721</v>
      </c>
      <c r="AI601" t="s">
        <v>1720</v>
      </c>
      <c r="AK601" t="s">
        <v>1719</v>
      </c>
      <c r="AL601">
        <v>7</v>
      </c>
      <c r="AM601" s="5">
        <f t="shared" si="75"/>
        <v>0.26923076923076922</v>
      </c>
      <c r="AN601" s="4">
        <f t="shared" si="76"/>
        <v>4.0777094923251682E-4</v>
      </c>
      <c r="AO601" s="3"/>
      <c r="AP601">
        <v>0</v>
      </c>
      <c r="AR601" t="s">
        <v>0</v>
      </c>
      <c r="AT601" s="2" t="s">
        <v>9</v>
      </c>
      <c r="AU601" s="1">
        <f t="shared" si="77"/>
        <v>0.42145872309537868</v>
      </c>
      <c r="AV601" s="1">
        <f t="shared" si="78"/>
        <v>0.3126925436176281</v>
      </c>
      <c r="AW601" s="1">
        <f t="shared" si="79"/>
        <v>0.20392636413987753</v>
      </c>
    </row>
    <row r="602" spans="1:49" x14ac:dyDescent="0.2">
      <c r="A602">
        <v>600</v>
      </c>
      <c r="B602" t="s">
        <v>1718</v>
      </c>
      <c r="C602" t="s">
        <v>1717</v>
      </c>
      <c r="E602">
        <v>8698043</v>
      </c>
      <c r="F602" t="s">
        <v>1716</v>
      </c>
      <c r="G602" t="s">
        <v>6</v>
      </c>
      <c r="H602" t="s">
        <v>5</v>
      </c>
      <c r="I602" t="s">
        <v>1715</v>
      </c>
      <c r="J602" t="s">
        <v>1714</v>
      </c>
      <c r="K602" t="s">
        <v>1713</v>
      </c>
      <c r="L602" t="s">
        <v>1712</v>
      </c>
      <c r="M602" t="s">
        <v>1711</v>
      </c>
      <c r="N602">
        <v>4</v>
      </c>
      <c r="O602" t="s">
        <v>1710</v>
      </c>
      <c r="P602" t="s">
        <v>1709</v>
      </c>
      <c r="Q602" t="s">
        <v>1708</v>
      </c>
      <c r="R602" s="7">
        <v>35306</v>
      </c>
      <c r="S602" s="8">
        <f t="shared" si="72"/>
        <v>1996</v>
      </c>
      <c r="T602" s="8">
        <v>1996</v>
      </c>
      <c r="U602" s="8">
        <f t="shared" si="73"/>
        <v>26</v>
      </c>
      <c r="V602" s="7">
        <v>1996</v>
      </c>
      <c r="W602" t="s">
        <v>1707</v>
      </c>
      <c r="X602" s="2">
        <v>1</v>
      </c>
      <c r="Y602" s="6">
        <f t="shared" si="74"/>
        <v>2.669442887269427E-2</v>
      </c>
      <c r="AA602">
        <v>8936692</v>
      </c>
      <c r="AB602">
        <v>22099</v>
      </c>
      <c r="AD602" t="s">
        <v>1</v>
      </c>
      <c r="AE602">
        <v>28</v>
      </c>
      <c r="AF602">
        <v>1</v>
      </c>
      <c r="AH602" t="s">
        <v>1706</v>
      </c>
      <c r="AI602" t="s">
        <v>1705</v>
      </c>
      <c r="AK602" t="s">
        <v>1704</v>
      </c>
      <c r="AL602">
        <v>74</v>
      </c>
      <c r="AM602" s="5">
        <f t="shared" si="75"/>
        <v>2.8461538461538463</v>
      </c>
      <c r="AN602" s="4">
        <f t="shared" si="76"/>
        <v>4.3107214633151779E-3</v>
      </c>
      <c r="AO602" s="3"/>
      <c r="AP602">
        <v>0</v>
      </c>
      <c r="AR602" t="s">
        <v>0</v>
      </c>
      <c r="AT602" s="2" t="s">
        <v>9</v>
      </c>
      <c r="AU602" s="1">
        <f t="shared" si="77"/>
        <v>1.9979316649880539</v>
      </c>
      <c r="AV602" s="1">
        <f t="shared" si="78"/>
        <v>1.5502575168004724</v>
      </c>
      <c r="AW602" s="1">
        <f t="shared" si="79"/>
        <v>1.1025833686128905</v>
      </c>
    </row>
    <row r="603" spans="1:49" x14ac:dyDescent="0.2">
      <c r="A603">
        <v>601</v>
      </c>
      <c r="B603" t="s">
        <v>1703</v>
      </c>
      <c r="C603" t="s">
        <v>1702</v>
      </c>
      <c r="F603" t="s">
        <v>1701</v>
      </c>
      <c r="G603" t="s">
        <v>6</v>
      </c>
      <c r="H603" t="s">
        <v>5</v>
      </c>
      <c r="I603" t="s">
        <v>1700</v>
      </c>
      <c r="J603">
        <v>60016924</v>
      </c>
      <c r="K603" t="s">
        <v>1699</v>
      </c>
      <c r="L603" t="s">
        <v>659</v>
      </c>
      <c r="M603" t="s">
        <v>30</v>
      </c>
      <c r="N603">
        <v>2</v>
      </c>
      <c r="O603" t="s">
        <v>1698</v>
      </c>
      <c r="P603" t="s">
        <v>1697</v>
      </c>
      <c r="Q603" t="s">
        <v>1696</v>
      </c>
      <c r="R603" s="7">
        <v>35303</v>
      </c>
      <c r="S603" s="8">
        <f t="shared" si="72"/>
        <v>1996</v>
      </c>
      <c r="T603" s="8">
        <v>1996</v>
      </c>
      <c r="U603" s="8">
        <f t="shared" si="73"/>
        <v>26</v>
      </c>
      <c r="V603" s="7">
        <v>35303</v>
      </c>
      <c r="W603" t="s">
        <v>1132</v>
      </c>
      <c r="X603" s="2">
        <v>1.1819999999999999</v>
      </c>
      <c r="Y603" s="6">
        <f t="shared" si="74"/>
        <v>3.1552814927524625E-2</v>
      </c>
      <c r="AA603">
        <v>36951</v>
      </c>
      <c r="AB603">
        <v>27030</v>
      </c>
      <c r="AD603" t="s">
        <v>1</v>
      </c>
      <c r="AE603">
        <v>69</v>
      </c>
      <c r="AF603">
        <v>9</v>
      </c>
      <c r="AH603" t="s">
        <v>1695</v>
      </c>
      <c r="AI603" t="s">
        <v>1694</v>
      </c>
      <c r="AK603" t="s">
        <v>1693</v>
      </c>
      <c r="AL603">
        <v>44</v>
      </c>
      <c r="AM603" s="5">
        <f t="shared" si="75"/>
        <v>1.6923076923076923</v>
      </c>
      <c r="AN603" s="4">
        <f t="shared" si="76"/>
        <v>2.5631316808901058E-3</v>
      </c>
      <c r="AO603" s="3"/>
      <c r="AP603">
        <v>0</v>
      </c>
      <c r="AR603" t="s">
        <v>0</v>
      </c>
      <c r="AT603" s="2">
        <v>3.7909999999999999</v>
      </c>
      <c r="AU603" s="1">
        <f t="shared" si="77"/>
        <v>2.2855909953534268</v>
      </c>
      <c r="AV603" s="1">
        <f t="shared" si="78"/>
        <v>1.7057973304207366</v>
      </c>
      <c r="AW603" s="1">
        <f t="shared" si="79"/>
        <v>1.1260036654880461</v>
      </c>
    </row>
    <row r="604" spans="1:49" x14ac:dyDescent="0.2">
      <c r="A604">
        <v>602</v>
      </c>
      <c r="B604" t="s">
        <v>1692</v>
      </c>
      <c r="C604" t="s">
        <v>1691</v>
      </c>
      <c r="F604" t="s">
        <v>1690</v>
      </c>
      <c r="G604" t="s">
        <v>6</v>
      </c>
      <c r="H604" t="s">
        <v>5</v>
      </c>
      <c r="I604" t="s">
        <v>1689</v>
      </c>
      <c r="J604">
        <v>60008734</v>
      </c>
      <c r="K604" t="s">
        <v>527</v>
      </c>
      <c r="L604" t="s">
        <v>526</v>
      </c>
      <c r="M604" t="s">
        <v>59</v>
      </c>
      <c r="N604">
        <v>1</v>
      </c>
      <c r="O604" t="s">
        <v>1688</v>
      </c>
      <c r="P604">
        <v>6603548941</v>
      </c>
      <c r="Q604">
        <v>60008734</v>
      </c>
      <c r="R604" s="7">
        <v>35299</v>
      </c>
      <c r="S604" s="8">
        <f t="shared" si="72"/>
        <v>1996</v>
      </c>
      <c r="T604" s="8">
        <v>1996</v>
      </c>
      <c r="U604" s="8">
        <f t="shared" si="73"/>
        <v>26</v>
      </c>
      <c r="V604" s="7">
        <v>35299</v>
      </c>
      <c r="W604" t="s">
        <v>515</v>
      </c>
      <c r="X604" s="2">
        <v>1.641</v>
      </c>
      <c r="Y604" s="6">
        <f t="shared" si="74"/>
        <v>4.3805557780091299E-2</v>
      </c>
      <c r="AA604">
        <v>223654</v>
      </c>
      <c r="AB604">
        <v>30422</v>
      </c>
      <c r="AD604" t="s">
        <v>1</v>
      </c>
      <c r="AE604">
        <v>100</v>
      </c>
      <c r="AF604">
        <v>34</v>
      </c>
      <c r="AH604" t="s">
        <v>1687</v>
      </c>
      <c r="AI604" t="s">
        <v>1686</v>
      </c>
      <c r="AK604" t="s">
        <v>1685</v>
      </c>
      <c r="AL604">
        <v>158</v>
      </c>
      <c r="AM604" s="5">
        <f t="shared" si="75"/>
        <v>6.0769230769230766</v>
      </c>
      <c r="AN604" s="4">
        <f t="shared" si="76"/>
        <v>9.2039728541053797E-3</v>
      </c>
      <c r="AO604" s="3"/>
      <c r="AP604">
        <v>0</v>
      </c>
      <c r="AR604" t="s">
        <v>0</v>
      </c>
      <c r="AT604" s="2" t="s">
        <v>9</v>
      </c>
      <c r="AU604" s="1">
        <f t="shared" si="77"/>
        <v>3.3425082302295523</v>
      </c>
      <c r="AV604" s="1">
        <f t="shared" si="78"/>
        <v>2.6504765317098342</v>
      </c>
      <c r="AW604" s="1">
        <f t="shared" si="79"/>
        <v>1.9584448331901156</v>
      </c>
    </row>
    <row r="605" spans="1:49" x14ac:dyDescent="0.2">
      <c r="A605">
        <v>603</v>
      </c>
      <c r="B605" t="s">
        <v>1684</v>
      </c>
      <c r="C605" t="s">
        <v>1683</v>
      </c>
      <c r="F605" t="s">
        <v>1682</v>
      </c>
      <c r="G605" t="s">
        <v>6</v>
      </c>
      <c r="H605" t="s">
        <v>5</v>
      </c>
      <c r="I605" t="s">
        <v>1681</v>
      </c>
      <c r="J605" t="s">
        <v>249</v>
      </c>
      <c r="K605" t="s">
        <v>248</v>
      </c>
      <c r="L605" t="s">
        <v>247</v>
      </c>
      <c r="M605" t="s">
        <v>62</v>
      </c>
      <c r="N605">
        <v>3</v>
      </c>
      <c r="O605" t="s">
        <v>1680</v>
      </c>
      <c r="P605" t="s">
        <v>1679</v>
      </c>
      <c r="Q605" t="s">
        <v>1678</v>
      </c>
      <c r="R605" s="7">
        <v>35292</v>
      </c>
      <c r="S605" s="8">
        <f t="shared" si="72"/>
        <v>1996</v>
      </c>
      <c r="T605" s="8">
        <v>1996</v>
      </c>
      <c r="U605" s="8">
        <f t="shared" si="73"/>
        <v>26</v>
      </c>
      <c r="V605" s="7">
        <v>35292</v>
      </c>
      <c r="W605" t="s">
        <v>235</v>
      </c>
      <c r="X605" s="2">
        <v>1.276</v>
      </c>
      <c r="Y605" s="6">
        <f t="shared" si="74"/>
        <v>3.4062091241557887E-2</v>
      </c>
      <c r="AA605">
        <v>214922</v>
      </c>
      <c r="AB605">
        <v>75087</v>
      </c>
      <c r="AD605" t="s">
        <v>1</v>
      </c>
      <c r="AE605">
        <v>35</v>
      </c>
      <c r="AF605" t="s">
        <v>1677</v>
      </c>
      <c r="AI605" t="s">
        <v>1676</v>
      </c>
      <c r="AJ605" t="s">
        <v>1675</v>
      </c>
      <c r="AK605" t="s">
        <v>1674</v>
      </c>
      <c r="AL605">
        <v>5</v>
      </c>
      <c r="AM605" s="5">
        <f t="shared" si="75"/>
        <v>0.19230769230769232</v>
      </c>
      <c r="AN605" s="4">
        <f t="shared" si="76"/>
        <v>2.9126496373751206E-4</v>
      </c>
      <c r="AO605" s="3"/>
      <c r="AP605">
        <v>0</v>
      </c>
      <c r="AR605" t="s">
        <v>0</v>
      </c>
      <c r="AT605" s="2" t="s">
        <v>9</v>
      </c>
      <c r="AU605" s="1">
        <f t="shared" si="77"/>
        <v>2.3930843358211771</v>
      </c>
      <c r="AV605" s="1">
        <f t="shared" si="78"/>
        <v>1.71766781026477</v>
      </c>
      <c r="AW605" s="1">
        <f t="shared" si="79"/>
        <v>1.0422512847083625</v>
      </c>
    </row>
    <row r="606" spans="1:49" x14ac:dyDescent="0.2">
      <c r="A606">
        <v>604</v>
      </c>
      <c r="B606" t="s">
        <v>1673</v>
      </c>
      <c r="C606" t="s">
        <v>1672</v>
      </c>
      <c r="F606" t="s">
        <v>1671</v>
      </c>
      <c r="G606" t="s">
        <v>6</v>
      </c>
      <c r="H606" t="s">
        <v>5</v>
      </c>
      <c r="I606" t="s">
        <v>312</v>
      </c>
      <c r="J606" t="s">
        <v>1670</v>
      </c>
      <c r="K606" t="s">
        <v>1669</v>
      </c>
      <c r="L606" t="s">
        <v>1668</v>
      </c>
      <c r="M606" t="s">
        <v>1667</v>
      </c>
      <c r="N606">
        <v>7</v>
      </c>
      <c r="O606" t="s">
        <v>1666</v>
      </c>
      <c r="P606" t="s">
        <v>1665</v>
      </c>
      <c r="Q606" t="s">
        <v>1664</v>
      </c>
      <c r="R606" s="7">
        <v>35287</v>
      </c>
      <c r="S606" s="8">
        <f t="shared" si="72"/>
        <v>1996</v>
      </c>
      <c r="T606" s="8">
        <v>1996</v>
      </c>
      <c r="U606" s="8">
        <f t="shared" si="73"/>
        <v>26</v>
      </c>
      <c r="V606" s="7">
        <v>35287</v>
      </c>
      <c r="W606" t="s">
        <v>588</v>
      </c>
      <c r="X606" s="2">
        <v>1.9830000000000001</v>
      </c>
      <c r="Y606" s="6">
        <f t="shared" si="74"/>
        <v>5.2935052454552739E-2</v>
      </c>
      <c r="AA606">
        <v>21699313</v>
      </c>
      <c r="AB606">
        <v>21100855886</v>
      </c>
      <c r="AC606">
        <v>21699356</v>
      </c>
      <c r="AD606" t="s">
        <v>1</v>
      </c>
      <c r="AE606">
        <v>101</v>
      </c>
      <c r="AF606">
        <v>8</v>
      </c>
      <c r="AH606" t="s">
        <v>1663</v>
      </c>
      <c r="AI606" t="s">
        <v>1662</v>
      </c>
      <c r="AK606" t="s">
        <v>1661</v>
      </c>
      <c r="AL606">
        <v>24</v>
      </c>
      <c r="AM606" s="5">
        <f t="shared" si="75"/>
        <v>0.92307692307692313</v>
      </c>
      <c r="AN606" s="4">
        <f t="shared" si="76"/>
        <v>1.3980718259400577E-3</v>
      </c>
      <c r="AO606" s="3"/>
      <c r="AP606">
        <v>0</v>
      </c>
      <c r="AR606" t="s">
        <v>0</v>
      </c>
      <c r="AT606" s="2" t="s">
        <v>9</v>
      </c>
      <c r="AU606" s="1">
        <f t="shared" si="77"/>
        <v>3.7473958265968927</v>
      </c>
      <c r="AV606" s="1">
        <f t="shared" si="78"/>
        <v>2.7166562140246397</v>
      </c>
      <c r="AW606" s="1">
        <f t="shared" si="79"/>
        <v>1.6859166014523859</v>
      </c>
    </row>
    <row r="607" spans="1:49" x14ac:dyDescent="0.2">
      <c r="A607">
        <v>605</v>
      </c>
      <c r="B607" t="s">
        <v>1660</v>
      </c>
      <c r="C607" t="s">
        <v>1659</v>
      </c>
      <c r="D607">
        <v>375960196004094</v>
      </c>
      <c r="F607" t="s">
        <v>1658</v>
      </c>
      <c r="G607" t="s">
        <v>6</v>
      </c>
      <c r="H607" t="s">
        <v>5</v>
      </c>
      <c r="I607" t="s">
        <v>1657</v>
      </c>
      <c r="J607">
        <v>60031806</v>
      </c>
      <c r="K607" t="s">
        <v>481</v>
      </c>
      <c r="L607" t="s">
        <v>480</v>
      </c>
      <c r="M607" t="s">
        <v>7</v>
      </c>
      <c r="N607">
        <v>4</v>
      </c>
      <c r="O607" t="s">
        <v>1656</v>
      </c>
      <c r="P607" t="s">
        <v>1655</v>
      </c>
      <c r="Q607" t="s">
        <v>1654</v>
      </c>
      <c r="R607" s="7">
        <v>35282</v>
      </c>
      <c r="S607" s="8">
        <f t="shared" si="72"/>
        <v>1996</v>
      </c>
      <c r="T607" s="8">
        <v>1996</v>
      </c>
      <c r="U607" s="8">
        <f t="shared" si="73"/>
        <v>26</v>
      </c>
      <c r="V607" s="7">
        <v>35282</v>
      </c>
      <c r="W607" t="s">
        <v>626</v>
      </c>
      <c r="X607" s="2">
        <v>0.499</v>
      </c>
      <c r="Y607" s="6">
        <f t="shared" si="74"/>
        <v>1.332052000747444E-2</v>
      </c>
      <c r="AA607">
        <v>3759601</v>
      </c>
      <c r="AB607">
        <v>29464</v>
      </c>
      <c r="AD607" t="s">
        <v>1</v>
      </c>
      <c r="AE607">
        <v>218</v>
      </c>
      <c r="AF607" s="9">
        <v>44350</v>
      </c>
      <c r="AH607" t="s">
        <v>1653</v>
      </c>
      <c r="AI607" t="s">
        <v>1652</v>
      </c>
      <c r="AK607" t="s">
        <v>1651</v>
      </c>
      <c r="AL607">
        <v>22</v>
      </c>
      <c r="AM607" s="5">
        <f t="shared" si="75"/>
        <v>0.84615384615384615</v>
      </c>
      <c r="AN607" s="4">
        <f t="shared" si="76"/>
        <v>1.2815658404450529E-3</v>
      </c>
      <c r="AO607" s="3"/>
      <c r="AP607">
        <v>0</v>
      </c>
      <c r="AR607" t="s">
        <v>0</v>
      </c>
      <c r="AT607" s="2" t="s">
        <v>9</v>
      </c>
      <c r="AU607" s="1">
        <f t="shared" si="77"/>
        <v>0.97088337573656236</v>
      </c>
      <c r="AV607" s="1">
        <f t="shared" si="78"/>
        <v>0.73010429239597463</v>
      </c>
      <c r="AW607" s="1">
        <f t="shared" si="79"/>
        <v>0.4893252090553869</v>
      </c>
    </row>
    <row r="608" spans="1:49" x14ac:dyDescent="0.2">
      <c r="A608">
        <v>606</v>
      </c>
      <c r="B608" t="s">
        <v>1650</v>
      </c>
      <c r="C608" t="s">
        <v>1649</v>
      </c>
      <c r="D608">
        <v>375960196004410</v>
      </c>
      <c r="F608" t="s">
        <v>1648</v>
      </c>
      <c r="G608" t="s">
        <v>6</v>
      </c>
      <c r="H608" t="s">
        <v>5</v>
      </c>
      <c r="I608" t="s">
        <v>1639</v>
      </c>
      <c r="J608">
        <v>60007457</v>
      </c>
      <c r="K608" t="s">
        <v>178</v>
      </c>
      <c r="L608" t="s">
        <v>98</v>
      </c>
      <c r="M608" t="s">
        <v>97</v>
      </c>
      <c r="N608">
        <v>3</v>
      </c>
      <c r="O608" t="s">
        <v>1647</v>
      </c>
      <c r="P608" t="s">
        <v>1646</v>
      </c>
      <c r="Q608" t="s">
        <v>1645</v>
      </c>
      <c r="R608" s="7">
        <v>35282</v>
      </c>
      <c r="S608" s="8">
        <f t="shared" si="72"/>
        <v>1996</v>
      </c>
      <c r="T608" s="8">
        <v>1996</v>
      </c>
      <c r="U608" s="8">
        <f t="shared" si="73"/>
        <v>26</v>
      </c>
      <c r="V608" s="7">
        <v>35282</v>
      </c>
      <c r="W608" t="s">
        <v>626</v>
      </c>
      <c r="X608" s="2">
        <v>0.499</v>
      </c>
      <c r="Y608" s="6">
        <f t="shared" si="74"/>
        <v>1.332052000747444E-2</v>
      </c>
      <c r="AA608">
        <v>3759601</v>
      </c>
      <c r="AB608">
        <v>29464</v>
      </c>
      <c r="AD608" t="s">
        <v>1</v>
      </c>
      <c r="AE608">
        <v>218</v>
      </c>
      <c r="AF608" s="9">
        <v>44350</v>
      </c>
      <c r="AH608" t="s">
        <v>1008</v>
      </c>
      <c r="AI608" t="s">
        <v>1644</v>
      </c>
      <c r="AK608" t="s">
        <v>1643</v>
      </c>
      <c r="AL608">
        <v>79</v>
      </c>
      <c r="AM608" s="5">
        <f t="shared" si="75"/>
        <v>3.0384615384615383</v>
      </c>
      <c r="AN608" s="4">
        <f t="shared" si="76"/>
        <v>4.6019864270526898E-3</v>
      </c>
      <c r="AO608" s="3"/>
      <c r="AP608">
        <v>0</v>
      </c>
      <c r="AQ608" t="s">
        <v>1633</v>
      </c>
      <c r="AR608" t="s">
        <v>0</v>
      </c>
      <c r="AS608" t="s">
        <v>1632</v>
      </c>
      <c r="AT608" s="2" t="s">
        <v>9</v>
      </c>
      <c r="AU608" s="1">
        <f t="shared" si="77"/>
        <v>1.0704959933347915</v>
      </c>
      <c r="AV608" s="1">
        <f t="shared" si="78"/>
        <v>0.89612532172635651</v>
      </c>
      <c r="AW608" s="1">
        <f t="shared" si="79"/>
        <v>0.7217546501179215</v>
      </c>
    </row>
    <row r="609" spans="1:49" x14ac:dyDescent="0.2">
      <c r="A609">
        <v>607</v>
      </c>
      <c r="B609" t="s">
        <v>1642</v>
      </c>
      <c r="C609" t="s">
        <v>1641</v>
      </c>
      <c r="D609">
        <v>375960196004409</v>
      </c>
      <c r="F609" t="s">
        <v>1640</v>
      </c>
      <c r="G609" t="s">
        <v>6</v>
      </c>
      <c r="H609" t="s">
        <v>5</v>
      </c>
      <c r="I609" t="s">
        <v>1639</v>
      </c>
      <c r="J609">
        <v>60007457</v>
      </c>
      <c r="K609" t="s">
        <v>178</v>
      </c>
      <c r="L609" t="s">
        <v>98</v>
      </c>
      <c r="M609" t="s">
        <v>97</v>
      </c>
      <c r="N609">
        <v>2</v>
      </c>
      <c r="O609" t="s">
        <v>1638</v>
      </c>
      <c r="P609" t="s">
        <v>1637</v>
      </c>
      <c r="Q609" t="s">
        <v>177</v>
      </c>
      <c r="R609" s="7">
        <v>35282</v>
      </c>
      <c r="S609" s="8">
        <f t="shared" si="72"/>
        <v>1996</v>
      </c>
      <c r="T609" s="8">
        <v>1996</v>
      </c>
      <c r="U609" s="8">
        <f t="shared" si="73"/>
        <v>26</v>
      </c>
      <c r="V609" s="7">
        <v>35282</v>
      </c>
      <c r="W609" t="s">
        <v>626</v>
      </c>
      <c r="X609" s="2">
        <v>0.499</v>
      </c>
      <c r="Y609" s="6">
        <f t="shared" si="74"/>
        <v>1.332052000747444E-2</v>
      </c>
      <c r="AA609">
        <v>3759601</v>
      </c>
      <c r="AB609">
        <v>29464</v>
      </c>
      <c r="AD609" t="s">
        <v>1</v>
      </c>
      <c r="AE609">
        <v>218</v>
      </c>
      <c r="AF609" s="9">
        <v>44350</v>
      </c>
      <c r="AH609" t="s">
        <v>1636</v>
      </c>
      <c r="AI609" t="s">
        <v>1635</v>
      </c>
      <c r="AK609" t="s">
        <v>1634</v>
      </c>
      <c r="AL609">
        <v>29</v>
      </c>
      <c r="AM609" s="5">
        <f t="shared" si="75"/>
        <v>1.1153846153846154</v>
      </c>
      <c r="AN609" s="4">
        <f t="shared" si="76"/>
        <v>1.6893367896775697E-3</v>
      </c>
      <c r="AO609" s="3"/>
      <c r="AP609">
        <v>0</v>
      </c>
      <c r="AQ609" t="s">
        <v>1633</v>
      </c>
      <c r="AR609" t="s">
        <v>0</v>
      </c>
      <c r="AS609" t="s">
        <v>1632</v>
      </c>
      <c r="AT609" s="2" t="s">
        <v>9</v>
      </c>
      <c r="AU609" s="1">
        <f t="shared" si="77"/>
        <v>0.98311650421353791</v>
      </c>
      <c r="AV609" s="1">
        <f t="shared" si="78"/>
        <v>0.75049283985760051</v>
      </c>
      <c r="AW609" s="1">
        <f t="shared" si="79"/>
        <v>0.51786917550166311</v>
      </c>
    </row>
    <row r="610" spans="1:49" x14ac:dyDescent="0.2">
      <c r="A610">
        <v>608</v>
      </c>
      <c r="B610" t="s">
        <v>1631</v>
      </c>
      <c r="C610" t="s">
        <v>1630</v>
      </c>
      <c r="D610">
        <v>920379696004358</v>
      </c>
      <c r="F610" t="s">
        <v>1629</v>
      </c>
      <c r="G610" t="s">
        <v>6</v>
      </c>
      <c r="H610" t="s">
        <v>5</v>
      </c>
      <c r="I610" t="s">
        <v>543</v>
      </c>
      <c r="J610" t="s">
        <v>1628</v>
      </c>
      <c r="K610" t="s">
        <v>1627</v>
      </c>
      <c r="L610" t="s">
        <v>1626</v>
      </c>
      <c r="M610" t="s">
        <v>126</v>
      </c>
      <c r="N610">
        <v>3</v>
      </c>
      <c r="O610" t="s">
        <v>1625</v>
      </c>
      <c r="P610" t="s">
        <v>1624</v>
      </c>
      <c r="Q610" t="s">
        <v>1623</v>
      </c>
      <c r="R610" s="7">
        <v>35279</v>
      </c>
      <c r="S610" s="8">
        <f t="shared" si="72"/>
        <v>1996</v>
      </c>
      <c r="T610" s="8">
        <v>1996</v>
      </c>
      <c r="U610" s="8">
        <f t="shared" si="73"/>
        <v>26</v>
      </c>
      <c r="V610" s="7">
        <v>35279</v>
      </c>
      <c r="W610" t="s">
        <v>1622</v>
      </c>
      <c r="X610" s="2">
        <v>0.65600000000000003</v>
      </c>
      <c r="Y610" s="6">
        <f t="shared" si="74"/>
        <v>1.751154534048744E-2</v>
      </c>
      <c r="AA610">
        <v>9203796</v>
      </c>
      <c r="AB610">
        <v>20344</v>
      </c>
      <c r="AD610" t="s">
        <v>1</v>
      </c>
      <c r="AE610">
        <v>31</v>
      </c>
      <c r="AF610">
        <v>4</v>
      </c>
      <c r="AH610" t="s">
        <v>1621</v>
      </c>
      <c r="AI610" t="s">
        <v>1620</v>
      </c>
      <c r="AK610" t="s">
        <v>1619</v>
      </c>
      <c r="AL610">
        <v>24</v>
      </c>
      <c r="AM610" s="5">
        <f t="shared" si="75"/>
        <v>0.92307692307692313</v>
      </c>
      <c r="AN610" s="4">
        <f t="shared" si="76"/>
        <v>1.3980718259400577E-3</v>
      </c>
      <c r="AO610" s="3"/>
      <c r="AP610">
        <v>0</v>
      </c>
      <c r="AQ610" t="s">
        <v>210</v>
      </c>
      <c r="AR610" t="s">
        <v>1618</v>
      </c>
      <c r="AS610" t="s">
        <v>209</v>
      </c>
      <c r="AT610" s="2">
        <v>1.4530000000000001</v>
      </c>
      <c r="AU610" s="1">
        <f t="shared" si="77"/>
        <v>1.2677503286123226</v>
      </c>
      <c r="AV610" s="1">
        <f t="shared" si="78"/>
        <v>0.94548085832137485</v>
      </c>
      <c r="AW610" s="1">
        <f t="shared" si="79"/>
        <v>0.62321138803042719</v>
      </c>
    </row>
    <row r="611" spans="1:49" x14ac:dyDescent="0.2">
      <c r="A611">
        <v>609</v>
      </c>
      <c r="B611" t="s">
        <v>1617</v>
      </c>
      <c r="C611" t="s">
        <v>1616</v>
      </c>
      <c r="D611">
        <v>10465596000288</v>
      </c>
      <c r="F611" t="s">
        <v>1615</v>
      </c>
      <c r="G611" t="s">
        <v>6</v>
      </c>
      <c r="H611" t="s">
        <v>5</v>
      </c>
      <c r="I611" t="s">
        <v>1614</v>
      </c>
      <c r="J611" t="s">
        <v>1613</v>
      </c>
      <c r="K611" t="s">
        <v>1612</v>
      </c>
      <c r="L611" t="s">
        <v>1611</v>
      </c>
      <c r="M611" t="s">
        <v>1610</v>
      </c>
      <c r="N611">
        <v>4</v>
      </c>
      <c r="O611" t="s">
        <v>1609</v>
      </c>
      <c r="P611" t="s">
        <v>1608</v>
      </c>
      <c r="Q611" t="s">
        <v>1607</v>
      </c>
      <c r="R611" s="7">
        <v>35279</v>
      </c>
      <c r="S611" s="8">
        <f t="shared" si="72"/>
        <v>1996</v>
      </c>
      <c r="T611" s="8">
        <v>1996</v>
      </c>
      <c r="U611" s="8">
        <f t="shared" si="73"/>
        <v>26</v>
      </c>
      <c r="V611" s="7">
        <v>35279</v>
      </c>
      <c r="W611" t="s">
        <v>1606</v>
      </c>
      <c r="X611" s="2">
        <v>1.319</v>
      </c>
      <c r="Y611" s="6">
        <f t="shared" si="74"/>
        <v>3.5209951683083739E-2</v>
      </c>
      <c r="AA611">
        <v>104655</v>
      </c>
      <c r="AB611">
        <v>13184</v>
      </c>
      <c r="AD611" t="s">
        <v>1</v>
      </c>
      <c r="AE611">
        <v>97</v>
      </c>
      <c r="AF611" s="9">
        <v>44228</v>
      </c>
      <c r="AH611" t="s">
        <v>1605</v>
      </c>
      <c r="AI611" t="s">
        <v>1604</v>
      </c>
      <c r="AK611" t="s">
        <v>1603</v>
      </c>
      <c r="AL611">
        <v>0</v>
      </c>
      <c r="AM611" s="5">
        <f t="shared" si="75"/>
        <v>0</v>
      </c>
      <c r="AN611" s="4">
        <f t="shared" si="76"/>
        <v>0</v>
      </c>
      <c r="AO611" s="3"/>
      <c r="AP611">
        <v>0</v>
      </c>
      <c r="AQ611" t="s">
        <v>1602</v>
      </c>
      <c r="AR611" t="s">
        <v>1601</v>
      </c>
      <c r="AS611" t="s">
        <v>1600</v>
      </c>
      <c r="AT611" s="2">
        <v>4.3899999999999997</v>
      </c>
      <c r="AU611" s="1">
        <f t="shared" si="77"/>
        <v>2.4646966178158616</v>
      </c>
      <c r="AV611" s="1">
        <f t="shared" si="78"/>
        <v>1.760497584154187</v>
      </c>
      <c r="AW611" s="1">
        <f t="shared" si="79"/>
        <v>1.0562985504925122</v>
      </c>
    </row>
    <row r="612" spans="1:49" x14ac:dyDescent="0.2">
      <c r="A612">
        <v>610</v>
      </c>
      <c r="B612" t="s">
        <v>1599</v>
      </c>
      <c r="C612" t="s">
        <v>1598</v>
      </c>
      <c r="E612">
        <v>8688435</v>
      </c>
      <c r="F612" t="s">
        <v>1597</v>
      </c>
      <c r="G612" t="s">
        <v>6</v>
      </c>
      <c r="H612" t="s">
        <v>5</v>
      </c>
      <c r="I612" t="s">
        <v>669</v>
      </c>
      <c r="J612">
        <v>60027811</v>
      </c>
      <c r="K612" t="s">
        <v>1596</v>
      </c>
      <c r="L612" t="s">
        <v>1595</v>
      </c>
      <c r="M612" t="s">
        <v>1594</v>
      </c>
      <c r="N612">
        <v>4</v>
      </c>
      <c r="O612" t="s">
        <v>1593</v>
      </c>
      <c r="P612" t="s">
        <v>1592</v>
      </c>
      <c r="Q612" t="s">
        <v>1591</v>
      </c>
      <c r="R612" s="7">
        <v>35279</v>
      </c>
      <c r="S612" s="8">
        <f t="shared" si="72"/>
        <v>1996</v>
      </c>
      <c r="T612" s="8">
        <v>1996</v>
      </c>
      <c r="U612" s="8">
        <f t="shared" si="73"/>
        <v>26</v>
      </c>
      <c r="V612" s="7">
        <v>1996</v>
      </c>
      <c r="W612" t="s">
        <v>591</v>
      </c>
      <c r="X612" s="2">
        <v>1.43</v>
      </c>
      <c r="Y612" s="6">
        <f t="shared" si="74"/>
        <v>3.8173033287952803E-2</v>
      </c>
      <c r="AA612">
        <v>62960</v>
      </c>
      <c r="AB612">
        <v>16867</v>
      </c>
      <c r="AD612" t="s">
        <v>1</v>
      </c>
      <c r="AE612">
        <v>35</v>
      </c>
      <c r="AF612">
        <v>27</v>
      </c>
      <c r="AH612" t="s">
        <v>1590</v>
      </c>
      <c r="AI612" t="s">
        <v>1589</v>
      </c>
      <c r="AK612" t="s">
        <v>1588</v>
      </c>
      <c r="AL612">
        <v>104</v>
      </c>
      <c r="AM612" s="5">
        <f t="shared" si="75"/>
        <v>4</v>
      </c>
      <c r="AN612" s="4">
        <f t="shared" si="76"/>
        <v>6.0583112457402496E-3</v>
      </c>
      <c r="AO612" s="3"/>
      <c r="AP612">
        <v>0</v>
      </c>
      <c r="AR612" t="s">
        <v>0</v>
      </c>
      <c r="AT612" s="2">
        <v>3.1619999999999999</v>
      </c>
      <c r="AU612" s="1">
        <f t="shared" si="77"/>
        <v>2.8538616675289035</v>
      </c>
      <c r="AV612" s="1">
        <f t="shared" si="78"/>
        <v>2.2115672266846529</v>
      </c>
      <c r="AW612" s="1">
        <f t="shared" si="79"/>
        <v>1.5692727858404014</v>
      </c>
    </row>
    <row r="613" spans="1:49" x14ac:dyDescent="0.2">
      <c r="A613">
        <v>611</v>
      </c>
      <c r="B613" t="s">
        <v>1587</v>
      </c>
      <c r="C613" t="s">
        <v>1586</v>
      </c>
      <c r="F613" t="s">
        <v>1585</v>
      </c>
      <c r="G613" t="s">
        <v>6</v>
      </c>
      <c r="H613" t="s">
        <v>5</v>
      </c>
      <c r="I613" t="s">
        <v>1584</v>
      </c>
      <c r="J613">
        <v>100922194</v>
      </c>
      <c r="K613" t="s">
        <v>1583</v>
      </c>
      <c r="L613" t="s">
        <v>692</v>
      </c>
      <c r="M613" t="s">
        <v>691</v>
      </c>
      <c r="N613">
        <v>2</v>
      </c>
      <c r="O613" t="s">
        <v>1582</v>
      </c>
      <c r="P613" t="s">
        <v>1581</v>
      </c>
      <c r="Q613" t="s">
        <v>1580</v>
      </c>
      <c r="R613" s="7">
        <v>35278</v>
      </c>
      <c r="S613" s="8">
        <f t="shared" si="72"/>
        <v>1996</v>
      </c>
      <c r="T613" s="8">
        <v>1996</v>
      </c>
      <c r="U613" s="8">
        <f t="shared" si="73"/>
        <v>26</v>
      </c>
      <c r="V613" s="7">
        <v>35278</v>
      </c>
      <c r="W613" t="s">
        <v>608</v>
      </c>
      <c r="X613" s="2">
        <v>0.318</v>
      </c>
      <c r="Y613" s="6">
        <f t="shared" si="74"/>
        <v>8.4888283815167786E-3</v>
      </c>
      <c r="AA613">
        <v>338443</v>
      </c>
      <c r="AB613">
        <v>27160</v>
      </c>
      <c r="AC613">
        <v>15739120</v>
      </c>
      <c r="AD613" t="s">
        <v>1</v>
      </c>
      <c r="AE613">
        <v>39</v>
      </c>
      <c r="AF613">
        <v>8</v>
      </c>
      <c r="AH613" t="s">
        <v>1579</v>
      </c>
      <c r="AI613" t="s">
        <v>1578</v>
      </c>
      <c r="AK613" t="s">
        <v>1577</v>
      </c>
      <c r="AL613">
        <v>0</v>
      </c>
      <c r="AM613" s="5">
        <f t="shared" si="75"/>
        <v>0</v>
      </c>
      <c r="AN613" s="4">
        <f t="shared" si="76"/>
        <v>0</v>
      </c>
      <c r="AO613" s="3"/>
      <c r="AP613">
        <v>0</v>
      </c>
      <c r="AR613" t="s">
        <v>0</v>
      </c>
      <c r="AT613" s="2">
        <v>0.77</v>
      </c>
      <c r="AU613" s="1">
        <f t="shared" si="77"/>
        <v>0.59421798670617454</v>
      </c>
      <c r="AV613" s="1">
        <f t="shared" si="78"/>
        <v>0.42444141907583893</v>
      </c>
      <c r="AW613" s="1">
        <f t="shared" si="79"/>
        <v>0.25466485144550338</v>
      </c>
    </row>
    <row r="614" spans="1:49" x14ac:dyDescent="0.2">
      <c r="A614">
        <v>612</v>
      </c>
      <c r="B614" t="s">
        <v>1576</v>
      </c>
      <c r="F614" t="s">
        <v>1575</v>
      </c>
      <c r="G614" t="s">
        <v>6</v>
      </c>
      <c r="H614" t="s">
        <v>5</v>
      </c>
      <c r="I614" t="s">
        <v>1574</v>
      </c>
      <c r="J614" t="s">
        <v>1573</v>
      </c>
      <c r="K614" t="s">
        <v>1572</v>
      </c>
      <c r="L614" t="s">
        <v>1571</v>
      </c>
      <c r="M614" t="s">
        <v>1570</v>
      </c>
      <c r="N614">
        <v>2</v>
      </c>
      <c r="O614" t="s">
        <v>1569</v>
      </c>
      <c r="P614" t="s">
        <v>1568</v>
      </c>
      <c r="Q614" t="s">
        <v>1567</v>
      </c>
      <c r="R614" s="7">
        <v>35278</v>
      </c>
      <c r="S614" s="8">
        <f t="shared" si="72"/>
        <v>1996</v>
      </c>
      <c r="T614" s="8">
        <v>1996</v>
      </c>
      <c r="U614" s="8">
        <f t="shared" si="73"/>
        <v>26</v>
      </c>
      <c r="V614" s="7">
        <v>35278</v>
      </c>
      <c r="W614" t="s">
        <v>1566</v>
      </c>
      <c r="X614" s="2">
        <v>0.25</v>
      </c>
      <c r="Y614" s="6">
        <f t="shared" si="74"/>
        <v>6.6736072181735676E-3</v>
      </c>
      <c r="AA614">
        <v>224456</v>
      </c>
      <c r="AB614">
        <v>23649</v>
      </c>
      <c r="AD614" t="s">
        <v>1</v>
      </c>
      <c r="AE614">
        <v>55</v>
      </c>
      <c r="AF614" s="9">
        <v>44447</v>
      </c>
      <c r="AH614" t="s">
        <v>1565</v>
      </c>
      <c r="AI614" t="s">
        <v>1564</v>
      </c>
      <c r="AK614" t="s">
        <v>1563</v>
      </c>
      <c r="AL614">
        <v>0</v>
      </c>
      <c r="AM614" s="5">
        <f t="shared" si="75"/>
        <v>0</v>
      </c>
      <c r="AN614" s="4">
        <f t="shared" si="76"/>
        <v>0</v>
      </c>
      <c r="AO614" s="3"/>
      <c r="AP614">
        <v>0</v>
      </c>
      <c r="AR614" t="s">
        <v>0</v>
      </c>
      <c r="AT614" s="2" t="s">
        <v>9</v>
      </c>
      <c r="AU614" s="1">
        <f t="shared" si="77"/>
        <v>0.46715250527214969</v>
      </c>
      <c r="AV614" s="1">
        <f t="shared" si="78"/>
        <v>0.33368036090867836</v>
      </c>
      <c r="AW614" s="1">
        <f t="shared" si="79"/>
        <v>0.20020821654520701</v>
      </c>
    </row>
    <row r="615" spans="1:49" x14ac:dyDescent="0.2">
      <c r="A615">
        <v>613</v>
      </c>
      <c r="B615" t="s">
        <v>1562</v>
      </c>
      <c r="F615" t="s">
        <v>1561</v>
      </c>
      <c r="G615" t="s">
        <v>6</v>
      </c>
      <c r="H615" t="s">
        <v>5</v>
      </c>
      <c r="I615" t="s">
        <v>1560</v>
      </c>
      <c r="J615" t="s">
        <v>1559</v>
      </c>
      <c r="K615" t="s">
        <v>1558</v>
      </c>
      <c r="L615" t="s">
        <v>1557</v>
      </c>
      <c r="M615" t="s">
        <v>1556</v>
      </c>
      <c r="N615">
        <v>1</v>
      </c>
      <c r="O615" t="s">
        <v>1555</v>
      </c>
      <c r="P615">
        <v>7003541251</v>
      </c>
      <c r="Q615" t="s">
        <v>1554</v>
      </c>
      <c r="R615" s="7">
        <v>35278</v>
      </c>
      <c r="S615" s="8">
        <f t="shared" si="72"/>
        <v>1996</v>
      </c>
      <c r="T615" s="8">
        <v>1996</v>
      </c>
      <c r="U615" s="8">
        <f t="shared" si="73"/>
        <v>26</v>
      </c>
      <c r="V615" s="7">
        <v>35278</v>
      </c>
      <c r="W615" t="s">
        <v>1553</v>
      </c>
      <c r="X615" s="2">
        <v>2.823</v>
      </c>
      <c r="Y615" s="6">
        <f t="shared" si="74"/>
        <v>7.5358372707615917E-2</v>
      </c>
      <c r="AA615">
        <v>1636804</v>
      </c>
      <c r="AB615">
        <v>17249</v>
      </c>
      <c r="AD615" t="s">
        <v>1</v>
      </c>
      <c r="AE615">
        <v>34</v>
      </c>
      <c r="AF615">
        <v>8</v>
      </c>
      <c r="AH615" t="s">
        <v>1552</v>
      </c>
      <c r="AI615" t="s">
        <v>1551</v>
      </c>
      <c r="AK615" t="s">
        <v>1550</v>
      </c>
      <c r="AL615">
        <v>3</v>
      </c>
      <c r="AM615" s="5">
        <f t="shared" si="75"/>
        <v>0.11538461538461539</v>
      </c>
      <c r="AN615" s="4">
        <f t="shared" si="76"/>
        <v>1.7475897824250722E-4</v>
      </c>
      <c r="AO615" s="3"/>
      <c r="AP615">
        <v>0</v>
      </c>
      <c r="AR615" t="s">
        <v>0</v>
      </c>
      <c r="AT615" s="2">
        <v>9.6189999999999998</v>
      </c>
      <c r="AU615" s="1">
        <f t="shared" si="77"/>
        <v>5.2803288588803889</v>
      </c>
      <c r="AV615" s="1">
        <f t="shared" si="78"/>
        <v>3.7766565842929216</v>
      </c>
      <c r="AW615" s="1">
        <f t="shared" si="79"/>
        <v>2.272984309705453</v>
      </c>
    </row>
    <row r="616" spans="1:49" x14ac:dyDescent="0.2">
      <c r="A616">
        <v>614</v>
      </c>
      <c r="B616" t="s">
        <v>1549</v>
      </c>
      <c r="C616" t="s">
        <v>1548</v>
      </c>
      <c r="F616" t="s">
        <v>1325</v>
      </c>
      <c r="G616" t="s">
        <v>6</v>
      </c>
      <c r="H616" t="s">
        <v>5</v>
      </c>
      <c r="I616" t="s">
        <v>1324</v>
      </c>
      <c r="J616" t="s">
        <v>1547</v>
      </c>
      <c r="K616" t="s">
        <v>1546</v>
      </c>
      <c r="L616" t="s">
        <v>1545</v>
      </c>
      <c r="M616" t="s">
        <v>79</v>
      </c>
      <c r="N616">
        <v>4</v>
      </c>
      <c r="O616" t="s">
        <v>1323</v>
      </c>
      <c r="P616" t="s">
        <v>1322</v>
      </c>
      <c r="Q616" t="s">
        <v>1544</v>
      </c>
      <c r="R616" s="7">
        <v>35278</v>
      </c>
      <c r="S616" s="8">
        <f t="shared" si="72"/>
        <v>1996</v>
      </c>
      <c r="T616" s="8">
        <v>1996</v>
      </c>
      <c r="U616" s="8">
        <f t="shared" si="73"/>
        <v>26</v>
      </c>
      <c r="V616" s="7">
        <v>35278</v>
      </c>
      <c r="W616" t="s">
        <v>358</v>
      </c>
      <c r="X616" s="2">
        <v>0.375</v>
      </c>
      <c r="Y616" s="6">
        <f t="shared" si="74"/>
        <v>1.0010410827260351E-2</v>
      </c>
      <c r="AA616">
        <v>135194</v>
      </c>
      <c r="AB616">
        <v>24918</v>
      </c>
      <c r="AD616" t="s">
        <v>1</v>
      </c>
      <c r="AE616">
        <v>32</v>
      </c>
      <c r="AF616">
        <v>16</v>
      </c>
      <c r="AH616">
        <v>1432</v>
      </c>
      <c r="AI616" t="s">
        <v>1543</v>
      </c>
      <c r="AJ616" t="s">
        <v>1542</v>
      </c>
      <c r="AK616" t="s">
        <v>1541</v>
      </c>
      <c r="AL616">
        <v>1</v>
      </c>
      <c r="AM616" s="5">
        <f t="shared" si="75"/>
        <v>3.8461538461538464E-2</v>
      </c>
      <c r="AN616" s="4">
        <f t="shared" si="76"/>
        <v>5.8252992747502406E-5</v>
      </c>
      <c r="AO616" s="3"/>
      <c r="AP616">
        <v>0</v>
      </c>
      <c r="AR616" t="s">
        <v>0</v>
      </c>
      <c r="AT616" s="2">
        <v>1.3140000000000001</v>
      </c>
      <c r="AU616" s="1">
        <f t="shared" si="77"/>
        <v>0.70247634769064971</v>
      </c>
      <c r="AV616" s="1">
        <f t="shared" si="78"/>
        <v>0.50343319100039263</v>
      </c>
      <c r="AW616" s="1">
        <f t="shared" si="79"/>
        <v>0.30439003431013567</v>
      </c>
    </row>
    <row r="617" spans="1:49" x14ac:dyDescent="0.2">
      <c r="A617">
        <v>615</v>
      </c>
      <c r="B617" t="s">
        <v>1540</v>
      </c>
      <c r="F617" t="s">
        <v>1539</v>
      </c>
      <c r="G617" t="s">
        <v>6</v>
      </c>
      <c r="H617" t="s">
        <v>5</v>
      </c>
      <c r="I617" t="s">
        <v>84</v>
      </c>
      <c r="N617">
        <v>1</v>
      </c>
      <c r="O617" t="s">
        <v>83</v>
      </c>
      <c r="P617">
        <v>1</v>
      </c>
      <c r="R617" s="7">
        <v>35278</v>
      </c>
      <c r="S617" s="8">
        <f t="shared" si="72"/>
        <v>1996</v>
      </c>
      <c r="T617" s="8">
        <v>1996</v>
      </c>
      <c r="U617" s="8">
        <f t="shared" si="73"/>
        <v>26</v>
      </c>
      <c r="V617" s="7">
        <v>35278</v>
      </c>
      <c r="W617" t="s">
        <v>63</v>
      </c>
      <c r="X617" s="2">
        <v>0.13800000000000001</v>
      </c>
      <c r="Y617" s="6">
        <f t="shared" si="74"/>
        <v>3.6838311844318095E-3</v>
      </c>
      <c r="AA617">
        <v>1926225</v>
      </c>
      <c r="AB617">
        <v>18580</v>
      </c>
      <c r="AD617" t="s">
        <v>1</v>
      </c>
      <c r="AE617">
        <v>39</v>
      </c>
      <c r="AF617">
        <v>8</v>
      </c>
      <c r="AI617" t="s">
        <v>1538</v>
      </c>
      <c r="AK617" t="s">
        <v>1537</v>
      </c>
      <c r="AL617">
        <v>0</v>
      </c>
      <c r="AM617" s="5">
        <f t="shared" si="75"/>
        <v>0</v>
      </c>
      <c r="AN617" s="4">
        <f t="shared" si="76"/>
        <v>0</v>
      </c>
      <c r="AO617" s="3"/>
      <c r="AP617">
        <v>0</v>
      </c>
      <c r="AR617" t="s">
        <v>0</v>
      </c>
      <c r="AT617" s="2">
        <v>0.30599999999999999</v>
      </c>
      <c r="AU617" s="1">
        <f t="shared" si="77"/>
        <v>0.25786818291022667</v>
      </c>
      <c r="AV617" s="1">
        <f t="shared" si="78"/>
        <v>0.18419155922159047</v>
      </c>
      <c r="AW617" s="1">
        <f t="shared" si="79"/>
        <v>0.11051493553295429</v>
      </c>
    </row>
    <row r="618" spans="1:49" x14ac:dyDescent="0.2">
      <c r="A618">
        <v>616</v>
      </c>
      <c r="B618" t="s">
        <v>1536</v>
      </c>
      <c r="F618" t="s">
        <v>1535</v>
      </c>
      <c r="G618" t="s">
        <v>6</v>
      </c>
      <c r="H618" t="s">
        <v>5</v>
      </c>
      <c r="I618" t="s">
        <v>1534</v>
      </c>
      <c r="J618">
        <v>60028218</v>
      </c>
      <c r="K618" t="s">
        <v>1533</v>
      </c>
      <c r="L618" t="s">
        <v>1532</v>
      </c>
      <c r="M618" t="s">
        <v>42</v>
      </c>
      <c r="N618">
        <v>1</v>
      </c>
      <c r="O618" t="s">
        <v>1531</v>
      </c>
      <c r="P618">
        <v>7004235392</v>
      </c>
      <c r="Q618">
        <v>60028218</v>
      </c>
      <c r="R618" s="7">
        <v>35278</v>
      </c>
      <c r="S618" s="8">
        <f t="shared" si="72"/>
        <v>1996</v>
      </c>
      <c r="T618" s="8">
        <v>1996</v>
      </c>
      <c r="U618" s="8">
        <f t="shared" si="73"/>
        <v>26</v>
      </c>
      <c r="V618" s="7">
        <v>35278</v>
      </c>
      <c r="W618" t="s">
        <v>1530</v>
      </c>
      <c r="X618" s="2">
        <v>0.25</v>
      </c>
      <c r="Y618" s="6">
        <f t="shared" si="74"/>
        <v>6.6736072181735676E-3</v>
      </c>
      <c r="AA618">
        <v>10637788</v>
      </c>
      <c r="AB618">
        <v>29483</v>
      </c>
      <c r="AD618" t="s">
        <v>1</v>
      </c>
      <c r="AE618">
        <v>59</v>
      </c>
      <c r="AF618">
        <v>8</v>
      </c>
      <c r="AH618" t="s">
        <v>1529</v>
      </c>
      <c r="AI618" t="s">
        <v>1528</v>
      </c>
      <c r="AK618" t="s">
        <v>1527</v>
      </c>
      <c r="AL618">
        <v>0</v>
      </c>
      <c r="AM618" s="5">
        <f t="shared" si="75"/>
        <v>0</v>
      </c>
      <c r="AN618" s="4">
        <f t="shared" si="76"/>
        <v>0</v>
      </c>
      <c r="AO618" s="3"/>
      <c r="AP618">
        <v>0</v>
      </c>
      <c r="AR618" t="s">
        <v>0</v>
      </c>
      <c r="AT618" s="2">
        <v>0.42</v>
      </c>
      <c r="AU618" s="1">
        <f t="shared" si="77"/>
        <v>0.46715250527214969</v>
      </c>
      <c r="AV618" s="1">
        <f t="shared" si="78"/>
        <v>0.33368036090867836</v>
      </c>
      <c r="AW618" s="1">
        <f t="shared" si="79"/>
        <v>0.20020821654520701</v>
      </c>
    </row>
    <row r="619" spans="1:49" x14ac:dyDescent="0.2">
      <c r="A619">
        <v>617</v>
      </c>
      <c r="B619" t="s">
        <v>1526</v>
      </c>
      <c r="C619" t="s">
        <v>1525</v>
      </c>
      <c r="D619">
        <v>40609096085987</v>
      </c>
      <c r="F619" t="s">
        <v>1524</v>
      </c>
      <c r="G619" t="s">
        <v>6</v>
      </c>
      <c r="H619" t="s">
        <v>5</v>
      </c>
      <c r="I619" t="s">
        <v>1523</v>
      </c>
      <c r="J619">
        <v>60024322</v>
      </c>
      <c r="K619" t="s">
        <v>260</v>
      </c>
      <c r="L619" t="s">
        <v>259</v>
      </c>
      <c r="M619" t="s">
        <v>44</v>
      </c>
      <c r="N619">
        <v>5</v>
      </c>
      <c r="O619" t="s">
        <v>1522</v>
      </c>
      <c r="P619" t="s">
        <v>1521</v>
      </c>
      <c r="Q619" t="s">
        <v>1520</v>
      </c>
      <c r="R619" s="7">
        <v>35278</v>
      </c>
      <c r="S619" s="8">
        <f t="shared" si="72"/>
        <v>1996</v>
      </c>
      <c r="T619" s="8">
        <v>1996</v>
      </c>
      <c r="U619" s="8">
        <f t="shared" si="73"/>
        <v>26</v>
      </c>
      <c r="V619" s="7">
        <v>35278</v>
      </c>
      <c r="W619" t="s">
        <v>223</v>
      </c>
      <c r="X619" s="2">
        <v>0.54400000000000004</v>
      </c>
      <c r="Y619" s="6">
        <f t="shared" si="74"/>
        <v>1.4521769306745683E-2</v>
      </c>
      <c r="AA619">
        <v>406090</v>
      </c>
      <c r="AB619">
        <v>12347</v>
      </c>
      <c r="AD619" t="s">
        <v>1</v>
      </c>
      <c r="AE619" t="s">
        <v>1483</v>
      </c>
      <c r="AF619" s="9">
        <v>44228</v>
      </c>
      <c r="AH619" t="s">
        <v>1519</v>
      </c>
      <c r="AI619" t="s">
        <v>1518</v>
      </c>
      <c r="AJ619" t="s">
        <v>1517</v>
      </c>
      <c r="AK619" t="s">
        <v>1516</v>
      </c>
      <c r="AL619">
        <v>4</v>
      </c>
      <c r="AM619" s="5">
        <f t="shared" si="75"/>
        <v>0.15384615384615385</v>
      </c>
      <c r="AN619" s="4">
        <f t="shared" si="76"/>
        <v>2.3301197099000962E-4</v>
      </c>
      <c r="AO619" s="3"/>
      <c r="AP619">
        <v>0</v>
      </c>
      <c r="AR619" t="s">
        <v>0</v>
      </c>
      <c r="AT619" s="2">
        <v>2.1829999999999998</v>
      </c>
      <c r="AU619" s="1">
        <f t="shared" si="77"/>
        <v>1.023514210601898</v>
      </c>
      <c r="AV619" s="1">
        <f t="shared" si="78"/>
        <v>0.73773906388678456</v>
      </c>
      <c r="AW619" s="1">
        <f t="shared" si="79"/>
        <v>0.45196391717167111</v>
      </c>
    </row>
    <row r="620" spans="1:49" x14ac:dyDescent="0.2">
      <c r="A620">
        <v>618</v>
      </c>
      <c r="B620" t="s">
        <v>1515</v>
      </c>
      <c r="F620" t="s">
        <v>1514</v>
      </c>
      <c r="G620" t="s">
        <v>6</v>
      </c>
      <c r="H620" t="s">
        <v>5</v>
      </c>
      <c r="I620" t="s">
        <v>1513</v>
      </c>
      <c r="J620">
        <v>60002286</v>
      </c>
      <c r="K620" t="s">
        <v>1512</v>
      </c>
      <c r="L620" t="s">
        <v>478</v>
      </c>
      <c r="M620" t="s">
        <v>59</v>
      </c>
      <c r="N620">
        <v>3</v>
      </c>
      <c r="O620" t="s">
        <v>1511</v>
      </c>
      <c r="P620" t="s">
        <v>1510</v>
      </c>
      <c r="Q620" t="s">
        <v>1509</v>
      </c>
      <c r="R620" s="7">
        <v>35278</v>
      </c>
      <c r="S620" s="8">
        <f t="shared" si="72"/>
        <v>1996</v>
      </c>
      <c r="T620" s="8">
        <v>1996</v>
      </c>
      <c r="U620" s="8">
        <f t="shared" si="73"/>
        <v>26</v>
      </c>
      <c r="V620" s="7">
        <v>35278</v>
      </c>
      <c r="W620" t="s">
        <v>1508</v>
      </c>
      <c r="X620" s="2" t="s">
        <v>9</v>
      </c>
      <c r="Y620" s="6" t="e">
        <f t="shared" si="74"/>
        <v>#VALUE!</v>
      </c>
      <c r="AA620" t="s">
        <v>1507</v>
      </c>
      <c r="AB620">
        <v>31578</v>
      </c>
      <c r="AD620" t="s">
        <v>1</v>
      </c>
      <c r="AE620">
        <v>20</v>
      </c>
      <c r="AF620">
        <v>4</v>
      </c>
      <c r="AH620" t="s">
        <v>1506</v>
      </c>
      <c r="AI620" t="s">
        <v>1505</v>
      </c>
      <c r="AK620" t="s">
        <v>1504</v>
      </c>
      <c r="AL620">
        <v>1</v>
      </c>
      <c r="AM620" s="5">
        <f t="shared" si="75"/>
        <v>3.8461538461538464E-2</v>
      </c>
      <c r="AN620" s="4">
        <f t="shared" si="76"/>
        <v>5.8252992747502406E-5</v>
      </c>
      <c r="AO620" s="3"/>
      <c r="AP620">
        <v>0</v>
      </c>
      <c r="AR620" t="s">
        <v>0</v>
      </c>
      <c r="AT620" s="2" t="s">
        <v>9</v>
      </c>
      <c r="AU620" s="1" t="e">
        <f t="shared" si="77"/>
        <v>#VALUE!</v>
      </c>
      <c r="AV620" s="1" t="e">
        <f t="shared" si="78"/>
        <v>#VALUE!</v>
      </c>
      <c r="AW620" s="1" t="e">
        <f t="shared" si="79"/>
        <v>#VALUE!</v>
      </c>
    </row>
    <row r="621" spans="1:49" x14ac:dyDescent="0.2">
      <c r="A621">
        <v>619</v>
      </c>
      <c r="B621" t="s">
        <v>1503</v>
      </c>
      <c r="C621" t="s">
        <v>1502</v>
      </c>
      <c r="D621">
        <v>40609096086038</v>
      </c>
      <c r="F621" t="s">
        <v>1501</v>
      </c>
      <c r="G621" t="s">
        <v>6</v>
      </c>
      <c r="H621" t="s">
        <v>5</v>
      </c>
      <c r="I621" t="s">
        <v>1500</v>
      </c>
      <c r="J621" t="s">
        <v>1499</v>
      </c>
      <c r="K621" t="s">
        <v>1498</v>
      </c>
      <c r="L621" t="s">
        <v>1497</v>
      </c>
      <c r="M621" t="s">
        <v>124</v>
      </c>
      <c r="N621">
        <v>5</v>
      </c>
      <c r="O621" t="s">
        <v>1496</v>
      </c>
      <c r="P621" t="s">
        <v>1495</v>
      </c>
      <c r="Q621" t="s">
        <v>1494</v>
      </c>
      <c r="R621" s="7">
        <v>35278</v>
      </c>
      <c r="S621" s="8">
        <f t="shared" si="72"/>
        <v>1996</v>
      </c>
      <c r="T621" s="8">
        <v>1996</v>
      </c>
      <c r="U621" s="8">
        <f t="shared" si="73"/>
        <v>26</v>
      </c>
      <c r="V621" s="7">
        <v>35278</v>
      </c>
      <c r="W621" t="s">
        <v>223</v>
      </c>
      <c r="X621" s="2">
        <v>0.54400000000000004</v>
      </c>
      <c r="Y621" s="6">
        <f t="shared" si="74"/>
        <v>1.4521769306745683E-2</v>
      </c>
      <c r="AA621">
        <v>406090</v>
      </c>
      <c r="AB621">
        <v>12347</v>
      </c>
      <c r="AD621" t="s">
        <v>1</v>
      </c>
      <c r="AE621" t="s">
        <v>1483</v>
      </c>
      <c r="AF621" s="9">
        <v>44228</v>
      </c>
      <c r="AH621" t="s">
        <v>601</v>
      </c>
      <c r="AI621" t="s">
        <v>1493</v>
      </c>
      <c r="AJ621" t="s">
        <v>1492</v>
      </c>
      <c r="AK621" t="s">
        <v>1491</v>
      </c>
      <c r="AL621">
        <v>4</v>
      </c>
      <c r="AM621" s="5">
        <f t="shared" si="75"/>
        <v>0.15384615384615385</v>
      </c>
      <c r="AN621" s="4">
        <f t="shared" si="76"/>
        <v>2.3301197099000962E-4</v>
      </c>
      <c r="AO621" s="3"/>
      <c r="AP621">
        <v>0</v>
      </c>
      <c r="AR621" t="s">
        <v>0</v>
      </c>
      <c r="AT621" s="2">
        <v>2.1829999999999998</v>
      </c>
      <c r="AU621" s="1">
        <f t="shared" si="77"/>
        <v>1.023514210601898</v>
      </c>
      <c r="AV621" s="1">
        <f t="shared" si="78"/>
        <v>0.73773906388678456</v>
      </c>
      <c r="AW621" s="1">
        <f t="shared" si="79"/>
        <v>0.45196391717167111</v>
      </c>
    </row>
    <row r="622" spans="1:49" x14ac:dyDescent="0.2">
      <c r="A622">
        <v>620</v>
      </c>
      <c r="B622" t="s">
        <v>1490</v>
      </c>
      <c r="C622" t="s">
        <v>1489</v>
      </c>
      <c r="D622">
        <v>40609096085951</v>
      </c>
      <c r="F622" t="s">
        <v>1488</v>
      </c>
      <c r="G622" t="s">
        <v>6</v>
      </c>
      <c r="H622" t="s">
        <v>5</v>
      </c>
      <c r="I622" t="s">
        <v>1487</v>
      </c>
      <c r="J622">
        <v>60022995</v>
      </c>
      <c r="K622" t="s">
        <v>123</v>
      </c>
      <c r="L622" t="s">
        <v>122</v>
      </c>
      <c r="M622" t="s">
        <v>30</v>
      </c>
      <c r="N622">
        <v>4</v>
      </c>
      <c r="O622" t="s">
        <v>1486</v>
      </c>
      <c r="P622" t="s">
        <v>1485</v>
      </c>
      <c r="Q622" t="s">
        <v>1484</v>
      </c>
      <c r="R622" s="7">
        <v>35278</v>
      </c>
      <c r="S622" s="8">
        <f t="shared" si="72"/>
        <v>1996</v>
      </c>
      <c r="T622" s="8">
        <v>1996</v>
      </c>
      <c r="U622" s="8">
        <f t="shared" si="73"/>
        <v>26</v>
      </c>
      <c r="V622" s="7">
        <v>35278</v>
      </c>
      <c r="W622" t="s">
        <v>223</v>
      </c>
      <c r="X622" s="2">
        <v>0.54400000000000004</v>
      </c>
      <c r="Y622" s="6">
        <f t="shared" si="74"/>
        <v>1.4521769306745683E-2</v>
      </c>
      <c r="AA622">
        <v>406090</v>
      </c>
      <c r="AB622">
        <v>12347</v>
      </c>
      <c r="AD622" t="s">
        <v>1</v>
      </c>
      <c r="AE622" t="s">
        <v>1483</v>
      </c>
      <c r="AF622" s="9">
        <v>44228</v>
      </c>
      <c r="AH622" t="s">
        <v>1482</v>
      </c>
      <c r="AI622" t="s">
        <v>1481</v>
      </c>
      <c r="AJ622" t="s">
        <v>1480</v>
      </c>
      <c r="AK622" t="s">
        <v>1479</v>
      </c>
      <c r="AL622">
        <v>18</v>
      </c>
      <c r="AM622" s="5">
        <f t="shared" si="75"/>
        <v>0.69230769230769229</v>
      </c>
      <c r="AN622" s="4">
        <f t="shared" si="76"/>
        <v>1.0485538694550431E-3</v>
      </c>
      <c r="AO622" s="3"/>
      <c r="AP622">
        <v>0</v>
      </c>
      <c r="AR622" t="s">
        <v>0</v>
      </c>
      <c r="AT622" s="2">
        <v>2.1829999999999998</v>
      </c>
      <c r="AU622" s="1">
        <f t="shared" si="77"/>
        <v>1.0479804675558491</v>
      </c>
      <c r="AV622" s="1">
        <f t="shared" si="78"/>
        <v>0.77851615881003633</v>
      </c>
      <c r="AW622" s="1">
        <f t="shared" si="79"/>
        <v>0.50905185006422349</v>
      </c>
    </row>
    <row r="623" spans="1:49" x14ac:dyDescent="0.2">
      <c r="A623">
        <v>621</v>
      </c>
      <c r="B623" t="s">
        <v>1478</v>
      </c>
      <c r="C623" t="s">
        <v>1477</v>
      </c>
      <c r="D623" t="s">
        <v>1476</v>
      </c>
      <c r="F623" t="s">
        <v>1475</v>
      </c>
      <c r="G623" t="s">
        <v>6</v>
      </c>
      <c r="H623" t="s">
        <v>5</v>
      </c>
      <c r="I623" t="s">
        <v>1474</v>
      </c>
      <c r="J623" t="s">
        <v>1473</v>
      </c>
      <c r="K623" t="s">
        <v>1472</v>
      </c>
      <c r="L623" t="s">
        <v>1471</v>
      </c>
      <c r="M623" t="s">
        <v>13</v>
      </c>
      <c r="N623">
        <v>1</v>
      </c>
      <c r="O623" t="s">
        <v>1470</v>
      </c>
      <c r="P623">
        <v>6602090781</v>
      </c>
      <c r="Q623" t="s">
        <v>1469</v>
      </c>
      <c r="R623" s="7">
        <v>35278</v>
      </c>
      <c r="S623" s="8">
        <f t="shared" si="72"/>
        <v>1996</v>
      </c>
      <c r="T623" s="8">
        <v>1996</v>
      </c>
      <c r="U623" s="8">
        <f t="shared" si="73"/>
        <v>26</v>
      </c>
      <c r="V623" s="7">
        <v>35278</v>
      </c>
      <c r="W623" t="s">
        <v>1468</v>
      </c>
      <c r="X623" s="2" t="s">
        <v>9</v>
      </c>
      <c r="Y623" s="6" t="e">
        <f t="shared" si="74"/>
        <v>#VALUE!</v>
      </c>
      <c r="AA623">
        <v>10709894</v>
      </c>
      <c r="AB623">
        <v>101376</v>
      </c>
      <c r="AD623" t="s">
        <v>1</v>
      </c>
      <c r="AE623">
        <v>19</v>
      </c>
      <c r="AF623">
        <v>3</v>
      </c>
      <c r="AH623" t="s">
        <v>1467</v>
      </c>
      <c r="AI623" t="s">
        <v>1466</v>
      </c>
      <c r="AJ623" t="s">
        <v>1465</v>
      </c>
      <c r="AK623" t="s">
        <v>1464</v>
      </c>
      <c r="AL623">
        <v>2</v>
      </c>
      <c r="AM623" s="5">
        <f t="shared" si="75"/>
        <v>7.6923076923076927E-2</v>
      </c>
      <c r="AN623" s="4">
        <f t="shared" si="76"/>
        <v>1.1650598549500481E-4</v>
      </c>
      <c r="AO623" s="3"/>
      <c r="AP623">
        <v>0</v>
      </c>
      <c r="AR623" t="s">
        <v>0</v>
      </c>
      <c r="AT623" s="2" t="s">
        <v>9</v>
      </c>
      <c r="AU623" s="1" t="e">
        <f t="shared" si="77"/>
        <v>#VALUE!</v>
      </c>
      <c r="AV623" s="1" t="e">
        <f t="shared" si="78"/>
        <v>#VALUE!</v>
      </c>
      <c r="AW623" s="1" t="e">
        <f t="shared" si="79"/>
        <v>#VALUE!</v>
      </c>
    </row>
    <row r="624" spans="1:49" x14ac:dyDescent="0.2">
      <c r="A624">
        <v>622</v>
      </c>
      <c r="B624" t="s">
        <v>1463</v>
      </c>
      <c r="C624" t="s">
        <v>1462</v>
      </c>
      <c r="F624" t="s">
        <v>1461</v>
      </c>
      <c r="G624" t="s">
        <v>6</v>
      </c>
      <c r="H624" t="s">
        <v>5</v>
      </c>
      <c r="I624" t="s">
        <v>1460</v>
      </c>
      <c r="N624">
        <v>1</v>
      </c>
      <c r="O624" t="s">
        <v>1459</v>
      </c>
      <c r="P624">
        <v>7003488129</v>
      </c>
      <c r="R624" s="7">
        <v>35278</v>
      </c>
      <c r="S624" s="8">
        <f t="shared" si="72"/>
        <v>1996</v>
      </c>
      <c r="T624" s="8">
        <v>1996</v>
      </c>
      <c r="U624" s="8">
        <f t="shared" si="73"/>
        <v>26</v>
      </c>
      <c r="V624" s="7">
        <v>35278</v>
      </c>
      <c r="W624" t="s">
        <v>241</v>
      </c>
      <c r="X624" s="2">
        <v>0.88100000000000001</v>
      </c>
      <c r="Y624" s="6">
        <f t="shared" si="74"/>
        <v>2.3517791836843653E-2</v>
      </c>
      <c r="AA624">
        <v>10459243</v>
      </c>
      <c r="AB624">
        <v>17248</v>
      </c>
      <c r="AD624" t="s">
        <v>1</v>
      </c>
      <c r="AE624">
        <v>38</v>
      </c>
      <c r="AF624">
        <v>4</v>
      </c>
      <c r="AH624" t="s">
        <v>243</v>
      </c>
      <c r="AI624" t="s">
        <v>1458</v>
      </c>
      <c r="AK624" t="s">
        <v>1457</v>
      </c>
      <c r="AL624">
        <v>9</v>
      </c>
      <c r="AM624" s="5">
        <f t="shared" si="75"/>
        <v>0.34615384615384615</v>
      </c>
      <c r="AN624" s="4">
        <f t="shared" si="76"/>
        <v>5.2427693472752157E-4</v>
      </c>
      <c r="AO624" s="3"/>
      <c r="AP624">
        <v>0</v>
      </c>
      <c r="AR624" t="s">
        <v>0</v>
      </c>
      <c r="AT624" s="2" t="s">
        <v>9</v>
      </c>
      <c r="AU624" s="1">
        <f t="shared" si="77"/>
        <v>1.6619737366208813</v>
      </c>
      <c r="AV624" s="1">
        <f t="shared" si="78"/>
        <v>1.2021034385785587</v>
      </c>
      <c r="AW624" s="1">
        <f t="shared" si="79"/>
        <v>0.74223314053623612</v>
      </c>
    </row>
    <row r="625" spans="1:49" x14ac:dyDescent="0.2">
      <c r="A625">
        <v>623</v>
      </c>
      <c r="B625" t="s">
        <v>1456</v>
      </c>
      <c r="C625" t="s">
        <v>1455</v>
      </c>
      <c r="F625" t="s">
        <v>1454</v>
      </c>
      <c r="G625" t="s">
        <v>6</v>
      </c>
      <c r="H625" t="s">
        <v>5</v>
      </c>
      <c r="I625" t="s">
        <v>1453</v>
      </c>
      <c r="J625">
        <v>60020661</v>
      </c>
      <c r="K625" t="s">
        <v>1452</v>
      </c>
      <c r="L625" t="s">
        <v>1451</v>
      </c>
      <c r="M625" t="s">
        <v>19</v>
      </c>
      <c r="N625">
        <v>1</v>
      </c>
      <c r="O625" t="s">
        <v>1450</v>
      </c>
      <c r="P625">
        <v>57213891206</v>
      </c>
      <c r="Q625">
        <v>60020661</v>
      </c>
      <c r="R625" s="7">
        <v>35278</v>
      </c>
      <c r="S625" s="8">
        <f t="shared" si="72"/>
        <v>1996</v>
      </c>
      <c r="T625" s="8">
        <v>1996</v>
      </c>
      <c r="U625" s="8">
        <f t="shared" si="73"/>
        <v>26</v>
      </c>
      <c r="V625" s="7">
        <v>35278</v>
      </c>
      <c r="W625" t="s">
        <v>1330</v>
      </c>
      <c r="X625" s="2">
        <v>0.22600000000000001</v>
      </c>
      <c r="Y625" s="6">
        <f t="shared" si="74"/>
        <v>6.0329409252289053E-3</v>
      </c>
      <c r="AA625">
        <v>2786648</v>
      </c>
      <c r="AB625">
        <v>17299</v>
      </c>
      <c r="AD625" t="s">
        <v>1</v>
      </c>
      <c r="AE625">
        <v>15</v>
      </c>
      <c r="AF625">
        <v>3</v>
      </c>
      <c r="AH625" t="s">
        <v>1449</v>
      </c>
      <c r="AI625" t="s">
        <v>1448</v>
      </c>
      <c r="AK625" t="s">
        <v>1447</v>
      </c>
      <c r="AL625">
        <v>0</v>
      </c>
      <c r="AM625" s="5">
        <f t="shared" si="75"/>
        <v>0</v>
      </c>
      <c r="AN625" s="4">
        <f t="shared" si="76"/>
        <v>0</v>
      </c>
      <c r="AO625" s="3"/>
      <c r="AP625">
        <v>0</v>
      </c>
      <c r="AR625" t="s">
        <v>0</v>
      </c>
      <c r="AT625" s="2" t="s">
        <v>9</v>
      </c>
      <c r="AU625" s="1">
        <f t="shared" si="77"/>
        <v>0.42230586476602339</v>
      </c>
      <c r="AV625" s="1">
        <f t="shared" si="78"/>
        <v>0.30164704626144528</v>
      </c>
      <c r="AW625" s="1">
        <f t="shared" si="79"/>
        <v>0.18098822775686715</v>
      </c>
    </row>
    <row r="626" spans="1:49" x14ac:dyDescent="0.2">
      <c r="A626">
        <v>624</v>
      </c>
      <c r="B626" t="s">
        <v>1446</v>
      </c>
      <c r="F626" t="s">
        <v>1445</v>
      </c>
      <c r="G626" t="s">
        <v>6</v>
      </c>
      <c r="H626" t="s">
        <v>5</v>
      </c>
      <c r="I626" t="s">
        <v>1444</v>
      </c>
      <c r="N626">
        <v>1</v>
      </c>
      <c r="O626" t="s">
        <v>1443</v>
      </c>
      <c r="P626">
        <v>7003394549</v>
      </c>
      <c r="R626" s="7">
        <v>35278</v>
      </c>
      <c r="S626" s="8">
        <f t="shared" si="72"/>
        <v>1996</v>
      </c>
      <c r="T626" s="8">
        <v>1996</v>
      </c>
      <c r="U626" s="8">
        <f t="shared" si="73"/>
        <v>26</v>
      </c>
      <c r="V626" s="7">
        <v>35278</v>
      </c>
      <c r="W626" t="s">
        <v>1442</v>
      </c>
      <c r="X626" s="2" t="s">
        <v>9</v>
      </c>
      <c r="Y626" s="6" t="e">
        <f t="shared" si="74"/>
        <v>#VALUE!</v>
      </c>
      <c r="AA626">
        <v>7469179</v>
      </c>
      <c r="AB626">
        <v>38958</v>
      </c>
      <c r="AD626" t="s">
        <v>1</v>
      </c>
      <c r="AE626">
        <v>38</v>
      </c>
      <c r="AF626">
        <v>9</v>
      </c>
      <c r="AH626" t="s">
        <v>1441</v>
      </c>
      <c r="AI626" t="s">
        <v>1440</v>
      </c>
      <c r="AK626" t="s">
        <v>1439</v>
      </c>
      <c r="AL626">
        <v>1</v>
      </c>
      <c r="AM626" s="5">
        <f t="shared" si="75"/>
        <v>3.8461538461538464E-2</v>
      </c>
      <c r="AN626" s="4">
        <f t="shared" si="76"/>
        <v>5.8252992747502406E-5</v>
      </c>
      <c r="AO626" s="3"/>
      <c r="AP626">
        <v>0</v>
      </c>
      <c r="AR626" t="s">
        <v>0</v>
      </c>
      <c r="AT626" s="2" t="s">
        <v>9</v>
      </c>
      <c r="AU626" s="1" t="e">
        <f t="shared" si="77"/>
        <v>#VALUE!</v>
      </c>
      <c r="AV626" s="1" t="e">
        <f t="shared" si="78"/>
        <v>#VALUE!</v>
      </c>
      <c r="AW626" s="1" t="e">
        <f t="shared" si="79"/>
        <v>#VALUE!</v>
      </c>
    </row>
    <row r="627" spans="1:49" x14ac:dyDescent="0.2">
      <c r="A627">
        <v>625</v>
      </c>
      <c r="B627" t="s">
        <v>1438</v>
      </c>
      <c r="C627" t="s">
        <v>1437</v>
      </c>
      <c r="F627" t="s">
        <v>1436</v>
      </c>
      <c r="G627" t="s">
        <v>6</v>
      </c>
      <c r="H627" t="s">
        <v>5</v>
      </c>
      <c r="I627" t="s">
        <v>1435</v>
      </c>
      <c r="J627">
        <v>60008408</v>
      </c>
      <c r="K627" t="s">
        <v>1434</v>
      </c>
      <c r="L627" t="s">
        <v>1433</v>
      </c>
      <c r="M627" t="s">
        <v>1432</v>
      </c>
      <c r="N627">
        <v>3</v>
      </c>
      <c r="O627" t="s">
        <v>1431</v>
      </c>
      <c r="P627" t="s">
        <v>1430</v>
      </c>
      <c r="Q627" t="s">
        <v>1429</v>
      </c>
      <c r="R627" s="7">
        <v>35278</v>
      </c>
      <c r="S627" s="8">
        <f t="shared" si="72"/>
        <v>1996</v>
      </c>
      <c r="T627" s="8">
        <v>1996</v>
      </c>
      <c r="U627" s="8">
        <f t="shared" si="73"/>
        <v>26</v>
      </c>
      <c r="V627" s="7">
        <v>35278</v>
      </c>
      <c r="W627" t="s">
        <v>241</v>
      </c>
      <c r="X627" s="2">
        <v>0.88100000000000001</v>
      </c>
      <c r="Y627" s="6">
        <f t="shared" si="74"/>
        <v>2.3517791836843653E-2</v>
      </c>
      <c r="AA627">
        <v>10459243</v>
      </c>
      <c r="AB627">
        <v>17248</v>
      </c>
      <c r="AD627" t="s">
        <v>1</v>
      </c>
      <c r="AE627">
        <v>38</v>
      </c>
      <c r="AF627">
        <v>4</v>
      </c>
      <c r="AH627" t="s">
        <v>1428</v>
      </c>
      <c r="AI627" t="s">
        <v>1427</v>
      </c>
      <c r="AK627" t="s">
        <v>1426</v>
      </c>
      <c r="AL627">
        <v>18</v>
      </c>
      <c r="AM627" s="5">
        <f t="shared" si="75"/>
        <v>0.69230769230769229</v>
      </c>
      <c r="AN627" s="4">
        <f t="shared" si="76"/>
        <v>1.0485538694550431E-3</v>
      </c>
      <c r="AO627" s="3"/>
      <c r="AP627">
        <v>0</v>
      </c>
      <c r="AR627" t="s">
        <v>0</v>
      </c>
      <c r="AT627" s="2" t="s">
        <v>9</v>
      </c>
      <c r="AU627" s="1">
        <f t="shared" si="77"/>
        <v>1.6777020446627069</v>
      </c>
      <c r="AV627" s="1">
        <f t="shared" si="78"/>
        <v>1.2283172853149349</v>
      </c>
      <c r="AW627" s="1">
        <f t="shared" si="79"/>
        <v>0.77893252596716256</v>
      </c>
    </row>
    <row r="628" spans="1:49" x14ac:dyDescent="0.2">
      <c r="A628">
        <v>626</v>
      </c>
      <c r="B628" t="s">
        <v>1425</v>
      </c>
      <c r="C628" t="s">
        <v>1424</v>
      </c>
      <c r="F628" t="s">
        <v>1423</v>
      </c>
      <c r="G628" t="s">
        <v>6</v>
      </c>
      <c r="H628" t="s">
        <v>5</v>
      </c>
      <c r="I628" t="s">
        <v>1422</v>
      </c>
      <c r="J628">
        <v>100467377</v>
      </c>
      <c r="K628" t="s">
        <v>1421</v>
      </c>
      <c r="L628" t="s">
        <v>1420</v>
      </c>
      <c r="M628" t="s">
        <v>19</v>
      </c>
      <c r="N628">
        <v>2</v>
      </c>
      <c r="O628" t="s">
        <v>1419</v>
      </c>
      <c r="P628" t="s">
        <v>1418</v>
      </c>
      <c r="Q628" t="s">
        <v>1417</v>
      </c>
      <c r="R628" s="7">
        <v>35278</v>
      </c>
      <c r="S628" s="8">
        <f t="shared" si="72"/>
        <v>1996</v>
      </c>
      <c r="T628" s="8">
        <v>1996</v>
      </c>
      <c r="U628" s="8">
        <f t="shared" si="73"/>
        <v>26</v>
      </c>
      <c r="V628" s="7">
        <v>35278</v>
      </c>
      <c r="W628" t="s">
        <v>241</v>
      </c>
      <c r="X628" s="2">
        <v>0.88100000000000001</v>
      </c>
      <c r="Y628" s="6">
        <f t="shared" si="74"/>
        <v>2.3517791836843653E-2</v>
      </c>
      <c r="AA628">
        <v>10459243</v>
      </c>
      <c r="AB628">
        <v>17248</v>
      </c>
      <c r="AD628" t="s">
        <v>1</v>
      </c>
      <c r="AE628">
        <v>38</v>
      </c>
      <c r="AF628">
        <v>4</v>
      </c>
      <c r="AH628" t="s">
        <v>1416</v>
      </c>
      <c r="AI628" t="s">
        <v>1415</v>
      </c>
      <c r="AK628" t="s">
        <v>1414</v>
      </c>
      <c r="AL628">
        <v>1</v>
      </c>
      <c r="AM628" s="5">
        <f t="shared" si="75"/>
        <v>3.8461538461538464E-2</v>
      </c>
      <c r="AN628" s="4">
        <f t="shared" si="76"/>
        <v>5.8252992747502406E-5</v>
      </c>
      <c r="AO628" s="3"/>
      <c r="AP628">
        <v>0</v>
      </c>
      <c r="AR628" t="s">
        <v>0</v>
      </c>
      <c r="AT628" s="2" t="s">
        <v>9</v>
      </c>
      <c r="AU628" s="1">
        <f t="shared" si="77"/>
        <v>1.6479930183614808</v>
      </c>
      <c r="AV628" s="1">
        <f t="shared" si="78"/>
        <v>1.1788022414795578</v>
      </c>
      <c r="AW628" s="1">
        <f t="shared" si="79"/>
        <v>0.7096114645976348</v>
      </c>
    </row>
    <row r="629" spans="1:49" x14ac:dyDescent="0.2">
      <c r="A629">
        <v>627</v>
      </c>
      <c r="B629" t="s">
        <v>1413</v>
      </c>
      <c r="C629" t="s">
        <v>1412</v>
      </c>
      <c r="F629" t="s">
        <v>1411</v>
      </c>
      <c r="G629" t="s">
        <v>6</v>
      </c>
      <c r="H629" t="s">
        <v>5</v>
      </c>
      <c r="I629" t="s">
        <v>1410</v>
      </c>
      <c r="J629" t="s">
        <v>1409</v>
      </c>
      <c r="K629" t="s">
        <v>1408</v>
      </c>
      <c r="L629" t="s">
        <v>1407</v>
      </c>
      <c r="M629" t="s">
        <v>124</v>
      </c>
      <c r="N629">
        <v>5</v>
      </c>
      <c r="O629" t="s">
        <v>1406</v>
      </c>
      <c r="P629" t="s">
        <v>1405</v>
      </c>
      <c r="Q629" t="s">
        <v>1404</v>
      </c>
      <c r="R629" s="7">
        <v>35278</v>
      </c>
      <c r="S629" s="8">
        <f t="shared" si="72"/>
        <v>1996</v>
      </c>
      <c r="T629" s="8">
        <v>1996</v>
      </c>
      <c r="U629" s="8">
        <f t="shared" si="73"/>
        <v>26</v>
      </c>
      <c r="V629" s="7">
        <v>35278</v>
      </c>
      <c r="W629" t="s">
        <v>235</v>
      </c>
      <c r="X629" s="2">
        <v>1.276</v>
      </c>
      <c r="Y629" s="6">
        <f t="shared" si="74"/>
        <v>3.4062091241557887E-2</v>
      </c>
      <c r="AA629">
        <v>214922</v>
      </c>
      <c r="AB629">
        <v>75087</v>
      </c>
      <c r="AD629" t="s">
        <v>1</v>
      </c>
      <c r="AE629">
        <v>35</v>
      </c>
      <c r="AF629" t="s">
        <v>1403</v>
      </c>
      <c r="AI629" t="s">
        <v>1402</v>
      </c>
      <c r="AJ629" t="s">
        <v>1401</v>
      </c>
      <c r="AK629" t="s">
        <v>1400</v>
      </c>
      <c r="AL629">
        <v>8</v>
      </c>
      <c r="AM629" s="5">
        <f t="shared" si="75"/>
        <v>0.30769230769230771</v>
      </c>
      <c r="AN629" s="4">
        <f t="shared" si="76"/>
        <v>4.6602394198001925E-4</v>
      </c>
      <c r="AO629" s="3"/>
      <c r="AP629">
        <v>0</v>
      </c>
      <c r="AR629" t="s">
        <v>0</v>
      </c>
      <c r="AT629" s="2" t="s">
        <v>9</v>
      </c>
      <c r="AU629" s="1">
        <f t="shared" si="77"/>
        <v>2.3983271051684527</v>
      </c>
      <c r="AV629" s="1">
        <f t="shared" si="78"/>
        <v>1.7264057591768953</v>
      </c>
      <c r="AW629" s="1">
        <f t="shared" si="79"/>
        <v>1.0544844131853379</v>
      </c>
    </row>
    <row r="630" spans="1:49" x14ac:dyDescent="0.2">
      <c r="A630">
        <v>628</v>
      </c>
      <c r="B630" t="s">
        <v>1399</v>
      </c>
      <c r="C630" t="s">
        <v>1398</v>
      </c>
      <c r="F630" t="s">
        <v>1397</v>
      </c>
      <c r="G630" t="s">
        <v>6</v>
      </c>
      <c r="H630" t="s">
        <v>5</v>
      </c>
      <c r="I630" t="s">
        <v>1396</v>
      </c>
      <c r="J630">
        <v>100460248</v>
      </c>
      <c r="K630" t="s">
        <v>1395</v>
      </c>
      <c r="L630" t="s">
        <v>1394</v>
      </c>
      <c r="M630" t="s">
        <v>2</v>
      </c>
      <c r="N630">
        <v>7</v>
      </c>
      <c r="O630" t="s">
        <v>1393</v>
      </c>
      <c r="P630" t="s">
        <v>1392</v>
      </c>
      <c r="Q630" t="s">
        <v>1391</v>
      </c>
      <c r="R630" s="7">
        <v>35278</v>
      </c>
      <c r="S630" s="8">
        <f t="shared" si="72"/>
        <v>1996</v>
      </c>
      <c r="T630" s="8">
        <v>1996</v>
      </c>
      <c r="U630" s="8">
        <f t="shared" si="73"/>
        <v>26</v>
      </c>
      <c r="V630" s="7">
        <v>35278</v>
      </c>
      <c r="W630" t="s">
        <v>358</v>
      </c>
      <c r="X630" s="2">
        <v>0.375</v>
      </c>
      <c r="Y630" s="6">
        <f t="shared" si="74"/>
        <v>1.0010410827260351E-2</v>
      </c>
      <c r="AA630">
        <v>135194</v>
      </c>
      <c r="AB630">
        <v>24918</v>
      </c>
      <c r="AD630" t="s">
        <v>1</v>
      </c>
      <c r="AE630">
        <v>32</v>
      </c>
      <c r="AF630">
        <v>16</v>
      </c>
      <c r="AH630" t="s">
        <v>1390</v>
      </c>
      <c r="AI630" t="s">
        <v>1389</v>
      </c>
      <c r="AK630" t="s">
        <v>1388</v>
      </c>
      <c r="AL630">
        <v>9</v>
      </c>
      <c r="AM630" s="5">
        <f t="shared" si="75"/>
        <v>0.34615384615384615</v>
      </c>
      <c r="AN630" s="4">
        <f t="shared" si="76"/>
        <v>5.2427693472752157E-4</v>
      </c>
      <c r="AO630" s="3"/>
      <c r="AP630">
        <v>0</v>
      </c>
      <c r="AR630" t="s">
        <v>0</v>
      </c>
      <c r="AT630" s="2">
        <v>1.3140000000000001</v>
      </c>
      <c r="AU630" s="1">
        <f t="shared" si="77"/>
        <v>0.71645706595005021</v>
      </c>
      <c r="AV630" s="1">
        <f t="shared" si="78"/>
        <v>0.52673438809939366</v>
      </c>
      <c r="AW630" s="1">
        <f t="shared" si="79"/>
        <v>0.33701171024873705</v>
      </c>
    </row>
    <row r="631" spans="1:49" x14ac:dyDescent="0.2">
      <c r="A631">
        <v>629</v>
      </c>
      <c r="B631" t="s">
        <v>1387</v>
      </c>
      <c r="C631" t="s">
        <v>1386</v>
      </c>
      <c r="F631" t="s">
        <v>1385</v>
      </c>
      <c r="G631" t="s">
        <v>6</v>
      </c>
      <c r="H631" t="s">
        <v>5</v>
      </c>
      <c r="I631" t="s">
        <v>1384</v>
      </c>
      <c r="J631" t="s">
        <v>1383</v>
      </c>
      <c r="K631" t="s">
        <v>1382</v>
      </c>
      <c r="L631" t="s">
        <v>1381</v>
      </c>
      <c r="M631" t="s">
        <v>126</v>
      </c>
      <c r="N631">
        <v>3</v>
      </c>
      <c r="O631" t="s">
        <v>1380</v>
      </c>
      <c r="P631" t="s">
        <v>1379</v>
      </c>
      <c r="Q631" t="s">
        <v>1378</v>
      </c>
      <c r="R631" s="7">
        <v>35278</v>
      </c>
      <c r="S631" s="8">
        <f t="shared" si="72"/>
        <v>1996</v>
      </c>
      <c r="T631" s="8">
        <v>1996</v>
      </c>
      <c r="U631" s="8">
        <f t="shared" si="73"/>
        <v>26</v>
      </c>
      <c r="V631" s="7">
        <v>35278</v>
      </c>
      <c r="W631" t="s">
        <v>142</v>
      </c>
      <c r="X631" s="2">
        <v>0.94</v>
      </c>
      <c r="Y631" s="6">
        <f t="shared" si="74"/>
        <v>2.5092763140332611E-2</v>
      </c>
      <c r="AA631">
        <v>10518207</v>
      </c>
      <c r="AB631">
        <v>63372</v>
      </c>
      <c r="AD631" t="s">
        <v>1</v>
      </c>
      <c r="AE631">
        <v>6</v>
      </c>
      <c r="AF631">
        <v>8</v>
      </c>
      <c r="AH631" t="s">
        <v>1377</v>
      </c>
      <c r="AI631" t="s">
        <v>1376</v>
      </c>
      <c r="AK631" t="s">
        <v>1375</v>
      </c>
      <c r="AL631">
        <v>0</v>
      </c>
      <c r="AM631" s="5">
        <f t="shared" si="75"/>
        <v>0</v>
      </c>
      <c r="AN631" s="4">
        <f t="shared" si="76"/>
        <v>0</v>
      </c>
      <c r="AO631" s="3"/>
      <c r="AP631">
        <v>0</v>
      </c>
      <c r="AQ631" t="s">
        <v>105</v>
      </c>
      <c r="AR631" t="s">
        <v>1374</v>
      </c>
      <c r="AS631" t="s">
        <v>104</v>
      </c>
      <c r="AT631" s="2" t="s">
        <v>9</v>
      </c>
      <c r="AU631" s="1">
        <f t="shared" si="77"/>
        <v>1.7564934198232827</v>
      </c>
      <c r="AV631" s="1">
        <f t="shared" si="78"/>
        <v>1.2546381570166305</v>
      </c>
      <c r="AW631" s="1">
        <f t="shared" si="79"/>
        <v>0.75278289420997835</v>
      </c>
    </row>
    <row r="632" spans="1:49" x14ac:dyDescent="0.2">
      <c r="A632">
        <v>630</v>
      </c>
      <c r="B632" t="s">
        <v>1373</v>
      </c>
      <c r="C632" t="s">
        <v>1372</v>
      </c>
      <c r="F632" t="s">
        <v>1371</v>
      </c>
      <c r="G632" t="s">
        <v>6</v>
      </c>
      <c r="H632" t="s">
        <v>5</v>
      </c>
      <c r="I632" t="s">
        <v>1370</v>
      </c>
      <c r="J632" t="s">
        <v>1369</v>
      </c>
      <c r="K632" t="s">
        <v>1368</v>
      </c>
      <c r="L632" t="s">
        <v>1367</v>
      </c>
      <c r="M632" t="s">
        <v>530</v>
      </c>
      <c r="N632">
        <v>3</v>
      </c>
      <c r="O632" t="s">
        <v>1366</v>
      </c>
      <c r="P632" t="s">
        <v>1365</v>
      </c>
      <c r="Q632" t="s">
        <v>1364</v>
      </c>
      <c r="R632" s="7">
        <v>35278</v>
      </c>
      <c r="S632" s="8">
        <f t="shared" si="72"/>
        <v>1996</v>
      </c>
      <c r="T632" s="8">
        <v>1996</v>
      </c>
      <c r="U632" s="8">
        <f t="shared" si="73"/>
        <v>26</v>
      </c>
      <c r="V632" s="7">
        <v>35278</v>
      </c>
      <c r="W632" t="s">
        <v>421</v>
      </c>
      <c r="X632" s="2">
        <v>3.2160000000000002</v>
      </c>
      <c r="Y632" s="6">
        <f t="shared" si="74"/>
        <v>8.5849283254584782E-2</v>
      </c>
      <c r="AA632">
        <v>10709916</v>
      </c>
      <c r="AB632">
        <v>80015</v>
      </c>
      <c r="AD632" t="s">
        <v>1</v>
      </c>
      <c r="AE632">
        <v>3</v>
      </c>
      <c r="AF632">
        <v>4</v>
      </c>
      <c r="AH632" t="s">
        <v>1363</v>
      </c>
      <c r="AI632" t="s">
        <v>1362</v>
      </c>
      <c r="AK632" t="s">
        <v>1361</v>
      </c>
      <c r="AL632">
        <v>61</v>
      </c>
      <c r="AM632" s="5">
        <f t="shared" si="75"/>
        <v>2.3461538461538463</v>
      </c>
      <c r="AN632" s="4">
        <f t="shared" si="76"/>
        <v>3.5534325575976469E-3</v>
      </c>
      <c r="AO632" s="3"/>
      <c r="AP632">
        <v>0</v>
      </c>
      <c r="AQ632" t="s">
        <v>453</v>
      </c>
      <c r="AR632" t="s">
        <v>0</v>
      </c>
      <c r="AS632" t="s">
        <v>452</v>
      </c>
      <c r="AT632" s="2" t="s">
        <v>9</v>
      </c>
      <c r="AU632" s="1">
        <f t="shared" si="77"/>
        <v>6.1160528045488629</v>
      </c>
      <c r="AV632" s="1">
        <f t="shared" si="78"/>
        <v>4.4701357906091213</v>
      </c>
      <c r="AW632" s="1">
        <f t="shared" si="79"/>
        <v>2.8242187766693787</v>
      </c>
    </row>
    <row r="633" spans="1:49" x14ac:dyDescent="0.2">
      <c r="A633">
        <v>631</v>
      </c>
      <c r="B633" t="s">
        <v>1360</v>
      </c>
      <c r="C633" t="s">
        <v>1359</v>
      </c>
      <c r="F633" t="s">
        <v>1358</v>
      </c>
      <c r="G633" t="s">
        <v>6</v>
      </c>
      <c r="H633" t="s">
        <v>5</v>
      </c>
      <c r="I633" t="s">
        <v>227</v>
      </c>
      <c r="J633">
        <v>60003892</v>
      </c>
      <c r="K633" t="s">
        <v>176</v>
      </c>
      <c r="L633" t="s">
        <v>175</v>
      </c>
      <c r="M633" t="s">
        <v>2</v>
      </c>
      <c r="N633">
        <v>2</v>
      </c>
      <c r="O633" t="s">
        <v>1357</v>
      </c>
      <c r="P633" t="s">
        <v>226</v>
      </c>
      <c r="Q633" t="s">
        <v>225</v>
      </c>
      <c r="R633" s="7">
        <v>35278</v>
      </c>
      <c r="S633" s="8">
        <f t="shared" si="72"/>
        <v>1996</v>
      </c>
      <c r="T633" s="8">
        <v>1996</v>
      </c>
      <c r="U633" s="8">
        <f t="shared" si="73"/>
        <v>26</v>
      </c>
      <c r="V633" s="7">
        <v>35278</v>
      </c>
      <c r="W633" t="s">
        <v>241</v>
      </c>
      <c r="X633" s="2">
        <v>0.88100000000000001</v>
      </c>
      <c r="Y633" s="6">
        <f t="shared" si="74"/>
        <v>2.3517791836843653E-2</v>
      </c>
      <c r="AA633">
        <v>10459243</v>
      </c>
      <c r="AB633">
        <v>17248</v>
      </c>
      <c r="AD633" t="s">
        <v>1</v>
      </c>
      <c r="AE633">
        <v>38</v>
      </c>
      <c r="AF633">
        <v>4</v>
      </c>
      <c r="AH633" s="9">
        <v>44537</v>
      </c>
      <c r="AI633" t="s">
        <v>1356</v>
      </c>
      <c r="AK633" t="s">
        <v>1355</v>
      </c>
      <c r="AL633">
        <v>42</v>
      </c>
      <c r="AM633" s="5">
        <f t="shared" si="75"/>
        <v>1.6153846153846154</v>
      </c>
      <c r="AN633" s="4">
        <f t="shared" si="76"/>
        <v>2.4466256953951009E-3</v>
      </c>
      <c r="AO633" s="3"/>
      <c r="AP633">
        <v>0</v>
      </c>
      <c r="AQ633" t="s">
        <v>54</v>
      </c>
      <c r="AR633" t="s">
        <v>1354</v>
      </c>
      <c r="AS633" t="s">
        <v>53</v>
      </c>
      <c r="AT633" s="2" t="s">
        <v>9</v>
      </c>
      <c r="AU633" s="1">
        <f t="shared" si="77"/>
        <v>1.7196441994409086</v>
      </c>
      <c r="AV633" s="1">
        <f t="shared" si="78"/>
        <v>1.2982208766119376</v>
      </c>
      <c r="AW633" s="1">
        <f t="shared" si="79"/>
        <v>0.87679755378296664</v>
      </c>
    </row>
    <row r="634" spans="1:49" x14ac:dyDescent="0.2">
      <c r="A634">
        <v>632</v>
      </c>
      <c r="B634" t="s">
        <v>1353</v>
      </c>
      <c r="F634" t="s">
        <v>1352</v>
      </c>
      <c r="G634" t="s">
        <v>6</v>
      </c>
      <c r="H634" t="s">
        <v>5</v>
      </c>
      <c r="I634" t="s">
        <v>1351</v>
      </c>
      <c r="N634">
        <v>1</v>
      </c>
      <c r="O634" t="s">
        <v>1350</v>
      </c>
      <c r="P634">
        <v>36929572100</v>
      </c>
      <c r="R634" s="7">
        <v>35278</v>
      </c>
      <c r="S634" s="8">
        <f t="shared" si="72"/>
        <v>1996</v>
      </c>
      <c r="T634" s="8">
        <v>1996</v>
      </c>
      <c r="U634" s="8">
        <f t="shared" si="73"/>
        <v>26</v>
      </c>
      <c r="V634" s="7">
        <v>35278</v>
      </c>
      <c r="W634" t="s">
        <v>1349</v>
      </c>
      <c r="X634" s="2" t="s">
        <v>9</v>
      </c>
      <c r="Y634" s="6" t="e">
        <f t="shared" si="74"/>
        <v>#VALUE!</v>
      </c>
      <c r="AA634">
        <v>3735346</v>
      </c>
      <c r="AB634">
        <v>25730</v>
      </c>
      <c r="AD634" t="s">
        <v>1</v>
      </c>
      <c r="AE634">
        <v>152</v>
      </c>
      <c r="AF634">
        <v>8</v>
      </c>
      <c r="AI634" t="s">
        <v>1348</v>
      </c>
      <c r="AK634" t="s">
        <v>1347</v>
      </c>
      <c r="AL634">
        <v>0</v>
      </c>
      <c r="AM634" s="5">
        <f t="shared" si="75"/>
        <v>0</v>
      </c>
      <c r="AN634" s="4">
        <f t="shared" si="76"/>
        <v>0</v>
      </c>
      <c r="AO634" s="3"/>
      <c r="AP634">
        <v>0</v>
      </c>
      <c r="AR634" t="s">
        <v>0</v>
      </c>
      <c r="AT634" s="2" t="s">
        <v>9</v>
      </c>
      <c r="AU634" s="1" t="e">
        <f t="shared" si="77"/>
        <v>#VALUE!</v>
      </c>
      <c r="AV634" s="1" t="e">
        <f t="shared" si="78"/>
        <v>#VALUE!</v>
      </c>
      <c r="AW634" s="1" t="e">
        <f t="shared" si="79"/>
        <v>#VALUE!</v>
      </c>
    </row>
    <row r="635" spans="1:49" x14ac:dyDescent="0.2">
      <c r="A635">
        <v>633</v>
      </c>
      <c r="B635" t="s">
        <v>1346</v>
      </c>
      <c r="C635" t="s">
        <v>542</v>
      </c>
      <c r="F635" t="s">
        <v>541</v>
      </c>
      <c r="G635" t="s">
        <v>6</v>
      </c>
      <c r="H635" t="s">
        <v>5</v>
      </c>
      <c r="I635" t="s">
        <v>540</v>
      </c>
      <c r="J635">
        <v>60031544</v>
      </c>
      <c r="K635" t="s">
        <v>539</v>
      </c>
      <c r="L635" t="s">
        <v>538</v>
      </c>
      <c r="M635" t="s">
        <v>86</v>
      </c>
      <c r="N635">
        <v>5</v>
      </c>
      <c r="O635" t="s">
        <v>537</v>
      </c>
      <c r="P635" t="s">
        <v>536</v>
      </c>
      <c r="Q635" t="s">
        <v>535</v>
      </c>
      <c r="R635" s="7">
        <v>35278</v>
      </c>
      <c r="S635" s="8">
        <f t="shared" si="72"/>
        <v>1996</v>
      </c>
      <c r="T635" s="8">
        <v>1996</v>
      </c>
      <c r="U635" s="8">
        <f t="shared" si="73"/>
        <v>26</v>
      </c>
      <c r="V635" s="7">
        <v>35065</v>
      </c>
      <c r="W635" t="s">
        <v>358</v>
      </c>
      <c r="X635" s="2">
        <v>0.375</v>
      </c>
      <c r="Y635" s="6">
        <f t="shared" si="74"/>
        <v>1.0010410827260351E-2</v>
      </c>
      <c r="AA635">
        <v>135194</v>
      </c>
      <c r="AB635">
        <v>24918</v>
      </c>
      <c r="AD635" t="s">
        <v>1</v>
      </c>
      <c r="AE635">
        <v>32</v>
      </c>
      <c r="AF635">
        <v>17</v>
      </c>
      <c r="AH635" t="s">
        <v>1345</v>
      </c>
      <c r="AI635" t="s">
        <v>534</v>
      </c>
      <c r="AK635" t="s">
        <v>533</v>
      </c>
      <c r="AL635">
        <v>25</v>
      </c>
      <c r="AM635" s="5">
        <f t="shared" si="75"/>
        <v>0.96153846153846156</v>
      </c>
      <c r="AN635" s="4">
        <f t="shared" si="76"/>
        <v>1.4563248186875602E-3</v>
      </c>
      <c r="AO635" s="3"/>
      <c r="AP635">
        <v>0</v>
      </c>
      <c r="AR635" t="s">
        <v>0</v>
      </c>
      <c r="AT635" s="2">
        <v>1.3140000000000001</v>
      </c>
      <c r="AU635" s="1">
        <f t="shared" si="77"/>
        <v>0.74441850246885144</v>
      </c>
      <c r="AV635" s="1">
        <f t="shared" si="78"/>
        <v>0.5733367822973956</v>
      </c>
      <c r="AW635" s="1">
        <f t="shared" si="79"/>
        <v>0.4022550621259397</v>
      </c>
    </row>
    <row r="636" spans="1:49" x14ac:dyDescent="0.2">
      <c r="A636">
        <v>634</v>
      </c>
      <c r="B636" t="s">
        <v>1344</v>
      </c>
      <c r="C636" t="s">
        <v>1343</v>
      </c>
      <c r="F636" t="s">
        <v>1342</v>
      </c>
      <c r="G636" t="s">
        <v>6</v>
      </c>
      <c r="H636" t="s">
        <v>5</v>
      </c>
      <c r="I636" t="s">
        <v>1341</v>
      </c>
      <c r="J636">
        <v>60013983</v>
      </c>
      <c r="K636" t="s">
        <v>404</v>
      </c>
      <c r="L636" t="s">
        <v>403</v>
      </c>
      <c r="M636" t="s">
        <v>391</v>
      </c>
      <c r="N636">
        <v>2</v>
      </c>
      <c r="O636" t="s">
        <v>1340</v>
      </c>
      <c r="P636" t="s">
        <v>1339</v>
      </c>
      <c r="Q636" t="s">
        <v>402</v>
      </c>
      <c r="R636" s="7">
        <v>35278</v>
      </c>
      <c r="S636" s="8">
        <f t="shared" si="72"/>
        <v>1996</v>
      </c>
      <c r="T636" s="8">
        <v>1996</v>
      </c>
      <c r="U636" s="8">
        <f t="shared" si="73"/>
        <v>26</v>
      </c>
      <c r="V636" s="7">
        <v>35278</v>
      </c>
      <c r="W636" t="s">
        <v>358</v>
      </c>
      <c r="X636" s="2">
        <v>0.375</v>
      </c>
      <c r="Y636" s="6">
        <f t="shared" si="74"/>
        <v>1.0010410827260351E-2</v>
      </c>
      <c r="AA636">
        <v>135194</v>
      </c>
      <c r="AB636">
        <v>24918</v>
      </c>
      <c r="AD636" t="s">
        <v>1</v>
      </c>
      <c r="AE636">
        <v>32</v>
      </c>
      <c r="AF636">
        <v>16</v>
      </c>
      <c r="AH636" t="s">
        <v>1338</v>
      </c>
      <c r="AI636" t="s">
        <v>1337</v>
      </c>
      <c r="AJ636" t="s">
        <v>596</v>
      </c>
      <c r="AK636" t="s">
        <v>1336</v>
      </c>
      <c r="AL636">
        <v>8</v>
      </c>
      <c r="AM636" s="5">
        <f t="shared" si="75"/>
        <v>0.30769230769230771</v>
      </c>
      <c r="AN636" s="4">
        <f t="shared" si="76"/>
        <v>4.6602394198001925E-4</v>
      </c>
      <c r="AO636" s="3"/>
      <c r="AP636">
        <v>0</v>
      </c>
      <c r="AR636" t="s">
        <v>0</v>
      </c>
      <c r="AT636" s="2">
        <v>1.3140000000000001</v>
      </c>
      <c r="AU636" s="1">
        <f t="shared" si="77"/>
        <v>0.71470947616762515</v>
      </c>
      <c r="AV636" s="1">
        <f t="shared" si="78"/>
        <v>0.52382173846201852</v>
      </c>
      <c r="AW636" s="1">
        <f t="shared" si="79"/>
        <v>0.33293400075641189</v>
      </c>
    </row>
    <row r="637" spans="1:49" x14ac:dyDescent="0.2">
      <c r="A637">
        <v>635</v>
      </c>
      <c r="B637" t="s">
        <v>1335</v>
      </c>
      <c r="C637" t="s">
        <v>1334</v>
      </c>
      <c r="F637" t="s">
        <v>1333</v>
      </c>
      <c r="G637" t="s">
        <v>6</v>
      </c>
      <c r="H637" t="s">
        <v>5</v>
      </c>
      <c r="I637" t="s">
        <v>1332</v>
      </c>
      <c r="J637">
        <v>60007776</v>
      </c>
      <c r="K637" t="s">
        <v>667</v>
      </c>
      <c r="L637" t="s">
        <v>666</v>
      </c>
      <c r="M637" t="s">
        <v>2</v>
      </c>
      <c r="N637">
        <v>1</v>
      </c>
      <c r="O637" t="s">
        <v>1331</v>
      </c>
      <c r="P637">
        <v>7102734848</v>
      </c>
      <c r="Q637">
        <v>60007776</v>
      </c>
      <c r="R637" s="7">
        <v>35278</v>
      </c>
      <c r="S637" s="8">
        <f t="shared" si="72"/>
        <v>1996</v>
      </c>
      <c r="T637" s="8">
        <v>1996</v>
      </c>
      <c r="U637" s="8">
        <f t="shared" si="73"/>
        <v>26</v>
      </c>
      <c r="V637" s="7">
        <v>35278</v>
      </c>
      <c r="W637" t="s">
        <v>1330</v>
      </c>
      <c r="X637" s="2">
        <v>0.22600000000000001</v>
      </c>
      <c r="Y637" s="6">
        <f t="shared" si="74"/>
        <v>6.0329409252289053E-3</v>
      </c>
      <c r="AA637">
        <v>2786648</v>
      </c>
      <c r="AB637">
        <v>17299</v>
      </c>
      <c r="AD637" t="s">
        <v>1</v>
      </c>
      <c r="AE637">
        <v>15</v>
      </c>
      <c r="AF637">
        <v>3</v>
      </c>
      <c r="AH637" t="s">
        <v>1329</v>
      </c>
      <c r="AI637" t="s">
        <v>1328</v>
      </c>
      <c r="AK637" t="s">
        <v>1327</v>
      </c>
      <c r="AL637">
        <v>10</v>
      </c>
      <c r="AM637" s="5">
        <f t="shared" si="75"/>
        <v>0.38461538461538464</v>
      </c>
      <c r="AN637" s="4">
        <f t="shared" si="76"/>
        <v>5.8252992747502411E-4</v>
      </c>
      <c r="AO637" s="3"/>
      <c r="AP637">
        <v>0</v>
      </c>
      <c r="AQ637" t="s">
        <v>24</v>
      </c>
      <c r="AR637" t="s">
        <v>0</v>
      </c>
      <c r="AS637" t="s">
        <v>23</v>
      </c>
      <c r="AT637" s="2" t="s">
        <v>9</v>
      </c>
      <c r="AU637" s="1">
        <f t="shared" si="77"/>
        <v>0.43978176259027413</v>
      </c>
      <c r="AV637" s="1">
        <f t="shared" si="78"/>
        <v>0.33077354263519648</v>
      </c>
      <c r="AW637" s="1">
        <f t="shared" si="79"/>
        <v>0.22176532268011884</v>
      </c>
    </row>
    <row r="638" spans="1:49" x14ac:dyDescent="0.2">
      <c r="A638">
        <v>636</v>
      </c>
      <c r="B638" t="s">
        <v>1326</v>
      </c>
      <c r="F638" t="s">
        <v>1325</v>
      </c>
      <c r="G638" t="s">
        <v>6</v>
      </c>
      <c r="H638" t="s">
        <v>5</v>
      </c>
      <c r="I638" t="s">
        <v>1324</v>
      </c>
      <c r="J638">
        <v>60031544</v>
      </c>
      <c r="K638" t="s">
        <v>539</v>
      </c>
      <c r="L638" t="s">
        <v>538</v>
      </c>
      <c r="M638" t="s">
        <v>86</v>
      </c>
      <c r="N638">
        <v>4</v>
      </c>
      <c r="O638" t="s">
        <v>1323</v>
      </c>
      <c r="P638" t="s">
        <v>1322</v>
      </c>
      <c r="Q638" t="s">
        <v>1321</v>
      </c>
      <c r="R638" s="7">
        <v>35278</v>
      </c>
      <c r="S638" s="8">
        <f t="shared" si="72"/>
        <v>1996</v>
      </c>
      <c r="T638" s="8">
        <v>1996</v>
      </c>
      <c r="U638" s="8">
        <f t="shared" si="73"/>
        <v>26</v>
      </c>
      <c r="V638" s="7">
        <v>35278</v>
      </c>
      <c r="W638" t="s">
        <v>358</v>
      </c>
      <c r="X638" s="2">
        <v>0.375</v>
      </c>
      <c r="Y638" s="6">
        <f t="shared" si="74"/>
        <v>1.0010410827260351E-2</v>
      </c>
      <c r="AA638">
        <v>135194</v>
      </c>
      <c r="AB638">
        <v>24918</v>
      </c>
      <c r="AD638" t="s">
        <v>1</v>
      </c>
      <c r="AE638">
        <v>32</v>
      </c>
      <c r="AF638">
        <v>16</v>
      </c>
      <c r="AI638" t="s">
        <v>1320</v>
      </c>
      <c r="AK638" t="s">
        <v>1319</v>
      </c>
      <c r="AL638">
        <v>2</v>
      </c>
      <c r="AM638" s="5">
        <f t="shared" si="75"/>
        <v>7.6923076923076927E-2</v>
      </c>
      <c r="AN638" s="4">
        <f t="shared" si="76"/>
        <v>1.1650598549500481E-4</v>
      </c>
      <c r="AO638" s="3"/>
      <c r="AP638">
        <v>0</v>
      </c>
      <c r="AR638" t="s">
        <v>0</v>
      </c>
      <c r="AT638" s="2">
        <v>1.3140000000000001</v>
      </c>
      <c r="AU638" s="1">
        <f t="shared" si="77"/>
        <v>0.70422393747307466</v>
      </c>
      <c r="AV638" s="1">
        <f t="shared" si="78"/>
        <v>0.50634584063776777</v>
      </c>
      <c r="AW638" s="1">
        <f t="shared" si="79"/>
        <v>0.30846774380246084</v>
      </c>
    </row>
    <row r="639" spans="1:49" x14ac:dyDescent="0.2">
      <c r="A639">
        <v>637</v>
      </c>
      <c r="B639" t="s">
        <v>1318</v>
      </c>
      <c r="F639" t="s">
        <v>1317</v>
      </c>
      <c r="G639" t="s">
        <v>6</v>
      </c>
      <c r="H639" t="s">
        <v>5</v>
      </c>
      <c r="I639" t="s">
        <v>1316</v>
      </c>
      <c r="N639">
        <v>1</v>
      </c>
      <c r="O639" t="s">
        <v>1315</v>
      </c>
      <c r="P639">
        <v>6507507643</v>
      </c>
      <c r="R639" s="7">
        <v>35278</v>
      </c>
      <c r="S639" s="8">
        <f t="shared" si="72"/>
        <v>1996</v>
      </c>
      <c r="T639" s="8">
        <v>1996</v>
      </c>
      <c r="U639" s="8">
        <f t="shared" si="73"/>
        <v>26</v>
      </c>
      <c r="V639" s="7">
        <v>35278</v>
      </c>
      <c r="W639" t="s">
        <v>63</v>
      </c>
      <c r="X639" s="2">
        <v>0.13800000000000001</v>
      </c>
      <c r="Y639" s="6">
        <f t="shared" si="74"/>
        <v>3.6838311844318095E-3</v>
      </c>
      <c r="AA639">
        <v>1926225</v>
      </c>
      <c r="AB639">
        <v>18580</v>
      </c>
      <c r="AD639" t="s">
        <v>1</v>
      </c>
      <c r="AE639">
        <v>39</v>
      </c>
      <c r="AF639">
        <v>8</v>
      </c>
      <c r="AI639" t="s">
        <v>1314</v>
      </c>
      <c r="AK639" t="s">
        <v>1313</v>
      </c>
      <c r="AL639">
        <v>0</v>
      </c>
      <c r="AM639" s="5">
        <f t="shared" si="75"/>
        <v>0</v>
      </c>
      <c r="AN639" s="4">
        <f t="shared" si="76"/>
        <v>0</v>
      </c>
      <c r="AO639" s="3"/>
      <c r="AP639">
        <v>0</v>
      </c>
      <c r="AR639" t="s">
        <v>0</v>
      </c>
      <c r="AT639" s="2">
        <v>0.30599999999999999</v>
      </c>
      <c r="AU639" s="1">
        <f t="shared" si="77"/>
        <v>0.25786818291022667</v>
      </c>
      <c r="AV639" s="1">
        <f t="shared" si="78"/>
        <v>0.18419155922159047</v>
      </c>
      <c r="AW639" s="1">
        <f t="shared" si="79"/>
        <v>0.11051493553295429</v>
      </c>
    </row>
    <row r="640" spans="1:49" x14ac:dyDescent="0.2">
      <c r="A640">
        <v>638</v>
      </c>
      <c r="B640" t="s">
        <v>1312</v>
      </c>
      <c r="C640" t="s">
        <v>1311</v>
      </c>
      <c r="F640" t="s">
        <v>1310</v>
      </c>
      <c r="G640" t="s">
        <v>6</v>
      </c>
      <c r="H640" t="s">
        <v>5</v>
      </c>
      <c r="I640" t="s">
        <v>518</v>
      </c>
      <c r="J640">
        <v>60001576</v>
      </c>
      <c r="K640" t="s">
        <v>1309</v>
      </c>
      <c r="L640" t="s">
        <v>449</v>
      </c>
      <c r="M640" t="s">
        <v>179</v>
      </c>
      <c r="N640">
        <v>2</v>
      </c>
      <c r="O640" t="s">
        <v>1308</v>
      </c>
      <c r="P640" t="s">
        <v>517</v>
      </c>
      <c r="Q640" t="s">
        <v>1307</v>
      </c>
      <c r="R640" s="7">
        <v>35278</v>
      </c>
      <c r="S640" s="8">
        <f t="shared" si="72"/>
        <v>1996</v>
      </c>
      <c r="T640" s="8">
        <v>1996</v>
      </c>
      <c r="U640" s="8">
        <f t="shared" si="73"/>
        <v>26</v>
      </c>
      <c r="V640" s="7">
        <v>35278</v>
      </c>
      <c r="W640" t="s">
        <v>1306</v>
      </c>
      <c r="X640" s="2">
        <v>0.625</v>
      </c>
      <c r="Y640" s="6">
        <f t="shared" si="74"/>
        <v>1.6684018045433919E-2</v>
      </c>
      <c r="AA640">
        <v>2955075</v>
      </c>
      <c r="AB640">
        <v>27551</v>
      </c>
      <c r="AD640" t="s">
        <v>1</v>
      </c>
      <c r="AE640">
        <v>35</v>
      </c>
      <c r="AF640">
        <v>4</v>
      </c>
      <c r="AH640" t="s">
        <v>1305</v>
      </c>
      <c r="AI640" t="s">
        <v>1304</v>
      </c>
      <c r="AK640" t="s">
        <v>1303</v>
      </c>
      <c r="AL640">
        <v>24</v>
      </c>
      <c r="AM640" s="5">
        <f t="shared" si="75"/>
        <v>0.92307692307692313</v>
      </c>
      <c r="AN640" s="4">
        <f t="shared" si="76"/>
        <v>1.3980718259400577E-3</v>
      </c>
      <c r="AO640" s="3"/>
      <c r="AP640">
        <v>0</v>
      </c>
      <c r="AR640" t="s">
        <v>0</v>
      </c>
      <c r="AT640" s="2" t="s">
        <v>9</v>
      </c>
      <c r="AU640" s="1">
        <f t="shared" si="77"/>
        <v>1.2098234179585761</v>
      </c>
      <c r="AV640" s="1">
        <f t="shared" si="78"/>
        <v>0.90410449356869882</v>
      </c>
      <c r="AW640" s="1">
        <f t="shared" si="79"/>
        <v>0.59838556917882157</v>
      </c>
    </row>
    <row r="641" spans="1:49" x14ac:dyDescent="0.2">
      <c r="A641">
        <v>639</v>
      </c>
      <c r="B641" t="s">
        <v>1302</v>
      </c>
      <c r="F641" t="s">
        <v>1301</v>
      </c>
      <c r="G641" t="s">
        <v>6</v>
      </c>
      <c r="H641" t="s">
        <v>5</v>
      </c>
      <c r="I641" t="s">
        <v>1300</v>
      </c>
      <c r="J641" t="s">
        <v>1296</v>
      </c>
      <c r="K641" t="s">
        <v>1299</v>
      </c>
      <c r="L641" t="s">
        <v>446</v>
      </c>
      <c r="M641" t="s">
        <v>445</v>
      </c>
      <c r="N641">
        <v>2</v>
      </c>
      <c r="O641" t="s">
        <v>1298</v>
      </c>
      <c r="P641" t="s">
        <v>1297</v>
      </c>
      <c r="Q641" t="s">
        <v>1296</v>
      </c>
      <c r="R641" s="7">
        <v>35278</v>
      </c>
      <c r="S641" s="8">
        <f t="shared" si="72"/>
        <v>1996</v>
      </c>
      <c r="T641" s="8">
        <v>1996</v>
      </c>
      <c r="U641" s="8">
        <f t="shared" si="73"/>
        <v>26</v>
      </c>
      <c r="V641" s="7">
        <v>35278</v>
      </c>
      <c r="W641" t="s">
        <v>74</v>
      </c>
      <c r="X641" s="2">
        <v>0.29499999999999998</v>
      </c>
      <c r="Y641" s="6">
        <f t="shared" si="74"/>
        <v>7.8748565174448087E-3</v>
      </c>
      <c r="AA641">
        <v>10642269</v>
      </c>
      <c r="AB641">
        <v>19554</v>
      </c>
      <c r="AD641" t="s">
        <v>1</v>
      </c>
      <c r="AE641">
        <v>41</v>
      </c>
      <c r="AF641">
        <v>10</v>
      </c>
      <c r="AH641" t="s">
        <v>1295</v>
      </c>
      <c r="AI641" t="s">
        <v>1294</v>
      </c>
      <c r="AK641" t="s">
        <v>1293</v>
      </c>
      <c r="AL641">
        <v>4</v>
      </c>
      <c r="AM641" s="5">
        <f t="shared" si="75"/>
        <v>0.15384615384615385</v>
      </c>
      <c r="AN641" s="4">
        <f t="shared" si="76"/>
        <v>2.3301197099000962E-4</v>
      </c>
      <c r="AO641" s="3"/>
      <c r="AP641">
        <v>0</v>
      </c>
      <c r="AR641" t="s">
        <v>0</v>
      </c>
      <c r="AT641" s="2" t="s">
        <v>9</v>
      </c>
      <c r="AU641" s="1">
        <f t="shared" si="77"/>
        <v>0.55823031535083689</v>
      </c>
      <c r="AV641" s="1">
        <f t="shared" si="78"/>
        <v>0.40539342442174087</v>
      </c>
      <c r="AW641" s="1">
        <f t="shared" si="79"/>
        <v>0.2525565334926449</v>
      </c>
    </row>
    <row r="642" spans="1:49" x14ac:dyDescent="0.2">
      <c r="A642">
        <v>640</v>
      </c>
      <c r="B642" t="s">
        <v>1292</v>
      </c>
      <c r="F642" t="s">
        <v>1291</v>
      </c>
      <c r="G642" t="s">
        <v>6</v>
      </c>
      <c r="H642" t="s">
        <v>5</v>
      </c>
      <c r="I642" t="s">
        <v>1290</v>
      </c>
      <c r="N642">
        <v>1</v>
      </c>
      <c r="O642" t="s">
        <v>1289</v>
      </c>
      <c r="P642">
        <v>7006159600</v>
      </c>
      <c r="R642" s="7">
        <v>35278</v>
      </c>
      <c r="S642" s="8">
        <f t="shared" ref="S642:S691" si="80">YEAR(R642)</f>
        <v>1996</v>
      </c>
      <c r="T642" s="8">
        <v>1996</v>
      </c>
      <c r="U642" s="8">
        <f t="shared" ref="U642:U691" si="81">2022-T642</f>
        <v>26</v>
      </c>
      <c r="V642" s="7">
        <v>35278</v>
      </c>
      <c r="W642" t="s">
        <v>687</v>
      </c>
      <c r="X642" s="2" t="s">
        <v>9</v>
      </c>
      <c r="Y642" s="6" t="e">
        <f t="shared" ref="Y642:Y691" si="82">(X642-$Z$3)/($Z$2-$Z$3)</f>
        <v>#VALUE!</v>
      </c>
      <c r="AA642">
        <v>1477439</v>
      </c>
      <c r="AB642">
        <v>53559</v>
      </c>
      <c r="AD642" t="s">
        <v>1</v>
      </c>
      <c r="AE642">
        <v>20</v>
      </c>
      <c r="AF642">
        <v>8</v>
      </c>
      <c r="AI642" t="s">
        <v>1288</v>
      </c>
      <c r="AK642" t="s">
        <v>1287</v>
      </c>
      <c r="AL642">
        <v>0</v>
      </c>
      <c r="AM642" s="5">
        <f t="shared" ref="AM642:AM691" si="83">AL642/U642</f>
        <v>0</v>
      </c>
      <c r="AN642" s="4">
        <f t="shared" ref="AN642:AN691" si="84">(AM642-$AO$3)/($AO$2-$AO$3)</f>
        <v>0</v>
      </c>
      <c r="AO642" s="3"/>
      <c r="AP642">
        <v>0</v>
      </c>
      <c r="AR642" t="s">
        <v>0</v>
      </c>
      <c r="AT642" s="2" t="s">
        <v>9</v>
      </c>
      <c r="AU642" s="1" t="e">
        <f t="shared" ref="AU642:AU691" si="85">(Y642*0.7+AN642*0.3)*100</f>
        <v>#VALUE!</v>
      </c>
      <c r="AV642" s="1" t="e">
        <f t="shared" ref="AV642:AV691" si="86">(Y642*0.5+AN642*0.5)*100</f>
        <v>#VALUE!</v>
      </c>
      <c r="AW642" s="1" t="e">
        <f t="shared" ref="AW642:AW691" si="87">(Y642*0.3+AN642*0.7)*100</f>
        <v>#VALUE!</v>
      </c>
    </row>
    <row r="643" spans="1:49" x14ac:dyDescent="0.2">
      <c r="A643">
        <v>641</v>
      </c>
      <c r="B643" t="s">
        <v>1286</v>
      </c>
      <c r="F643" t="s">
        <v>1285</v>
      </c>
      <c r="G643" t="s">
        <v>6</v>
      </c>
      <c r="H643" t="s">
        <v>5</v>
      </c>
      <c r="I643" t="s">
        <v>1284</v>
      </c>
      <c r="J643">
        <v>60026638</v>
      </c>
      <c r="K643" t="s">
        <v>1283</v>
      </c>
      <c r="L643" t="s">
        <v>419</v>
      </c>
      <c r="M643" t="s">
        <v>418</v>
      </c>
      <c r="N643">
        <v>2</v>
      </c>
      <c r="O643" t="s">
        <v>1282</v>
      </c>
      <c r="P643" t="s">
        <v>1281</v>
      </c>
      <c r="Q643" t="s">
        <v>1280</v>
      </c>
      <c r="R643" s="7">
        <v>35278</v>
      </c>
      <c r="S643" s="8">
        <f t="shared" si="80"/>
        <v>1996</v>
      </c>
      <c r="T643" s="8">
        <v>1996</v>
      </c>
      <c r="U643" s="8">
        <f t="shared" si="81"/>
        <v>26</v>
      </c>
      <c r="V643" s="7">
        <v>35278</v>
      </c>
      <c r="W643" t="s">
        <v>689</v>
      </c>
      <c r="X643" s="2" t="s">
        <v>9</v>
      </c>
      <c r="Y643" s="6" t="e">
        <f t="shared" si="82"/>
        <v>#VALUE!</v>
      </c>
      <c r="AA643" t="s">
        <v>688</v>
      </c>
      <c r="AB643">
        <v>26720</v>
      </c>
      <c r="AD643" t="s">
        <v>1</v>
      </c>
      <c r="AI643" t="s">
        <v>1279</v>
      </c>
      <c r="AK643" t="s">
        <v>1278</v>
      </c>
      <c r="AL643">
        <v>0</v>
      </c>
      <c r="AM643" s="5">
        <f t="shared" si="83"/>
        <v>0</v>
      </c>
      <c r="AN643" s="4">
        <f t="shared" si="84"/>
        <v>0</v>
      </c>
      <c r="AO643" s="3"/>
      <c r="AP643">
        <v>0</v>
      </c>
      <c r="AR643" t="s">
        <v>0</v>
      </c>
      <c r="AT643" s="2" t="s">
        <v>9</v>
      </c>
      <c r="AU643" s="1" t="e">
        <f t="shared" si="85"/>
        <v>#VALUE!</v>
      </c>
      <c r="AV643" s="1" t="e">
        <f t="shared" si="86"/>
        <v>#VALUE!</v>
      </c>
      <c r="AW643" s="1" t="e">
        <f t="shared" si="87"/>
        <v>#VALUE!</v>
      </c>
    </row>
    <row r="644" spans="1:49" x14ac:dyDescent="0.2">
      <c r="A644">
        <v>642</v>
      </c>
      <c r="B644" t="s">
        <v>1277</v>
      </c>
      <c r="C644" t="s">
        <v>1276</v>
      </c>
      <c r="E644">
        <v>8844509</v>
      </c>
      <c r="F644" t="s">
        <v>1275</v>
      </c>
      <c r="G644" t="s">
        <v>6</v>
      </c>
      <c r="H644" t="s">
        <v>5</v>
      </c>
      <c r="I644" t="s">
        <v>1274</v>
      </c>
      <c r="J644">
        <v>60005455</v>
      </c>
      <c r="K644" t="s">
        <v>1273</v>
      </c>
      <c r="L644" t="s">
        <v>1272</v>
      </c>
      <c r="M644" t="s">
        <v>2</v>
      </c>
      <c r="N644">
        <v>2</v>
      </c>
      <c r="O644" t="s">
        <v>1271</v>
      </c>
      <c r="P644" t="s">
        <v>1270</v>
      </c>
      <c r="Q644" t="s">
        <v>1269</v>
      </c>
      <c r="R644" s="7">
        <v>35278</v>
      </c>
      <c r="S644" s="8">
        <f t="shared" si="80"/>
        <v>1996</v>
      </c>
      <c r="T644" s="8">
        <v>1996</v>
      </c>
      <c r="U644" s="8">
        <f t="shared" si="81"/>
        <v>26</v>
      </c>
      <c r="V644" s="7">
        <v>35278</v>
      </c>
      <c r="W644" t="s">
        <v>1268</v>
      </c>
      <c r="X644" s="2" t="s">
        <v>9</v>
      </c>
      <c r="Y644" s="6" t="e">
        <f t="shared" si="82"/>
        <v>#VALUE!</v>
      </c>
      <c r="AA644">
        <v>223034</v>
      </c>
      <c r="AB644">
        <v>23463</v>
      </c>
      <c r="AD644" t="s">
        <v>1</v>
      </c>
      <c r="AE644">
        <v>30</v>
      </c>
      <c r="AF644">
        <v>4</v>
      </c>
      <c r="AH644" t="s">
        <v>1267</v>
      </c>
      <c r="AI644" t="s">
        <v>1266</v>
      </c>
      <c r="AJ644" t="s">
        <v>1265</v>
      </c>
      <c r="AK644" t="s">
        <v>1264</v>
      </c>
      <c r="AL644">
        <v>51</v>
      </c>
      <c r="AM644" s="5">
        <f t="shared" si="83"/>
        <v>1.9615384615384615</v>
      </c>
      <c r="AN644" s="4">
        <f t="shared" si="84"/>
        <v>2.9709026301226226E-3</v>
      </c>
      <c r="AO644" s="3"/>
      <c r="AP644">
        <v>0</v>
      </c>
      <c r="AR644" t="s">
        <v>0</v>
      </c>
      <c r="AT644" s="2" t="s">
        <v>9</v>
      </c>
      <c r="AU644" s="1" t="e">
        <f t="shared" si="85"/>
        <v>#VALUE!</v>
      </c>
      <c r="AV644" s="1" t="e">
        <f t="shared" si="86"/>
        <v>#VALUE!</v>
      </c>
      <c r="AW644" s="1" t="e">
        <f t="shared" si="87"/>
        <v>#VALUE!</v>
      </c>
    </row>
    <row r="645" spans="1:49" x14ac:dyDescent="0.2">
      <c r="A645">
        <v>643</v>
      </c>
      <c r="B645" t="s">
        <v>1263</v>
      </c>
      <c r="C645" t="s">
        <v>1262</v>
      </c>
      <c r="E645">
        <v>8679618</v>
      </c>
      <c r="F645" t="s">
        <v>1261</v>
      </c>
      <c r="G645" t="s">
        <v>6</v>
      </c>
      <c r="H645" t="s">
        <v>5</v>
      </c>
      <c r="I645" t="s">
        <v>1260</v>
      </c>
      <c r="J645" t="s">
        <v>1259</v>
      </c>
      <c r="K645" t="s">
        <v>1258</v>
      </c>
      <c r="L645" t="s">
        <v>1257</v>
      </c>
      <c r="M645" t="s">
        <v>90</v>
      </c>
      <c r="N645">
        <v>5</v>
      </c>
      <c r="O645" t="s">
        <v>1256</v>
      </c>
      <c r="P645" t="s">
        <v>1255</v>
      </c>
      <c r="Q645" t="s">
        <v>1254</v>
      </c>
      <c r="R645" s="7">
        <v>35278</v>
      </c>
      <c r="S645" s="8">
        <f t="shared" si="80"/>
        <v>1996</v>
      </c>
      <c r="T645" s="8">
        <v>1996</v>
      </c>
      <c r="U645" s="8">
        <f t="shared" si="81"/>
        <v>26</v>
      </c>
      <c r="V645" s="7">
        <v>1996</v>
      </c>
      <c r="W645" t="s">
        <v>591</v>
      </c>
      <c r="X645" s="2">
        <v>1.43</v>
      </c>
      <c r="Y645" s="6">
        <f t="shared" si="82"/>
        <v>3.8173033287952803E-2</v>
      </c>
      <c r="AA645">
        <v>62960</v>
      </c>
      <c r="AB645">
        <v>16867</v>
      </c>
      <c r="AD645" t="s">
        <v>1</v>
      </c>
      <c r="AE645">
        <v>35</v>
      </c>
      <c r="AF645">
        <v>26</v>
      </c>
      <c r="AH645" t="s">
        <v>1253</v>
      </c>
      <c r="AI645" t="s">
        <v>1252</v>
      </c>
      <c r="AK645" t="s">
        <v>1251</v>
      </c>
      <c r="AL645">
        <v>141</v>
      </c>
      <c r="AM645" s="5">
        <f t="shared" si="83"/>
        <v>5.4230769230769234</v>
      </c>
      <c r="AN645" s="4">
        <f t="shared" si="84"/>
        <v>8.2136719773978385E-3</v>
      </c>
      <c r="AO645" s="3"/>
      <c r="AP645">
        <v>0</v>
      </c>
      <c r="AR645" t="s">
        <v>0</v>
      </c>
      <c r="AT645" s="2">
        <v>3.1619999999999999</v>
      </c>
      <c r="AU645" s="1">
        <f t="shared" si="85"/>
        <v>2.9185224894786312</v>
      </c>
      <c r="AV645" s="1">
        <f t="shared" si="86"/>
        <v>2.3193352632675324</v>
      </c>
      <c r="AW645" s="1">
        <f t="shared" si="87"/>
        <v>1.7201480370564328</v>
      </c>
    </row>
    <row r="646" spans="1:49" x14ac:dyDescent="0.2">
      <c r="A646">
        <v>644</v>
      </c>
      <c r="B646" t="s">
        <v>1250</v>
      </c>
      <c r="C646" t="s">
        <v>1249</v>
      </c>
      <c r="F646" t="s">
        <v>1248</v>
      </c>
      <c r="G646" t="s">
        <v>6</v>
      </c>
      <c r="H646" t="s">
        <v>5</v>
      </c>
      <c r="I646" t="s">
        <v>1247</v>
      </c>
      <c r="J646">
        <v>60015481</v>
      </c>
      <c r="K646" t="s">
        <v>281</v>
      </c>
      <c r="L646" t="s">
        <v>280</v>
      </c>
      <c r="M646" t="s">
        <v>2</v>
      </c>
      <c r="N646">
        <v>2</v>
      </c>
      <c r="O646" t="s">
        <v>1246</v>
      </c>
      <c r="P646" t="s">
        <v>1245</v>
      </c>
      <c r="Q646" t="s">
        <v>1244</v>
      </c>
      <c r="R646" s="7">
        <v>35278</v>
      </c>
      <c r="S646" s="8">
        <f t="shared" si="80"/>
        <v>1996</v>
      </c>
      <c r="T646" s="8">
        <v>1996</v>
      </c>
      <c r="U646" s="8">
        <f t="shared" si="81"/>
        <v>26</v>
      </c>
      <c r="V646" s="7">
        <v>35278</v>
      </c>
      <c r="W646" t="s">
        <v>649</v>
      </c>
      <c r="X646" s="2">
        <v>1.524</v>
      </c>
      <c r="Y646" s="6">
        <f t="shared" si="82"/>
        <v>4.0682309601986065E-2</v>
      </c>
      <c r="AA646">
        <v>1469592</v>
      </c>
      <c r="AB646">
        <v>12863</v>
      </c>
      <c r="AD646" t="s">
        <v>1</v>
      </c>
      <c r="AE646">
        <v>21</v>
      </c>
      <c r="AF646">
        <v>15</v>
      </c>
      <c r="AH646" t="s">
        <v>1243</v>
      </c>
      <c r="AI646" t="s">
        <v>1242</v>
      </c>
      <c r="AK646" t="s">
        <v>1241</v>
      </c>
      <c r="AL646">
        <v>35</v>
      </c>
      <c r="AM646" s="5">
        <f t="shared" si="83"/>
        <v>1.3461538461538463</v>
      </c>
      <c r="AN646" s="4">
        <f t="shared" si="84"/>
        <v>2.0388547461625841E-3</v>
      </c>
      <c r="AO646" s="3"/>
      <c r="AP646">
        <v>0</v>
      </c>
      <c r="AR646" t="s">
        <v>0</v>
      </c>
      <c r="AT646" s="2">
        <v>3.7759999999999998</v>
      </c>
      <c r="AU646" s="1">
        <f t="shared" si="85"/>
        <v>2.9089273145239019</v>
      </c>
      <c r="AV646" s="1">
        <f t="shared" si="86"/>
        <v>2.1360582174074323</v>
      </c>
      <c r="AW646" s="1">
        <f t="shared" si="87"/>
        <v>1.363189120290963</v>
      </c>
    </row>
    <row r="647" spans="1:49" x14ac:dyDescent="0.2">
      <c r="A647">
        <v>645</v>
      </c>
      <c r="B647" t="s">
        <v>1240</v>
      </c>
      <c r="C647" t="s">
        <v>1239</v>
      </c>
      <c r="F647" t="s">
        <v>1238</v>
      </c>
      <c r="G647" t="s">
        <v>6</v>
      </c>
      <c r="H647" t="s">
        <v>5</v>
      </c>
      <c r="I647" t="s">
        <v>240</v>
      </c>
      <c r="J647" t="s">
        <v>1237</v>
      </c>
      <c r="K647" t="s">
        <v>1236</v>
      </c>
      <c r="L647" t="s">
        <v>1235</v>
      </c>
      <c r="M647" t="s">
        <v>1234</v>
      </c>
      <c r="N647">
        <v>6</v>
      </c>
      <c r="O647" t="s">
        <v>1233</v>
      </c>
      <c r="P647" t="s">
        <v>1232</v>
      </c>
      <c r="Q647" t="s">
        <v>1231</v>
      </c>
      <c r="R647" s="7">
        <v>35275</v>
      </c>
      <c r="S647" s="8">
        <f t="shared" si="80"/>
        <v>1996</v>
      </c>
      <c r="T647" s="8">
        <v>1996</v>
      </c>
      <c r="U647" s="8">
        <f t="shared" si="81"/>
        <v>26</v>
      </c>
      <c r="V647" s="7">
        <v>35275</v>
      </c>
      <c r="W647" t="s">
        <v>1132</v>
      </c>
      <c r="X647" s="2">
        <v>1.1819999999999999</v>
      </c>
      <c r="Y647" s="6">
        <f t="shared" si="82"/>
        <v>3.1552814927524625E-2</v>
      </c>
      <c r="AA647">
        <v>36951</v>
      </c>
      <c r="AB647">
        <v>27030</v>
      </c>
      <c r="AD647" t="s">
        <v>1</v>
      </c>
      <c r="AE647">
        <v>69</v>
      </c>
      <c r="AF647">
        <v>5</v>
      </c>
      <c r="AH647" t="s">
        <v>1230</v>
      </c>
      <c r="AI647" t="s">
        <v>1229</v>
      </c>
      <c r="AK647" t="s">
        <v>1228</v>
      </c>
      <c r="AL647">
        <v>15</v>
      </c>
      <c r="AM647" s="5">
        <f t="shared" si="83"/>
        <v>0.57692307692307687</v>
      </c>
      <c r="AN647" s="4">
        <f t="shared" si="84"/>
        <v>8.7379489121253596E-4</v>
      </c>
      <c r="AO647" s="3"/>
      <c r="AP647">
        <v>0</v>
      </c>
      <c r="AR647" t="s">
        <v>0</v>
      </c>
      <c r="AT647" s="2">
        <v>3.7909999999999999</v>
      </c>
      <c r="AU647" s="1">
        <f t="shared" si="85"/>
        <v>2.2349108916630995</v>
      </c>
      <c r="AV647" s="1">
        <f t="shared" si="86"/>
        <v>1.6213304909368582</v>
      </c>
      <c r="AW647" s="1">
        <f t="shared" si="87"/>
        <v>1.0077500902106165</v>
      </c>
    </row>
    <row r="648" spans="1:49" x14ac:dyDescent="0.2">
      <c r="A648">
        <v>646</v>
      </c>
      <c r="B648" t="s">
        <v>1227</v>
      </c>
      <c r="C648" t="s">
        <v>1226</v>
      </c>
      <c r="F648" t="s">
        <v>1225</v>
      </c>
      <c r="G648" t="s">
        <v>6</v>
      </c>
      <c r="H648" t="s">
        <v>5</v>
      </c>
      <c r="I648" t="s">
        <v>1224</v>
      </c>
      <c r="J648">
        <v>60013372</v>
      </c>
      <c r="K648" t="s">
        <v>48</v>
      </c>
      <c r="L648" t="s">
        <v>47</v>
      </c>
      <c r="M648" t="s">
        <v>2</v>
      </c>
      <c r="N648">
        <v>3</v>
      </c>
      <c r="O648" t="s">
        <v>1223</v>
      </c>
      <c r="P648" t="s">
        <v>1222</v>
      </c>
      <c r="Q648" t="s">
        <v>1221</v>
      </c>
      <c r="R648" s="7">
        <v>35275</v>
      </c>
      <c r="S648" s="8">
        <f t="shared" si="80"/>
        <v>1996</v>
      </c>
      <c r="T648" s="8">
        <v>1996</v>
      </c>
      <c r="U648" s="8">
        <f t="shared" si="81"/>
        <v>26</v>
      </c>
      <c r="V648" s="7">
        <v>35275</v>
      </c>
      <c r="W648" t="s">
        <v>1132</v>
      </c>
      <c r="X648" s="2">
        <v>1.1819999999999999</v>
      </c>
      <c r="Y648" s="6">
        <f t="shared" si="82"/>
        <v>3.1552814927524625E-2</v>
      </c>
      <c r="AA648">
        <v>36951</v>
      </c>
      <c r="AB648">
        <v>27030</v>
      </c>
      <c r="AD648" t="s">
        <v>1</v>
      </c>
      <c r="AE648">
        <v>69</v>
      </c>
      <c r="AF648">
        <v>5</v>
      </c>
      <c r="AH648" t="s">
        <v>1220</v>
      </c>
      <c r="AI648" t="s">
        <v>1219</v>
      </c>
      <c r="AK648" t="s">
        <v>1218</v>
      </c>
      <c r="AL648">
        <v>4</v>
      </c>
      <c r="AM648" s="5">
        <f t="shared" si="83"/>
        <v>0.15384615384615385</v>
      </c>
      <c r="AN648" s="4">
        <f t="shared" si="84"/>
        <v>2.3301197099000962E-4</v>
      </c>
      <c r="AO648" s="3"/>
      <c r="AP648">
        <v>0</v>
      </c>
      <c r="AR648" t="s">
        <v>0</v>
      </c>
      <c r="AT648" s="2">
        <v>3.7909999999999999</v>
      </c>
      <c r="AU648" s="1">
        <f t="shared" si="85"/>
        <v>2.2156874040564238</v>
      </c>
      <c r="AV648" s="1">
        <f t="shared" si="86"/>
        <v>1.5892913449257318</v>
      </c>
      <c r="AW648" s="1">
        <f t="shared" si="87"/>
        <v>0.96289528579503947</v>
      </c>
    </row>
    <row r="649" spans="1:49" x14ac:dyDescent="0.2">
      <c r="A649">
        <v>647</v>
      </c>
      <c r="B649" t="s">
        <v>1217</v>
      </c>
      <c r="F649" t="s">
        <v>1216</v>
      </c>
      <c r="G649" t="s">
        <v>6</v>
      </c>
      <c r="H649" t="s">
        <v>5</v>
      </c>
      <c r="I649" t="s">
        <v>1215</v>
      </c>
      <c r="J649" t="s">
        <v>1214</v>
      </c>
      <c r="K649" t="s">
        <v>1213</v>
      </c>
      <c r="L649" t="s">
        <v>1212</v>
      </c>
      <c r="M649" t="s">
        <v>1211</v>
      </c>
      <c r="N649">
        <v>3</v>
      </c>
      <c r="O649" t="s">
        <v>1210</v>
      </c>
      <c r="P649" t="s">
        <v>1209</v>
      </c>
      <c r="Q649" t="s">
        <v>1208</v>
      </c>
      <c r="R649" s="7">
        <v>35266</v>
      </c>
      <c r="S649" s="8">
        <f t="shared" si="80"/>
        <v>1996</v>
      </c>
      <c r="T649" s="8">
        <v>1996</v>
      </c>
      <c r="U649" s="8">
        <f t="shared" si="81"/>
        <v>26</v>
      </c>
      <c r="V649" s="7">
        <v>35266</v>
      </c>
      <c r="W649" t="s">
        <v>1207</v>
      </c>
      <c r="X649" s="2">
        <v>2.137</v>
      </c>
      <c r="Y649" s="6">
        <f t="shared" si="82"/>
        <v>5.7045994500947654E-2</v>
      </c>
      <c r="AA649">
        <v>46361</v>
      </c>
      <c r="AB649">
        <v>26750</v>
      </c>
      <c r="AD649" t="s">
        <v>1</v>
      </c>
      <c r="AE649">
        <v>311</v>
      </c>
      <c r="AF649">
        <v>3</v>
      </c>
      <c r="AH649" t="s">
        <v>1206</v>
      </c>
      <c r="AI649" t="s">
        <v>1205</v>
      </c>
      <c r="AJ649" t="s">
        <v>1204</v>
      </c>
      <c r="AK649" t="s">
        <v>1203</v>
      </c>
      <c r="AL649">
        <v>7</v>
      </c>
      <c r="AM649" s="5">
        <f t="shared" si="83"/>
        <v>0.26923076923076922</v>
      </c>
      <c r="AN649" s="4">
        <f t="shared" si="84"/>
        <v>4.0777094923251682E-4</v>
      </c>
      <c r="AO649" s="3"/>
      <c r="AP649">
        <v>0</v>
      </c>
      <c r="AR649" t="s">
        <v>0</v>
      </c>
      <c r="AT649" s="2" t="s">
        <v>9</v>
      </c>
      <c r="AU649" s="1">
        <f t="shared" si="85"/>
        <v>4.0054527435433105</v>
      </c>
      <c r="AV649" s="1">
        <f t="shared" si="86"/>
        <v>2.8726882725090084</v>
      </c>
      <c r="AW649" s="1">
        <f t="shared" si="87"/>
        <v>1.7399238014747056</v>
      </c>
    </row>
    <row r="650" spans="1:49" x14ac:dyDescent="0.2">
      <c r="A650">
        <v>648</v>
      </c>
      <c r="B650" t="s">
        <v>1202</v>
      </c>
      <c r="C650" t="s">
        <v>1201</v>
      </c>
      <c r="F650" t="s">
        <v>1200</v>
      </c>
      <c r="G650" t="s">
        <v>6</v>
      </c>
      <c r="H650" t="s">
        <v>5</v>
      </c>
      <c r="I650" t="s">
        <v>1199</v>
      </c>
      <c r="J650" t="s">
        <v>1198</v>
      </c>
      <c r="K650" t="s">
        <v>1197</v>
      </c>
      <c r="L650" t="s">
        <v>1196</v>
      </c>
      <c r="M650" t="s">
        <v>442</v>
      </c>
      <c r="N650">
        <v>7</v>
      </c>
      <c r="O650" t="s">
        <v>1195</v>
      </c>
      <c r="P650" t="s">
        <v>1194</v>
      </c>
      <c r="Q650" t="s">
        <v>1193</v>
      </c>
      <c r="R650" s="7">
        <v>35264</v>
      </c>
      <c r="S650" s="8">
        <f t="shared" si="80"/>
        <v>1996</v>
      </c>
      <c r="T650" s="8">
        <v>1996</v>
      </c>
      <c r="U650" s="8">
        <f t="shared" si="81"/>
        <v>26</v>
      </c>
      <c r="V650" s="7">
        <v>35264</v>
      </c>
      <c r="W650" t="s">
        <v>515</v>
      </c>
      <c r="X650" s="2">
        <v>1.641</v>
      </c>
      <c r="Y650" s="6">
        <f t="shared" si="82"/>
        <v>4.3805557780091299E-2</v>
      </c>
      <c r="AA650">
        <v>223654</v>
      </c>
      <c r="AB650">
        <v>30422</v>
      </c>
      <c r="AD650" t="s">
        <v>1</v>
      </c>
      <c r="AE650">
        <v>100</v>
      </c>
      <c r="AF650">
        <v>29</v>
      </c>
      <c r="AH650" t="s">
        <v>1192</v>
      </c>
      <c r="AI650" t="s">
        <v>1191</v>
      </c>
      <c r="AK650" t="s">
        <v>1190</v>
      </c>
      <c r="AL650">
        <v>93</v>
      </c>
      <c r="AM650" s="5">
        <f t="shared" si="83"/>
        <v>3.5769230769230771</v>
      </c>
      <c r="AN650" s="4">
        <f t="shared" si="84"/>
        <v>5.4175283255177235E-3</v>
      </c>
      <c r="AO650" s="3"/>
      <c r="AP650">
        <v>0</v>
      </c>
      <c r="AR650" t="s">
        <v>0</v>
      </c>
      <c r="AT650" s="2" t="s">
        <v>9</v>
      </c>
      <c r="AU650" s="1">
        <f t="shared" si="85"/>
        <v>3.2289148943719224</v>
      </c>
      <c r="AV650" s="1">
        <f t="shared" si="86"/>
        <v>2.4611543052804512</v>
      </c>
      <c r="AW650" s="1">
        <f t="shared" si="87"/>
        <v>1.6933937161889796</v>
      </c>
    </row>
    <row r="651" spans="1:49" x14ac:dyDescent="0.2">
      <c r="A651">
        <v>649</v>
      </c>
      <c r="B651" t="s">
        <v>1189</v>
      </c>
      <c r="C651" t="s">
        <v>1188</v>
      </c>
      <c r="F651" t="s">
        <v>1187</v>
      </c>
      <c r="G651" t="s">
        <v>6</v>
      </c>
      <c r="H651" t="s">
        <v>5</v>
      </c>
      <c r="I651" t="s">
        <v>1186</v>
      </c>
      <c r="J651" t="s">
        <v>1185</v>
      </c>
      <c r="K651" t="s">
        <v>1184</v>
      </c>
      <c r="L651" t="s">
        <v>1183</v>
      </c>
      <c r="M651" t="s">
        <v>325</v>
      </c>
      <c r="N651">
        <v>6</v>
      </c>
      <c r="O651" t="s">
        <v>1182</v>
      </c>
      <c r="P651" t="s">
        <v>1181</v>
      </c>
      <c r="Q651" t="s">
        <v>1180</v>
      </c>
      <c r="R651" s="7">
        <v>35264</v>
      </c>
      <c r="S651" s="8">
        <f t="shared" si="80"/>
        <v>1996</v>
      </c>
      <c r="T651" s="8">
        <v>1996</v>
      </c>
      <c r="U651" s="8">
        <f t="shared" si="81"/>
        <v>26</v>
      </c>
      <c r="V651" s="7">
        <v>35264</v>
      </c>
      <c r="W651" t="s">
        <v>515</v>
      </c>
      <c r="X651" s="2">
        <v>1.641</v>
      </c>
      <c r="Y651" s="6">
        <f t="shared" si="82"/>
        <v>4.3805557780091299E-2</v>
      </c>
      <c r="AA651">
        <v>223654</v>
      </c>
      <c r="AB651">
        <v>30422</v>
      </c>
      <c r="AD651" t="s">
        <v>1</v>
      </c>
      <c r="AE651">
        <v>100</v>
      </c>
      <c r="AF651">
        <v>29</v>
      </c>
      <c r="AH651" t="s">
        <v>1179</v>
      </c>
      <c r="AI651" t="s">
        <v>1178</v>
      </c>
      <c r="AK651" t="s">
        <v>1177</v>
      </c>
      <c r="AL651">
        <v>54</v>
      </c>
      <c r="AM651" s="5">
        <f t="shared" si="83"/>
        <v>2.0769230769230771</v>
      </c>
      <c r="AN651" s="4">
        <f t="shared" si="84"/>
        <v>3.1456616083651301E-3</v>
      </c>
      <c r="AO651" s="3"/>
      <c r="AP651">
        <v>0</v>
      </c>
      <c r="AR651" t="s">
        <v>0</v>
      </c>
      <c r="AT651" s="2" t="s">
        <v>9</v>
      </c>
      <c r="AU651" s="1">
        <f t="shared" si="85"/>
        <v>3.1607588928573445</v>
      </c>
      <c r="AV651" s="1">
        <f t="shared" si="86"/>
        <v>2.3475609694228217</v>
      </c>
      <c r="AW651" s="1">
        <f t="shared" si="87"/>
        <v>1.5343630459882982</v>
      </c>
    </row>
    <row r="652" spans="1:49" x14ac:dyDescent="0.2">
      <c r="A652">
        <v>650</v>
      </c>
      <c r="B652" t="s">
        <v>1176</v>
      </c>
      <c r="C652" t="s">
        <v>1175</v>
      </c>
      <c r="F652" t="s">
        <v>1174</v>
      </c>
      <c r="G652" t="s">
        <v>6</v>
      </c>
      <c r="H652" t="s">
        <v>5</v>
      </c>
      <c r="I652" t="s">
        <v>155</v>
      </c>
      <c r="J652" t="s">
        <v>154</v>
      </c>
      <c r="K652" t="s">
        <v>153</v>
      </c>
      <c r="L652" t="s">
        <v>152</v>
      </c>
      <c r="M652" t="s">
        <v>108</v>
      </c>
      <c r="N652">
        <v>3</v>
      </c>
      <c r="O652" t="s">
        <v>1173</v>
      </c>
      <c r="P652" t="s">
        <v>1172</v>
      </c>
      <c r="Q652" t="s">
        <v>1171</v>
      </c>
      <c r="R652" s="7">
        <v>35264</v>
      </c>
      <c r="S652" s="8">
        <f t="shared" si="80"/>
        <v>1996</v>
      </c>
      <c r="T652" s="8">
        <v>1996</v>
      </c>
      <c r="U652" s="8">
        <f t="shared" si="81"/>
        <v>26</v>
      </c>
      <c r="V652" s="7">
        <v>35264</v>
      </c>
      <c r="W652" t="s">
        <v>358</v>
      </c>
      <c r="X652" s="2">
        <v>0.375</v>
      </c>
      <c r="Y652" s="6">
        <f t="shared" si="82"/>
        <v>1.0010410827260351E-2</v>
      </c>
      <c r="AA652">
        <v>135194</v>
      </c>
      <c r="AB652">
        <v>24918</v>
      </c>
      <c r="AD652" t="s">
        <v>1</v>
      </c>
      <c r="AE652">
        <v>32</v>
      </c>
      <c r="AF652">
        <v>15</v>
      </c>
      <c r="AH652" t="s">
        <v>1170</v>
      </c>
      <c r="AI652" t="s">
        <v>1169</v>
      </c>
      <c r="AJ652" t="s">
        <v>495</v>
      </c>
      <c r="AK652" t="s">
        <v>1168</v>
      </c>
      <c r="AL652">
        <v>2</v>
      </c>
      <c r="AM652" s="5">
        <f t="shared" si="83"/>
        <v>7.6923076923076927E-2</v>
      </c>
      <c r="AN652" s="4">
        <f t="shared" si="84"/>
        <v>1.1650598549500481E-4</v>
      </c>
      <c r="AO652" s="3"/>
      <c r="AP652">
        <v>0</v>
      </c>
      <c r="AR652" t="s">
        <v>0</v>
      </c>
      <c r="AT652" s="2">
        <v>1.3140000000000001</v>
      </c>
      <c r="AU652" s="1">
        <f t="shared" si="85"/>
        <v>0.70422393747307466</v>
      </c>
      <c r="AV652" s="1">
        <f t="shared" si="86"/>
        <v>0.50634584063776777</v>
      </c>
      <c r="AW652" s="1">
        <f t="shared" si="87"/>
        <v>0.30846774380246084</v>
      </c>
    </row>
    <row r="653" spans="1:49" x14ac:dyDescent="0.2">
      <c r="A653">
        <v>651</v>
      </c>
      <c r="B653" t="s">
        <v>1167</v>
      </c>
      <c r="C653" t="s">
        <v>1166</v>
      </c>
      <c r="F653" t="s">
        <v>1165</v>
      </c>
      <c r="G653" t="s">
        <v>6</v>
      </c>
      <c r="H653" t="s">
        <v>5</v>
      </c>
      <c r="I653" t="s">
        <v>676</v>
      </c>
      <c r="J653">
        <v>60004636</v>
      </c>
      <c r="K653" t="s">
        <v>675</v>
      </c>
      <c r="L653" t="s">
        <v>636</v>
      </c>
      <c r="M653" t="s">
        <v>19</v>
      </c>
      <c r="N653">
        <v>3</v>
      </c>
      <c r="O653" t="s">
        <v>674</v>
      </c>
      <c r="P653" t="s">
        <v>673</v>
      </c>
      <c r="Q653" t="s">
        <v>672</v>
      </c>
      <c r="R653" s="7">
        <v>35264</v>
      </c>
      <c r="S653" s="8">
        <f t="shared" si="80"/>
        <v>1996</v>
      </c>
      <c r="T653" s="8">
        <v>1996</v>
      </c>
      <c r="U653" s="8">
        <f t="shared" si="81"/>
        <v>26</v>
      </c>
      <c r="V653" s="7">
        <v>35264</v>
      </c>
      <c r="W653" t="s">
        <v>358</v>
      </c>
      <c r="X653" s="2">
        <v>0.375</v>
      </c>
      <c r="Y653" s="6">
        <f t="shared" si="82"/>
        <v>1.0010410827260351E-2</v>
      </c>
      <c r="AA653">
        <v>135194</v>
      </c>
      <c r="AB653">
        <v>24918</v>
      </c>
      <c r="AD653" t="s">
        <v>1</v>
      </c>
      <c r="AE653">
        <v>32</v>
      </c>
      <c r="AF653">
        <v>15</v>
      </c>
      <c r="AH653" t="s">
        <v>1164</v>
      </c>
      <c r="AI653" t="s">
        <v>1163</v>
      </c>
      <c r="AJ653" t="s">
        <v>1162</v>
      </c>
      <c r="AK653" t="s">
        <v>1161</v>
      </c>
      <c r="AL653">
        <v>0</v>
      </c>
      <c r="AM653" s="5">
        <f t="shared" si="83"/>
        <v>0</v>
      </c>
      <c r="AN653" s="4">
        <f t="shared" si="84"/>
        <v>0</v>
      </c>
      <c r="AO653" s="3"/>
      <c r="AP653">
        <v>0</v>
      </c>
      <c r="AR653" t="s">
        <v>0</v>
      </c>
      <c r="AT653" s="2">
        <v>1.3140000000000001</v>
      </c>
      <c r="AU653" s="1">
        <f t="shared" si="85"/>
        <v>0.70072875790822453</v>
      </c>
      <c r="AV653" s="1">
        <f t="shared" si="86"/>
        <v>0.5005205413630176</v>
      </c>
      <c r="AW653" s="1">
        <f t="shared" si="87"/>
        <v>0.30031232481781051</v>
      </c>
    </row>
    <row r="654" spans="1:49" x14ac:dyDescent="0.2">
      <c r="A654">
        <v>652</v>
      </c>
      <c r="B654" t="s">
        <v>1160</v>
      </c>
      <c r="C654" t="s">
        <v>1159</v>
      </c>
      <c r="F654" t="s">
        <v>1158</v>
      </c>
      <c r="G654" t="s">
        <v>6</v>
      </c>
      <c r="H654" t="s">
        <v>5</v>
      </c>
      <c r="I654" t="s">
        <v>1157</v>
      </c>
      <c r="J654">
        <v>60026113</v>
      </c>
      <c r="K654" t="s">
        <v>629</v>
      </c>
      <c r="L654" t="s">
        <v>628</v>
      </c>
      <c r="M654" t="s">
        <v>25</v>
      </c>
      <c r="N654">
        <v>2</v>
      </c>
      <c r="O654" t="s">
        <v>1156</v>
      </c>
      <c r="P654" t="s">
        <v>1155</v>
      </c>
      <c r="Q654" t="s">
        <v>1154</v>
      </c>
      <c r="R654" s="7">
        <v>35264</v>
      </c>
      <c r="S654" s="8">
        <f t="shared" si="80"/>
        <v>1996</v>
      </c>
      <c r="T654" s="8">
        <v>1996</v>
      </c>
      <c r="U654" s="8">
        <f t="shared" si="81"/>
        <v>26</v>
      </c>
      <c r="V654" s="7">
        <v>35264</v>
      </c>
      <c r="W654" t="s">
        <v>358</v>
      </c>
      <c r="X654" s="2">
        <v>0.375</v>
      </c>
      <c r="Y654" s="6">
        <f t="shared" si="82"/>
        <v>1.0010410827260351E-2</v>
      </c>
      <c r="AA654">
        <v>135194</v>
      </c>
      <c r="AB654">
        <v>24918</v>
      </c>
      <c r="AD654" t="s">
        <v>1</v>
      </c>
      <c r="AE654">
        <v>32</v>
      </c>
      <c r="AF654">
        <v>15</v>
      </c>
      <c r="AH654" t="s">
        <v>1153</v>
      </c>
      <c r="AI654" t="s">
        <v>1152</v>
      </c>
      <c r="AJ654" t="s">
        <v>1151</v>
      </c>
      <c r="AK654" t="s">
        <v>1150</v>
      </c>
      <c r="AL654">
        <v>0</v>
      </c>
      <c r="AM654" s="5">
        <f t="shared" si="83"/>
        <v>0</v>
      </c>
      <c r="AN654" s="4">
        <f t="shared" si="84"/>
        <v>0</v>
      </c>
      <c r="AO654" s="3"/>
      <c r="AP654">
        <v>0</v>
      </c>
      <c r="AR654" t="s">
        <v>0</v>
      </c>
      <c r="AT654" s="2">
        <v>1.3140000000000001</v>
      </c>
      <c r="AU654" s="1">
        <f t="shared" si="85"/>
        <v>0.70072875790822453</v>
      </c>
      <c r="AV654" s="1">
        <f t="shared" si="86"/>
        <v>0.5005205413630176</v>
      </c>
      <c r="AW654" s="1">
        <f t="shared" si="87"/>
        <v>0.30031232481781051</v>
      </c>
    </row>
    <row r="655" spans="1:49" x14ac:dyDescent="0.2">
      <c r="A655">
        <v>653</v>
      </c>
      <c r="B655" t="s">
        <v>1149</v>
      </c>
      <c r="C655" t="s">
        <v>1148</v>
      </c>
      <c r="E655">
        <v>8700202</v>
      </c>
      <c r="F655" t="s">
        <v>1147</v>
      </c>
      <c r="G655" t="s">
        <v>6</v>
      </c>
      <c r="H655" t="s">
        <v>5</v>
      </c>
      <c r="I655" t="s">
        <v>78</v>
      </c>
      <c r="J655">
        <v>60032179</v>
      </c>
      <c r="K655" t="s">
        <v>58</v>
      </c>
      <c r="L655" t="s">
        <v>57</v>
      </c>
      <c r="M655" t="s">
        <v>2</v>
      </c>
      <c r="N655">
        <v>7</v>
      </c>
      <c r="O655" t="s">
        <v>1146</v>
      </c>
      <c r="P655" t="s">
        <v>1145</v>
      </c>
      <c r="Q655" t="s">
        <v>1144</v>
      </c>
      <c r="R655" s="7">
        <v>35257</v>
      </c>
      <c r="S655" s="8">
        <f t="shared" si="80"/>
        <v>1996</v>
      </c>
      <c r="T655" s="8">
        <v>1996</v>
      </c>
      <c r="U655" s="8">
        <f t="shared" si="81"/>
        <v>26</v>
      </c>
      <c r="V655" s="7">
        <v>35257</v>
      </c>
      <c r="W655" t="s">
        <v>1143</v>
      </c>
      <c r="X655" s="2">
        <v>15.993</v>
      </c>
      <c r="Y655" s="6">
        <f t="shared" si="82"/>
        <v>0.42692400096099947</v>
      </c>
      <c r="AA655">
        <v>280836</v>
      </c>
      <c r="AB655">
        <v>21206</v>
      </c>
      <c r="AD655" t="s">
        <v>1</v>
      </c>
      <c r="AE655">
        <v>382</v>
      </c>
      <c r="AF655">
        <v>6587</v>
      </c>
      <c r="AH655" t="s">
        <v>1142</v>
      </c>
      <c r="AI655" t="s">
        <v>1141</v>
      </c>
      <c r="AK655" t="s">
        <v>1140</v>
      </c>
      <c r="AL655">
        <v>383</v>
      </c>
      <c r="AM655" s="5">
        <f t="shared" si="83"/>
        <v>14.73076923076923</v>
      </c>
      <c r="AN655" s="4">
        <f t="shared" si="84"/>
        <v>2.231089622229342E-2</v>
      </c>
      <c r="AO655" s="3"/>
      <c r="AP655">
        <v>0</v>
      </c>
      <c r="AR655" t="s">
        <v>0</v>
      </c>
      <c r="AT655" s="2">
        <v>49.962000000000003</v>
      </c>
      <c r="AU655" s="1">
        <f t="shared" si="85"/>
        <v>30.55400695393876</v>
      </c>
      <c r="AV655" s="1">
        <f t="shared" si="86"/>
        <v>22.461744859164646</v>
      </c>
      <c r="AW655" s="1">
        <f t="shared" si="87"/>
        <v>14.369482764390524</v>
      </c>
    </row>
    <row r="656" spans="1:49" x14ac:dyDescent="0.2">
      <c r="A656">
        <v>654</v>
      </c>
      <c r="B656" t="s">
        <v>1139</v>
      </c>
      <c r="C656" t="s">
        <v>1138</v>
      </c>
      <c r="F656" t="s">
        <v>1137</v>
      </c>
      <c r="G656" t="s">
        <v>6</v>
      </c>
      <c r="H656" t="s">
        <v>5</v>
      </c>
      <c r="I656" t="s">
        <v>1136</v>
      </c>
      <c r="J656" t="s">
        <v>239</v>
      </c>
      <c r="K656" t="s">
        <v>238</v>
      </c>
      <c r="L656" t="s">
        <v>237</v>
      </c>
      <c r="M656" t="s">
        <v>236</v>
      </c>
      <c r="N656">
        <v>9</v>
      </c>
      <c r="O656" t="s">
        <v>1135</v>
      </c>
      <c r="P656" t="s">
        <v>1134</v>
      </c>
      <c r="Q656" t="s">
        <v>1133</v>
      </c>
      <c r="R656" s="7">
        <v>35254</v>
      </c>
      <c r="S656" s="8">
        <f t="shared" si="80"/>
        <v>1996</v>
      </c>
      <c r="T656" s="8">
        <v>1996</v>
      </c>
      <c r="U656" s="8">
        <f t="shared" si="81"/>
        <v>26</v>
      </c>
      <c r="V656" s="7">
        <v>35254</v>
      </c>
      <c r="W656" t="s">
        <v>1132</v>
      </c>
      <c r="X656" s="2">
        <v>1.1819999999999999</v>
      </c>
      <c r="Y656" s="6">
        <f t="shared" si="82"/>
        <v>3.1552814927524625E-2</v>
      </c>
      <c r="AA656">
        <v>36951</v>
      </c>
      <c r="AB656">
        <v>27030</v>
      </c>
      <c r="AD656" t="s">
        <v>1</v>
      </c>
      <c r="AE656">
        <v>69</v>
      </c>
      <c r="AF656">
        <v>2</v>
      </c>
      <c r="AH656" t="s">
        <v>1131</v>
      </c>
      <c r="AI656" t="s">
        <v>1130</v>
      </c>
      <c r="AK656" t="s">
        <v>1129</v>
      </c>
      <c r="AL656">
        <v>6</v>
      </c>
      <c r="AM656" s="5">
        <f t="shared" si="83"/>
        <v>0.23076923076923078</v>
      </c>
      <c r="AN656" s="4">
        <f t="shared" si="84"/>
        <v>3.4951795648501444E-4</v>
      </c>
      <c r="AO656" s="3"/>
      <c r="AP656">
        <v>0</v>
      </c>
      <c r="AR656" t="s">
        <v>0</v>
      </c>
      <c r="AT656" s="2">
        <v>3.7909999999999999</v>
      </c>
      <c r="AU656" s="1">
        <f t="shared" si="85"/>
        <v>2.219182583621274</v>
      </c>
      <c r="AV656" s="1">
        <f t="shared" si="86"/>
        <v>1.595116644200482</v>
      </c>
      <c r="AW656" s="1">
        <f t="shared" si="87"/>
        <v>0.97105070477968991</v>
      </c>
    </row>
    <row r="657" spans="1:49" x14ac:dyDescent="0.2">
      <c r="A657">
        <v>655</v>
      </c>
      <c r="B657" t="s">
        <v>1128</v>
      </c>
      <c r="E657">
        <v>8674424</v>
      </c>
      <c r="F657" t="s">
        <v>1127</v>
      </c>
      <c r="G657" t="s">
        <v>6</v>
      </c>
      <c r="H657" t="s">
        <v>5</v>
      </c>
      <c r="I657" t="s">
        <v>1126</v>
      </c>
      <c r="J657">
        <v>60003711</v>
      </c>
      <c r="K657" t="s">
        <v>1125</v>
      </c>
      <c r="L657" t="s">
        <v>668</v>
      </c>
      <c r="M657" t="s">
        <v>2</v>
      </c>
      <c r="N657">
        <v>2</v>
      </c>
      <c r="O657" t="s">
        <v>1124</v>
      </c>
      <c r="P657" t="s">
        <v>1123</v>
      </c>
      <c r="Q657" t="s">
        <v>1122</v>
      </c>
      <c r="R657" s="7">
        <v>35251</v>
      </c>
      <c r="S657" s="8">
        <f t="shared" si="80"/>
        <v>1996</v>
      </c>
      <c r="T657" s="8">
        <v>1996</v>
      </c>
      <c r="U657" s="8">
        <f t="shared" si="81"/>
        <v>26</v>
      </c>
      <c r="V657" s="7">
        <v>1996</v>
      </c>
      <c r="W657" t="s">
        <v>1121</v>
      </c>
      <c r="X657" s="2">
        <v>0.15</v>
      </c>
      <c r="Y657" s="6">
        <f t="shared" si="82"/>
        <v>4.0041643309041402E-3</v>
      </c>
      <c r="AA657">
        <v>9501991</v>
      </c>
      <c r="AB657">
        <v>14531</v>
      </c>
      <c r="AD657" t="s">
        <v>1</v>
      </c>
      <c r="AE657">
        <v>122</v>
      </c>
      <c r="AF657">
        <v>6</v>
      </c>
      <c r="AH657" t="s">
        <v>1120</v>
      </c>
      <c r="AI657" t="s">
        <v>1119</v>
      </c>
      <c r="AJ657" t="s">
        <v>1118</v>
      </c>
      <c r="AK657" t="s">
        <v>1117</v>
      </c>
      <c r="AL657">
        <v>88</v>
      </c>
      <c r="AM657" s="5">
        <f t="shared" si="83"/>
        <v>3.3846153846153846</v>
      </c>
      <c r="AN657" s="4">
        <f t="shared" si="84"/>
        <v>5.1262633617802115E-3</v>
      </c>
      <c r="AO657" s="3"/>
      <c r="AP657">
        <v>0</v>
      </c>
      <c r="AQ657" t="s">
        <v>196</v>
      </c>
      <c r="AR657" t="s">
        <v>1116</v>
      </c>
      <c r="AS657" t="s">
        <v>195</v>
      </c>
      <c r="AT657" s="2">
        <v>6.8680000000000003</v>
      </c>
      <c r="AU657" s="1">
        <f t="shared" si="85"/>
        <v>0.4340794040166962</v>
      </c>
      <c r="AV657" s="1">
        <f t="shared" si="86"/>
        <v>0.45652138463421754</v>
      </c>
      <c r="AW657" s="1">
        <f t="shared" si="87"/>
        <v>0.47896336525173899</v>
      </c>
    </row>
    <row r="658" spans="1:49" x14ac:dyDescent="0.2">
      <c r="A658">
        <v>656</v>
      </c>
      <c r="B658" t="s">
        <v>1115</v>
      </c>
      <c r="C658" t="s">
        <v>1114</v>
      </c>
      <c r="E658">
        <v>8797159</v>
      </c>
      <c r="F658" t="s">
        <v>1113</v>
      </c>
      <c r="G658" t="s">
        <v>6</v>
      </c>
      <c r="H658" t="s">
        <v>5</v>
      </c>
      <c r="I658" t="s">
        <v>1112</v>
      </c>
      <c r="J658">
        <v>60029170</v>
      </c>
      <c r="K658" t="s">
        <v>66</v>
      </c>
      <c r="L658" t="s">
        <v>65</v>
      </c>
      <c r="M658" t="s">
        <v>46</v>
      </c>
      <c r="N658">
        <v>2</v>
      </c>
      <c r="O658" t="s">
        <v>1111</v>
      </c>
      <c r="P658" t="s">
        <v>1110</v>
      </c>
      <c r="Q658" t="s">
        <v>1109</v>
      </c>
      <c r="R658" s="7">
        <v>35251</v>
      </c>
      <c r="S658" s="8">
        <f t="shared" si="80"/>
        <v>1996</v>
      </c>
      <c r="T658" s="8">
        <v>1996</v>
      </c>
      <c r="U658" s="8">
        <f t="shared" si="81"/>
        <v>26</v>
      </c>
      <c r="V658" s="7">
        <v>1996</v>
      </c>
      <c r="W658" t="s">
        <v>625</v>
      </c>
      <c r="X658" s="2">
        <v>1.855</v>
      </c>
      <c r="Y658" s="6">
        <f t="shared" si="82"/>
        <v>4.9518165558847867E-2</v>
      </c>
      <c r="AA658">
        <v>219967</v>
      </c>
      <c r="AB658">
        <v>16689</v>
      </c>
      <c r="AD658" t="s">
        <v>1</v>
      </c>
      <c r="AE658">
        <v>370</v>
      </c>
      <c r="AF658">
        <v>1</v>
      </c>
      <c r="AH658" t="s">
        <v>1108</v>
      </c>
      <c r="AI658" t="s">
        <v>1107</v>
      </c>
      <c r="AJ658" t="s">
        <v>1106</v>
      </c>
      <c r="AK658" t="s">
        <v>1105</v>
      </c>
      <c r="AL658">
        <v>47</v>
      </c>
      <c r="AM658" s="5">
        <f t="shared" si="83"/>
        <v>1.8076923076923077</v>
      </c>
      <c r="AN658" s="4">
        <f t="shared" si="84"/>
        <v>2.7378906591326128E-3</v>
      </c>
      <c r="AO658" s="3"/>
      <c r="AP658">
        <v>0</v>
      </c>
      <c r="AR658" t="s">
        <v>0</v>
      </c>
      <c r="AT658" s="2">
        <v>3.2149999999999999</v>
      </c>
      <c r="AU658" s="1">
        <f t="shared" si="85"/>
        <v>3.5484083088933289</v>
      </c>
      <c r="AV658" s="1">
        <f t="shared" si="86"/>
        <v>2.6128028108990238</v>
      </c>
      <c r="AW658" s="1">
        <f t="shared" si="87"/>
        <v>1.6771973129047189</v>
      </c>
    </row>
    <row r="659" spans="1:49" x14ac:dyDescent="0.2">
      <c r="A659">
        <v>657</v>
      </c>
      <c r="B659" t="s">
        <v>1104</v>
      </c>
      <c r="C659" t="s">
        <v>1103</v>
      </c>
      <c r="F659" t="s">
        <v>1102</v>
      </c>
      <c r="G659" t="s">
        <v>6</v>
      </c>
      <c r="H659" t="s">
        <v>5</v>
      </c>
      <c r="I659" t="s">
        <v>1101</v>
      </c>
      <c r="J659" t="s">
        <v>1100</v>
      </c>
      <c r="K659" t="s">
        <v>1099</v>
      </c>
      <c r="L659" t="s">
        <v>1098</v>
      </c>
      <c r="M659" t="s">
        <v>18</v>
      </c>
      <c r="N659">
        <v>6</v>
      </c>
      <c r="O659" t="s">
        <v>1097</v>
      </c>
      <c r="P659" t="s">
        <v>1096</v>
      </c>
      <c r="Q659" t="s">
        <v>1095</v>
      </c>
      <c r="R659" s="7">
        <v>35250</v>
      </c>
      <c r="S659" s="8">
        <f t="shared" si="80"/>
        <v>1996</v>
      </c>
      <c r="T659" s="8">
        <v>1996</v>
      </c>
      <c r="U659" s="8">
        <f t="shared" si="81"/>
        <v>26</v>
      </c>
      <c r="V659" s="7">
        <v>35250</v>
      </c>
      <c r="W659" t="s">
        <v>358</v>
      </c>
      <c r="X659" s="2">
        <v>0.375</v>
      </c>
      <c r="Y659" s="6">
        <f t="shared" si="82"/>
        <v>1.0010410827260351E-2</v>
      </c>
      <c r="AA659">
        <v>135194</v>
      </c>
      <c r="AB659">
        <v>24918</v>
      </c>
      <c r="AD659" t="s">
        <v>1</v>
      </c>
      <c r="AE659">
        <v>32</v>
      </c>
      <c r="AF659">
        <v>14</v>
      </c>
      <c r="AH659" t="s">
        <v>1094</v>
      </c>
      <c r="AI659" t="s">
        <v>1093</v>
      </c>
      <c r="AJ659" t="s">
        <v>1092</v>
      </c>
      <c r="AK659" t="s">
        <v>1091</v>
      </c>
      <c r="AL659">
        <v>4</v>
      </c>
      <c r="AM659" s="5">
        <f t="shared" si="83"/>
        <v>0.15384615384615385</v>
      </c>
      <c r="AN659" s="4">
        <f t="shared" si="84"/>
        <v>2.3301197099000962E-4</v>
      </c>
      <c r="AO659" s="3"/>
      <c r="AP659">
        <v>0</v>
      </c>
      <c r="AR659" t="s">
        <v>0</v>
      </c>
      <c r="AT659" s="2">
        <v>1.3140000000000001</v>
      </c>
      <c r="AU659" s="1">
        <f t="shared" si="85"/>
        <v>0.70771911703792489</v>
      </c>
      <c r="AV659" s="1">
        <f t="shared" si="86"/>
        <v>0.51217113991251806</v>
      </c>
      <c r="AW659" s="1">
        <f t="shared" si="87"/>
        <v>0.31662316278711117</v>
      </c>
    </row>
    <row r="660" spans="1:49" x14ac:dyDescent="0.2">
      <c r="A660">
        <v>658</v>
      </c>
      <c r="B660" t="s">
        <v>1090</v>
      </c>
      <c r="C660" t="s">
        <v>1089</v>
      </c>
      <c r="F660" t="s">
        <v>1088</v>
      </c>
      <c r="G660" t="s">
        <v>6</v>
      </c>
      <c r="H660" t="s">
        <v>5</v>
      </c>
      <c r="I660" t="s">
        <v>1087</v>
      </c>
      <c r="J660">
        <v>100320174</v>
      </c>
      <c r="K660" t="s">
        <v>1086</v>
      </c>
      <c r="L660" t="s">
        <v>516</v>
      </c>
      <c r="M660" t="s">
        <v>2</v>
      </c>
      <c r="N660">
        <v>3</v>
      </c>
      <c r="O660" t="s">
        <v>1085</v>
      </c>
      <c r="P660" t="s">
        <v>1084</v>
      </c>
      <c r="Q660" t="s">
        <v>1083</v>
      </c>
      <c r="R660" s="7">
        <v>35250</v>
      </c>
      <c r="S660" s="8">
        <f t="shared" si="80"/>
        <v>1996</v>
      </c>
      <c r="T660" s="8">
        <v>1996</v>
      </c>
      <c r="U660" s="8">
        <f t="shared" si="81"/>
        <v>26</v>
      </c>
      <c r="V660" s="7">
        <v>35250</v>
      </c>
      <c r="W660" t="s">
        <v>358</v>
      </c>
      <c r="X660" s="2">
        <v>0.375</v>
      </c>
      <c r="Y660" s="6">
        <f t="shared" si="82"/>
        <v>1.0010410827260351E-2</v>
      </c>
      <c r="AA660">
        <v>135194</v>
      </c>
      <c r="AB660">
        <v>24918</v>
      </c>
      <c r="AD660" t="s">
        <v>1</v>
      </c>
      <c r="AE660">
        <v>32</v>
      </c>
      <c r="AF660">
        <v>14</v>
      </c>
      <c r="AH660" t="s">
        <v>1082</v>
      </c>
      <c r="AI660" t="s">
        <v>1081</v>
      </c>
      <c r="AJ660" t="s">
        <v>1080</v>
      </c>
      <c r="AK660" t="s">
        <v>1079</v>
      </c>
      <c r="AL660">
        <v>9</v>
      </c>
      <c r="AM660" s="5">
        <f t="shared" si="83"/>
        <v>0.34615384615384615</v>
      </c>
      <c r="AN660" s="4">
        <f t="shared" si="84"/>
        <v>5.2427693472752157E-4</v>
      </c>
      <c r="AO660" s="3"/>
      <c r="AP660">
        <v>0</v>
      </c>
      <c r="AR660" t="s">
        <v>0</v>
      </c>
      <c r="AT660" s="2">
        <v>1.3140000000000001</v>
      </c>
      <c r="AU660" s="1">
        <f t="shared" si="85"/>
        <v>0.71645706595005021</v>
      </c>
      <c r="AV660" s="1">
        <f t="shared" si="86"/>
        <v>0.52673438809939366</v>
      </c>
      <c r="AW660" s="1">
        <f t="shared" si="87"/>
        <v>0.33701171024873705</v>
      </c>
    </row>
    <row r="661" spans="1:49" x14ac:dyDescent="0.2">
      <c r="A661">
        <v>659</v>
      </c>
      <c r="B661" t="s">
        <v>1078</v>
      </c>
      <c r="C661" t="s">
        <v>1077</v>
      </c>
      <c r="F661" t="s">
        <v>1076</v>
      </c>
      <c r="G661" t="s">
        <v>6</v>
      </c>
      <c r="H661" t="s">
        <v>5</v>
      </c>
      <c r="I661" t="s">
        <v>1075</v>
      </c>
      <c r="J661">
        <v>60104665</v>
      </c>
      <c r="K661" t="s">
        <v>1074</v>
      </c>
      <c r="L661" t="s">
        <v>1073</v>
      </c>
      <c r="M661" t="s">
        <v>25</v>
      </c>
      <c r="N661">
        <v>3</v>
      </c>
      <c r="O661" t="s">
        <v>1072</v>
      </c>
      <c r="P661" t="s">
        <v>1071</v>
      </c>
      <c r="Q661" t="s">
        <v>1070</v>
      </c>
      <c r="R661" s="7">
        <v>35250</v>
      </c>
      <c r="S661" s="8">
        <f t="shared" si="80"/>
        <v>1996</v>
      </c>
      <c r="T661" s="8">
        <v>1996</v>
      </c>
      <c r="U661" s="8">
        <f t="shared" si="81"/>
        <v>26</v>
      </c>
      <c r="V661" s="7">
        <v>35250</v>
      </c>
      <c r="W661" t="s">
        <v>358</v>
      </c>
      <c r="X661" s="2">
        <v>0.375</v>
      </c>
      <c r="Y661" s="6">
        <f t="shared" si="82"/>
        <v>1.0010410827260351E-2</v>
      </c>
      <c r="AA661">
        <v>135194</v>
      </c>
      <c r="AB661">
        <v>24918</v>
      </c>
      <c r="AD661" t="s">
        <v>1</v>
      </c>
      <c r="AE661">
        <v>32</v>
      </c>
      <c r="AF661">
        <v>14</v>
      </c>
      <c r="AH661" t="s">
        <v>1069</v>
      </c>
      <c r="AI661" t="s">
        <v>1068</v>
      </c>
      <c r="AJ661" t="s">
        <v>1067</v>
      </c>
      <c r="AK661" t="s">
        <v>1066</v>
      </c>
      <c r="AL661">
        <v>3</v>
      </c>
      <c r="AM661" s="5">
        <f t="shared" si="83"/>
        <v>0.11538461538461539</v>
      </c>
      <c r="AN661" s="4">
        <f t="shared" si="84"/>
        <v>1.7475897824250722E-4</v>
      </c>
      <c r="AO661" s="3"/>
      <c r="AP661">
        <v>0</v>
      </c>
      <c r="AR661" t="s">
        <v>0</v>
      </c>
      <c r="AT661" s="2">
        <v>1.3140000000000001</v>
      </c>
      <c r="AU661" s="1">
        <f t="shared" si="85"/>
        <v>0.70597152725549983</v>
      </c>
      <c r="AV661" s="1">
        <f t="shared" si="86"/>
        <v>0.50925849027514292</v>
      </c>
      <c r="AW661" s="1">
        <f t="shared" si="87"/>
        <v>0.312545453294786</v>
      </c>
    </row>
    <row r="662" spans="1:49" x14ac:dyDescent="0.2">
      <c r="A662">
        <v>660</v>
      </c>
      <c r="B662" t="s">
        <v>1065</v>
      </c>
      <c r="C662" t="s">
        <v>1064</v>
      </c>
      <c r="F662" t="s">
        <v>1063</v>
      </c>
      <c r="G662" t="s">
        <v>6</v>
      </c>
      <c r="H662" t="s">
        <v>5</v>
      </c>
      <c r="I662" t="s">
        <v>1062</v>
      </c>
      <c r="N662">
        <v>4</v>
      </c>
      <c r="O662" t="s">
        <v>1061</v>
      </c>
      <c r="P662" t="s">
        <v>1060</v>
      </c>
      <c r="Q662" t="s">
        <v>749</v>
      </c>
      <c r="R662" s="7">
        <v>35250</v>
      </c>
      <c r="S662" s="8">
        <f t="shared" si="80"/>
        <v>1996</v>
      </c>
      <c r="T662" s="8">
        <v>1996</v>
      </c>
      <c r="U662" s="8">
        <f t="shared" si="81"/>
        <v>26</v>
      </c>
      <c r="V662" s="7">
        <v>35250</v>
      </c>
      <c r="W662" t="s">
        <v>358</v>
      </c>
      <c r="X662" s="2">
        <v>0.375</v>
      </c>
      <c r="Y662" s="6">
        <f t="shared" si="82"/>
        <v>1.0010410827260351E-2</v>
      </c>
      <c r="AA662">
        <v>135194</v>
      </c>
      <c r="AB662">
        <v>24918</v>
      </c>
      <c r="AD662" t="s">
        <v>1</v>
      </c>
      <c r="AE662">
        <v>32</v>
      </c>
      <c r="AF662">
        <v>14</v>
      </c>
      <c r="AH662" t="s">
        <v>1059</v>
      </c>
      <c r="AI662" t="s">
        <v>1058</v>
      </c>
      <c r="AJ662" t="s">
        <v>1057</v>
      </c>
      <c r="AK662" t="s">
        <v>1056</v>
      </c>
      <c r="AL662">
        <v>7</v>
      </c>
      <c r="AM662" s="5">
        <f t="shared" si="83"/>
        <v>0.26923076923076922</v>
      </c>
      <c r="AN662" s="4">
        <f t="shared" si="84"/>
        <v>4.0777094923251682E-4</v>
      </c>
      <c r="AO662" s="3"/>
      <c r="AP662">
        <v>0</v>
      </c>
      <c r="AR662" t="s">
        <v>0</v>
      </c>
      <c r="AT662" s="2">
        <v>1.3140000000000001</v>
      </c>
      <c r="AU662" s="1">
        <f t="shared" si="85"/>
        <v>0.71296188638520008</v>
      </c>
      <c r="AV662" s="1">
        <f t="shared" si="86"/>
        <v>0.52090908882464348</v>
      </c>
      <c r="AW662" s="1">
        <f t="shared" si="87"/>
        <v>0.32885629126408672</v>
      </c>
    </row>
    <row r="663" spans="1:49" x14ac:dyDescent="0.2">
      <c r="A663">
        <v>661</v>
      </c>
      <c r="B663" t="s">
        <v>1055</v>
      </c>
      <c r="F663" t="s">
        <v>1054</v>
      </c>
      <c r="G663" t="s">
        <v>6</v>
      </c>
      <c r="H663" t="s">
        <v>5</v>
      </c>
      <c r="I663" t="s">
        <v>1053</v>
      </c>
      <c r="N663">
        <v>1</v>
      </c>
      <c r="O663" t="s">
        <v>1052</v>
      </c>
      <c r="P663">
        <v>6701371017</v>
      </c>
      <c r="R663" s="7">
        <v>35247</v>
      </c>
      <c r="S663" s="8">
        <f t="shared" si="80"/>
        <v>1996</v>
      </c>
      <c r="T663" s="8">
        <v>1996</v>
      </c>
      <c r="U663" s="8">
        <f t="shared" si="81"/>
        <v>26</v>
      </c>
      <c r="V663" s="7">
        <v>35247</v>
      </c>
      <c r="W663" t="s">
        <v>74</v>
      </c>
      <c r="X663" s="2">
        <v>0.29499999999999998</v>
      </c>
      <c r="Y663" s="6">
        <f t="shared" si="82"/>
        <v>7.8748565174448087E-3</v>
      </c>
      <c r="AA663">
        <v>10642269</v>
      </c>
      <c r="AB663">
        <v>19554</v>
      </c>
      <c r="AD663" t="s">
        <v>1</v>
      </c>
      <c r="AE663">
        <v>41</v>
      </c>
      <c r="AF663">
        <v>9</v>
      </c>
      <c r="AH663" t="s">
        <v>1051</v>
      </c>
      <c r="AI663" t="s">
        <v>1050</v>
      </c>
      <c r="AK663" t="s">
        <v>1049</v>
      </c>
      <c r="AL663">
        <v>0</v>
      </c>
      <c r="AM663" s="5">
        <f t="shared" si="83"/>
        <v>0</v>
      </c>
      <c r="AN663" s="4">
        <f t="shared" si="84"/>
        <v>0</v>
      </c>
      <c r="AO663" s="3"/>
      <c r="AP663">
        <v>0</v>
      </c>
      <c r="AR663" t="s">
        <v>0</v>
      </c>
      <c r="AT663" s="2" t="s">
        <v>9</v>
      </c>
      <c r="AU663" s="1">
        <f t="shared" si="85"/>
        <v>0.55123995622113653</v>
      </c>
      <c r="AV663" s="1">
        <f t="shared" si="86"/>
        <v>0.39374282587224041</v>
      </c>
      <c r="AW663" s="1">
        <f t="shared" si="87"/>
        <v>0.23624569552334423</v>
      </c>
    </row>
    <row r="664" spans="1:49" x14ac:dyDescent="0.2">
      <c r="A664">
        <v>662</v>
      </c>
      <c r="B664" t="s">
        <v>1048</v>
      </c>
      <c r="F664" t="s">
        <v>1047</v>
      </c>
      <c r="G664" t="s">
        <v>6</v>
      </c>
      <c r="H664" t="s">
        <v>5</v>
      </c>
      <c r="I664" t="s">
        <v>1046</v>
      </c>
      <c r="N664">
        <v>1</v>
      </c>
      <c r="O664" t="s">
        <v>1045</v>
      </c>
      <c r="P664">
        <v>6603193828</v>
      </c>
      <c r="R664" s="7">
        <v>35247</v>
      </c>
      <c r="S664" s="8">
        <f t="shared" si="80"/>
        <v>1996</v>
      </c>
      <c r="T664" s="8">
        <v>1996</v>
      </c>
      <c r="U664" s="8">
        <f t="shared" si="81"/>
        <v>26</v>
      </c>
      <c r="V664" s="7">
        <v>35247</v>
      </c>
      <c r="W664" t="s">
        <v>74</v>
      </c>
      <c r="X664" s="2">
        <v>0.29499999999999998</v>
      </c>
      <c r="Y664" s="6">
        <f t="shared" si="82"/>
        <v>7.8748565174448087E-3</v>
      </c>
      <c r="AA664">
        <v>10642269</v>
      </c>
      <c r="AB664">
        <v>19554</v>
      </c>
      <c r="AD664" t="s">
        <v>1</v>
      </c>
      <c r="AE664">
        <v>41</v>
      </c>
      <c r="AF664">
        <v>9</v>
      </c>
      <c r="AH664" t="s">
        <v>1044</v>
      </c>
      <c r="AI664" t="s">
        <v>1043</v>
      </c>
      <c r="AK664" t="s">
        <v>1042</v>
      </c>
      <c r="AL664">
        <v>1</v>
      </c>
      <c r="AM664" s="5">
        <f t="shared" si="83"/>
        <v>3.8461538461538464E-2</v>
      </c>
      <c r="AN664" s="4">
        <f t="shared" si="84"/>
        <v>5.8252992747502406E-5</v>
      </c>
      <c r="AO664" s="3"/>
      <c r="AP664">
        <v>0</v>
      </c>
      <c r="AR664" t="s">
        <v>0</v>
      </c>
      <c r="AT664" s="2" t="s">
        <v>9</v>
      </c>
      <c r="AU664" s="1">
        <f t="shared" si="85"/>
        <v>0.55298754600356159</v>
      </c>
      <c r="AV664" s="1">
        <f t="shared" si="86"/>
        <v>0.39665547550961555</v>
      </c>
      <c r="AW664" s="1">
        <f t="shared" si="87"/>
        <v>0.2403234050156694</v>
      </c>
    </row>
    <row r="665" spans="1:49" x14ac:dyDescent="0.2">
      <c r="A665">
        <v>663</v>
      </c>
      <c r="B665" t="s">
        <v>1041</v>
      </c>
      <c r="F665" t="s">
        <v>1040</v>
      </c>
      <c r="G665" t="s">
        <v>6</v>
      </c>
      <c r="H665" t="s">
        <v>5</v>
      </c>
      <c r="I665" t="s">
        <v>1039</v>
      </c>
      <c r="J665">
        <v>60008673</v>
      </c>
      <c r="K665" t="s">
        <v>611</v>
      </c>
      <c r="L665" t="s">
        <v>609</v>
      </c>
      <c r="M665" t="s">
        <v>97</v>
      </c>
      <c r="N665">
        <v>2</v>
      </c>
      <c r="O665" t="s">
        <v>1038</v>
      </c>
      <c r="P665" t="s">
        <v>1037</v>
      </c>
      <c r="Q665" t="s">
        <v>1036</v>
      </c>
      <c r="R665" s="7">
        <v>35247</v>
      </c>
      <c r="S665" s="8">
        <f t="shared" si="80"/>
        <v>1996</v>
      </c>
      <c r="T665" s="8">
        <v>1996</v>
      </c>
      <c r="U665" s="8">
        <f t="shared" si="81"/>
        <v>26</v>
      </c>
      <c r="V665" s="7">
        <v>35247</v>
      </c>
      <c r="W665" t="s">
        <v>74</v>
      </c>
      <c r="X665" s="2">
        <v>0.29499999999999998</v>
      </c>
      <c r="Y665" s="6">
        <f t="shared" si="82"/>
        <v>7.8748565174448087E-3</v>
      </c>
      <c r="AA665">
        <v>10642269</v>
      </c>
      <c r="AB665">
        <v>19554</v>
      </c>
      <c r="AD665" t="s">
        <v>1</v>
      </c>
      <c r="AE665">
        <v>41</v>
      </c>
      <c r="AF665">
        <v>9</v>
      </c>
      <c r="AH665" t="s">
        <v>1035</v>
      </c>
      <c r="AI665" t="s">
        <v>1034</v>
      </c>
      <c r="AK665" t="s">
        <v>1033</v>
      </c>
      <c r="AL665">
        <v>1</v>
      </c>
      <c r="AM665" s="5">
        <f t="shared" si="83"/>
        <v>3.8461538461538464E-2</v>
      </c>
      <c r="AN665" s="4">
        <f t="shared" si="84"/>
        <v>5.8252992747502406E-5</v>
      </c>
      <c r="AO665" s="3"/>
      <c r="AP665">
        <v>0</v>
      </c>
      <c r="AR665" t="s">
        <v>0</v>
      </c>
      <c r="AT665" s="2" t="s">
        <v>9</v>
      </c>
      <c r="AU665" s="1">
        <f t="shared" si="85"/>
        <v>0.55298754600356159</v>
      </c>
      <c r="AV665" s="1">
        <f t="shared" si="86"/>
        <v>0.39665547550961555</v>
      </c>
      <c r="AW665" s="1">
        <f t="shared" si="87"/>
        <v>0.2403234050156694</v>
      </c>
    </row>
    <row r="666" spans="1:49" x14ac:dyDescent="0.2">
      <c r="A666">
        <v>664</v>
      </c>
      <c r="B666" t="s">
        <v>1032</v>
      </c>
      <c r="F666" t="s">
        <v>1031</v>
      </c>
      <c r="G666" t="s">
        <v>6</v>
      </c>
      <c r="H666" t="s">
        <v>5</v>
      </c>
      <c r="I666" t="s">
        <v>594</v>
      </c>
      <c r="N666">
        <v>1</v>
      </c>
      <c r="O666" t="s">
        <v>1030</v>
      </c>
      <c r="P666">
        <v>7003559849</v>
      </c>
      <c r="R666" s="7">
        <v>35247</v>
      </c>
      <c r="S666" s="8">
        <f t="shared" si="80"/>
        <v>1996</v>
      </c>
      <c r="T666" s="8">
        <v>1996</v>
      </c>
      <c r="U666" s="8">
        <f t="shared" si="81"/>
        <v>26</v>
      </c>
      <c r="V666" s="7">
        <v>35247</v>
      </c>
      <c r="W666" t="s">
        <v>74</v>
      </c>
      <c r="X666" s="2">
        <v>0.29499999999999998</v>
      </c>
      <c r="Y666" s="6">
        <f t="shared" si="82"/>
        <v>7.8748565174448087E-3</v>
      </c>
      <c r="AA666">
        <v>10642269</v>
      </c>
      <c r="AB666">
        <v>19554</v>
      </c>
      <c r="AD666" t="s">
        <v>1</v>
      </c>
      <c r="AE666">
        <v>41</v>
      </c>
      <c r="AF666">
        <v>9</v>
      </c>
      <c r="AH666" t="s">
        <v>1029</v>
      </c>
      <c r="AI666" t="s">
        <v>1028</v>
      </c>
      <c r="AK666" t="s">
        <v>1027</v>
      </c>
      <c r="AL666">
        <v>0</v>
      </c>
      <c r="AM666" s="5">
        <f t="shared" si="83"/>
        <v>0</v>
      </c>
      <c r="AN666" s="4">
        <f t="shared" si="84"/>
        <v>0</v>
      </c>
      <c r="AO666" s="3"/>
      <c r="AP666">
        <v>0</v>
      </c>
      <c r="AR666" t="s">
        <v>0</v>
      </c>
      <c r="AT666" s="2" t="s">
        <v>9</v>
      </c>
      <c r="AU666" s="1">
        <f t="shared" si="85"/>
        <v>0.55123995622113653</v>
      </c>
      <c r="AV666" s="1">
        <f t="shared" si="86"/>
        <v>0.39374282587224041</v>
      </c>
      <c r="AW666" s="1">
        <f t="shared" si="87"/>
        <v>0.23624569552334423</v>
      </c>
    </row>
    <row r="667" spans="1:49" x14ac:dyDescent="0.2">
      <c r="A667">
        <v>665</v>
      </c>
      <c r="B667" t="s">
        <v>1026</v>
      </c>
      <c r="F667" t="s">
        <v>1025</v>
      </c>
      <c r="G667" t="s">
        <v>6</v>
      </c>
      <c r="H667" t="s">
        <v>5</v>
      </c>
      <c r="I667" t="s">
        <v>1024</v>
      </c>
      <c r="J667">
        <v>60029225</v>
      </c>
      <c r="K667" t="s">
        <v>707</v>
      </c>
      <c r="L667" t="s">
        <v>98</v>
      </c>
      <c r="M667" t="s">
        <v>97</v>
      </c>
      <c r="N667">
        <v>1</v>
      </c>
      <c r="O667" t="s">
        <v>1023</v>
      </c>
      <c r="P667">
        <v>56375460400</v>
      </c>
      <c r="Q667">
        <v>60029225</v>
      </c>
      <c r="R667" s="7">
        <v>35247</v>
      </c>
      <c r="S667" s="8">
        <f t="shared" si="80"/>
        <v>1996</v>
      </c>
      <c r="T667" s="8">
        <v>1996</v>
      </c>
      <c r="U667" s="8">
        <f t="shared" si="81"/>
        <v>26</v>
      </c>
      <c r="V667" s="7">
        <v>35247</v>
      </c>
      <c r="W667" t="s">
        <v>74</v>
      </c>
      <c r="X667" s="2">
        <v>0.29499999999999998</v>
      </c>
      <c r="Y667" s="6">
        <f t="shared" si="82"/>
        <v>7.8748565174448087E-3</v>
      </c>
      <c r="AA667">
        <v>10642269</v>
      </c>
      <c r="AB667">
        <v>19554</v>
      </c>
      <c r="AD667" t="s">
        <v>1</v>
      </c>
      <c r="AE667">
        <v>41</v>
      </c>
      <c r="AF667">
        <v>9</v>
      </c>
      <c r="AH667" t="s">
        <v>1022</v>
      </c>
      <c r="AI667" t="s">
        <v>1021</v>
      </c>
      <c r="AK667" t="s">
        <v>1020</v>
      </c>
      <c r="AL667">
        <v>1</v>
      </c>
      <c r="AM667" s="5">
        <f t="shared" si="83"/>
        <v>3.8461538461538464E-2</v>
      </c>
      <c r="AN667" s="4">
        <f t="shared" si="84"/>
        <v>5.8252992747502406E-5</v>
      </c>
      <c r="AO667" s="3"/>
      <c r="AP667">
        <v>0</v>
      </c>
      <c r="AR667" t="s">
        <v>0</v>
      </c>
      <c r="AT667" s="2" t="s">
        <v>9</v>
      </c>
      <c r="AU667" s="1">
        <f t="shared" si="85"/>
        <v>0.55298754600356159</v>
      </c>
      <c r="AV667" s="1">
        <f t="shared" si="86"/>
        <v>0.39665547550961555</v>
      </c>
      <c r="AW667" s="1">
        <f t="shared" si="87"/>
        <v>0.2403234050156694</v>
      </c>
    </row>
    <row r="668" spans="1:49" x14ac:dyDescent="0.2">
      <c r="A668">
        <v>666</v>
      </c>
      <c r="B668" t="s">
        <v>1019</v>
      </c>
      <c r="C668" t="s">
        <v>1018</v>
      </c>
      <c r="F668" t="s">
        <v>1017</v>
      </c>
      <c r="G668" t="s">
        <v>6</v>
      </c>
      <c r="H668" t="s">
        <v>5</v>
      </c>
      <c r="I668" t="s">
        <v>1016</v>
      </c>
      <c r="J668" t="s">
        <v>1015</v>
      </c>
      <c r="K668" t="s">
        <v>1014</v>
      </c>
      <c r="L668" t="s">
        <v>1013</v>
      </c>
      <c r="M668" t="s">
        <v>1012</v>
      </c>
      <c r="N668">
        <v>3</v>
      </c>
      <c r="O668" t="s">
        <v>1011</v>
      </c>
      <c r="P668" t="s">
        <v>1010</v>
      </c>
      <c r="Q668" t="s">
        <v>1009</v>
      </c>
      <c r="R668" s="7">
        <v>35247</v>
      </c>
      <c r="S668" s="8">
        <f t="shared" si="80"/>
        <v>1996</v>
      </c>
      <c r="T668" s="8">
        <v>1996</v>
      </c>
      <c r="U668" s="8">
        <f t="shared" si="81"/>
        <v>26</v>
      </c>
      <c r="V668" s="7">
        <v>35247</v>
      </c>
      <c r="W668" t="s">
        <v>506</v>
      </c>
      <c r="X668" s="2">
        <v>2.61</v>
      </c>
      <c r="Y668" s="6">
        <f t="shared" si="82"/>
        <v>6.9672459357732044E-2</v>
      </c>
      <c r="AA668">
        <v>46256</v>
      </c>
      <c r="AB668">
        <v>26704</v>
      </c>
      <c r="AD668" t="s">
        <v>1</v>
      </c>
      <c r="AE668">
        <v>112</v>
      </c>
      <c r="AF668">
        <v>1</v>
      </c>
      <c r="AH668" t="s">
        <v>1008</v>
      </c>
      <c r="AI668" t="s">
        <v>1007</v>
      </c>
      <c r="AK668" t="s">
        <v>1006</v>
      </c>
      <c r="AL668">
        <v>11</v>
      </c>
      <c r="AM668" s="5">
        <f t="shared" si="83"/>
        <v>0.42307692307692307</v>
      </c>
      <c r="AN668" s="4">
        <f t="shared" si="84"/>
        <v>6.4078292022252644E-4</v>
      </c>
      <c r="AO668" s="3"/>
      <c r="AP668">
        <v>0</v>
      </c>
      <c r="AR668" t="s">
        <v>0</v>
      </c>
      <c r="AT668" s="2">
        <v>6.2629999999999999</v>
      </c>
      <c r="AU668" s="1">
        <f t="shared" si="85"/>
        <v>4.8962956426479192</v>
      </c>
      <c r="AV668" s="1">
        <f t="shared" si="86"/>
        <v>3.5156621138977289</v>
      </c>
      <c r="AW668" s="1">
        <f t="shared" si="87"/>
        <v>2.1350285851475381</v>
      </c>
    </row>
    <row r="669" spans="1:49" x14ac:dyDescent="0.2">
      <c r="A669">
        <v>667</v>
      </c>
      <c r="B669" t="s">
        <v>1005</v>
      </c>
      <c r="C669" t="s">
        <v>1004</v>
      </c>
      <c r="F669" t="s">
        <v>1003</v>
      </c>
      <c r="G669" t="s">
        <v>6</v>
      </c>
      <c r="H669" t="s">
        <v>5</v>
      </c>
      <c r="I669" t="s">
        <v>1002</v>
      </c>
      <c r="J669">
        <v>60020547</v>
      </c>
      <c r="K669" t="s">
        <v>731</v>
      </c>
      <c r="L669" t="s">
        <v>730</v>
      </c>
      <c r="M669" t="s">
        <v>2</v>
      </c>
      <c r="N669">
        <v>3</v>
      </c>
      <c r="O669" t="s">
        <v>1001</v>
      </c>
      <c r="P669" t="s">
        <v>1000</v>
      </c>
      <c r="Q669" t="s">
        <v>999</v>
      </c>
      <c r="R669" s="7">
        <v>35247</v>
      </c>
      <c r="S669" s="8">
        <f t="shared" si="80"/>
        <v>1996</v>
      </c>
      <c r="T669" s="8">
        <v>1996</v>
      </c>
      <c r="U669" s="8">
        <f t="shared" si="81"/>
        <v>26</v>
      </c>
      <c r="V669" s="7">
        <v>35247</v>
      </c>
      <c r="W669" t="s">
        <v>589</v>
      </c>
      <c r="X669" s="2">
        <v>0.69899999999999995</v>
      </c>
      <c r="Y669" s="6">
        <f t="shared" si="82"/>
        <v>1.8659405782013295E-2</v>
      </c>
      <c r="AA669">
        <v>218979</v>
      </c>
      <c r="AB669">
        <v>28132</v>
      </c>
      <c r="AD669" t="s">
        <v>1</v>
      </c>
      <c r="AE669">
        <v>80</v>
      </c>
      <c r="AF669">
        <v>1</v>
      </c>
      <c r="AH669" t="s">
        <v>998</v>
      </c>
      <c r="AI669" t="s">
        <v>997</v>
      </c>
      <c r="AK669" t="s">
        <v>996</v>
      </c>
      <c r="AL669">
        <v>27</v>
      </c>
      <c r="AM669" s="5">
        <f t="shared" si="83"/>
        <v>1.0384615384615385</v>
      </c>
      <c r="AN669" s="4">
        <f t="shared" si="84"/>
        <v>1.572830804182565E-3</v>
      </c>
      <c r="AO669" s="3"/>
      <c r="AP669">
        <v>0</v>
      </c>
      <c r="AR669" t="s">
        <v>0</v>
      </c>
      <c r="AT669" s="2">
        <v>2.5459999999999998</v>
      </c>
      <c r="AU669" s="1">
        <f t="shared" si="85"/>
        <v>1.3533433288664074</v>
      </c>
      <c r="AV669" s="1">
        <f t="shared" si="86"/>
        <v>1.0116118293097931</v>
      </c>
      <c r="AW669" s="1">
        <f t="shared" si="87"/>
        <v>0.66988032975317835</v>
      </c>
    </row>
    <row r="670" spans="1:49" x14ac:dyDescent="0.2">
      <c r="A670">
        <v>668</v>
      </c>
      <c r="B670" t="s">
        <v>995</v>
      </c>
      <c r="C670" t="s">
        <v>994</v>
      </c>
      <c r="E670">
        <v>8935496</v>
      </c>
      <c r="F670" t="s">
        <v>993</v>
      </c>
      <c r="G670" t="s">
        <v>6</v>
      </c>
      <c r="H670" t="s">
        <v>5</v>
      </c>
      <c r="I670" t="s">
        <v>734</v>
      </c>
      <c r="J670" t="s">
        <v>992</v>
      </c>
      <c r="K670" t="s">
        <v>991</v>
      </c>
      <c r="L670" t="s">
        <v>990</v>
      </c>
      <c r="M670" t="s">
        <v>13</v>
      </c>
      <c r="N670">
        <v>4</v>
      </c>
      <c r="O670" t="s">
        <v>989</v>
      </c>
      <c r="P670" t="s">
        <v>988</v>
      </c>
      <c r="Q670" t="s">
        <v>987</v>
      </c>
      <c r="R670" s="7">
        <v>35247</v>
      </c>
      <c r="S670" s="8">
        <f t="shared" si="80"/>
        <v>1996</v>
      </c>
      <c r="T670" s="8">
        <v>1996</v>
      </c>
      <c r="U670" s="8">
        <f t="shared" si="81"/>
        <v>26</v>
      </c>
      <c r="V670" s="7">
        <v>35247</v>
      </c>
      <c r="W670" t="s">
        <v>986</v>
      </c>
      <c r="X670" s="2">
        <v>0.59299999999999997</v>
      </c>
      <c r="Y670" s="6">
        <f t="shared" si="82"/>
        <v>1.5829796321507703E-2</v>
      </c>
      <c r="AA670">
        <v>1400118</v>
      </c>
      <c r="AB670">
        <v>17979</v>
      </c>
      <c r="AD670" t="s">
        <v>1</v>
      </c>
      <c r="AE670">
        <v>34</v>
      </c>
      <c r="AF670">
        <v>4</v>
      </c>
      <c r="AH670" t="s">
        <v>985</v>
      </c>
      <c r="AI670" t="s">
        <v>984</v>
      </c>
      <c r="AJ670" t="s">
        <v>983</v>
      </c>
      <c r="AK670" t="s">
        <v>982</v>
      </c>
      <c r="AL670">
        <v>7</v>
      </c>
      <c r="AM670" s="5">
        <f t="shared" si="83"/>
        <v>0.26923076923076922</v>
      </c>
      <c r="AN670" s="4">
        <f t="shared" si="84"/>
        <v>4.0777094923251682E-4</v>
      </c>
      <c r="AO670" s="3"/>
      <c r="AP670">
        <v>0</v>
      </c>
      <c r="AR670" t="s">
        <v>0</v>
      </c>
      <c r="AT670" s="2" t="s">
        <v>9</v>
      </c>
      <c r="AU670" s="1">
        <f t="shared" si="85"/>
        <v>1.1203188709825147</v>
      </c>
      <c r="AV670" s="1">
        <f t="shared" si="86"/>
        <v>0.81187836353701104</v>
      </c>
      <c r="AW670" s="1">
        <f t="shared" si="87"/>
        <v>0.50343785609150726</v>
      </c>
    </row>
    <row r="671" spans="1:49" x14ac:dyDescent="0.2">
      <c r="A671">
        <v>669</v>
      </c>
      <c r="B671" t="s">
        <v>981</v>
      </c>
      <c r="F671" t="s">
        <v>980</v>
      </c>
      <c r="G671" t="s">
        <v>6</v>
      </c>
      <c r="H671" t="s">
        <v>5</v>
      </c>
      <c r="I671" t="s">
        <v>979</v>
      </c>
      <c r="J671">
        <v>60024666</v>
      </c>
      <c r="K671" t="s">
        <v>978</v>
      </c>
      <c r="L671" t="s">
        <v>977</v>
      </c>
      <c r="M671" t="s">
        <v>146</v>
      </c>
      <c r="N671">
        <v>1</v>
      </c>
      <c r="O671" t="s">
        <v>976</v>
      </c>
      <c r="P671">
        <v>57137098900</v>
      </c>
      <c r="Q671">
        <v>60024666</v>
      </c>
      <c r="R671" s="7">
        <v>35247</v>
      </c>
      <c r="S671" s="8">
        <f t="shared" si="80"/>
        <v>1996</v>
      </c>
      <c r="T671" s="8">
        <v>1996</v>
      </c>
      <c r="U671" s="8">
        <f t="shared" si="81"/>
        <v>26</v>
      </c>
      <c r="V671" s="7">
        <v>35247</v>
      </c>
      <c r="W671" t="s">
        <v>975</v>
      </c>
      <c r="X671" s="2" t="s">
        <v>9</v>
      </c>
      <c r="Y671" s="6" t="e">
        <f t="shared" si="82"/>
        <v>#VALUE!</v>
      </c>
      <c r="AA671">
        <v>2556588</v>
      </c>
      <c r="AB671">
        <v>62659</v>
      </c>
      <c r="AD671" t="s">
        <v>1</v>
      </c>
      <c r="AE671">
        <v>20</v>
      </c>
      <c r="AF671">
        <v>4</v>
      </c>
      <c r="AH671" t="s">
        <v>974</v>
      </c>
      <c r="AI671" t="s">
        <v>973</v>
      </c>
      <c r="AK671" t="s">
        <v>972</v>
      </c>
      <c r="AL671">
        <v>0</v>
      </c>
      <c r="AM671" s="5">
        <f t="shared" si="83"/>
        <v>0</v>
      </c>
      <c r="AN671" s="4">
        <f t="shared" si="84"/>
        <v>0</v>
      </c>
      <c r="AO671" s="3"/>
      <c r="AP671">
        <v>0</v>
      </c>
      <c r="AR671" t="s">
        <v>0</v>
      </c>
      <c r="AT671" s="2" t="s">
        <v>9</v>
      </c>
      <c r="AU671" s="1" t="e">
        <f t="shared" si="85"/>
        <v>#VALUE!</v>
      </c>
      <c r="AV671" s="1" t="e">
        <f t="shared" si="86"/>
        <v>#VALUE!</v>
      </c>
      <c r="AW671" s="1" t="e">
        <f t="shared" si="87"/>
        <v>#VALUE!</v>
      </c>
    </row>
    <row r="672" spans="1:49" x14ac:dyDescent="0.2">
      <c r="A672">
        <v>670</v>
      </c>
      <c r="B672" t="s">
        <v>971</v>
      </c>
      <c r="F672" t="s">
        <v>970</v>
      </c>
      <c r="G672" t="s">
        <v>6</v>
      </c>
      <c r="H672" t="s">
        <v>5</v>
      </c>
      <c r="I672" t="s">
        <v>969</v>
      </c>
      <c r="J672">
        <v>60003892</v>
      </c>
      <c r="K672" t="s">
        <v>176</v>
      </c>
      <c r="L672" t="s">
        <v>175</v>
      </c>
      <c r="M672" t="s">
        <v>2</v>
      </c>
      <c r="N672">
        <v>4</v>
      </c>
      <c r="O672" t="s">
        <v>968</v>
      </c>
      <c r="P672" t="s">
        <v>967</v>
      </c>
      <c r="Q672" t="s">
        <v>966</v>
      </c>
      <c r="R672" s="7">
        <v>35247</v>
      </c>
      <c r="S672" s="8">
        <f t="shared" si="80"/>
        <v>1996</v>
      </c>
      <c r="T672" s="8">
        <v>1996</v>
      </c>
      <c r="U672" s="8">
        <f t="shared" si="81"/>
        <v>26</v>
      </c>
      <c r="V672" s="7">
        <v>35247</v>
      </c>
      <c r="W672" t="s">
        <v>880</v>
      </c>
      <c r="X672" s="2">
        <v>0.216</v>
      </c>
      <c r="Y672" s="6">
        <f t="shared" si="82"/>
        <v>5.765996636501962E-3</v>
      </c>
      <c r="AA672">
        <v>10544887</v>
      </c>
      <c r="AB672">
        <v>13200</v>
      </c>
      <c r="AD672" t="s">
        <v>1</v>
      </c>
      <c r="AE672">
        <v>11</v>
      </c>
      <c r="AF672">
        <v>2</v>
      </c>
      <c r="AH672" s="10">
        <v>41365</v>
      </c>
      <c r="AI672" t="s">
        <v>965</v>
      </c>
      <c r="AK672" t="s">
        <v>964</v>
      </c>
      <c r="AL672">
        <v>0</v>
      </c>
      <c r="AM672" s="5">
        <f t="shared" si="83"/>
        <v>0</v>
      </c>
      <c r="AN672" s="4">
        <f t="shared" si="84"/>
        <v>0</v>
      </c>
      <c r="AO672" s="3"/>
      <c r="AP672">
        <v>0</v>
      </c>
      <c r="AR672" t="s">
        <v>0</v>
      </c>
      <c r="AT672" s="2" t="s">
        <v>9</v>
      </c>
      <c r="AU672" s="1">
        <f t="shared" si="85"/>
        <v>0.40361976455513726</v>
      </c>
      <c r="AV672" s="1">
        <f t="shared" si="86"/>
        <v>0.28829983182509811</v>
      </c>
      <c r="AW672" s="1">
        <f t="shared" si="87"/>
        <v>0.17297989909505887</v>
      </c>
    </row>
    <row r="673" spans="1:49" x14ac:dyDescent="0.2">
      <c r="A673">
        <v>671</v>
      </c>
      <c r="B673" t="s">
        <v>963</v>
      </c>
      <c r="F673" t="s">
        <v>962</v>
      </c>
      <c r="G673" t="s">
        <v>6</v>
      </c>
      <c r="H673" t="s">
        <v>5</v>
      </c>
      <c r="I673" t="s">
        <v>961</v>
      </c>
      <c r="J673">
        <v>60023345</v>
      </c>
      <c r="K673" t="s">
        <v>253</v>
      </c>
      <c r="L673" t="s">
        <v>252</v>
      </c>
      <c r="M673" t="s">
        <v>86</v>
      </c>
      <c r="N673">
        <v>2</v>
      </c>
      <c r="O673" t="s">
        <v>960</v>
      </c>
      <c r="P673" t="s">
        <v>959</v>
      </c>
      <c r="Q673" t="s">
        <v>251</v>
      </c>
      <c r="R673" s="7">
        <v>35247</v>
      </c>
      <c r="S673" s="8">
        <f t="shared" si="80"/>
        <v>1996</v>
      </c>
      <c r="T673" s="8">
        <v>1996</v>
      </c>
      <c r="U673" s="8">
        <f t="shared" si="81"/>
        <v>26</v>
      </c>
      <c r="V673" s="7">
        <v>35247</v>
      </c>
      <c r="W673" t="s">
        <v>859</v>
      </c>
      <c r="X673" s="2">
        <v>0.10100000000000001</v>
      </c>
      <c r="Y673" s="6">
        <f t="shared" si="82"/>
        <v>2.6961373161421215E-3</v>
      </c>
      <c r="AA673">
        <v>9711600</v>
      </c>
      <c r="AB673">
        <v>29590</v>
      </c>
      <c r="AD673" t="s">
        <v>1</v>
      </c>
      <c r="AE673">
        <v>6</v>
      </c>
      <c r="AF673">
        <v>2</v>
      </c>
      <c r="AH673" t="s">
        <v>958</v>
      </c>
      <c r="AI673" t="s">
        <v>957</v>
      </c>
      <c r="AK673" t="s">
        <v>956</v>
      </c>
      <c r="AL673">
        <v>5</v>
      </c>
      <c r="AM673" s="5">
        <f t="shared" si="83"/>
        <v>0.19230769230769232</v>
      </c>
      <c r="AN673" s="4">
        <f t="shared" si="84"/>
        <v>2.9126496373751206E-4</v>
      </c>
      <c r="AO673" s="3"/>
      <c r="AP673">
        <v>0</v>
      </c>
      <c r="AR673" t="s">
        <v>0</v>
      </c>
      <c r="AT673" s="2" t="s">
        <v>9</v>
      </c>
      <c r="AU673" s="1">
        <f t="shared" si="85"/>
        <v>0.19746756104207386</v>
      </c>
      <c r="AV673" s="1">
        <f t="shared" si="86"/>
        <v>0.14937011399398167</v>
      </c>
      <c r="AW673" s="1">
        <f t="shared" si="87"/>
        <v>0.10127266694588949</v>
      </c>
    </row>
    <row r="674" spans="1:49" x14ac:dyDescent="0.2">
      <c r="A674">
        <v>672</v>
      </c>
      <c r="B674" t="s">
        <v>955</v>
      </c>
      <c r="F674" t="s">
        <v>954</v>
      </c>
      <c r="G674" t="s">
        <v>6</v>
      </c>
      <c r="H674" t="s">
        <v>5</v>
      </c>
      <c r="I674" t="s">
        <v>953</v>
      </c>
      <c r="J674">
        <v>60015179</v>
      </c>
      <c r="K674" t="s">
        <v>952</v>
      </c>
      <c r="L674" t="s">
        <v>951</v>
      </c>
      <c r="M674" t="s">
        <v>179</v>
      </c>
      <c r="N674">
        <v>3</v>
      </c>
      <c r="O674" t="s">
        <v>950</v>
      </c>
      <c r="P674" t="s">
        <v>949</v>
      </c>
      <c r="Q674" t="s">
        <v>948</v>
      </c>
      <c r="R674" s="7">
        <v>35247</v>
      </c>
      <c r="S674" s="8">
        <f t="shared" si="80"/>
        <v>1996</v>
      </c>
      <c r="T674" s="8">
        <v>1996</v>
      </c>
      <c r="U674" s="8">
        <f t="shared" si="81"/>
        <v>26</v>
      </c>
      <c r="V674" s="7">
        <v>35247</v>
      </c>
      <c r="W674" t="s">
        <v>880</v>
      </c>
      <c r="X674" s="2">
        <v>0.216</v>
      </c>
      <c r="Y674" s="6">
        <f t="shared" si="82"/>
        <v>5.765996636501962E-3</v>
      </c>
      <c r="AA674">
        <v>10544887</v>
      </c>
      <c r="AB674">
        <v>13200</v>
      </c>
      <c r="AD674" t="s">
        <v>1</v>
      </c>
      <c r="AE674">
        <v>11</v>
      </c>
      <c r="AF674">
        <v>2</v>
      </c>
      <c r="AH674" t="s">
        <v>947</v>
      </c>
      <c r="AI674" t="s">
        <v>946</v>
      </c>
      <c r="AK674" t="s">
        <v>945</v>
      </c>
      <c r="AL674">
        <v>11</v>
      </c>
      <c r="AM674" s="5">
        <f t="shared" si="83"/>
        <v>0.42307692307692307</v>
      </c>
      <c r="AN674" s="4">
        <f t="shared" si="84"/>
        <v>6.4078292022252644E-4</v>
      </c>
      <c r="AO674" s="3"/>
      <c r="AP674">
        <v>0</v>
      </c>
      <c r="AR674" t="s">
        <v>0</v>
      </c>
      <c r="AT674" s="2" t="s">
        <v>9</v>
      </c>
      <c r="AU674" s="1">
        <f t="shared" si="85"/>
        <v>0.42284325216181307</v>
      </c>
      <c r="AV674" s="1">
        <f t="shared" si="86"/>
        <v>0.32033897783622439</v>
      </c>
      <c r="AW674" s="1">
        <f t="shared" si="87"/>
        <v>0.21783470351063569</v>
      </c>
    </row>
    <row r="675" spans="1:49" x14ac:dyDescent="0.2">
      <c r="A675">
        <v>673</v>
      </c>
      <c r="B675" t="s">
        <v>944</v>
      </c>
      <c r="C675" t="s">
        <v>943</v>
      </c>
      <c r="F675" t="s">
        <v>942</v>
      </c>
      <c r="G675" t="s">
        <v>6</v>
      </c>
      <c r="H675" t="s">
        <v>5</v>
      </c>
      <c r="I675" t="s">
        <v>941</v>
      </c>
      <c r="J675" t="s">
        <v>940</v>
      </c>
      <c r="K675" t="s">
        <v>939</v>
      </c>
      <c r="L675" t="s">
        <v>938</v>
      </c>
      <c r="M675" t="s">
        <v>937</v>
      </c>
      <c r="N675">
        <v>3</v>
      </c>
      <c r="O675" t="s">
        <v>936</v>
      </c>
      <c r="P675" t="s">
        <v>935</v>
      </c>
      <c r="Q675" t="s">
        <v>934</v>
      </c>
      <c r="R675" s="7">
        <v>35247</v>
      </c>
      <c r="S675" s="8">
        <f t="shared" si="80"/>
        <v>1996</v>
      </c>
      <c r="T675" s="8">
        <v>1996</v>
      </c>
      <c r="U675" s="8">
        <f t="shared" si="81"/>
        <v>26</v>
      </c>
      <c r="V675" s="7">
        <v>35247</v>
      </c>
      <c r="W675" t="s">
        <v>544</v>
      </c>
      <c r="X675" s="2">
        <v>0.39600000000000002</v>
      </c>
      <c r="Y675" s="6">
        <f t="shared" si="82"/>
        <v>1.0570993833586931E-2</v>
      </c>
      <c r="AA675">
        <v>8858985</v>
      </c>
      <c r="AB675">
        <v>25993</v>
      </c>
      <c r="AD675" t="s">
        <v>1</v>
      </c>
      <c r="AE675">
        <v>11</v>
      </c>
      <c r="AF675">
        <v>7</v>
      </c>
      <c r="AH675" t="s">
        <v>933</v>
      </c>
      <c r="AI675" t="s">
        <v>932</v>
      </c>
      <c r="AJ675" t="s">
        <v>931</v>
      </c>
      <c r="AK675" t="s">
        <v>930</v>
      </c>
      <c r="AL675">
        <v>2</v>
      </c>
      <c r="AM675" s="5">
        <f t="shared" si="83"/>
        <v>7.6923076923076927E-2</v>
      </c>
      <c r="AN675" s="4">
        <f t="shared" si="84"/>
        <v>1.1650598549500481E-4</v>
      </c>
      <c r="AO675" s="3"/>
      <c r="AP675">
        <v>0</v>
      </c>
      <c r="AR675" t="s">
        <v>0</v>
      </c>
      <c r="AT675" s="2" t="s">
        <v>9</v>
      </c>
      <c r="AU675" s="1">
        <f t="shared" si="85"/>
        <v>0.74346474791593531</v>
      </c>
      <c r="AV675" s="1">
        <f t="shared" si="86"/>
        <v>0.5343749909540968</v>
      </c>
      <c r="AW675" s="1">
        <f t="shared" si="87"/>
        <v>0.32528523399225823</v>
      </c>
    </row>
    <row r="676" spans="1:49" x14ac:dyDescent="0.2">
      <c r="A676">
        <v>674</v>
      </c>
      <c r="B676" t="s">
        <v>929</v>
      </c>
      <c r="F676" t="s">
        <v>928</v>
      </c>
      <c r="G676" t="s">
        <v>6</v>
      </c>
      <c r="H676" t="s">
        <v>5</v>
      </c>
      <c r="I676" t="s">
        <v>927</v>
      </c>
      <c r="J676" t="s">
        <v>926</v>
      </c>
      <c r="K676" t="s">
        <v>925</v>
      </c>
      <c r="L676" t="s">
        <v>924</v>
      </c>
      <c r="M676" t="s">
        <v>13</v>
      </c>
      <c r="N676">
        <v>3</v>
      </c>
      <c r="O676" t="s">
        <v>923</v>
      </c>
      <c r="P676" t="s">
        <v>922</v>
      </c>
      <c r="Q676" t="s">
        <v>921</v>
      </c>
      <c r="R676" s="7">
        <v>35247</v>
      </c>
      <c r="S676" s="8">
        <f t="shared" si="80"/>
        <v>1996</v>
      </c>
      <c r="T676" s="8">
        <v>1996</v>
      </c>
      <c r="U676" s="8">
        <f t="shared" si="81"/>
        <v>26</v>
      </c>
      <c r="V676" s="7">
        <v>35247</v>
      </c>
      <c r="W676" t="s">
        <v>880</v>
      </c>
      <c r="X676" s="2">
        <v>0.216</v>
      </c>
      <c r="Y676" s="6">
        <f t="shared" si="82"/>
        <v>5.765996636501962E-3</v>
      </c>
      <c r="AA676">
        <v>10544887</v>
      </c>
      <c r="AB676">
        <v>13200</v>
      </c>
      <c r="AD676" t="s">
        <v>1</v>
      </c>
      <c r="AE676">
        <v>11</v>
      </c>
      <c r="AF676">
        <v>2</v>
      </c>
      <c r="AH676" t="s">
        <v>920</v>
      </c>
      <c r="AI676" t="s">
        <v>919</v>
      </c>
      <c r="AK676" t="s">
        <v>918</v>
      </c>
      <c r="AL676">
        <v>2</v>
      </c>
      <c r="AM676" s="5">
        <f t="shared" si="83"/>
        <v>7.6923076923076927E-2</v>
      </c>
      <c r="AN676" s="4">
        <f t="shared" si="84"/>
        <v>1.1650598549500481E-4</v>
      </c>
      <c r="AO676" s="3"/>
      <c r="AP676">
        <v>0</v>
      </c>
      <c r="AR676" t="s">
        <v>0</v>
      </c>
      <c r="AT676" s="2" t="s">
        <v>9</v>
      </c>
      <c r="AU676" s="1">
        <f t="shared" si="85"/>
        <v>0.40711494411998739</v>
      </c>
      <c r="AV676" s="1">
        <f t="shared" si="86"/>
        <v>0.29412513109984834</v>
      </c>
      <c r="AW676" s="1">
        <f t="shared" si="87"/>
        <v>0.18113531807970917</v>
      </c>
    </row>
    <row r="677" spans="1:49" x14ac:dyDescent="0.2">
      <c r="A677">
        <v>675</v>
      </c>
      <c r="B677" t="s">
        <v>917</v>
      </c>
      <c r="F677" t="s">
        <v>916</v>
      </c>
      <c r="G677" t="s">
        <v>6</v>
      </c>
      <c r="H677" t="s">
        <v>5</v>
      </c>
      <c r="I677" t="s">
        <v>915</v>
      </c>
      <c r="J677" t="s">
        <v>914</v>
      </c>
      <c r="K677" t="s">
        <v>913</v>
      </c>
      <c r="L677" t="s">
        <v>912</v>
      </c>
      <c r="M677" t="s">
        <v>911</v>
      </c>
      <c r="N677">
        <v>1</v>
      </c>
      <c r="O677" t="s">
        <v>910</v>
      </c>
      <c r="P677">
        <v>7006126783</v>
      </c>
      <c r="Q677" t="s">
        <v>909</v>
      </c>
      <c r="R677" s="7">
        <v>35247</v>
      </c>
      <c r="S677" s="8">
        <f t="shared" si="80"/>
        <v>1996</v>
      </c>
      <c r="T677" s="8">
        <v>1996</v>
      </c>
      <c r="U677" s="8">
        <f t="shared" si="81"/>
        <v>26</v>
      </c>
      <c r="V677" s="7">
        <v>35247</v>
      </c>
      <c r="W677" t="s">
        <v>908</v>
      </c>
      <c r="X677" s="2" t="s">
        <v>9</v>
      </c>
      <c r="Y677" s="6" t="e">
        <f t="shared" si="82"/>
        <v>#VALUE!</v>
      </c>
      <c r="AA677">
        <v>13583948</v>
      </c>
      <c r="AB677">
        <v>17747</v>
      </c>
      <c r="AD677" t="s">
        <v>1</v>
      </c>
      <c r="AE677">
        <v>14</v>
      </c>
      <c r="AF677">
        <v>3</v>
      </c>
      <c r="AH677" t="s">
        <v>907</v>
      </c>
      <c r="AI677" t="s">
        <v>906</v>
      </c>
      <c r="AK677" t="s">
        <v>905</v>
      </c>
      <c r="AL677">
        <v>1</v>
      </c>
      <c r="AM677" s="5">
        <f t="shared" si="83"/>
        <v>3.8461538461538464E-2</v>
      </c>
      <c r="AN677" s="4">
        <f t="shared" si="84"/>
        <v>5.8252992747502406E-5</v>
      </c>
      <c r="AO677" s="3"/>
      <c r="AP677">
        <v>0</v>
      </c>
      <c r="AR677" t="s">
        <v>0</v>
      </c>
      <c r="AT677" s="2" t="s">
        <v>9</v>
      </c>
      <c r="AU677" s="1" t="e">
        <f t="shared" si="85"/>
        <v>#VALUE!</v>
      </c>
      <c r="AV677" s="1" t="e">
        <f t="shared" si="86"/>
        <v>#VALUE!</v>
      </c>
      <c r="AW677" s="1" t="e">
        <f t="shared" si="87"/>
        <v>#VALUE!</v>
      </c>
    </row>
    <row r="678" spans="1:49" x14ac:dyDescent="0.2">
      <c r="A678">
        <v>676</v>
      </c>
      <c r="B678" t="s">
        <v>904</v>
      </c>
      <c r="C678" t="s">
        <v>903</v>
      </c>
      <c r="D678" t="s">
        <v>902</v>
      </c>
      <c r="F678" t="s">
        <v>901</v>
      </c>
      <c r="G678" t="s">
        <v>6</v>
      </c>
      <c r="H678" t="s">
        <v>5</v>
      </c>
      <c r="I678" t="s">
        <v>900</v>
      </c>
      <c r="J678" t="s">
        <v>899</v>
      </c>
      <c r="K678" t="s">
        <v>898</v>
      </c>
      <c r="L678" t="s">
        <v>897</v>
      </c>
      <c r="M678" t="s">
        <v>606</v>
      </c>
      <c r="N678">
        <v>2</v>
      </c>
      <c r="O678" t="s">
        <v>896</v>
      </c>
      <c r="P678" t="s">
        <v>895</v>
      </c>
      <c r="Q678" t="s">
        <v>894</v>
      </c>
      <c r="R678" s="7">
        <v>35247</v>
      </c>
      <c r="S678" s="8">
        <f t="shared" si="80"/>
        <v>1996</v>
      </c>
      <c r="T678" s="8">
        <v>1996</v>
      </c>
      <c r="U678" s="8">
        <f t="shared" si="81"/>
        <v>26</v>
      </c>
      <c r="V678" s="7">
        <v>35247</v>
      </c>
      <c r="W678" t="s">
        <v>142</v>
      </c>
      <c r="X678" s="2">
        <v>0.94</v>
      </c>
      <c r="Y678" s="6">
        <f t="shared" si="82"/>
        <v>2.5092763140332611E-2</v>
      </c>
      <c r="AA678">
        <v>10518207</v>
      </c>
      <c r="AB678">
        <v>63372</v>
      </c>
      <c r="AD678" t="s">
        <v>1</v>
      </c>
      <c r="AE678">
        <v>6</v>
      </c>
      <c r="AF678">
        <v>7</v>
      </c>
      <c r="AH678" t="s">
        <v>893</v>
      </c>
      <c r="AI678" t="s">
        <v>892</v>
      </c>
      <c r="AK678" t="s">
        <v>891</v>
      </c>
      <c r="AL678">
        <v>8</v>
      </c>
      <c r="AM678" s="5">
        <f t="shared" si="83"/>
        <v>0.30769230769230771</v>
      </c>
      <c r="AN678" s="4">
        <f t="shared" si="84"/>
        <v>4.6602394198001925E-4</v>
      </c>
      <c r="AO678" s="3"/>
      <c r="AP678">
        <v>0</v>
      </c>
      <c r="AQ678" t="s">
        <v>605</v>
      </c>
      <c r="AR678" t="s">
        <v>890</v>
      </c>
      <c r="AS678" t="s">
        <v>604</v>
      </c>
      <c r="AT678" s="2" t="s">
        <v>9</v>
      </c>
      <c r="AU678" s="1">
        <f t="shared" si="85"/>
        <v>1.7704741380826832</v>
      </c>
      <c r="AV678" s="1">
        <f t="shared" si="86"/>
        <v>1.2779393541156314</v>
      </c>
      <c r="AW678" s="1">
        <f t="shared" si="87"/>
        <v>0.78540457014857967</v>
      </c>
    </row>
    <row r="679" spans="1:49" x14ac:dyDescent="0.2">
      <c r="A679">
        <v>677</v>
      </c>
      <c r="B679" t="s">
        <v>889</v>
      </c>
      <c r="F679" t="s">
        <v>888</v>
      </c>
      <c r="G679" t="s">
        <v>6</v>
      </c>
      <c r="H679" t="s">
        <v>5</v>
      </c>
      <c r="I679" t="s">
        <v>887</v>
      </c>
      <c r="J679" t="s">
        <v>886</v>
      </c>
      <c r="K679" t="s">
        <v>885</v>
      </c>
      <c r="L679" t="s">
        <v>884</v>
      </c>
      <c r="M679" t="s">
        <v>88</v>
      </c>
      <c r="N679">
        <v>3</v>
      </c>
      <c r="O679" t="s">
        <v>883</v>
      </c>
      <c r="P679" t="s">
        <v>882</v>
      </c>
      <c r="Q679" t="s">
        <v>881</v>
      </c>
      <c r="R679" s="7">
        <v>35247</v>
      </c>
      <c r="S679" s="8">
        <f t="shared" si="80"/>
        <v>1996</v>
      </c>
      <c r="T679" s="8">
        <v>1996</v>
      </c>
      <c r="U679" s="8">
        <f t="shared" si="81"/>
        <v>26</v>
      </c>
      <c r="V679" s="7">
        <v>35247</v>
      </c>
      <c r="W679" t="s">
        <v>880</v>
      </c>
      <c r="X679" s="2">
        <v>0.216</v>
      </c>
      <c r="Y679" s="6">
        <f t="shared" si="82"/>
        <v>5.765996636501962E-3</v>
      </c>
      <c r="AA679">
        <v>10544887</v>
      </c>
      <c r="AB679">
        <v>13200</v>
      </c>
      <c r="AD679" t="s">
        <v>1</v>
      </c>
      <c r="AE679">
        <v>11</v>
      </c>
      <c r="AF679">
        <v>2</v>
      </c>
      <c r="AH679" t="s">
        <v>613</v>
      </c>
      <c r="AI679" t="s">
        <v>879</v>
      </c>
      <c r="AK679" t="s">
        <v>878</v>
      </c>
      <c r="AL679">
        <v>7</v>
      </c>
      <c r="AM679" s="5">
        <f t="shared" si="83"/>
        <v>0.26923076923076922</v>
      </c>
      <c r="AN679" s="4">
        <f t="shared" si="84"/>
        <v>4.0777094923251682E-4</v>
      </c>
      <c r="AO679" s="3"/>
      <c r="AP679">
        <v>0</v>
      </c>
      <c r="AR679" t="s">
        <v>0</v>
      </c>
      <c r="AT679" s="2" t="s">
        <v>9</v>
      </c>
      <c r="AU679" s="1">
        <f t="shared" si="85"/>
        <v>0.41585289303211281</v>
      </c>
      <c r="AV679" s="1">
        <f t="shared" si="86"/>
        <v>0.30868837928672394</v>
      </c>
      <c r="AW679" s="1">
        <f t="shared" si="87"/>
        <v>0.20152386554133503</v>
      </c>
    </row>
    <row r="680" spans="1:49" x14ac:dyDescent="0.2">
      <c r="A680">
        <v>678</v>
      </c>
      <c r="B680" t="s">
        <v>877</v>
      </c>
      <c r="F680" t="s">
        <v>876</v>
      </c>
      <c r="G680" t="s">
        <v>6</v>
      </c>
      <c r="H680" t="s">
        <v>5</v>
      </c>
      <c r="I680" t="s">
        <v>875</v>
      </c>
      <c r="J680">
        <v>100337460</v>
      </c>
      <c r="K680" t="s">
        <v>874</v>
      </c>
      <c r="L680" t="s">
        <v>873</v>
      </c>
      <c r="M680" t="s">
        <v>2</v>
      </c>
      <c r="N680">
        <v>1</v>
      </c>
      <c r="O680" t="s">
        <v>872</v>
      </c>
      <c r="P680">
        <v>7401919128</v>
      </c>
      <c r="Q680">
        <v>100337460</v>
      </c>
      <c r="R680" s="7">
        <v>35247</v>
      </c>
      <c r="S680" s="8">
        <f t="shared" si="80"/>
        <v>1996</v>
      </c>
      <c r="T680" s="8">
        <v>1996</v>
      </c>
      <c r="U680" s="8">
        <f t="shared" si="81"/>
        <v>26</v>
      </c>
      <c r="V680" s="7">
        <v>35247</v>
      </c>
      <c r="W680" t="s">
        <v>63</v>
      </c>
      <c r="X680" s="2">
        <v>0.13800000000000001</v>
      </c>
      <c r="Y680" s="6">
        <f t="shared" si="82"/>
        <v>3.6838311844318095E-3</v>
      </c>
      <c r="AA680">
        <v>1926225</v>
      </c>
      <c r="AB680">
        <v>18580</v>
      </c>
      <c r="AD680" t="s">
        <v>1</v>
      </c>
      <c r="AE680">
        <v>39</v>
      </c>
      <c r="AF680">
        <v>7</v>
      </c>
      <c r="AI680" t="s">
        <v>871</v>
      </c>
      <c r="AK680" t="s">
        <v>870</v>
      </c>
      <c r="AL680">
        <v>1</v>
      </c>
      <c r="AM680" s="5">
        <f t="shared" si="83"/>
        <v>3.8461538461538464E-2</v>
      </c>
      <c r="AN680" s="4">
        <f t="shared" si="84"/>
        <v>5.8252992747502406E-5</v>
      </c>
      <c r="AO680" s="3"/>
      <c r="AP680">
        <v>0</v>
      </c>
      <c r="AR680" t="s">
        <v>0</v>
      </c>
      <c r="AT680" s="2">
        <v>0.30599999999999999</v>
      </c>
      <c r="AU680" s="1">
        <f t="shared" si="85"/>
        <v>0.25961577269265174</v>
      </c>
      <c r="AV680" s="1">
        <f t="shared" si="86"/>
        <v>0.18710420885896559</v>
      </c>
      <c r="AW680" s="1">
        <f t="shared" si="87"/>
        <v>0.11459264502527945</v>
      </c>
    </row>
    <row r="681" spans="1:49" x14ac:dyDescent="0.2">
      <c r="A681">
        <v>679</v>
      </c>
      <c r="B681" t="s">
        <v>869</v>
      </c>
      <c r="F681" t="s">
        <v>868</v>
      </c>
      <c r="G681" t="s">
        <v>6</v>
      </c>
      <c r="H681" t="s">
        <v>5</v>
      </c>
      <c r="I681" t="s">
        <v>867</v>
      </c>
      <c r="J681" t="s">
        <v>866</v>
      </c>
      <c r="K681" t="s">
        <v>865</v>
      </c>
      <c r="L681" t="s">
        <v>864</v>
      </c>
      <c r="M681" t="s">
        <v>863</v>
      </c>
      <c r="N681">
        <v>3</v>
      </c>
      <c r="O681" t="s">
        <v>862</v>
      </c>
      <c r="P681" t="s">
        <v>861</v>
      </c>
      <c r="Q681" t="s">
        <v>860</v>
      </c>
      <c r="R681" s="7">
        <v>35247</v>
      </c>
      <c r="S681" s="8">
        <f t="shared" si="80"/>
        <v>1996</v>
      </c>
      <c r="T681" s="8">
        <v>1996</v>
      </c>
      <c r="U681" s="8">
        <f t="shared" si="81"/>
        <v>26</v>
      </c>
      <c r="V681" s="7">
        <v>35247</v>
      </c>
      <c r="W681" t="s">
        <v>859</v>
      </c>
      <c r="X681" s="2">
        <v>0.10100000000000001</v>
      </c>
      <c r="Y681" s="6">
        <f t="shared" si="82"/>
        <v>2.6961373161421215E-3</v>
      </c>
      <c r="AA681">
        <v>9711600</v>
      </c>
      <c r="AB681">
        <v>29590</v>
      </c>
      <c r="AD681" t="s">
        <v>1</v>
      </c>
      <c r="AE681">
        <v>6</v>
      </c>
      <c r="AF681">
        <v>2</v>
      </c>
      <c r="AH681" s="10">
        <v>41487</v>
      </c>
      <c r="AI681" t="s">
        <v>858</v>
      </c>
      <c r="AJ681" t="s">
        <v>857</v>
      </c>
      <c r="AK681" t="s">
        <v>856</v>
      </c>
      <c r="AL681">
        <v>1</v>
      </c>
      <c r="AM681" s="5">
        <f t="shared" si="83"/>
        <v>3.8461538461538464E-2</v>
      </c>
      <c r="AN681" s="4">
        <f t="shared" si="84"/>
        <v>5.8252992747502406E-5</v>
      </c>
      <c r="AO681" s="3"/>
      <c r="AP681">
        <v>0</v>
      </c>
      <c r="AR681" t="s">
        <v>0</v>
      </c>
      <c r="AT681" s="2" t="s">
        <v>9</v>
      </c>
      <c r="AU681" s="1">
        <f t="shared" si="85"/>
        <v>0.19047720191237358</v>
      </c>
      <c r="AV681" s="1">
        <f t="shared" si="86"/>
        <v>0.13771951544448119</v>
      </c>
      <c r="AW681" s="1">
        <f t="shared" si="87"/>
        <v>8.4961828976588799E-2</v>
      </c>
    </row>
    <row r="682" spans="1:49" x14ac:dyDescent="0.2">
      <c r="A682">
        <v>680</v>
      </c>
      <c r="B682" t="s">
        <v>855</v>
      </c>
      <c r="F682" t="s">
        <v>854</v>
      </c>
      <c r="G682" t="s">
        <v>6</v>
      </c>
      <c r="H682" t="s">
        <v>5</v>
      </c>
      <c r="I682" t="s">
        <v>84</v>
      </c>
      <c r="N682">
        <v>1</v>
      </c>
      <c r="O682" t="s">
        <v>83</v>
      </c>
      <c r="P682">
        <v>1</v>
      </c>
      <c r="R682" s="7">
        <v>35247</v>
      </c>
      <c r="S682" s="8">
        <f t="shared" si="80"/>
        <v>1996</v>
      </c>
      <c r="T682" s="8">
        <v>1996</v>
      </c>
      <c r="U682" s="8">
        <f t="shared" si="81"/>
        <v>26</v>
      </c>
      <c r="V682" s="7">
        <v>35247</v>
      </c>
      <c r="W682" t="s">
        <v>853</v>
      </c>
      <c r="X682" s="2">
        <v>0.26700000000000002</v>
      </c>
      <c r="Y682" s="6">
        <f t="shared" si="82"/>
        <v>7.1274125090093707E-3</v>
      </c>
      <c r="AA682">
        <v>10224653</v>
      </c>
      <c r="AB682">
        <v>24184</v>
      </c>
      <c r="AD682" t="s">
        <v>1</v>
      </c>
      <c r="AE682">
        <v>5</v>
      </c>
      <c r="AF682">
        <v>1</v>
      </c>
      <c r="AH682">
        <v>96</v>
      </c>
      <c r="AI682" t="s">
        <v>852</v>
      </c>
      <c r="AK682" t="s">
        <v>851</v>
      </c>
      <c r="AL682">
        <v>0</v>
      </c>
      <c r="AM682" s="5">
        <f t="shared" si="83"/>
        <v>0</v>
      </c>
      <c r="AN682" s="4">
        <f t="shared" si="84"/>
        <v>0</v>
      </c>
      <c r="AO682" s="3"/>
      <c r="AP682">
        <v>0</v>
      </c>
      <c r="AR682" t="s">
        <v>0</v>
      </c>
      <c r="AT682" s="2">
        <v>1.014</v>
      </c>
      <c r="AU682" s="1">
        <f t="shared" si="85"/>
        <v>0.49891887563065596</v>
      </c>
      <c r="AV682" s="1">
        <f t="shared" si="86"/>
        <v>0.35637062545046855</v>
      </c>
      <c r="AW682" s="1">
        <f t="shared" si="87"/>
        <v>0.21382237527028108</v>
      </c>
    </row>
    <row r="683" spans="1:49" x14ac:dyDescent="0.2">
      <c r="A683">
        <v>681</v>
      </c>
      <c r="B683" t="s">
        <v>850</v>
      </c>
      <c r="C683" t="s">
        <v>849</v>
      </c>
      <c r="D683" t="s">
        <v>848</v>
      </c>
      <c r="F683" t="s">
        <v>847</v>
      </c>
      <c r="G683" t="s">
        <v>6</v>
      </c>
      <c r="H683" t="s">
        <v>5</v>
      </c>
      <c r="I683" t="s">
        <v>846</v>
      </c>
      <c r="J683" t="s">
        <v>845</v>
      </c>
      <c r="K683" t="s">
        <v>844</v>
      </c>
      <c r="L683" t="s">
        <v>843</v>
      </c>
      <c r="M683" t="s">
        <v>842</v>
      </c>
      <c r="N683">
        <v>5</v>
      </c>
      <c r="O683" t="s">
        <v>841</v>
      </c>
      <c r="P683" t="s">
        <v>840</v>
      </c>
      <c r="Q683" t="s">
        <v>839</v>
      </c>
      <c r="R683" s="7">
        <v>35247</v>
      </c>
      <c r="S683" s="8">
        <f t="shared" si="80"/>
        <v>1996</v>
      </c>
      <c r="T683" s="8">
        <v>1996</v>
      </c>
      <c r="U683" s="8">
        <f t="shared" si="81"/>
        <v>26</v>
      </c>
      <c r="V683" s="7">
        <v>35247</v>
      </c>
      <c r="W683" t="s">
        <v>838</v>
      </c>
      <c r="X683" s="2">
        <v>1.337</v>
      </c>
      <c r="Y683" s="6">
        <f t="shared" si="82"/>
        <v>3.5690451402792235E-2</v>
      </c>
      <c r="AA683">
        <v>7413106</v>
      </c>
      <c r="AB683">
        <v>26005</v>
      </c>
      <c r="AD683" t="s">
        <v>1</v>
      </c>
      <c r="AE683">
        <v>17</v>
      </c>
      <c r="AF683">
        <v>7</v>
      </c>
      <c r="AH683" t="s">
        <v>837</v>
      </c>
      <c r="AI683" t="s">
        <v>836</v>
      </c>
      <c r="AK683" t="s">
        <v>835</v>
      </c>
      <c r="AL683">
        <v>1</v>
      </c>
      <c r="AM683" s="5">
        <f t="shared" si="83"/>
        <v>3.8461538461538464E-2</v>
      </c>
      <c r="AN683" s="4">
        <f t="shared" si="84"/>
        <v>5.8252992747502406E-5</v>
      </c>
      <c r="AO683" s="3"/>
      <c r="AP683">
        <v>0</v>
      </c>
      <c r="AR683" t="s">
        <v>834</v>
      </c>
      <c r="AT683" s="2">
        <v>4.1870000000000003</v>
      </c>
      <c r="AU683" s="1">
        <f t="shared" si="85"/>
        <v>2.5000791879778812</v>
      </c>
      <c r="AV683" s="1">
        <f t="shared" si="86"/>
        <v>1.7874352197769869</v>
      </c>
      <c r="AW683" s="1">
        <f t="shared" si="87"/>
        <v>1.0747912515760922</v>
      </c>
    </row>
    <row r="684" spans="1:49" x14ac:dyDescent="0.2">
      <c r="A684">
        <v>682</v>
      </c>
      <c r="B684" t="s">
        <v>833</v>
      </c>
      <c r="F684" t="s">
        <v>832</v>
      </c>
      <c r="G684" t="s">
        <v>6</v>
      </c>
      <c r="H684" t="s">
        <v>5</v>
      </c>
      <c r="I684" t="s">
        <v>831</v>
      </c>
      <c r="N684">
        <v>2</v>
      </c>
      <c r="O684" t="s">
        <v>830</v>
      </c>
      <c r="P684" t="s">
        <v>829</v>
      </c>
      <c r="Q684" t="s">
        <v>460</v>
      </c>
      <c r="R684" s="7">
        <v>35247</v>
      </c>
      <c r="S684" s="8">
        <f t="shared" si="80"/>
        <v>1996</v>
      </c>
      <c r="T684" s="8">
        <v>1996</v>
      </c>
      <c r="U684" s="8">
        <f t="shared" si="81"/>
        <v>26</v>
      </c>
      <c r="V684" s="7">
        <v>35247</v>
      </c>
      <c r="W684" t="s">
        <v>828</v>
      </c>
      <c r="X684" s="2">
        <v>0.1</v>
      </c>
      <c r="Y684" s="6">
        <f t="shared" si="82"/>
        <v>2.6694428872694269E-3</v>
      </c>
      <c r="AA684">
        <v>1266209</v>
      </c>
      <c r="AB684">
        <v>22394</v>
      </c>
      <c r="AD684" t="s">
        <v>1</v>
      </c>
      <c r="AF684">
        <v>165</v>
      </c>
      <c r="AH684" s="10">
        <v>41334</v>
      </c>
      <c r="AI684" t="s">
        <v>827</v>
      </c>
      <c r="AK684" t="s">
        <v>826</v>
      </c>
      <c r="AL684">
        <v>0</v>
      </c>
      <c r="AM684" s="5">
        <f t="shared" si="83"/>
        <v>0</v>
      </c>
      <c r="AN684" s="4">
        <f t="shared" si="84"/>
        <v>0</v>
      </c>
      <c r="AO684" s="3"/>
      <c r="AP684">
        <v>0</v>
      </c>
      <c r="AR684" t="s">
        <v>0</v>
      </c>
      <c r="AT684" s="2" t="s">
        <v>9</v>
      </c>
      <c r="AU684" s="1">
        <f t="shared" si="85"/>
        <v>0.18686100210885986</v>
      </c>
      <c r="AV684" s="1">
        <f t="shared" si="86"/>
        <v>0.13347214436347135</v>
      </c>
      <c r="AW684" s="1">
        <f t="shared" si="87"/>
        <v>8.0083286618082811E-2</v>
      </c>
    </row>
    <row r="685" spans="1:49" x14ac:dyDescent="0.2">
      <c r="A685">
        <v>683</v>
      </c>
      <c r="B685" t="s">
        <v>825</v>
      </c>
      <c r="C685" t="s">
        <v>824</v>
      </c>
      <c r="F685" t="s">
        <v>823</v>
      </c>
      <c r="G685" t="s">
        <v>6</v>
      </c>
      <c r="H685" t="s">
        <v>5</v>
      </c>
      <c r="I685" t="s">
        <v>822</v>
      </c>
      <c r="J685">
        <v>60032179</v>
      </c>
      <c r="K685" t="s">
        <v>58</v>
      </c>
      <c r="L685" t="s">
        <v>57</v>
      </c>
      <c r="M685" t="s">
        <v>2</v>
      </c>
      <c r="N685">
        <v>2</v>
      </c>
      <c r="O685" t="s">
        <v>821</v>
      </c>
      <c r="P685" t="s">
        <v>820</v>
      </c>
      <c r="Q685" t="s">
        <v>509</v>
      </c>
      <c r="R685" s="7">
        <v>35247</v>
      </c>
      <c r="S685" s="8">
        <f t="shared" si="80"/>
        <v>1996</v>
      </c>
      <c r="T685" s="8">
        <v>1996</v>
      </c>
      <c r="U685" s="8">
        <f t="shared" si="81"/>
        <v>26</v>
      </c>
      <c r="V685" s="7">
        <v>35247</v>
      </c>
      <c r="W685" t="s">
        <v>593</v>
      </c>
      <c r="X685" s="2">
        <v>1.774</v>
      </c>
      <c r="Y685" s="6">
        <f t="shared" si="82"/>
        <v>4.7355916820159633E-2</v>
      </c>
      <c r="AA685">
        <v>295515</v>
      </c>
      <c r="AB685">
        <v>29066</v>
      </c>
      <c r="AD685" t="s">
        <v>1</v>
      </c>
      <c r="AE685">
        <v>36</v>
      </c>
      <c r="AF685">
        <v>7</v>
      </c>
      <c r="AH685" t="s">
        <v>819</v>
      </c>
      <c r="AI685" t="s">
        <v>818</v>
      </c>
      <c r="AK685" t="s">
        <v>817</v>
      </c>
      <c r="AL685">
        <v>0</v>
      </c>
      <c r="AM685" s="5">
        <f t="shared" si="83"/>
        <v>0</v>
      </c>
      <c r="AN685" s="4">
        <f t="shared" si="84"/>
        <v>0</v>
      </c>
      <c r="AO685" s="3"/>
      <c r="AP685">
        <v>0</v>
      </c>
      <c r="AR685" t="s">
        <v>0</v>
      </c>
      <c r="AT685" s="2">
        <v>3.1789999999999998</v>
      </c>
      <c r="AU685" s="1">
        <f t="shared" si="85"/>
        <v>3.3149141774111741</v>
      </c>
      <c r="AV685" s="1">
        <f t="shared" si="86"/>
        <v>2.3677958410079816</v>
      </c>
      <c r="AW685" s="1">
        <f t="shared" si="87"/>
        <v>1.4206775046047888</v>
      </c>
    </row>
    <row r="686" spans="1:49" x14ac:dyDescent="0.2">
      <c r="A686">
        <v>684</v>
      </c>
      <c r="B686" t="s">
        <v>816</v>
      </c>
      <c r="F686" t="s">
        <v>815</v>
      </c>
      <c r="G686" t="s">
        <v>6</v>
      </c>
      <c r="H686" t="s">
        <v>5</v>
      </c>
      <c r="I686" t="s">
        <v>384</v>
      </c>
      <c r="J686" t="s">
        <v>814</v>
      </c>
      <c r="K686" t="s">
        <v>813</v>
      </c>
      <c r="L686" t="s">
        <v>812</v>
      </c>
      <c r="M686" t="s">
        <v>51</v>
      </c>
      <c r="N686">
        <v>3</v>
      </c>
      <c r="O686" t="s">
        <v>811</v>
      </c>
      <c r="P686" t="s">
        <v>810</v>
      </c>
      <c r="Q686" t="s">
        <v>809</v>
      </c>
      <c r="R686" s="7">
        <v>35247</v>
      </c>
      <c r="S686" s="8">
        <f t="shared" si="80"/>
        <v>1996</v>
      </c>
      <c r="T686" s="8">
        <v>1996</v>
      </c>
      <c r="U686" s="8">
        <f t="shared" si="81"/>
        <v>26</v>
      </c>
      <c r="V686" s="7">
        <v>35247</v>
      </c>
      <c r="W686" t="s">
        <v>788</v>
      </c>
      <c r="X686" s="2" t="s">
        <v>9</v>
      </c>
      <c r="Y686" s="6" t="e">
        <f t="shared" si="82"/>
        <v>#VALUE!</v>
      </c>
      <c r="AA686">
        <v>9149260</v>
      </c>
      <c r="AB686">
        <v>23105</v>
      </c>
      <c r="AD686" t="s">
        <v>1</v>
      </c>
      <c r="AE686">
        <v>43</v>
      </c>
      <c r="AF686">
        <v>2</v>
      </c>
      <c r="AH686" t="s">
        <v>808</v>
      </c>
      <c r="AI686" t="s">
        <v>807</v>
      </c>
      <c r="AJ686" t="s">
        <v>806</v>
      </c>
      <c r="AK686" t="s">
        <v>805</v>
      </c>
      <c r="AL686">
        <v>2</v>
      </c>
      <c r="AM686" s="5">
        <f t="shared" si="83"/>
        <v>7.6923076923076927E-2</v>
      </c>
      <c r="AN686" s="4">
        <f t="shared" si="84"/>
        <v>1.1650598549500481E-4</v>
      </c>
      <c r="AO686" s="3"/>
      <c r="AP686">
        <v>0</v>
      </c>
      <c r="AR686" t="s">
        <v>0</v>
      </c>
      <c r="AT686" s="2" t="s">
        <v>9</v>
      </c>
      <c r="AU686" s="1" t="e">
        <f t="shared" si="85"/>
        <v>#VALUE!</v>
      </c>
      <c r="AV686" s="1" t="e">
        <f t="shared" si="86"/>
        <v>#VALUE!</v>
      </c>
      <c r="AW686" s="1" t="e">
        <f t="shared" si="87"/>
        <v>#VALUE!</v>
      </c>
    </row>
    <row r="687" spans="1:49" x14ac:dyDescent="0.2">
      <c r="A687">
        <v>685</v>
      </c>
      <c r="B687" t="s">
        <v>804</v>
      </c>
      <c r="F687" t="s">
        <v>803</v>
      </c>
      <c r="G687" t="s">
        <v>6</v>
      </c>
      <c r="H687" t="s">
        <v>5</v>
      </c>
      <c r="I687" t="s">
        <v>802</v>
      </c>
      <c r="J687">
        <v>100652156</v>
      </c>
      <c r="K687" t="s">
        <v>801</v>
      </c>
      <c r="M687" t="s">
        <v>44</v>
      </c>
      <c r="N687">
        <v>6</v>
      </c>
      <c r="O687" t="s">
        <v>800</v>
      </c>
      <c r="P687" t="s">
        <v>799</v>
      </c>
      <c r="Q687" t="s">
        <v>798</v>
      </c>
      <c r="R687" s="7">
        <v>35247</v>
      </c>
      <c r="S687" s="8">
        <f t="shared" si="80"/>
        <v>1996</v>
      </c>
      <c r="T687" s="8">
        <v>1996</v>
      </c>
      <c r="U687" s="8">
        <f t="shared" si="81"/>
        <v>26</v>
      </c>
      <c r="V687" s="7">
        <v>35247</v>
      </c>
      <c r="W687" t="s">
        <v>788</v>
      </c>
      <c r="X687" s="2" t="s">
        <v>9</v>
      </c>
      <c r="Y687" s="6" t="e">
        <f t="shared" si="82"/>
        <v>#VALUE!</v>
      </c>
      <c r="AA687">
        <v>9149260</v>
      </c>
      <c r="AB687">
        <v>23105</v>
      </c>
      <c r="AD687" t="s">
        <v>1</v>
      </c>
      <c r="AE687">
        <v>43</v>
      </c>
      <c r="AF687">
        <v>2</v>
      </c>
      <c r="AH687" t="s">
        <v>797</v>
      </c>
      <c r="AI687" t="s">
        <v>796</v>
      </c>
      <c r="AJ687" t="s">
        <v>795</v>
      </c>
      <c r="AK687" t="s">
        <v>794</v>
      </c>
      <c r="AL687">
        <v>4</v>
      </c>
      <c r="AM687" s="5">
        <f t="shared" si="83"/>
        <v>0.15384615384615385</v>
      </c>
      <c r="AN687" s="4">
        <f t="shared" si="84"/>
        <v>2.3301197099000962E-4</v>
      </c>
      <c r="AO687" s="3"/>
      <c r="AP687">
        <v>0</v>
      </c>
      <c r="AR687" t="s">
        <v>0</v>
      </c>
      <c r="AT687" s="2" t="s">
        <v>9</v>
      </c>
      <c r="AU687" s="1" t="e">
        <f t="shared" si="85"/>
        <v>#VALUE!</v>
      </c>
      <c r="AV687" s="1" t="e">
        <f t="shared" si="86"/>
        <v>#VALUE!</v>
      </c>
      <c r="AW687" s="1" t="e">
        <f t="shared" si="87"/>
        <v>#VALUE!</v>
      </c>
    </row>
    <row r="688" spans="1:49" x14ac:dyDescent="0.2">
      <c r="A688">
        <v>686</v>
      </c>
      <c r="B688" t="s">
        <v>793</v>
      </c>
      <c r="F688" t="s">
        <v>792</v>
      </c>
      <c r="G688" t="s">
        <v>6</v>
      </c>
      <c r="H688" t="s">
        <v>5</v>
      </c>
      <c r="I688" t="s">
        <v>791</v>
      </c>
      <c r="J688">
        <v>100598457</v>
      </c>
      <c r="K688" t="s">
        <v>790</v>
      </c>
      <c r="N688">
        <v>1</v>
      </c>
      <c r="O688" t="s">
        <v>789</v>
      </c>
      <c r="P688">
        <v>36176445900</v>
      </c>
      <c r="Q688">
        <v>100598457</v>
      </c>
      <c r="R688" s="7">
        <v>35247</v>
      </c>
      <c r="S688" s="8">
        <f t="shared" si="80"/>
        <v>1996</v>
      </c>
      <c r="T688" s="8">
        <v>1996</v>
      </c>
      <c r="U688" s="8">
        <f t="shared" si="81"/>
        <v>26</v>
      </c>
      <c r="V688" s="7">
        <v>35247</v>
      </c>
      <c r="W688" t="s">
        <v>788</v>
      </c>
      <c r="X688" s="2" t="s">
        <v>9</v>
      </c>
      <c r="Y688" s="6" t="e">
        <f t="shared" si="82"/>
        <v>#VALUE!</v>
      </c>
      <c r="AA688">
        <v>9149260</v>
      </c>
      <c r="AB688">
        <v>23105</v>
      </c>
      <c r="AD688" t="s">
        <v>1</v>
      </c>
      <c r="AE688">
        <v>43</v>
      </c>
      <c r="AF688">
        <v>2</v>
      </c>
      <c r="AH688" t="s">
        <v>787</v>
      </c>
      <c r="AI688" t="s">
        <v>786</v>
      </c>
      <c r="AJ688" t="s">
        <v>785</v>
      </c>
      <c r="AK688" t="s">
        <v>784</v>
      </c>
      <c r="AL688">
        <v>0</v>
      </c>
      <c r="AM688" s="5">
        <f t="shared" si="83"/>
        <v>0</v>
      </c>
      <c r="AN688" s="4">
        <f t="shared" si="84"/>
        <v>0</v>
      </c>
      <c r="AO688" s="3"/>
      <c r="AP688">
        <v>0</v>
      </c>
      <c r="AR688" t="s">
        <v>0</v>
      </c>
      <c r="AT688" s="2" t="s">
        <v>9</v>
      </c>
      <c r="AU688" s="1" t="e">
        <f t="shared" si="85"/>
        <v>#VALUE!</v>
      </c>
      <c r="AV688" s="1" t="e">
        <f t="shared" si="86"/>
        <v>#VALUE!</v>
      </c>
      <c r="AW688" s="1" t="e">
        <f t="shared" si="87"/>
        <v>#VALUE!</v>
      </c>
    </row>
    <row r="689" spans="1:49" x14ac:dyDescent="0.2">
      <c r="A689">
        <v>687</v>
      </c>
      <c r="B689" t="s">
        <v>783</v>
      </c>
      <c r="C689" t="s">
        <v>782</v>
      </c>
      <c r="F689" t="s">
        <v>781</v>
      </c>
      <c r="G689" t="s">
        <v>6</v>
      </c>
      <c r="H689" t="s">
        <v>5</v>
      </c>
      <c r="I689" t="s">
        <v>780</v>
      </c>
      <c r="J689" t="s">
        <v>779</v>
      </c>
      <c r="K689" t="s">
        <v>778</v>
      </c>
      <c r="L689" t="s">
        <v>777</v>
      </c>
      <c r="M689" t="s">
        <v>216</v>
      </c>
      <c r="N689">
        <v>3</v>
      </c>
      <c r="O689" t="s">
        <v>776</v>
      </c>
      <c r="P689" t="s">
        <v>775</v>
      </c>
      <c r="Q689" t="s">
        <v>774</v>
      </c>
      <c r="R689" s="7">
        <v>35247</v>
      </c>
      <c r="S689" s="8">
        <f t="shared" si="80"/>
        <v>1996</v>
      </c>
      <c r="T689" s="8">
        <v>1996</v>
      </c>
      <c r="U689" s="8">
        <f t="shared" si="81"/>
        <v>26</v>
      </c>
      <c r="V689" s="7">
        <v>35247</v>
      </c>
      <c r="W689" t="s">
        <v>773</v>
      </c>
      <c r="X689" s="2" t="s">
        <v>9</v>
      </c>
      <c r="Y689" s="6" t="e">
        <f t="shared" si="82"/>
        <v>#VALUE!</v>
      </c>
      <c r="AA689">
        <v>785326</v>
      </c>
      <c r="AB689">
        <v>12953</v>
      </c>
      <c r="AD689" t="s">
        <v>1</v>
      </c>
      <c r="AE689">
        <v>45</v>
      </c>
      <c r="AF689">
        <v>1</v>
      </c>
      <c r="AH689" t="s">
        <v>772</v>
      </c>
      <c r="AI689" t="s">
        <v>771</v>
      </c>
      <c r="AK689" t="s">
        <v>770</v>
      </c>
      <c r="AL689">
        <v>13</v>
      </c>
      <c r="AM689" s="5">
        <f t="shared" si="83"/>
        <v>0.5</v>
      </c>
      <c r="AN689" s="4">
        <f t="shared" si="84"/>
        <v>7.572889057175312E-4</v>
      </c>
      <c r="AO689" s="3"/>
      <c r="AP689">
        <v>0</v>
      </c>
      <c r="AR689" t="s">
        <v>0</v>
      </c>
      <c r="AT689" s="2" t="s">
        <v>9</v>
      </c>
      <c r="AU689" s="1" t="e">
        <f t="shared" si="85"/>
        <v>#VALUE!</v>
      </c>
      <c r="AV689" s="1" t="e">
        <f t="shared" si="86"/>
        <v>#VALUE!</v>
      </c>
      <c r="AW689" s="1" t="e">
        <f t="shared" si="87"/>
        <v>#VALUE!</v>
      </c>
    </row>
    <row r="690" spans="1:49" x14ac:dyDescent="0.2">
      <c r="A690">
        <v>688</v>
      </c>
      <c r="B690" t="s">
        <v>769</v>
      </c>
      <c r="E690">
        <v>8712739</v>
      </c>
      <c r="F690" t="s">
        <v>768</v>
      </c>
      <c r="G690" t="s">
        <v>6</v>
      </c>
      <c r="H690" t="s">
        <v>5</v>
      </c>
      <c r="I690" t="s">
        <v>767</v>
      </c>
      <c r="J690" t="s">
        <v>766</v>
      </c>
      <c r="K690" t="s">
        <v>765</v>
      </c>
      <c r="L690" t="s">
        <v>764</v>
      </c>
      <c r="M690" t="s">
        <v>763</v>
      </c>
      <c r="N690">
        <v>2</v>
      </c>
      <c r="O690" t="s">
        <v>762</v>
      </c>
      <c r="P690" t="s">
        <v>761</v>
      </c>
      <c r="Q690" t="s">
        <v>760</v>
      </c>
      <c r="R690" s="7">
        <v>35247</v>
      </c>
      <c r="S690" s="8">
        <f t="shared" si="80"/>
        <v>1996</v>
      </c>
      <c r="T690" s="8">
        <v>1996</v>
      </c>
      <c r="U690" s="8">
        <f t="shared" si="81"/>
        <v>26</v>
      </c>
      <c r="V690" s="7">
        <v>35247</v>
      </c>
      <c r="W690" t="s">
        <v>759</v>
      </c>
      <c r="X690" s="2">
        <v>0.73499999999999999</v>
      </c>
      <c r="Y690" s="6">
        <f t="shared" si="82"/>
        <v>1.9620405221430288E-2</v>
      </c>
      <c r="AA690">
        <v>2507005</v>
      </c>
      <c r="AB690">
        <v>28728</v>
      </c>
      <c r="AD690" t="s">
        <v>1</v>
      </c>
      <c r="AE690">
        <v>16</v>
      </c>
      <c r="AF690" s="12">
        <v>0.16666666666666666</v>
      </c>
      <c r="AH690" t="s">
        <v>758</v>
      </c>
      <c r="AI690" t="s">
        <v>757</v>
      </c>
      <c r="AJ690" t="s">
        <v>756</v>
      </c>
      <c r="AK690" t="s">
        <v>755</v>
      </c>
      <c r="AL690">
        <v>19</v>
      </c>
      <c r="AM690" s="5">
        <f t="shared" si="83"/>
        <v>0.73076923076923073</v>
      </c>
      <c r="AN690" s="4">
        <f t="shared" si="84"/>
        <v>1.1068068622025456E-3</v>
      </c>
      <c r="AO690" s="3"/>
      <c r="AP690">
        <v>0</v>
      </c>
      <c r="AR690" t="s">
        <v>0</v>
      </c>
      <c r="AT690" s="2">
        <v>2.48</v>
      </c>
      <c r="AU690" s="1">
        <f t="shared" si="85"/>
        <v>1.4066325713661965</v>
      </c>
      <c r="AV690" s="1">
        <f t="shared" si="86"/>
        <v>1.0363606041816416</v>
      </c>
      <c r="AW690" s="1">
        <f t="shared" si="87"/>
        <v>0.66608863699708676</v>
      </c>
    </row>
    <row r="691" spans="1:49" x14ac:dyDescent="0.2">
      <c r="A691">
        <v>689</v>
      </c>
      <c r="B691" t="s">
        <v>754</v>
      </c>
      <c r="F691" t="s">
        <v>753</v>
      </c>
      <c r="G691" t="s">
        <v>6</v>
      </c>
      <c r="H691" t="s">
        <v>5</v>
      </c>
      <c r="I691" t="s">
        <v>752</v>
      </c>
      <c r="N691">
        <v>4</v>
      </c>
      <c r="O691" t="s">
        <v>751</v>
      </c>
      <c r="P691" t="s">
        <v>750</v>
      </c>
      <c r="Q691" t="s">
        <v>749</v>
      </c>
      <c r="R691" s="7">
        <v>35247</v>
      </c>
      <c r="S691" s="8">
        <f t="shared" si="80"/>
        <v>1996</v>
      </c>
      <c r="T691" s="8">
        <v>1996</v>
      </c>
      <c r="U691" s="8">
        <f t="shared" si="81"/>
        <v>26</v>
      </c>
      <c r="V691" s="7">
        <v>35247</v>
      </c>
      <c r="W691" t="s">
        <v>748</v>
      </c>
      <c r="X691" s="2">
        <v>0.22</v>
      </c>
      <c r="Y691" s="6">
        <f t="shared" si="82"/>
        <v>5.8727743519927395E-3</v>
      </c>
      <c r="AA691">
        <v>2705214</v>
      </c>
      <c r="AB691">
        <v>28119</v>
      </c>
      <c r="AD691" t="s">
        <v>1</v>
      </c>
      <c r="AE691">
        <v>17</v>
      </c>
      <c r="AF691">
        <v>3</v>
      </c>
      <c r="AH691" t="s">
        <v>747</v>
      </c>
      <c r="AI691" t="s">
        <v>746</v>
      </c>
      <c r="AK691" t="s">
        <v>745</v>
      </c>
      <c r="AL691">
        <v>37</v>
      </c>
      <c r="AM691" s="5">
        <f t="shared" si="83"/>
        <v>1.4230769230769231</v>
      </c>
      <c r="AN691" s="4">
        <f t="shared" si="84"/>
        <v>2.1553607316575889E-3</v>
      </c>
      <c r="AO691" s="3"/>
      <c r="AP691">
        <v>0</v>
      </c>
      <c r="AR691" t="s">
        <v>0</v>
      </c>
      <c r="AT691" s="2" t="s">
        <v>9</v>
      </c>
      <c r="AU691" s="1">
        <f t="shared" si="85"/>
        <v>0.47575502658921948</v>
      </c>
      <c r="AV691" s="1">
        <f t="shared" si="86"/>
        <v>0.40140675418251642</v>
      </c>
      <c r="AW691" s="1">
        <f t="shared" si="87"/>
        <v>0.32705848177581337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1996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2021-11-11T10:44:55Z</dcterms:created>
  <dcterms:modified xsi:type="dcterms:W3CDTF">2022-01-19T20:27:29Z</dcterms:modified>
</cp:coreProperties>
</file>