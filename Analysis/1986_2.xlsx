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C0A0C0F3-4589-2A41-9F3D-65970B029FB1}" xr6:coauthVersionLast="47" xr6:coauthVersionMax="47" xr10:uidLastSave="{7B72C06A-634E-9546-8741-97702AECE198}"/>
  <bookViews>
    <workbookView xWindow="10340" yWindow="8840" windowWidth="27640" windowHeight="16940" xr2:uid="{75985975-CD6F-5448-BFD7-AE94D12C64E3}"/>
  </bookViews>
  <sheets>
    <sheet name="1986"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Y2" i="1"/>
  <c r="AM2" i="1"/>
  <c r="AN2" i="1" s="1"/>
  <c r="S3" i="1"/>
  <c r="U3" i="1"/>
  <c r="AM3" i="1" s="1"/>
  <c r="AN3" i="1" s="1"/>
  <c r="Y3" i="1"/>
  <c r="S4" i="1"/>
  <c r="U4" i="1"/>
  <c r="AM4" i="1" s="1"/>
  <c r="AN4" i="1" s="1"/>
  <c r="Y4" i="1"/>
  <c r="S5" i="1"/>
  <c r="U5" i="1"/>
  <c r="AM5" i="1" s="1"/>
  <c r="AN5" i="1" s="1"/>
  <c r="Y5" i="1"/>
  <c r="S6" i="1"/>
  <c r="U6" i="1"/>
  <c r="AM6" i="1" s="1"/>
  <c r="AN6" i="1" s="1"/>
  <c r="Y6" i="1"/>
  <c r="S7" i="1"/>
  <c r="U7" i="1"/>
  <c r="AM7" i="1" s="1"/>
  <c r="AN7" i="1" s="1"/>
  <c r="Y7" i="1"/>
  <c r="S8" i="1"/>
  <c r="U8" i="1"/>
  <c r="Y8" i="1"/>
  <c r="AM8" i="1"/>
  <c r="AN8" i="1" s="1"/>
  <c r="S9" i="1"/>
  <c r="U9" i="1"/>
  <c r="AM9" i="1" s="1"/>
  <c r="AN9" i="1" s="1"/>
  <c r="Y9" i="1"/>
  <c r="S10" i="1"/>
  <c r="U10" i="1"/>
  <c r="AM10" i="1" s="1"/>
  <c r="AN10" i="1" s="1"/>
  <c r="Y10" i="1"/>
  <c r="S11" i="1"/>
  <c r="U11" i="1"/>
  <c r="AM11" i="1" s="1"/>
  <c r="AN11" i="1" s="1"/>
  <c r="Y11" i="1"/>
  <c r="AW11" i="1" s="1"/>
  <c r="S12" i="1"/>
  <c r="U12" i="1"/>
  <c r="AM12" i="1" s="1"/>
  <c r="AN12" i="1" s="1"/>
  <c r="Y12" i="1"/>
  <c r="S13" i="1"/>
  <c r="U13" i="1"/>
  <c r="AM13" i="1" s="1"/>
  <c r="AN13" i="1" s="1"/>
  <c r="AU13" i="1" s="1"/>
  <c r="Y13" i="1"/>
  <c r="S14" i="1"/>
  <c r="U14" i="1"/>
  <c r="Y14" i="1"/>
  <c r="AM14" i="1"/>
  <c r="AN14" i="1" s="1"/>
  <c r="S15" i="1"/>
  <c r="U15" i="1"/>
  <c r="AM15" i="1" s="1"/>
  <c r="AN15" i="1" s="1"/>
  <c r="Y15" i="1"/>
  <c r="S16" i="1"/>
  <c r="U16" i="1"/>
  <c r="Y16" i="1"/>
  <c r="AM16" i="1"/>
  <c r="AN16" i="1" s="1"/>
  <c r="S17" i="1"/>
  <c r="U17" i="1"/>
  <c r="AM17" i="1" s="1"/>
  <c r="AN17" i="1" s="1"/>
  <c r="Y17" i="1"/>
  <c r="S18" i="1"/>
  <c r="U18" i="1"/>
  <c r="Y18" i="1"/>
  <c r="AM18" i="1"/>
  <c r="AN18" i="1" s="1"/>
  <c r="S19" i="1"/>
  <c r="U19" i="1"/>
  <c r="Y19" i="1"/>
  <c r="AM19" i="1"/>
  <c r="AN19" i="1" s="1"/>
  <c r="S20" i="1"/>
  <c r="U20" i="1"/>
  <c r="Y20" i="1"/>
  <c r="AM20" i="1"/>
  <c r="AN20" i="1" s="1"/>
  <c r="AU20" i="1" s="1"/>
  <c r="S21" i="1"/>
  <c r="U21" i="1"/>
  <c r="AM21" i="1" s="1"/>
  <c r="AN21" i="1" s="1"/>
  <c r="Y21" i="1"/>
  <c r="S22" i="1"/>
  <c r="U22" i="1"/>
  <c r="AM22" i="1" s="1"/>
  <c r="AN22" i="1" s="1"/>
  <c r="Y22" i="1"/>
  <c r="S23" i="1"/>
  <c r="U23" i="1"/>
  <c r="AM23" i="1" s="1"/>
  <c r="AN23" i="1" s="1"/>
  <c r="Y23" i="1"/>
  <c r="S24" i="1"/>
  <c r="U24" i="1"/>
  <c r="AM24" i="1" s="1"/>
  <c r="AN24" i="1" s="1"/>
  <c r="Y24" i="1"/>
  <c r="S25" i="1"/>
  <c r="U25" i="1"/>
  <c r="AM25" i="1" s="1"/>
  <c r="AN25" i="1" s="1"/>
  <c r="Y25" i="1"/>
  <c r="AW25" i="1" s="1"/>
  <c r="S26" i="1"/>
  <c r="U26" i="1"/>
  <c r="AM26" i="1" s="1"/>
  <c r="AN26" i="1" s="1"/>
  <c r="Y26" i="1"/>
  <c r="AW26" i="1" s="1"/>
  <c r="S27" i="1"/>
  <c r="U27" i="1"/>
  <c r="AM27" i="1" s="1"/>
  <c r="AN27" i="1" s="1"/>
  <c r="Y27" i="1"/>
  <c r="S28" i="1"/>
  <c r="U28" i="1"/>
  <c r="Y28" i="1"/>
  <c r="AM28" i="1"/>
  <c r="AN28" i="1" s="1"/>
  <c r="S29" i="1"/>
  <c r="U29" i="1"/>
  <c r="Y29" i="1"/>
  <c r="AM29" i="1"/>
  <c r="AN29" i="1" s="1"/>
  <c r="S30" i="1"/>
  <c r="U30" i="1"/>
  <c r="AM30" i="1" s="1"/>
  <c r="AN30" i="1" s="1"/>
  <c r="Y30" i="1"/>
  <c r="S31" i="1"/>
  <c r="U31" i="1"/>
  <c r="AM31" i="1" s="1"/>
  <c r="AN31" i="1" s="1"/>
  <c r="Y31" i="1"/>
  <c r="S32" i="1"/>
  <c r="U32" i="1"/>
  <c r="Y32" i="1"/>
  <c r="AU32" i="1" s="1"/>
  <c r="AM32" i="1"/>
  <c r="AN32" i="1" s="1"/>
  <c r="S33" i="1"/>
  <c r="U33" i="1"/>
  <c r="Y33" i="1"/>
  <c r="AM33" i="1"/>
  <c r="AN33" i="1" s="1"/>
  <c r="AV33" i="1" s="1"/>
  <c r="S34" i="1"/>
  <c r="U34" i="1"/>
  <c r="AM34" i="1" s="1"/>
  <c r="AN34" i="1" s="1"/>
  <c r="Y34" i="1"/>
  <c r="S35" i="1"/>
  <c r="U35" i="1"/>
  <c r="Y35" i="1"/>
  <c r="AM35" i="1"/>
  <c r="AN35" i="1" s="1"/>
  <c r="AW35" i="1" s="1"/>
  <c r="S36" i="1"/>
  <c r="U36" i="1"/>
  <c r="AM36" i="1" s="1"/>
  <c r="AN36" i="1" s="1"/>
  <c r="Y36" i="1"/>
  <c r="S37" i="1"/>
  <c r="U37" i="1"/>
  <c r="Y37" i="1"/>
  <c r="AM37" i="1"/>
  <c r="AN37" i="1" s="1"/>
  <c r="S38" i="1"/>
  <c r="U38" i="1"/>
  <c r="AM38" i="1" s="1"/>
  <c r="AN38" i="1" s="1"/>
  <c r="Y38" i="1"/>
  <c r="S39" i="1"/>
  <c r="U39" i="1"/>
  <c r="AM39" i="1" s="1"/>
  <c r="AN39" i="1" s="1"/>
  <c r="Y39" i="1"/>
  <c r="S40" i="1"/>
  <c r="U40" i="1"/>
  <c r="AM40" i="1" s="1"/>
  <c r="AN40" i="1" s="1"/>
  <c r="Y40" i="1"/>
  <c r="AV40" i="1" s="1"/>
  <c r="S41" i="1"/>
  <c r="U41" i="1"/>
  <c r="Y41" i="1"/>
  <c r="AV41" i="1" s="1"/>
  <c r="AM41" i="1"/>
  <c r="AN41" i="1" s="1"/>
  <c r="S42" i="1"/>
  <c r="U42" i="1"/>
  <c r="AM42" i="1" s="1"/>
  <c r="AN42" i="1" s="1"/>
  <c r="Y42" i="1"/>
  <c r="S43" i="1"/>
  <c r="U43" i="1"/>
  <c r="Y43" i="1"/>
  <c r="AM43" i="1"/>
  <c r="AN43" i="1" s="1"/>
  <c r="S44" i="1"/>
  <c r="U44" i="1"/>
  <c r="Y44" i="1"/>
  <c r="AM44" i="1"/>
  <c r="AN44" i="1" s="1"/>
  <c r="S45" i="1"/>
  <c r="U45" i="1"/>
  <c r="AM45" i="1" s="1"/>
  <c r="Y45" i="1"/>
  <c r="AN45" i="1"/>
  <c r="S46" i="1"/>
  <c r="U46" i="1"/>
  <c r="AM46" i="1" s="1"/>
  <c r="AN46" i="1" s="1"/>
  <c r="Y46" i="1"/>
  <c r="AV46" i="1" s="1"/>
  <c r="S47" i="1"/>
  <c r="U47" i="1"/>
  <c r="AM47" i="1" s="1"/>
  <c r="AN47" i="1" s="1"/>
  <c r="Y47" i="1"/>
  <c r="S48" i="1"/>
  <c r="U48" i="1"/>
  <c r="AM48" i="1" s="1"/>
  <c r="Y48" i="1"/>
  <c r="AN48" i="1"/>
  <c r="S49" i="1"/>
  <c r="U49" i="1"/>
  <c r="AM49" i="1" s="1"/>
  <c r="AN49" i="1" s="1"/>
  <c r="Y49" i="1"/>
  <c r="S50" i="1"/>
  <c r="U50" i="1"/>
  <c r="AM50" i="1" s="1"/>
  <c r="AN50" i="1" s="1"/>
  <c r="Y50" i="1"/>
  <c r="S51" i="1"/>
  <c r="U51" i="1"/>
  <c r="AM51" i="1" s="1"/>
  <c r="AN51" i="1" s="1"/>
  <c r="Y51" i="1"/>
  <c r="AW51" i="1"/>
  <c r="S52" i="1"/>
  <c r="U52" i="1"/>
  <c r="AM52" i="1" s="1"/>
  <c r="AN52" i="1" s="1"/>
  <c r="Y52" i="1"/>
  <c r="S53" i="1"/>
  <c r="U53" i="1"/>
  <c r="Y53" i="1"/>
  <c r="AM53" i="1"/>
  <c r="AN53" i="1" s="1"/>
  <c r="S54" i="1"/>
  <c r="U54" i="1"/>
  <c r="Y54" i="1"/>
  <c r="AM54" i="1"/>
  <c r="AN54" i="1" s="1"/>
  <c r="S55" i="1"/>
  <c r="U55" i="1"/>
  <c r="Y55" i="1"/>
  <c r="AM55" i="1"/>
  <c r="AN55" i="1" s="1"/>
  <c r="AV55" i="1"/>
  <c r="S56" i="1"/>
  <c r="U56" i="1"/>
  <c r="AM56" i="1" s="1"/>
  <c r="Y56" i="1"/>
  <c r="AN56" i="1"/>
  <c r="S57" i="1"/>
  <c r="U57" i="1"/>
  <c r="AM57" i="1" s="1"/>
  <c r="AN57" i="1" s="1"/>
  <c r="Y57" i="1"/>
  <c r="S58" i="1"/>
  <c r="U58" i="1"/>
  <c r="AM58" i="1" s="1"/>
  <c r="AN58" i="1" s="1"/>
  <c r="Y58" i="1"/>
  <c r="S59" i="1"/>
  <c r="U59" i="1"/>
  <c r="AM59" i="1" s="1"/>
  <c r="AN59" i="1" s="1"/>
  <c r="Y59" i="1"/>
  <c r="S60" i="1"/>
  <c r="U60" i="1"/>
  <c r="Y60" i="1"/>
  <c r="AM60" i="1"/>
  <c r="AN60" i="1" s="1"/>
  <c r="S61" i="1"/>
  <c r="U61" i="1"/>
  <c r="AM61" i="1" s="1"/>
  <c r="AN61" i="1" s="1"/>
  <c r="Y61" i="1"/>
  <c r="S62" i="1"/>
  <c r="U62" i="1"/>
  <c r="Y62" i="1"/>
  <c r="AM62" i="1"/>
  <c r="AN62" i="1" s="1"/>
  <c r="S63" i="1"/>
  <c r="U63" i="1"/>
  <c r="Y63" i="1"/>
  <c r="AM63" i="1"/>
  <c r="AN63" i="1" s="1"/>
  <c r="AV63" i="1" s="1"/>
  <c r="S64" i="1"/>
  <c r="U64" i="1"/>
  <c r="Y64" i="1"/>
  <c r="AM64" i="1"/>
  <c r="AN64" i="1" s="1"/>
  <c r="S65" i="1"/>
  <c r="U65" i="1"/>
  <c r="AM65" i="1" s="1"/>
  <c r="AN65" i="1" s="1"/>
  <c r="Y65" i="1"/>
  <c r="S66" i="1"/>
  <c r="U66" i="1"/>
  <c r="Y66" i="1"/>
  <c r="AM66" i="1"/>
  <c r="AN66" i="1" s="1"/>
  <c r="AW66" i="1" s="1"/>
  <c r="AV66" i="1"/>
  <c r="S67" i="1"/>
  <c r="U67" i="1"/>
  <c r="Y67" i="1"/>
  <c r="AM67" i="1"/>
  <c r="AN67" i="1" s="1"/>
  <c r="S68" i="1"/>
  <c r="U68" i="1"/>
  <c r="Y68" i="1"/>
  <c r="AM68" i="1"/>
  <c r="AN68" i="1" s="1"/>
  <c r="S69" i="1"/>
  <c r="U69" i="1"/>
  <c r="AM69" i="1" s="1"/>
  <c r="AN69" i="1" s="1"/>
  <c r="Y69" i="1"/>
  <c r="S70" i="1"/>
  <c r="U70" i="1"/>
  <c r="Y70" i="1"/>
  <c r="AM70" i="1"/>
  <c r="AN70" i="1"/>
  <c r="S71" i="1"/>
  <c r="U71" i="1"/>
  <c r="Y71" i="1"/>
  <c r="AM71" i="1"/>
  <c r="AN71" i="1" s="1"/>
  <c r="S72" i="1"/>
  <c r="U72" i="1"/>
  <c r="AM72" i="1" s="1"/>
  <c r="AN72" i="1" s="1"/>
  <c r="Y72" i="1"/>
  <c r="S73" i="1"/>
  <c r="U73" i="1"/>
  <c r="AM73" i="1" s="1"/>
  <c r="AN73" i="1" s="1"/>
  <c r="Y73" i="1"/>
  <c r="AV73" i="1" s="1"/>
  <c r="S74" i="1"/>
  <c r="U74" i="1"/>
  <c r="AM74" i="1" s="1"/>
  <c r="AN74" i="1" s="1"/>
  <c r="Y74" i="1"/>
  <c r="S75" i="1"/>
  <c r="U75" i="1"/>
  <c r="AM75" i="1" s="1"/>
  <c r="AN75" i="1" s="1"/>
  <c r="Y75" i="1"/>
  <c r="AU75" i="1" s="1"/>
  <c r="S76" i="1"/>
  <c r="U76" i="1"/>
  <c r="AM76" i="1" s="1"/>
  <c r="AN76" i="1" s="1"/>
  <c r="Y76" i="1"/>
  <c r="AW76" i="1" s="1"/>
  <c r="S77" i="1"/>
  <c r="U77" i="1"/>
  <c r="Y77" i="1"/>
  <c r="AM77" i="1"/>
  <c r="AN77" i="1" s="1"/>
  <c r="S78" i="1"/>
  <c r="U78" i="1"/>
  <c r="Y78" i="1"/>
  <c r="AM78" i="1"/>
  <c r="AN78" i="1" s="1"/>
  <c r="AV78" i="1"/>
  <c r="S79" i="1"/>
  <c r="U79" i="1"/>
  <c r="AM79" i="1" s="1"/>
  <c r="AN79" i="1" s="1"/>
  <c r="Y79" i="1"/>
  <c r="S80" i="1"/>
  <c r="U80" i="1"/>
  <c r="Y80" i="1"/>
  <c r="AM80" i="1"/>
  <c r="AN80" i="1"/>
  <c r="AV80" i="1" s="1"/>
  <c r="S81" i="1"/>
  <c r="U81" i="1"/>
  <c r="AM81" i="1" s="1"/>
  <c r="AN81" i="1" s="1"/>
  <c r="Y81" i="1"/>
  <c r="S82" i="1"/>
  <c r="U82" i="1"/>
  <c r="Y82" i="1"/>
  <c r="AM82" i="1"/>
  <c r="AN82" i="1" s="1"/>
  <c r="S83" i="1"/>
  <c r="U83" i="1"/>
  <c r="AM83" i="1" s="1"/>
  <c r="AN83" i="1" s="1"/>
  <c r="Y83" i="1"/>
  <c r="AU83" i="1" s="1"/>
  <c r="AV83" i="1"/>
  <c r="S84" i="1"/>
  <c r="U84" i="1"/>
  <c r="AM84" i="1" s="1"/>
  <c r="AN84" i="1" s="1"/>
  <c r="Y84" i="1"/>
  <c r="S85" i="1"/>
  <c r="U85" i="1"/>
  <c r="AM85" i="1" s="1"/>
  <c r="AN85" i="1" s="1"/>
  <c r="Y85" i="1"/>
  <c r="AV85" i="1" s="1"/>
  <c r="S86" i="1"/>
  <c r="U86" i="1"/>
  <c r="Y86" i="1"/>
  <c r="AM86" i="1"/>
  <c r="AN86" i="1" s="1"/>
  <c r="AV86" i="1" s="1"/>
  <c r="S87" i="1"/>
  <c r="U87" i="1"/>
  <c r="Y87" i="1"/>
  <c r="AM87" i="1"/>
  <c r="AN87" i="1" s="1"/>
  <c r="S88" i="1"/>
  <c r="U88" i="1"/>
  <c r="Y88" i="1"/>
  <c r="AM88" i="1"/>
  <c r="AN88" i="1"/>
  <c r="AV88" i="1" s="1"/>
  <c r="S89" i="1"/>
  <c r="U89" i="1"/>
  <c r="Y89" i="1"/>
  <c r="AM89" i="1"/>
  <c r="AN89" i="1" s="1"/>
  <c r="S90" i="1"/>
  <c r="U90" i="1"/>
  <c r="Y90" i="1"/>
  <c r="AM90" i="1"/>
  <c r="AN90" i="1" s="1"/>
  <c r="AV90" i="1"/>
  <c r="S91" i="1"/>
  <c r="U91" i="1"/>
  <c r="Y91" i="1"/>
  <c r="AM91" i="1"/>
  <c r="AN91" i="1" s="1"/>
  <c r="S92" i="1"/>
  <c r="U92" i="1"/>
  <c r="AM92" i="1" s="1"/>
  <c r="AN92" i="1" s="1"/>
  <c r="Y92" i="1"/>
  <c r="S93" i="1"/>
  <c r="U93" i="1"/>
  <c r="Y93" i="1"/>
  <c r="AM93" i="1"/>
  <c r="AN93" i="1" s="1"/>
  <c r="AV93" i="1"/>
  <c r="S94" i="1"/>
  <c r="U94" i="1"/>
  <c r="AM94" i="1" s="1"/>
  <c r="AN94" i="1" s="1"/>
  <c r="Y94" i="1"/>
  <c r="S95" i="1"/>
  <c r="U95" i="1"/>
  <c r="AM95" i="1" s="1"/>
  <c r="AN95" i="1" s="1"/>
  <c r="Y95" i="1"/>
  <c r="AV95" i="1" s="1"/>
  <c r="S96" i="1"/>
  <c r="U96" i="1"/>
  <c r="AM96" i="1" s="1"/>
  <c r="AN96" i="1" s="1"/>
  <c r="Y96" i="1"/>
  <c r="AW96" i="1" s="1"/>
  <c r="S97" i="1"/>
  <c r="U97" i="1"/>
  <c r="AM97" i="1" s="1"/>
  <c r="AN97" i="1" s="1"/>
  <c r="Y97" i="1"/>
  <c r="S98" i="1"/>
  <c r="U98" i="1"/>
  <c r="AM98" i="1" s="1"/>
  <c r="Y98" i="1"/>
  <c r="AN98" i="1"/>
  <c r="S99" i="1"/>
  <c r="U99" i="1"/>
  <c r="AM99" i="1" s="1"/>
  <c r="AN99" i="1" s="1"/>
  <c r="Y99" i="1"/>
  <c r="S100" i="1"/>
  <c r="U100" i="1"/>
  <c r="AM100" i="1" s="1"/>
  <c r="AN100" i="1" s="1"/>
  <c r="Y100" i="1"/>
  <c r="S101" i="1"/>
  <c r="U101" i="1"/>
  <c r="AM101" i="1" s="1"/>
  <c r="AN101" i="1" s="1"/>
  <c r="Y101" i="1"/>
  <c r="S102" i="1"/>
  <c r="U102" i="1"/>
  <c r="Y102" i="1"/>
  <c r="AM102" i="1"/>
  <c r="AN102" i="1" s="1"/>
  <c r="S103" i="1"/>
  <c r="U103" i="1"/>
  <c r="AM103" i="1" s="1"/>
  <c r="Y103" i="1"/>
  <c r="AN103" i="1"/>
  <c r="AV103" i="1" s="1"/>
  <c r="S104" i="1"/>
  <c r="U104" i="1"/>
  <c r="Y104" i="1"/>
  <c r="AM104" i="1"/>
  <c r="AN104" i="1" s="1"/>
  <c r="S105" i="1"/>
  <c r="U105" i="1"/>
  <c r="AM105" i="1" s="1"/>
  <c r="AN105" i="1" s="1"/>
  <c r="Y105" i="1"/>
  <c r="S106" i="1"/>
  <c r="U106" i="1"/>
  <c r="AM106" i="1" s="1"/>
  <c r="AN106" i="1" s="1"/>
  <c r="Y106" i="1"/>
  <c r="AW106" i="1" s="1"/>
  <c r="S107" i="1"/>
  <c r="U107" i="1"/>
  <c r="AM107" i="1" s="1"/>
  <c r="AN107" i="1" s="1"/>
  <c r="Y107" i="1"/>
  <c r="S108" i="1"/>
  <c r="U108" i="1"/>
  <c r="AM108" i="1" s="1"/>
  <c r="AN108" i="1" s="1"/>
  <c r="Y108" i="1"/>
  <c r="S109" i="1"/>
  <c r="U109" i="1"/>
  <c r="AM109" i="1" s="1"/>
  <c r="AN109" i="1" s="1"/>
  <c r="Y109" i="1"/>
  <c r="S110" i="1"/>
  <c r="U110" i="1"/>
  <c r="AM110" i="1" s="1"/>
  <c r="Y110" i="1"/>
  <c r="AN110" i="1"/>
  <c r="S111" i="1"/>
  <c r="U111" i="1"/>
  <c r="AM111" i="1" s="1"/>
  <c r="AN111" i="1" s="1"/>
  <c r="Y111" i="1"/>
  <c r="AW111" i="1" s="1"/>
  <c r="S112" i="1"/>
  <c r="U112" i="1"/>
  <c r="AM112" i="1" s="1"/>
  <c r="AN112" i="1" s="1"/>
  <c r="Y112" i="1"/>
  <c r="S113" i="1"/>
  <c r="U113" i="1"/>
  <c r="AM113" i="1" s="1"/>
  <c r="AN113" i="1" s="1"/>
  <c r="Y113" i="1"/>
  <c r="AV113" i="1" s="1"/>
  <c r="S114" i="1"/>
  <c r="U114" i="1"/>
  <c r="AM114" i="1" s="1"/>
  <c r="AN114" i="1" s="1"/>
  <c r="Y114" i="1"/>
  <c r="S115" i="1"/>
  <c r="U115" i="1"/>
  <c r="AM115" i="1" s="1"/>
  <c r="AN115" i="1" s="1"/>
  <c r="AV115" i="1" s="1"/>
  <c r="Y115" i="1"/>
  <c r="S116" i="1"/>
  <c r="U116" i="1"/>
  <c r="Y116" i="1"/>
  <c r="AM116" i="1"/>
  <c r="AN116" i="1" s="1"/>
  <c r="S117" i="1"/>
  <c r="U117" i="1"/>
  <c r="AM117" i="1" s="1"/>
  <c r="AN117" i="1" s="1"/>
  <c r="Y117" i="1"/>
  <c r="S118" i="1"/>
  <c r="U118" i="1"/>
  <c r="AM118" i="1" s="1"/>
  <c r="AN118" i="1" s="1"/>
  <c r="Y118" i="1"/>
  <c r="S119" i="1"/>
  <c r="U119" i="1"/>
  <c r="AM119" i="1" s="1"/>
  <c r="AN119" i="1" s="1"/>
  <c r="Y119" i="1"/>
  <c r="S120" i="1"/>
  <c r="U120" i="1"/>
  <c r="Y120" i="1"/>
  <c r="AM120" i="1"/>
  <c r="AN120" i="1" s="1"/>
  <c r="S121" i="1"/>
  <c r="U121" i="1"/>
  <c r="Y121" i="1"/>
  <c r="AM121" i="1"/>
  <c r="AN121" i="1" s="1"/>
  <c r="S122" i="1"/>
  <c r="U122" i="1"/>
  <c r="AM122" i="1" s="1"/>
  <c r="AN122" i="1" s="1"/>
  <c r="Y122" i="1"/>
  <c r="S123" i="1"/>
  <c r="U123" i="1"/>
  <c r="Y123" i="1"/>
  <c r="AM123" i="1"/>
  <c r="AN123" i="1" s="1"/>
  <c r="S124" i="1"/>
  <c r="U124" i="1"/>
  <c r="AM124" i="1" s="1"/>
  <c r="AN124" i="1" s="1"/>
  <c r="Y124" i="1"/>
  <c r="S125" i="1"/>
  <c r="U125" i="1"/>
  <c r="AM125" i="1" s="1"/>
  <c r="AN125" i="1" s="1"/>
  <c r="Y125" i="1"/>
  <c r="AU125" i="1" s="1"/>
  <c r="S126" i="1"/>
  <c r="U126" i="1"/>
  <c r="AM126" i="1" s="1"/>
  <c r="AN126" i="1" s="1"/>
  <c r="Y126" i="1"/>
  <c r="AW126" i="1" s="1"/>
  <c r="S127" i="1"/>
  <c r="U127" i="1"/>
  <c r="AM127" i="1" s="1"/>
  <c r="AN127" i="1" s="1"/>
  <c r="Y127" i="1"/>
  <c r="S128" i="1"/>
  <c r="U128" i="1"/>
  <c r="Y128" i="1"/>
  <c r="AM128" i="1"/>
  <c r="AN128" i="1" s="1"/>
  <c r="S129" i="1"/>
  <c r="U129" i="1"/>
  <c r="AM129" i="1" s="1"/>
  <c r="AN129" i="1" s="1"/>
  <c r="Y129" i="1"/>
  <c r="S130" i="1"/>
  <c r="U130" i="1"/>
  <c r="AM130" i="1" s="1"/>
  <c r="AN130" i="1" s="1"/>
  <c r="Y130" i="1"/>
  <c r="S131" i="1"/>
  <c r="U131" i="1"/>
  <c r="Y131" i="1"/>
  <c r="AM131" i="1"/>
  <c r="AN131" i="1" s="1"/>
  <c r="AW131" i="1" s="1"/>
  <c r="S132" i="1"/>
  <c r="U132" i="1"/>
  <c r="AM132" i="1" s="1"/>
  <c r="AN132" i="1" s="1"/>
  <c r="Y132" i="1"/>
  <c r="S133" i="1"/>
  <c r="U133" i="1"/>
  <c r="AM133" i="1" s="1"/>
  <c r="AN133" i="1" s="1"/>
  <c r="Y133" i="1"/>
  <c r="S134" i="1"/>
  <c r="U134" i="1"/>
  <c r="AM134" i="1" s="1"/>
  <c r="AN134" i="1" s="1"/>
  <c r="Y134" i="1"/>
  <c r="S135" i="1"/>
  <c r="U135" i="1"/>
  <c r="AM135" i="1" s="1"/>
  <c r="AN135" i="1" s="1"/>
  <c r="Y135" i="1"/>
  <c r="S136" i="1"/>
  <c r="U136" i="1"/>
  <c r="Y136" i="1"/>
  <c r="AM136" i="1"/>
  <c r="AN136" i="1" s="1"/>
  <c r="AV136" i="1"/>
  <c r="S137" i="1"/>
  <c r="U137" i="1"/>
  <c r="AM137" i="1" s="1"/>
  <c r="AN137" i="1" s="1"/>
  <c r="Y137" i="1"/>
  <c r="S138" i="1"/>
  <c r="U138" i="1"/>
  <c r="Y138" i="1"/>
  <c r="AM138" i="1"/>
  <c r="AN138" i="1" s="1"/>
  <c r="S139" i="1"/>
  <c r="U139" i="1"/>
  <c r="Y139" i="1"/>
  <c r="AM139" i="1"/>
  <c r="AN139" i="1" s="1"/>
  <c r="S140" i="1"/>
  <c r="U140" i="1"/>
  <c r="AM140" i="1" s="1"/>
  <c r="AN140" i="1" s="1"/>
  <c r="Y140" i="1"/>
  <c r="S141" i="1"/>
  <c r="U141" i="1"/>
  <c r="AM141" i="1" s="1"/>
  <c r="AN141" i="1" s="1"/>
  <c r="Y141" i="1"/>
  <c r="AV141" i="1"/>
  <c r="S142" i="1"/>
  <c r="U142" i="1"/>
  <c r="Y142" i="1"/>
  <c r="AM142" i="1"/>
  <c r="AN142" i="1" s="1"/>
  <c r="S143" i="1"/>
  <c r="U143" i="1"/>
  <c r="AM143" i="1" s="1"/>
  <c r="AN143" i="1" s="1"/>
  <c r="Y143" i="1"/>
  <c r="S144" i="1"/>
  <c r="U144" i="1"/>
  <c r="Y144" i="1"/>
  <c r="AM144" i="1"/>
  <c r="AN144" i="1" s="1"/>
  <c r="S145" i="1"/>
  <c r="U145" i="1"/>
  <c r="AM145" i="1" s="1"/>
  <c r="AN145" i="1" s="1"/>
  <c r="Y145" i="1"/>
  <c r="AU145" i="1" s="1"/>
  <c r="S146" i="1"/>
  <c r="U146" i="1"/>
  <c r="AM146" i="1" s="1"/>
  <c r="AN146" i="1" s="1"/>
  <c r="Y146" i="1"/>
  <c r="S147" i="1"/>
  <c r="U147" i="1"/>
  <c r="AM147" i="1" s="1"/>
  <c r="AN147" i="1" s="1"/>
  <c r="Y147" i="1"/>
  <c r="S148" i="1"/>
  <c r="U148" i="1"/>
  <c r="Y148" i="1"/>
  <c r="AM148" i="1"/>
  <c r="AN148" i="1" s="1"/>
  <c r="S149" i="1"/>
  <c r="U149" i="1"/>
  <c r="Y149" i="1"/>
  <c r="AM149" i="1"/>
  <c r="AN149" i="1" s="1"/>
  <c r="S150" i="1"/>
  <c r="U150" i="1"/>
  <c r="AM150" i="1" s="1"/>
  <c r="AN150" i="1" s="1"/>
  <c r="Y150" i="1"/>
  <c r="S151" i="1"/>
  <c r="U151" i="1"/>
  <c r="AM151" i="1" s="1"/>
  <c r="AN151" i="1" s="1"/>
  <c r="Y151" i="1"/>
  <c r="AW151" i="1" s="1"/>
  <c r="S152" i="1"/>
  <c r="U152" i="1"/>
  <c r="AM152" i="1" s="1"/>
  <c r="AN152" i="1" s="1"/>
  <c r="Y152" i="1"/>
  <c r="S153" i="1"/>
  <c r="U153" i="1"/>
  <c r="Y153" i="1"/>
  <c r="AM153" i="1"/>
  <c r="AN153" i="1" s="1"/>
  <c r="S154" i="1"/>
  <c r="U154" i="1"/>
  <c r="AM154" i="1" s="1"/>
  <c r="AN154" i="1" s="1"/>
  <c r="Y154" i="1"/>
  <c r="S155" i="1"/>
  <c r="U155" i="1"/>
  <c r="AM155" i="1" s="1"/>
  <c r="AN155" i="1" s="1"/>
  <c r="Y155" i="1"/>
  <c r="S156" i="1"/>
  <c r="U156" i="1"/>
  <c r="Y156" i="1"/>
  <c r="AM156" i="1"/>
  <c r="AN156" i="1" s="1"/>
  <c r="AW156" i="1" s="1"/>
  <c r="AV156" i="1"/>
  <c r="S157" i="1"/>
  <c r="U157" i="1"/>
  <c r="AM157" i="1" s="1"/>
  <c r="AN157" i="1" s="1"/>
  <c r="Y157" i="1"/>
  <c r="S158" i="1"/>
  <c r="U158" i="1"/>
  <c r="Y158" i="1"/>
  <c r="AM158" i="1"/>
  <c r="AN158" i="1" s="1"/>
  <c r="S159" i="1"/>
  <c r="U159" i="1"/>
  <c r="AM159" i="1" s="1"/>
  <c r="AN159" i="1" s="1"/>
  <c r="Y159" i="1"/>
  <c r="S160" i="1"/>
  <c r="U160" i="1"/>
  <c r="Y160" i="1"/>
  <c r="AM160" i="1"/>
  <c r="AN160" i="1" s="1"/>
  <c r="AV160" i="1"/>
  <c r="S161" i="1"/>
  <c r="U161" i="1"/>
  <c r="AM161" i="1" s="1"/>
  <c r="AN161" i="1" s="1"/>
  <c r="Y161" i="1"/>
  <c r="S162" i="1"/>
  <c r="U162" i="1"/>
  <c r="AM162" i="1" s="1"/>
  <c r="AN162" i="1" s="1"/>
  <c r="Y162" i="1"/>
  <c r="S163" i="1"/>
  <c r="U163" i="1"/>
  <c r="AM163" i="1" s="1"/>
  <c r="AN163" i="1" s="1"/>
  <c r="Y163" i="1"/>
  <c r="S164" i="1"/>
  <c r="U164" i="1"/>
  <c r="Y164" i="1"/>
  <c r="AM164" i="1"/>
  <c r="AN164" i="1" s="1"/>
  <c r="S165" i="1"/>
  <c r="U165" i="1"/>
  <c r="AM165" i="1" s="1"/>
  <c r="Y165" i="1"/>
  <c r="AN165" i="1"/>
  <c r="S166" i="1"/>
  <c r="U166" i="1"/>
  <c r="AM166" i="1" s="1"/>
  <c r="AN166" i="1" s="1"/>
  <c r="Y166" i="1"/>
  <c r="AV166" i="1" s="1"/>
  <c r="S167" i="1"/>
  <c r="U167" i="1"/>
  <c r="AM167" i="1" s="1"/>
  <c r="AN167" i="1" s="1"/>
  <c r="Y167" i="1"/>
  <c r="S168" i="1"/>
  <c r="U168" i="1"/>
  <c r="AM168" i="1" s="1"/>
  <c r="AN168" i="1" s="1"/>
  <c r="Y168" i="1"/>
  <c r="S169" i="1"/>
  <c r="U169" i="1"/>
  <c r="AM169" i="1" s="1"/>
  <c r="AN169" i="1" s="1"/>
  <c r="Y169" i="1"/>
  <c r="S170" i="1"/>
  <c r="U170" i="1"/>
  <c r="AM170" i="1" s="1"/>
  <c r="AN170" i="1" s="1"/>
  <c r="Y170" i="1"/>
  <c r="S171" i="1"/>
  <c r="U171" i="1"/>
  <c r="Y171" i="1"/>
  <c r="AM171" i="1"/>
  <c r="AN171" i="1" s="1"/>
  <c r="AV171" i="1" s="1"/>
  <c r="S172" i="1"/>
  <c r="U172" i="1"/>
  <c r="AM172" i="1" s="1"/>
  <c r="AN172" i="1" s="1"/>
  <c r="Y172" i="1"/>
  <c r="S173" i="1"/>
  <c r="U173" i="1"/>
  <c r="AM173" i="1" s="1"/>
  <c r="AN173" i="1" s="1"/>
  <c r="Y173" i="1"/>
  <c r="S174" i="1"/>
  <c r="U174" i="1"/>
  <c r="AM174" i="1" s="1"/>
  <c r="AN174" i="1" s="1"/>
  <c r="Y174" i="1"/>
  <c r="S175" i="1"/>
  <c r="U175" i="1"/>
  <c r="AM175" i="1" s="1"/>
  <c r="AN175" i="1" s="1"/>
  <c r="Y175" i="1"/>
  <c r="S176" i="1"/>
  <c r="U176" i="1"/>
  <c r="Y176" i="1"/>
  <c r="AM176" i="1"/>
  <c r="AN176" i="1" s="1"/>
  <c r="AV176" i="1" s="1"/>
  <c r="AU79" i="1" l="1"/>
  <c r="AV100" i="1"/>
  <c r="AW46" i="1"/>
  <c r="AV50" i="1"/>
  <c r="AV105" i="1"/>
  <c r="AV151" i="1"/>
  <c r="AV51" i="1"/>
  <c r="AV120" i="1"/>
  <c r="AV60" i="1"/>
  <c r="AV76" i="1"/>
  <c r="AV43" i="1"/>
  <c r="AW20" i="1"/>
  <c r="AV126" i="1"/>
  <c r="AV65" i="1"/>
  <c r="AU54" i="1"/>
  <c r="AW6" i="1"/>
  <c r="AV96" i="1"/>
  <c r="AV75" i="1"/>
  <c r="AV170" i="1"/>
  <c r="AU158" i="1"/>
  <c r="AV31" i="1"/>
  <c r="AV135" i="1"/>
  <c r="AU89" i="1"/>
  <c r="AV111" i="1"/>
  <c r="AV155" i="1"/>
  <c r="AU153" i="1"/>
  <c r="AV175" i="1"/>
  <c r="AU25" i="1"/>
  <c r="AW166" i="1"/>
  <c r="AV108" i="1"/>
  <c r="AV53" i="1"/>
  <c r="AV13" i="1"/>
  <c r="AV130" i="1"/>
  <c r="AV101" i="1"/>
  <c r="AV121" i="1"/>
  <c r="AV30" i="1"/>
  <c r="AU78" i="1"/>
  <c r="AV28" i="1"/>
  <c r="AV18" i="1"/>
  <c r="AW18" i="1"/>
  <c r="AU18" i="1"/>
  <c r="AU110" i="1"/>
  <c r="AV110" i="1"/>
  <c r="AV71" i="1"/>
  <c r="AW71" i="1"/>
  <c r="AU10" i="1"/>
  <c r="AW176" i="1"/>
  <c r="AV131" i="1"/>
  <c r="AV61" i="1"/>
  <c r="AW61" i="1"/>
  <c r="AU16" i="1"/>
  <c r="AU41" i="1"/>
  <c r="AW41" i="1"/>
  <c r="AV98" i="1"/>
  <c r="AU91" i="1"/>
  <c r="AV91" i="1"/>
  <c r="AW91" i="1"/>
  <c r="AU38" i="1"/>
  <c r="AV38" i="1"/>
  <c r="AV116" i="1"/>
  <c r="AW116" i="1"/>
  <c r="AW171" i="1"/>
  <c r="AW86" i="1"/>
  <c r="AV45" i="1"/>
  <c r="AU15" i="1"/>
  <c r="AW15" i="1"/>
  <c r="AU68" i="1"/>
  <c r="AU136" i="1"/>
  <c r="AW136" i="1"/>
  <c r="AW8" i="1"/>
  <c r="AU8" i="1"/>
  <c r="AV8" i="1"/>
  <c r="AV56" i="1"/>
  <c r="AU168" i="1"/>
  <c r="AU141" i="1"/>
  <c r="AW141" i="1"/>
  <c r="AU90" i="1"/>
  <c r="AV48" i="1"/>
  <c r="AV161" i="1"/>
  <c r="AV165" i="1"/>
  <c r="AV35" i="1"/>
  <c r="AU146" i="1"/>
  <c r="AV146" i="1"/>
  <c r="AW146" i="1"/>
  <c r="AV36" i="1"/>
  <c r="AV25" i="1"/>
  <c r="AV58" i="1"/>
  <c r="AU172" i="1"/>
  <c r="AU148" i="1"/>
  <c r="AU135" i="1"/>
  <c r="AU131" i="1"/>
  <c r="AU93" i="1"/>
  <c r="AU44" i="1"/>
  <c r="AW40" i="1"/>
  <c r="AW13" i="1"/>
  <c r="AU118" i="1"/>
  <c r="AU70" i="1"/>
  <c r="AW36" i="1"/>
  <c r="AU160" i="1"/>
  <c r="AU156" i="1"/>
  <c r="AW121" i="1"/>
  <c r="AU66" i="1"/>
  <c r="AU62" i="1"/>
  <c r="AU55" i="1"/>
  <c r="AU33" i="1"/>
  <c r="AW16" i="1"/>
  <c r="AU143" i="1"/>
  <c r="AU126" i="1"/>
  <c r="AU105" i="1"/>
  <c r="AU51" i="1"/>
  <c r="AV16" i="1"/>
  <c r="AU147" i="1"/>
  <c r="AU134" i="1"/>
  <c r="AU85" i="1"/>
  <c r="AU73" i="1"/>
  <c r="AU40" i="1"/>
  <c r="AU163" i="1"/>
  <c r="AU113" i="1"/>
  <c r="AU69" i="1"/>
  <c r="AU58" i="1"/>
  <c r="AU36" i="1"/>
  <c r="AU24" i="1"/>
  <c r="AU138" i="1"/>
  <c r="AU121" i="1"/>
  <c r="AU100" i="1"/>
  <c r="AU43" i="1"/>
  <c r="AU28" i="1"/>
  <c r="AU176" i="1"/>
  <c r="AU171" i="1"/>
  <c r="AV125" i="1"/>
  <c r="AU88" i="1"/>
  <c r="AU80" i="1"/>
  <c r="AU155" i="1"/>
  <c r="AU151" i="1"/>
  <c r="AU76" i="1"/>
  <c r="AV68" i="1"/>
  <c r="AU65" i="1"/>
  <c r="AU133" i="1"/>
  <c r="AU108" i="1"/>
  <c r="AU61" i="1"/>
  <c r="AU57" i="1"/>
  <c r="AU50" i="1"/>
  <c r="AU166" i="1"/>
  <c r="AU99" i="1"/>
  <c r="AU95" i="1"/>
  <c r="AU46" i="1"/>
  <c r="AU23" i="1"/>
  <c r="AW161" i="1"/>
  <c r="AV150" i="1"/>
  <c r="AU128" i="1"/>
  <c r="AU120" i="1"/>
  <c r="AU116" i="1"/>
  <c r="AW56" i="1"/>
  <c r="AU53" i="1"/>
  <c r="AU35" i="1"/>
  <c r="AW30" i="1"/>
  <c r="AU132" i="1"/>
  <c r="AU111" i="1"/>
  <c r="AU107" i="1"/>
  <c r="AU103" i="1"/>
  <c r="AV145" i="1"/>
  <c r="AU123" i="1"/>
  <c r="AU71" i="1"/>
  <c r="AU60" i="1"/>
  <c r="AV26" i="1"/>
  <c r="AU165" i="1"/>
  <c r="AU161" i="1"/>
  <c r="AU127" i="1"/>
  <c r="AU119" i="1"/>
  <c r="AU98" i="1"/>
  <c r="AU56" i="1"/>
  <c r="AU52" i="1"/>
  <c r="AU45" i="1"/>
  <c r="AU34" i="1"/>
  <c r="AU30" i="1"/>
  <c r="AW10" i="1"/>
  <c r="AV10" i="1"/>
  <c r="AU7" i="1"/>
  <c r="AU144" i="1"/>
  <c r="AV140" i="1"/>
  <c r="AV106" i="1"/>
  <c r="AU86" i="1"/>
  <c r="AV70" i="1"/>
  <c r="AU63" i="1"/>
  <c r="AW21" i="1"/>
  <c r="AU48" i="1"/>
  <c r="AV81" i="1"/>
  <c r="AW81" i="1"/>
  <c r="AU117" i="1"/>
  <c r="AU96" i="1"/>
  <c r="AU92" i="1"/>
  <c r="AU47" i="1"/>
  <c r="AU159" i="1"/>
  <c r="AV159" i="1"/>
  <c r="AW159" i="1"/>
  <c r="AU6" i="1"/>
  <c r="AV6" i="1"/>
  <c r="AU142" i="1"/>
  <c r="AU129" i="1"/>
  <c r="AU104" i="1"/>
  <c r="AU5" i="1"/>
  <c r="AV5" i="1"/>
  <c r="AW5" i="1"/>
  <c r="AU162" i="1"/>
  <c r="AU112" i="1"/>
  <c r="AU84" i="1"/>
  <c r="AU9" i="1"/>
  <c r="AU175" i="1"/>
  <c r="AU170" i="1"/>
  <c r="AU137" i="1"/>
  <c r="AU124" i="1"/>
  <c r="AU72" i="1"/>
  <c r="AU39" i="1"/>
  <c r="AU150" i="1"/>
  <c r="AW31" i="1"/>
  <c r="AU19" i="1"/>
  <c r="AU154" i="1"/>
  <c r="AV154" i="1"/>
  <c r="AW154" i="1"/>
  <c r="AU87" i="1"/>
  <c r="AU42" i="1"/>
  <c r="AU31" i="1"/>
  <c r="AU27" i="1"/>
  <c r="AU12" i="1"/>
  <c r="AU4" i="1"/>
  <c r="AU174" i="1"/>
  <c r="AV174" i="1"/>
  <c r="AW174" i="1"/>
  <c r="AU169" i="1"/>
  <c r="AV169" i="1"/>
  <c r="AW169" i="1"/>
  <c r="AU64" i="1"/>
  <c r="AU157" i="1"/>
  <c r="AU149" i="1"/>
  <c r="AU115" i="1"/>
  <c r="AU94" i="1"/>
  <c r="AU49" i="1"/>
  <c r="AU3" i="1"/>
  <c r="AV3" i="1"/>
  <c r="AW3" i="1"/>
  <c r="AU173" i="1"/>
  <c r="AU140" i="1"/>
  <c r="AU106" i="1"/>
  <c r="AU102" i="1"/>
  <c r="AU67" i="1"/>
  <c r="AU26" i="1"/>
  <c r="AU22" i="1"/>
  <c r="AU11" i="1"/>
  <c r="AV11" i="1"/>
  <c r="AU122" i="1"/>
  <c r="AU114" i="1"/>
  <c r="AU82" i="1"/>
  <c r="AU164" i="1"/>
  <c r="AV164" i="1"/>
  <c r="AW164" i="1"/>
  <c r="AW101" i="1"/>
  <c r="AU74" i="1"/>
  <c r="AU37" i="1"/>
  <c r="AU2" i="1"/>
  <c r="AV2" i="1"/>
  <c r="AW2" i="1"/>
  <c r="AU152" i="1"/>
  <c r="AU139" i="1"/>
  <c r="AU101" i="1"/>
  <c r="AU97" i="1"/>
  <c r="AU59" i="1"/>
  <c r="AU14" i="1"/>
  <c r="AU21" i="1"/>
  <c r="AV21" i="1"/>
  <c r="AU167" i="1"/>
  <c r="AU130" i="1"/>
  <c r="AU109" i="1"/>
  <c r="AU81" i="1"/>
  <c r="AU77" i="1"/>
  <c r="AU29" i="1"/>
  <c r="AU17" i="1"/>
  <c r="AW173" i="1"/>
  <c r="AW168" i="1"/>
  <c r="AW163" i="1"/>
  <c r="AW158" i="1"/>
  <c r="AW153" i="1"/>
  <c r="AW148" i="1"/>
  <c r="AW143" i="1"/>
  <c r="AW138" i="1"/>
  <c r="AW133" i="1"/>
  <c r="AW128" i="1"/>
  <c r="AW123" i="1"/>
  <c r="AW118" i="1"/>
  <c r="AW113" i="1"/>
  <c r="AW108" i="1"/>
  <c r="AW103" i="1"/>
  <c r="AW98" i="1"/>
  <c r="AW93" i="1"/>
  <c r="AW88" i="1"/>
  <c r="AW83" i="1"/>
  <c r="AW78" i="1"/>
  <c r="AW73" i="1"/>
  <c r="AW68" i="1"/>
  <c r="AW63" i="1"/>
  <c r="AW58" i="1"/>
  <c r="AW53" i="1"/>
  <c r="AW48" i="1"/>
  <c r="AW43" i="1"/>
  <c r="AW38" i="1"/>
  <c r="AW33" i="1"/>
  <c r="AW28" i="1"/>
  <c r="AW23" i="1"/>
  <c r="AV173" i="1"/>
  <c r="AV168" i="1"/>
  <c r="AV163" i="1"/>
  <c r="AV158" i="1"/>
  <c r="AV153" i="1"/>
  <c r="AV148" i="1"/>
  <c r="AV143" i="1"/>
  <c r="AV138" i="1"/>
  <c r="AV133" i="1"/>
  <c r="AV128" i="1"/>
  <c r="AV123" i="1"/>
  <c r="AV118" i="1"/>
  <c r="AV23" i="1"/>
  <c r="AW175" i="1"/>
  <c r="AW170" i="1"/>
  <c r="AW165" i="1"/>
  <c r="AW160" i="1"/>
  <c r="AW155" i="1"/>
  <c r="AW150" i="1"/>
  <c r="AW145" i="1"/>
  <c r="AW140" i="1"/>
  <c r="AW135" i="1"/>
  <c r="AW130" i="1"/>
  <c r="AW125" i="1"/>
  <c r="AW120" i="1"/>
  <c r="AW115" i="1"/>
  <c r="AW110" i="1"/>
  <c r="AW105" i="1"/>
  <c r="AW100" i="1"/>
  <c r="AW95" i="1"/>
  <c r="AW90" i="1"/>
  <c r="AW85" i="1"/>
  <c r="AW80" i="1"/>
  <c r="AW75" i="1"/>
  <c r="AW70" i="1"/>
  <c r="AW65" i="1"/>
  <c r="AW60" i="1"/>
  <c r="AW55" i="1"/>
  <c r="AW50" i="1"/>
  <c r="AW45" i="1"/>
  <c r="AV20" i="1"/>
  <c r="AV15" i="1"/>
  <c r="AW172" i="1"/>
  <c r="AW167" i="1"/>
  <c r="AW162" i="1"/>
  <c r="AW157" i="1"/>
  <c r="AW152" i="1"/>
  <c r="AW147" i="1"/>
  <c r="AW142" i="1"/>
  <c r="AW137" i="1"/>
  <c r="AW132" i="1"/>
  <c r="AW127" i="1"/>
  <c r="AW122" i="1"/>
  <c r="AW117" i="1"/>
  <c r="AW112" i="1"/>
  <c r="AW107" i="1"/>
  <c r="AW102" i="1"/>
  <c r="AW97" i="1"/>
  <c r="AW92" i="1"/>
  <c r="AW87" i="1"/>
  <c r="AW82" i="1"/>
  <c r="AW77" i="1"/>
  <c r="AW72" i="1"/>
  <c r="AW67" i="1"/>
  <c r="AW62" i="1"/>
  <c r="AW57" i="1"/>
  <c r="AW52" i="1"/>
  <c r="AW47" i="1"/>
  <c r="AW42" i="1"/>
  <c r="AW37" i="1"/>
  <c r="AW32" i="1"/>
  <c r="AW27" i="1"/>
  <c r="AW22" i="1"/>
  <c r="AW17" i="1"/>
  <c r="AW12" i="1"/>
  <c r="AW7" i="1"/>
  <c r="AV172" i="1"/>
  <c r="AV167" i="1"/>
  <c r="AV162" i="1"/>
  <c r="AV157" i="1"/>
  <c r="AV152" i="1"/>
  <c r="AV147" i="1"/>
  <c r="AV142" i="1"/>
  <c r="AV137" i="1"/>
  <c r="AV132" i="1"/>
  <c r="AV127" i="1"/>
  <c r="AV122" i="1"/>
  <c r="AV117" i="1"/>
  <c r="AV112" i="1"/>
  <c r="AV107" i="1"/>
  <c r="AV102" i="1"/>
  <c r="AV97" i="1"/>
  <c r="AV92" i="1"/>
  <c r="AV87" i="1"/>
  <c r="AV82" i="1"/>
  <c r="AV77" i="1"/>
  <c r="AV72" i="1"/>
  <c r="AV67" i="1"/>
  <c r="AV62" i="1"/>
  <c r="AV57" i="1"/>
  <c r="AV52" i="1"/>
  <c r="AV47" i="1"/>
  <c r="AV42" i="1"/>
  <c r="AV37" i="1"/>
  <c r="AV32" i="1"/>
  <c r="AV27" i="1"/>
  <c r="AV22" i="1"/>
  <c r="AV17" i="1"/>
  <c r="AV12" i="1"/>
  <c r="AV7" i="1"/>
  <c r="AW149" i="1"/>
  <c r="AW144" i="1"/>
  <c r="AW139" i="1"/>
  <c r="AW134" i="1"/>
  <c r="AW129" i="1"/>
  <c r="AW124" i="1"/>
  <c r="AW119" i="1"/>
  <c r="AW114" i="1"/>
  <c r="AW109" i="1"/>
  <c r="AW104" i="1"/>
  <c r="AW99" i="1"/>
  <c r="AW94" i="1"/>
  <c r="AW89" i="1"/>
  <c r="AW84" i="1"/>
  <c r="AW79" i="1"/>
  <c r="AW74" i="1"/>
  <c r="AW69" i="1"/>
  <c r="AW64" i="1"/>
  <c r="AW59" i="1"/>
  <c r="AW54" i="1"/>
  <c r="AW49" i="1"/>
  <c r="AW44" i="1"/>
  <c r="AW39" i="1"/>
  <c r="AW34" i="1"/>
  <c r="AW29" i="1"/>
  <c r="AW24" i="1"/>
  <c r="AW19" i="1"/>
  <c r="AW14" i="1"/>
  <c r="AW9" i="1"/>
  <c r="AW4" i="1"/>
  <c r="AV149" i="1"/>
  <c r="AV144" i="1"/>
  <c r="AV139" i="1"/>
  <c r="AV134" i="1"/>
  <c r="AV129" i="1"/>
  <c r="AV12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<sst xmlns="http://schemas.openxmlformats.org/spreadsheetml/2006/main" count="3027" uniqueCount="1828">
  <si>
    <t>n</t>
  </si>
  <si>
    <t>undefined</t>
  </si>
  <si>
    <t>Journal</t>
  </si>
  <si>
    <t>Article</t>
  </si>
  <si>
    <t>ar</t>
  </si>
  <si>
    <t>France</t>
  </si>
  <si>
    <t>Japan</t>
  </si>
  <si>
    <t>United States</t>
  </si>
  <si>
    <t>Russia</t>
  </si>
  <si>
    <t>0018926X</t>
  </si>
  <si>
    <t>IEEE Transactions on Antennas and Propagation</t>
  </si>
  <si>
    <t>Paris</t>
  </si>
  <si>
    <t>CNRS Centre National de la Recherche Scientifique</t>
  </si>
  <si>
    <t>Netherlands</t>
  </si>
  <si>
    <t>Leiden</t>
  </si>
  <si>
    <t>Sterrewacht Leiden</t>
  </si>
  <si>
    <t>Norway;Norway</t>
  </si>
  <si>
    <t>;;</t>
  </si>
  <si>
    <t>;</t>
  </si>
  <si>
    <t>AEU. Archiv fur Elektronik und Ubertragungstechnik</t>
  </si>
  <si>
    <t>Eindhoven</t>
  </si>
  <si>
    <t>Technische Universiteit Eindhoven</t>
  </si>
  <si>
    <t>India</t>
  </si>
  <si>
    <t>Germany</t>
  </si>
  <si>
    <t>;;;;</t>
  </si>
  <si>
    <t>Palo Alto</t>
  </si>
  <si>
    <t>China</t>
  </si>
  <si>
    <t>Chiba</t>
  </si>
  <si>
    <t>Chiba University</t>
  </si>
  <si>
    <t>Ito K.</t>
  </si>
  <si>
    <t>Washington, D.C.</t>
  </si>
  <si>
    <t>New York</t>
  </si>
  <si>
    <t>Amherst MA</t>
  </si>
  <si>
    <t>University of Massachusetts Amherst</t>
  </si>
  <si>
    <t>92-97</t>
  </si>
  <si>
    <t>Canada</t>
  </si>
  <si>
    <t>International Journal of Infrared and Millimeter Waves</t>
  </si>
  <si>
    <t>Radiophysics and Quantum Electronics</t>
  </si>
  <si>
    <t>United Kingdom</t>
  </si>
  <si>
    <t>111-114</t>
  </si>
  <si>
    <t>Boulder</t>
  </si>
  <si>
    <t>Microwaves &amp; RF</t>
  </si>
  <si>
    <t>United States;United States</t>
  </si>
  <si>
    <t>58-65</t>
  </si>
  <si>
    <t>Los Angeles</t>
  </si>
  <si>
    <t>Soviet journal of communications technology &amp; electronics</t>
  </si>
  <si>
    <t>Archives of Biochemistry and Biophysics</t>
  </si>
  <si>
    <t>Tokyo</t>
  </si>
  <si>
    <t>United States;United States;United States</t>
  </si>
  <si>
    <t>60092258;60092258</t>
  </si>
  <si>
    <t>Koganei</t>
  </si>
  <si>
    <t>Ministry of Posts and Telecommunications, Japan</t>
  </si>
  <si>
    <t>0950107X</t>
  </si>
  <si>
    <t>IEE Proceedings H: Microwaves, Antennas and Propagation</t>
  </si>
  <si>
    <t>;;;</t>
  </si>
  <si>
    <t>Netherlands;Netherlands</t>
  </si>
  <si>
    <t>Amsterdam;Leiden</t>
  </si>
  <si>
    <t>Journal of Comparative Physiology A</t>
  </si>
  <si>
    <t>Southampton</t>
  </si>
  <si>
    <t>University of Southampton</t>
  </si>
  <si>
    <t>60017293;60017293</t>
  </si>
  <si>
    <t>Italy</t>
  </si>
  <si>
    <t>Naples</t>
  </si>
  <si>
    <t>Universit√† degli Studi di Napoli Federico II</t>
  </si>
  <si>
    <t>AP-34</t>
  </si>
  <si>
    <t>Vu, T. B.</t>
  </si>
  <si>
    <t>Australia</t>
  </si>
  <si>
    <t>Sydney</t>
  </si>
  <si>
    <t>UNSW Sydney</t>
  </si>
  <si>
    <t>Vu T.</t>
  </si>
  <si>
    <t>Waltham</t>
  </si>
  <si>
    <t>Raytheon</t>
  </si>
  <si>
    <t>Israel</t>
  </si>
  <si>
    <t>London</t>
  </si>
  <si>
    <t>Queen Mary University of London</t>
  </si>
  <si>
    <t>Lamb J.</t>
  </si>
  <si>
    <t>Boulogne-Billancourt</t>
  </si>
  <si>
    <t>Thomson, SA</t>
  </si>
  <si>
    <t>Pasadena</t>
  </si>
  <si>
    <t>Matsumoto K.</t>
  </si>
  <si>
    <t>Tucson</t>
  </si>
  <si>
    <t>Chicago</t>
  </si>
  <si>
    <t>Canberra</t>
  </si>
  <si>
    <t>Cambridge</t>
  </si>
  <si>
    <t>Massachusetts Institute of Technology</t>
  </si>
  <si>
    <t>483-489</t>
  </si>
  <si>
    <t>Amherst</t>
  </si>
  <si>
    <t>Millitech Corp</t>
  </si>
  <si>
    <t>Goldsmith P.</t>
  </si>
  <si>
    <t>Russian Federation</t>
  </si>
  <si>
    <t>Milan</t>
  </si>
  <si>
    <t>Universit√† degli Studi di Milano</t>
  </si>
  <si>
    <t>Jennings R.</t>
  </si>
  <si>
    <t>490-496</t>
  </si>
  <si>
    <t>Tokyo Institute of Technology</t>
  </si>
  <si>
    <t>National Science Foundation</t>
  </si>
  <si>
    <t>NSF</t>
  </si>
  <si>
    <t>Rome</t>
  </si>
  <si>
    <t>Hanover</t>
  </si>
  <si>
    <t>Bangor</t>
  </si>
  <si>
    <t>Bangor University</t>
  </si>
  <si>
    <t>Ando M.</t>
  </si>
  <si>
    <t>Sweden</t>
  </si>
  <si>
    <t>905-911</t>
  </si>
  <si>
    <t>13-25</t>
  </si>
  <si>
    <t>Brown M.</t>
  </si>
  <si>
    <t>60028673;60028673</t>
  </si>
  <si>
    <t>Munich</t>
  </si>
  <si>
    <t>Siemens AG</t>
  </si>
  <si>
    <t>United States;Japan</t>
  </si>
  <si>
    <t>Boeing Corporation</t>
  </si>
  <si>
    <t>EFDA-JET</t>
  </si>
  <si>
    <t>IEEE Transactions on Electron Devices</t>
  </si>
  <si>
    <t>85-88</t>
  </si>
  <si>
    <t>Berkeley</t>
  </si>
  <si>
    <t>University of California, Berkeley</t>
  </si>
  <si>
    <t>Chofu</t>
  </si>
  <si>
    <t>Lexington</t>
  </si>
  <si>
    <t>Lincoln Laboratory</t>
  </si>
  <si>
    <t>National Institute of General Medical Sciences</t>
  </si>
  <si>
    <t>NIGMS</t>
  </si>
  <si>
    <t>60025038;60025038</t>
  </si>
  <si>
    <t>National Institutes of Health</t>
  </si>
  <si>
    <t>NIH</t>
  </si>
  <si>
    <t>60003878;60003878;60003878</t>
  </si>
  <si>
    <t>Ley A.</t>
  </si>
  <si>
    <t>Moscow</t>
  </si>
  <si>
    <t>469-477</t>
  </si>
  <si>
    <t>Journal of the American Chemical Society</t>
  </si>
  <si>
    <t>Tempe</t>
  </si>
  <si>
    <t>57-61</t>
  </si>
  <si>
    <t>Astronomical observations (listed by technique of observation) | Experimental tests of general relativity and observations of gravitational radiation</t>
  </si>
  <si>
    <t>Il Nuovo Cimento C</t>
  </si>
  <si>
    <t>Amaldi E.</t>
  </si>
  <si>
    <t>Zeitschrift fur Naturforschung - Section C Journal of Biosciences</t>
  </si>
  <si>
    <t>Ludwig-Maximilians-Universit√§t M√ºnchen</t>
  </si>
  <si>
    <t>60020828;60020828</t>
  </si>
  <si>
    <t>Adelaide</t>
  </si>
  <si>
    <t>Flinders University</t>
  </si>
  <si>
    <t>Natural Sciences and Engineering Research Council of Canada</t>
  </si>
  <si>
    <t>NSERC</t>
  </si>
  <si>
    <t>INTELSAT</t>
  </si>
  <si>
    <t>BBA - Bioenergetics</t>
  </si>
  <si>
    <t>Lomonosov Moscow State University</t>
  </si>
  <si>
    <t>E69</t>
  </si>
  <si>
    <t>0387236X</t>
  </si>
  <si>
    <t>Transactions of the Institute of Electronics and Communication Engineers of Japan. Section E</t>
  </si>
  <si>
    <t>Columbia</t>
  </si>
  <si>
    <t xml:space="preserve">Anon, </t>
  </si>
  <si>
    <t>Anon</t>
  </si>
  <si>
    <t>Bodulinskiy V.</t>
  </si>
  <si>
    <t>Nuijs A.</t>
  </si>
  <si>
    <t>61-66</t>
  </si>
  <si>
    <t>Measurement Techniques</t>
  </si>
  <si>
    <t>Telcom Report (English Edition)</t>
  </si>
  <si>
    <t>Journal of Electrical and Electronics Engineering, Australia</t>
  </si>
  <si>
    <t>57189168302;7103389860</t>
  </si>
  <si>
    <t>Netherway, D. J.;Carson, C. T.</t>
  </si>
  <si>
    <t>Netherway D.</t>
  </si>
  <si>
    <t>FEBS Letters</t>
  </si>
  <si>
    <t>University of Calgary</t>
  </si>
  <si>
    <t>U of C</t>
  </si>
  <si>
    <t>0022460X</t>
  </si>
  <si>
    <t>Journal of Sound and Vibration</t>
  </si>
  <si>
    <t>To, C. W.S.</t>
  </si>
  <si>
    <t>Calgary</t>
  </si>
  <si>
    <t>To C.</t>
  </si>
  <si>
    <t>SERC</t>
  </si>
  <si>
    <t>Ball Aerospace</t>
  </si>
  <si>
    <t>77-80</t>
  </si>
  <si>
    <t>EBU Technical Review</t>
  </si>
  <si>
    <t>British Broadcasting Corporation</t>
  </si>
  <si>
    <t>Planta</t>
  </si>
  <si>
    <t>Ermolaev V.</t>
  </si>
  <si>
    <t>60022195;60022195</t>
  </si>
  <si>
    <t>60092258;60092258;60092258;60092258</t>
  </si>
  <si>
    <t>Journal of the Institution of Engineers (India): Electrical Engineering Division</t>
  </si>
  <si>
    <t>60069494;60069494;60069494</t>
  </si>
  <si>
    <t>Bilaspur</t>
  </si>
  <si>
    <t>Government Engineering College Bilaspur</t>
  </si>
  <si>
    <t>Chhalotra G.</t>
  </si>
  <si>
    <t>Microwave journal</t>
  </si>
  <si>
    <t>159-161</t>
  </si>
  <si>
    <t>Photonics Spectra</t>
  </si>
  <si>
    <t>Steiner R.</t>
  </si>
  <si>
    <t>['usually sufficient', 'three species', 'tergotrochanteral muscle', 'tergotrochanteral motorneuron', 'stimuli presented', 'spiking response', 'spikes could', 'species studied', 'second leg', 'routinely induced', 'occur independently', 'neither necessary', 'musca domestica', 'motorneuron spike', 'mechanosensory inputs', 'ipsilateral antenna', 'invariably sufficient', 'intracellular recording', 'intracellular combined', 'interneuron alone', 'homologous neurons', 'giant neuron', 'eyed mutants', 'eyed flies', 'escape behaviour', 'electrical synapse', 'double recordings', 'despite differences', 'confirmed electrophysiologically', 'compound eyes', 'cobalt iontophoresis', 'cobalt coupling', 'cell identification', 'calliphora erythrocephala', 'calliphora elicit', 'also corroborated']</t>
  </si>
  <si>
    <t>1. The uniquely identifiable pair of giant descending neurons of Musca domestica and Calliphora erythrocephala are compared and described in relation to homologues in Drosophila. 2. Cobalt coupling in the giant fibre system suggests that giant descending neurons receive inputs from antennal mechanosensory afferents and small-field visual interneurons. 3. In Musca and Calliphora, terminals of giant descending neurons invade several discrete areas of neuropil. This is in contrast to Drosophila where homologous neurons have a relatively simple terminal. 4. Despite differences in morphology, in all three species a homologous terminal region is cobalt-coupled to the largest of three motorneurons supplying the second leg's tergotrochanteral muscle. 5. Sensory connections revealed anatomically were confirmed electrophysiologically by intracellular recording and dye-filling. Mechanosensory inputs from the ipsilateral antenna, and small field motion stimuli, or light 'on' and 'off' stimuli to the ipsilateral compound eyes, produce subthreshold activation in the giant descending neuron. 6. As in Drosophila, light 'on' or 'off' stimuli presented to white-eyed mutants of Musca and Calliphora elicit a spiking response in the giant descending neuron. In red-eyed flies, spikes could only be routinely induced by electrical stimulation across the head between the compound eyes or by releasing the cell from hyperpolarization. 7. Double recordings from the giant (intracellular combined with lucifer or cobalt iontophoresis for cell identification) and from the tergotrochanteral motorneuron (extracellular in muscle) show that a spike in the giant neuron is usually sufficient to drive a spike in the tergotrochanteral muscle. Latencies are short, as reported in Drosophila. Releasing the giant from hyperpolarization can result in a motorneuron spike in the absence of a spike in the giant: this suggests the presence of an electrical synapse. 8. Spiking in the tergotrochanteral muscle and the giant can occur independently of each other. Thus, this interneuron alone is neither necessary nor invariably sufficient for initiating 'escape behaviour' in the species studied. This is also corroborated by the structure of tergotrochanteral motorneurons whose extensive dendrites receive a variety of other inputs. ¬© 1986 Springer-Verlag.</t>
  </si>
  <si>
    <t>529-548</t>
  </si>
  <si>
    <t>60017317;60007257</t>
  </si>
  <si>
    <t>7101857978;7006202510</t>
  </si>
  <si>
    <t>Bacon, Jonathan P.;Strausfeld, Nicholas J.</t>
  </si>
  <si>
    <t>United Kingdom;Germany</t>
  </si>
  <si>
    <t>Brighton;Heidelberg</t>
  </si>
  <si>
    <t>University of Sussex;European Molecular Biology Laboratory Heidelberg</t>
  </si>
  <si>
    <t>Bacon J.</t>
  </si>
  <si>
    <t>The dipteran 'Giant fibre' pathway: neurons and signals</t>
  </si>
  <si>
    <t>10.1007/BF00603798</t>
  </si>
  <si>
    <t>2-s2.0-0000437689</t>
  </si>
  <si>
    <t>['tolerance build', 'special tooling', 'space widths', 'paper presents', 'hole registration', 'feature size', 'drilling considerations', 'connector anomalies', 'complex printed', 'backplane bowing', 'also presented']</t>
  </si>
  <si>
    <t>The design of a reliable, producible, large-backplane product requires careful consideration by the engineer and the manufacturer. Feature size and the trace and space widths are critical in maintaining annular ring requirements. This paper presents the design methodology used to develop a long, complex printed-circuit (PC) board backplane using standard press-fit connector technology. Included in the discussion are the methods of circuit design artwork master creation, artwork processing techniques, special tooling-hole registration and drilling considerations, and backplane product testing. The solutions to the production-related problems encountered-backplane bowing and connector anomalies from tolerance build-up-are also presented.</t>
  </si>
  <si>
    <t>RCA engineer</t>
  </si>
  <si>
    <t>Miller, R. F.</t>
  </si>
  <si>
    <t>Miller R.F.</t>
  </si>
  <si>
    <t>LONGER BACKPLANE PC BOARD DESIGN INCREASES TESTABILITY AND REDUCES ASSEMBLY.</t>
  </si>
  <si>
    <t>2-s2.0-0022747825</t>
  </si>
  <si>
    <t>['value problem', 'slot approximation', 'second kind', 'screened structure', 'one slot', 'mathematical apparatus', 'formulas hold', 'eigen waves', 'degenerate kernels', 'anisotropic layers']</t>
  </si>
  <si>
    <t>Using the mathematical apparatus of the theory of singular integral equations the boundary-value problem for the eigen waves of a structure is reduced to a system of Fredholm's equations of the second kind with degenerate kernels. The proposed method enabled a general analytic representation for the solutions of the equations to be obtained. In the narrow-slot approximation a relatively simple dispersion equation and formulas were obtained for the electric field distribution in a slot. The formulas hold for any screened structure with one slot, including a line with anisotropic layers.</t>
  </si>
  <si>
    <t>49-54</t>
  </si>
  <si>
    <t>Neganov, V. A.</t>
  </si>
  <si>
    <t>Neganov V.</t>
  </si>
  <si>
    <t>METHOD OF SINGULAR INTEGRAL EQUATIONS FOR ANALYZING SCREENED SLOTTED STRUCTURES.</t>
  </si>
  <si>
    <t>2-s2.0-0022750607</t>
  </si>
  <si>
    <t>['variable space', 'unknown phases', 'specified shape', 'radiation patterns', 'phase synthesis', 'parametric expression', 'obtained previously', 'multibeam patterns', 'also introduced']</t>
  </si>
  <si>
    <t>The use of the parametric expression for unknown phases, obtained previously when solving the problem of multibeam patterns, for phase synthesis of radiation patterns of a specified shape is proposed. The dimensions of the variable space, in which the solution of the phase synthesis problem is sought, is reduced and constraints on the antenna gain losses are also introduced.</t>
  </si>
  <si>
    <t>44-48</t>
  </si>
  <si>
    <t>7004066039;57197970081;7003388998</t>
  </si>
  <si>
    <t>Zheleznyak, M. M.;Kashin, V. A.;Kozik, V. I.</t>
  </si>
  <si>
    <t>Zheleznyak M.M.</t>
  </si>
  <si>
    <t>PHASE SYNTHESIS OF THE RADIATION PATTERNS OF ANTENNA ARRAYS USING PARAMETRIC COUPLING FOR UNKNOWN PHASES.</t>
  </si>
  <si>
    <t>2-s2.0-0022750648</t>
  </si>
  <si>
    <t>['type antennas', 'transfer conductances', 'slot width', 'slot antennas', 'radiation pattern', 'quite small', 'often used', 'metal surface', 'metal body', 'longitudinal slot', 'intrinsic conductances', 'intrinsic admittance', 'electrical characteristics', 'cylindrical portion', 'calculated taking']</t>
  </si>
  <si>
    <t>Surface-type antennas are finding wide practical application. Slot antennas, mounted on the surface of various metal bodies, are often used as such antennas. The electrical characteristics of such antennas (the radiation pattern, the intrinsic conductances, transfer conductances, etc. ) must be calculated taking the shape and dimensions of the metal surface, on which they are mounted, into account. Expressions are obtained here for the intrinsic admittance of a longitudinal slot, located on the cylindrical portion of a metal body in the form of a wedge with a cylindrical cap around the edge. The problem is solved for the case when the slot width is quite small so that the voltage distribution along the slot can be assumed to be sinusoidal. The admittance of the longitudinal slot is found by the induced magnetomotive force (MMF) method.</t>
  </si>
  <si>
    <t>149-152</t>
  </si>
  <si>
    <t>7102485268;6603273479</t>
  </si>
  <si>
    <t>Kravtsov, V. A.;Ulasik, O. L.</t>
  </si>
  <si>
    <t>Kravtsov V.</t>
  </si>
  <si>
    <t>INFLUENCE OF A WEDGE WITH A CYLINDRICAL CAP ON THE EDGE ON THE ADMITTANCE OF A LONGITUDINAL SLOT.</t>
  </si>
  <si>
    <t>2-s2.0-0022754774</t>
  </si>
  <si>
    <t>639-645</t>
  </si>
  <si>
    <t>7006839310;6602990133</t>
  </si>
  <si>
    <t>Bodrov, V. V.;Voinov, S. A.</t>
  </si>
  <si>
    <t>Bodrov V.</t>
  </si>
  <si>
    <t>Application of conducting pins and dielectric inserts for the matching of a phased waveguide array</t>
  </si>
  <si>
    <t>10.1007/BF01034155</t>
  </si>
  <si>
    <t>2-s2.0-0022755099</t>
  </si>
  <si>
    <t>['trigonometric functions', 'support legs', 'numerical solution', 'mathematical model', 'matching pins', 'intermediate quantity', 'integral equations', 'enables one', 'development engineers', 'desired currents', 'current distribution', 'construction elements', 'antenna array']</t>
  </si>
  <si>
    <t>The current distribution on the emitter, incorporated into an antenna array, is an intermediate quantity and enables one to determine antenna characteristics that are of interest to development engineers: emission and matching. The mathematical model of an infinite dipole phased antenna array (PAA) taking the support legs and matching pins into account, is represented in the form of a system of integral equations for the currents, flowing through the construction elements of the dipole and the pin. An algorithm has been developed for the numerical solution of the equation using Galerkin's method and an expansion of the desired currents in terms of a system of trigonometric functions.</t>
  </si>
  <si>
    <t>7006839310;7004901004;7005006600;7003762291</t>
  </si>
  <si>
    <t>Bodrov, V. V.;Surkov, V. I.;Kolosova, T. A.;Popova, Ye Yu</t>
  </si>
  <si>
    <t>Bodrov V.V.</t>
  </si>
  <si>
    <t>CURRENT DISTRIBUTION ON THE CONSTRUCTION ELEMENTS OF A DIPOLE INCORPORATED INTO A PHASED ANTENNA ARRAY.</t>
  </si>
  <si>
    <t>2-s2.0-0022755614</t>
  </si>
  <si>
    <t>['various applications', 'remote troubleshooting', 'quality equal', 'providing subscribers', 'onboard computers', 'many cells', 'cellular systems']</t>
  </si>
  <si>
    <t>Cellular telephone systems - in which cities are divided into many cells, each with its own antenna - are now providing subscribers with reliable mobile phone service of a quality equal to that of wired telephone systems. Estimates are made that there will be 1. 5 to 2 million subscribers nationwide by 1990. Various applications of cellular systems are considered including future applications of remote troubleshooting, which mechanics, for example, could use cellular diagnostic equipment to remotely poll car's onboard computers and identify the cause of a problem.</t>
  </si>
  <si>
    <t>60-62</t>
  </si>
  <si>
    <t>High technology</t>
  </si>
  <si>
    <t>Latamore, G. Berton</t>
  </si>
  <si>
    <t>Latamore G.</t>
  </si>
  <si>
    <t>CELLULAR SYSTEMS EASE MOBILE PHONE WOES.</t>
  </si>
  <si>
    <t>2-s2.0-0022757085</t>
  </si>
  <si>
    <t>['wave antenna', 'started operating', 'squid amplifier', 'rome group', 'oscillator system', 'november 1985', 'noise amplification', 'monochromatic waves', 'bar makes', 'band width', 'antenna vibrations', '3 hz', '21 hz', '2 k', '18 mk', '116 hz', '083 hz']</t>
  </si>
  <si>
    <t>In November 1985 the gravitational-wave antenna of the Rome group, installed at CERN, has started operating. It consists of a 5056 aluminium cilinder 3 m long, 2270 kg heavy, cooled at 4.2 K. The antenna vibrations are detected by means of a resonant capacitive transducer that together with the bar makes a two-coupled-oscillator system. The low-noise amplification is obtained with a d.c. SQUID amplifier. The frequencies of the two resonant modes are:v -=907.116 Hz and v +=923.083 Hz, with merit factors Q -=3.2¬∑106 and Q +=5.6¬∑106. The sensitivity to short gravitational bursts, expressed in terms of effective noise temperature, is 18 mK. This corresponds to a change in the metric tensor whose Fourier transform is H=1.1¬∑10-21 Hz-1. For monochromatic waves the antenna is sensitive (SNR=1) to h‚àº2¬∑10-25 in a band width of about 1/3 Hz, with a three months integration time. ¬© 1986 Societ√° Italiana di Fisica.</t>
  </si>
  <si>
    <t>829-845</t>
  </si>
  <si>
    <t>60032350-60021660;60032350-60021660;60032350-60021660;60032350-60021660;60032350-60021660;60032350-60021660;60021660-60082962;60021660-60082962;60021660-60021199;60021660-60021199;60019778;60021660-60027509;60021660-60027509;60021660-60027075</t>
  </si>
  <si>
    <t>24785703100;56236475400;7004243218;7003386560;7003636273;7103269533;7004641893;7103181547;55385270200;7003507432;6701785659;7005568912;7003738313;55750488400</t>
  </si>
  <si>
    <t>Amaldi, E.;Cosmelli, C.;Pallottino, G. V.;Pizzella, G.;Rapagnani, P.;Ricci, F.;Bonifazi, P.;Castellano, M. G.;Carelli, P.;Foglietti, V.;Cavallari, G.;Coccia, E.;Modena, I.;Habel, R.</t>
  </si>
  <si>
    <t>Italy;Italy;Italy;Italy;Italy;Italy;Switzerland</t>
  </si>
  <si>
    <t>Rome;Rome;Rome;Frascati;Rome;Rome;Geneva</t>
  </si>
  <si>
    <t>Istituto di Fisica dello Spazio Interplanetario, Rome;Sapienza Universit√† di Roma;Universit√† degli Studi di Roma "Tor Vergata";ENEA Centro Ricerche Frascati;Istituto Nazionale di Fisica Nucleare - INFN;Consiglio Nazionale delle Ricerche;European Organization for Nuclear Research</t>
  </si>
  <si>
    <t>60082962;60032350;60027509;60027075;60021660;60021199;60019778</t>
  </si>
  <si>
    <t>Preliminary results on the operation of a 2270 kg cryogenic gravitational-wave antenna with a resonant capacitive transducer and a d.c. SQUID amplifier</t>
  </si>
  <si>
    <t>10.1007/BF02558082</t>
  </si>
  <si>
    <t>2-s2.0-51249171126</t>
  </si>
  <si>
    <t>['special cases', 'impulse responses', 'general ones', 'arbitrary configuration']</t>
  </si>
  <si>
    <t>On the basis of the equation of the Fresnel-Kirchhoff scalar diffraction field, it is shown that the impulse responses of parallel-fed aperture antennas of arbitrary configuration with arbitrary aperture amplitude distributions and those of end-fed rectangular aperture antennas with arbitrary aperture amplitude distributions can all be expressed by the aperture amplitude distributions, and that the impulse responses of rectangular aperture antennas with separable aperture distributions and those of circular aperture antennas with circularly symmetric distributions are special cases of the above general ones. ¬© 1986 Science Press.</t>
  </si>
  <si>
    <t>211-219</t>
  </si>
  <si>
    <t>Journal of Electronics (China)</t>
  </si>
  <si>
    <t>Hannan, Hu</t>
  </si>
  <si>
    <t>Shanghai</t>
  </si>
  <si>
    <t>Shanghai Ship and Shipping Research Institute</t>
  </si>
  <si>
    <t>Hannan H.</t>
  </si>
  <si>
    <t>Impulse responses of aperture antennas with arbitrary aperture distributions</t>
  </si>
  <si>
    <t>10.1007/BF02778883</t>
  </si>
  <si>
    <t>2-s2.0-51649152140</t>
  </si>
  <si>
    <t>['¬© 1986', 'sulfur centers', 'spinach containing', 'region 550', 'radical pair', 'oxidized state', 'measured earlier', 'febs lett', 'excited chlorophyll', 'direct evidence', 'chlorophyllous anion', 'chlorophyllous acceptor', 'acceptor complex', '900 nm', '70 chlorophyll', '532 nm', '316 ),', '., klevanik']</t>
  </si>
  <si>
    <t>(Spinach chloroplast) | Chlorophyll a | P-700 | Photosystem I charge separation | Picosecond spectroscopy</t>
  </si>
  <si>
    <t>Absorbance difference spectra at various delay times, and kinetics of absorbance changes induced by a 35 ps excitation pulse at 532 nm, were measured of relatively intact Photosystem I particles from spinach containing about 70 chlorophyll a molecules per photoactive primary electron donor P-700. The excitation pulse produced absorbance changes due to the formation of singlet- and triplet-excited antenna chlorophyll a, and, in the case of active reaction centers, also those due to the oxidation of P-700. The formation of excited chlorophyll a was accompanied by the bleaching of the Qy ground state absorption band and by the appearance of a rather flat absorption increase in the region 550-900 nm. The lifetime of singlet-excited chlorophyll a was found to be 40 ¬± 5 ps. When the iron-sulfur centers were prereduced (photo)chemically, the formation of a radical pair consisting of P-700+ and a chlorophyllous anion was observed. The absorbance-difference spectrum calculated for the reduction of the acceptor was similar to that measured earlier (Shuvalov, V.A., Klevanik, A.V., Sharkov, A.V., Kryukov, P.G. and Ke, B. (1979) FEBS Lett. 107, 313-316), and indicated that the acceptor is a chlorophyll a species absorbing around 693 nm. The lifetime of the radical pair was at least 25 ns. If, however, the acceptor complex was in the oxidized state before the flash, only the oxidation of P-700 was observed. No direct evidence was obtained for the reduction of the chlorophyllous acceptor, implying that if such an anion is formed, it must be reoxidized within 50 ps. ¬© 1986.</t>
  </si>
  <si>
    <t>310-318</t>
  </si>
  <si>
    <t>60003878;60003878;60003878;60003878;60003878</t>
  </si>
  <si>
    <t>23373601600;7101961104;7003439547;24388765000;6603047878</t>
  </si>
  <si>
    <t>Nuijs, Antonius M.;Shuvalov, Vladimir A.;van Gorkom, Hans J.;Plijter, Johan J.;Duysens, Louis N.M.</t>
  </si>
  <si>
    <t>Picosecond absorbance difference spectroscopy on the primary reactions and the antenna-excited states in Photosystem I particles</t>
  </si>
  <si>
    <t>10.1016/0005-2728(86)90186-6</t>
  </si>
  <si>
    <t>2-s2.0-0000536208</t>
  </si>
  <si>
    <t>CM 83-16373</t>
  </si>
  <si>
    <t>['œ ≥.', 'œ ≥,', '¬© 1986', 'used single', 'turnover flashes', 'simultaneously illuminated', 'similarly unaffected', 'oxygen production', 'nearly equal', 'laser flash', 'greatly change', 'excitation energy', 'common antenna', 'closing rcii', 'closed traps', 'closed rcii', 'chlorella vulgaris', 'background light', 'background irradiance', 'almost identical', 'absorption cross', '25 ).']</t>
  </si>
  <si>
    <t>(Chlorella) | Energy transfer | Fluorescence induction | Photosystem II | Reaction center</t>
  </si>
  <si>
    <t>We have investigated the extent of energy transfer among Photosystem II reaction centers in Chlorella vulgaris. The cells show typical non-exponential fluorescence induction kinetics in the presence of the herbicide 3-(3,4-dichlorophenyl)-1,1-dimethylurea. We used single-turnover flashes to determine effective absorption cross-sections for Photosystem II reaction centers (RCII) in cells which were simultaneously illuminated with a continuous background light. We varied the background irradiance to control the fraction, Œ≥, of the total RCII closed at the time of a flash. We found that the absorption cross-section per RCII was almost completely independent of Œ≥. Relative oxygen flash yields measured at low laser flash energies were similarly unaffected when RCII were closed with the background light. We simultaneously measured laseer flash energy saturation curves for oxygen production and for the increase in fluorescence quantum yield measured 30 Œºs after the laser flash. The oxygen and fluorescence saturation curves were almost identical. We conclude from these results and appropriate theoretical calculations that the difference in the probabilities for escape of excitation energy at open and closed RCII is small (under 0.25). No matter how many RCII share a common antenna, closing RCII does not greatly change the absorption cross-section of the remaining open RCII. Either the probability for escape from closed traps is small, or the probabilities for escape from open and closed traps are nearly equal. ¬© 1986.</t>
  </si>
  <si>
    <t>234-248</t>
  </si>
  <si>
    <t>60026827;60026827</t>
  </si>
  <si>
    <t>7006334364;7005034241</t>
  </si>
  <si>
    <t>Ley, Arthur C.;Mauzerall, David C.</t>
  </si>
  <si>
    <t>Rockefeller University</t>
  </si>
  <si>
    <t>The extent of energy transfer among Photosystem II reaction centers in Chlorella</t>
  </si>
  <si>
    <t>10.1016/0005-2728(86)90178-7</t>
  </si>
  <si>
    <t>2-s2.0-0001672566</t>
  </si>
  <si>
    <t>T32GM007270</t>
  </si>
  <si>
    <t>['¬© 1986', 'two small', 'temperature dependence', 'suggested previously', 'state pf', 'standard free', 'small increase', 'rubrum strains', 'rhodopseudomonas sphaeroides', 'reaction centers', 'qualitatively different', 'pair state', 'p *).', 'multiphasic kinetics', 'longest component', 'initial radical', 'initial amplitudes', 'free energy', 'found previously', 'fluorescence decays', 'fluorescence decay', 'fluorescence amplitudes', 'exponential decay', 'excited antenna', 'energy gap', 'energy difference', 'electron transfer', 'determined previously', 'delayed fluorescence', 'decay time', 'chromatophores arises', 'chemical reduction', 'blocked beyond', 'antenna complexes', '295 k', '26 exhibit', '19 ev', '180 k', '10 ev', '02 ev']</t>
  </si>
  <si>
    <t>(R. rubrum, Rps. sphaeroides) | Bacterial photosynthesis | Chromatophore | Fluorescence kinetics</t>
  </si>
  <si>
    <t>Single-photon counting techniques were used to measure the fluorescence decay from Rhodopseudomonas sphaeroides and Rhodospirillum rubrum chromatophores after excitation with a 25-ps, 600-nm laser pulse. Electron transfer was blocked beyond the initial radical-pair state (PF) by chemical reduction of the quinone that serves as the next electron acceptor. Under these conditions, the fluorescence decays with multiphasic kinetics and at least three exponential decay components are required to describe the delayed fluorescence. Weak magnetic fields cause a small increase in the decay time of the longest component. The components of the delayed fluorescence are similar to those found previously with isolated reaction centers. We interpret the multi-exponential decay in terms of two small (0.01-0.02 eV) relaxations in the free energy of PF, as suggested previously for reaction centers. From the initial amplitudes of the delayed fluorescence, it is possible to calculate the standard free-energy difference between the earliest resolved form of PF and the excited singlet state of the antenna complexes in R. rubrum strains S1 and G9. The free-energy gap is found to be about 0.10 eV. It also is possible to calculate the standard free-energy difference between PF and the excited singlet state of the reaction center bacteriochlorophyll dimer (P*). Values of 0.17 to 0.19 eV were found in both R. rubrum strains and also in Rps. sphaeroides strain 2.4.1. This free-energy gap agrees well with the standard free-energy difference between PF and P* determined previously for reaction centers isolated from Rps. sphaeroides strain R26. The temperature dependence of the delayed fluorescence amplitudes between 180 K and 295 K is qualitatively different in isolated reaction centers and chromatophores. However, the temperature dependence of the calculated standard free-energy difference between P* and PF is similar in reaction centers and chromatophores of Rps. sphaeroides. The different temperature dependence of the fluorescence amplitudes in reaction centers and chromatophores arises because the free-energy difference between P* and the excited antenna is dominated by the entropy change associated with delocalization of the excitation in the antenna. We conclude that the state PF is similar in isolated reaction centers and in the intact photosynthetic membrane. Chromatophores from Rps. sphaeroides strain R-26 exhibit an anomalous fluorescence component that could reflect heterogeneity in their antenna. ¬© 1986.</t>
  </si>
  <si>
    <t>197-210</t>
  </si>
  <si>
    <t>60015481;60015481</t>
  </si>
  <si>
    <t>7006774990;7006623893</t>
  </si>
  <si>
    <t>Woodbury, Neal W.;Parson, William W.</t>
  </si>
  <si>
    <t>Seattle</t>
  </si>
  <si>
    <t>University of Washington</t>
  </si>
  <si>
    <t>Woodbury N.W.</t>
  </si>
  <si>
    <t>Nanosecond fluorescence from chromatophores of Rhodopseudomonas sphaeroides and Rhodospirillum rubrum</t>
  </si>
  <si>
    <t>000527288690174X</t>
  </si>
  <si>
    <t>10.1016/0005-2728(86)90174-X</t>
  </si>
  <si>
    <t>2-s2.0-0023040257</t>
  </si>
  <si>
    <t>['¬© 1986', 'ubiquinone acceptor', 'time constant', 'standard free', 'rhodospirillum rubrum', 'reduced chemically', 'reaction centers', 'reaction center', 'radical pair', 'quenching processes', 'probably involving', 'initially open', 'high flash', 'flash intensity', 'excited states', 'excited state', 'energy difference', 'energy densities', 'difference spectra', 'charge separation', 'antenna pigments', 'antenna bacteriochlorophyll', 'acta 810', 'acceptor occurred', 'acceptor complex', 'absorption spectroscopy', 'absorbance changes', '400 ps', '4 ns', '300 ps', '160 mev', '105 ),', '10 ns']</t>
  </si>
  <si>
    <t>(R. rubrum) | Bacteriochlorophyll | Charge separation | Electron transport | Reaction center</t>
  </si>
  <si>
    <t>Absorbance-difference spectra and kinetics of absorbance changes were measured of chromatophores of Rhodospirillum rubrum by means of picosecond-absorption spectroscopy. A 35 ps excitation pulse at 532 nm produced absorbance changes due to the formation and decay of excited states of antenna pigments (Nuijs, A.M., Van Grondelle, R., Joppe, H.L.P., Van Bochove, A.C. and Duysens, L.N.M. (1985) Biochim. Biophys. Acta 810, 94-105), and, when open reaction centers were present, also those due to charge separation and primary electron transport. At low excitation energy density the lifetime of singlet-excited antenna bacteriochlorophyll was 80 ¬± 10 ps when the reaction centers were initially open and 200-400 ps when the primary electron donor was oxidized. Under the former conditions photooxidation of the primary donor occurred with a time constant of 70 ¬± 10 ps. Reduction of an electron-acceptor complex in the reaction center, probably involving both bacteriochlorophyll and bacteriopheophytin, was observed. Reoxidation of this acceptor occurred with a time constant of 200-300 ps. When the ubiquinone acceptor was reduced chemically, the primary radical pair decayed by recombination with a time constant of about 4 ns at high flash-energy densities, and of about 10 ns at lower energy densities. This dependence of the lifetime of the radical pair on the flash intensity was explained in terms of quenching processes by carotenoid triplet states in the antenna, and indicated a standard free-energy difference between the radical pair and the singlet-excited state of antenna bacteriochlorophyll of about 160 meV. ¬© 1986.</t>
  </si>
  <si>
    <t>286-293</t>
  </si>
  <si>
    <t>60003878;60003878;60003878;60008734;60008734</t>
  </si>
  <si>
    <t>23373601600;35599806700;7801446999;24442999800;6603047878</t>
  </si>
  <si>
    <t>Nuijs, Antonius M.;van Grondelle, Rienk;Joppe, H. Laura P.;van Bochove, A. Cees;Duysens, Louis N.M.</t>
  </si>
  <si>
    <t>Vrije Universiteit Amsterdam;Sterrewacht Leiden</t>
  </si>
  <si>
    <t>60008734;60003878</t>
  </si>
  <si>
    <t>A picosecond-absorption study on bacteriochlorophyll excitation, trapping and primary-charge separation in chromatophores of Rhodospirillum rubrum</t>
  </si>
  <si>
    <t>0005-2728(86)90183-0</t>
  </si>
  <si>
    <t>10.1016/0005-2728(86)90183-0</t>
  </si>
  <si>
    <t>2-s2.0-25344475290</t>
  </si>
  <si>
    <t>['various decay', 'various assumptions', 'trapezoidal rule', 'passage time', 'passage probabilities', 'hazard rates', 'explicit expressions', 'displacement responses', 'crossings based']</t>
  </si>
  <si>
    <t>The distribution of the first-passage time for normal stationary random processes provided by Vanmarcke has been extended to cases involving Gaussian non-stationary random processes. The first-passage probabilities so obtained for type-D crossings based on various assumptions were approximated by the trapezoidal rule so that explicit expressions were obtained. Application of the results was made on the determination of various decay or hazard rates and first-passage probabilities for the displacement responses of the quarter scale physical model of a class of mast antenna structures, idealized by the finite element method, subjected to non-stationary random excitation. ¬© 1986 Academic Press Inc. (London) Limited.</t>
  </si>
  <si>
    <t>Distribution of the first-passage time of mast antenna structures to non-stationary random excitation</t>
  </si>
  <si>
    <t>S0022-460X(86)80307-8</t>
  </si>
  <si>
    <t>10.1016/S0022-460X(86)80307-8</t>
  </si>
  <si>
    <t>2-s2.0-0023044808</t>
  </si>
  <si>
    <t>['¬© 1986', 'varying intensities', 'surrounds b875', 'singlet annihilation', 'significant role', 'room temperature', 'results showed', 'ps flashes', 'possible decreases', 'observation appears', 'integrated yield', 'fluorescence produced', 'energy transfer', 'emission spectra', 'either open', 'blue shift', 'b875 light', 'antenna molecules', 'additional long', '875 molecules', '850 units', '532 nm', '4 k']</t>
  </si>
  <si>
    <t>(R. rubrum, Rps. sphaeroides) | Antenna structure | Bacterial photosynthesis | Energy transfer | Singlet-singlet annihilation</t>
  </si>
  <si>
    <t>Chromatophores of the purple photosynthetic bacteria Rhodospirillum rubrum and Rhodobacter (Rhodopseudomonas) sphaeroides were excited by means of 35-ps flashes at 532 nm of varying intensities, both at room temperature and at 4 K. With increasing exciting energy densities the integrated yield of fluorescence produced by these flashes was found to decrease considerably due to singlet-singlet annihilation. An analysis of the results showed that in R. rubrum the number of connected antenna molecules between which energy transfer is possible decreases from about 1000 to about 150 when the temperature is lowered from 298 to 4 K. In Rb. sphaeroides the B875 light-harvesting complex appears to contain about 100 connected bacteriochlorophyll (BChl) 875 molecules at 4 K, while the B800-850 complex contains about 45 BChl 850 molecules. The data are explained by a model for the antenna of Rb. sphaeroides in which units of B875, containing about four reaction centres, are separated by an array of B800-850 units that surrounds B875. By applying a random walk model we found that in both species the rate of energy transfer between neighbouring antenna molecules decreased about 10-fold upon lowering the temperature. The rate of energy transfer from antenna molecules to either open or closed reaction centres decreased only 3- to 4-fold in R. rubrum and remained approximately constant in Rb. sphaeroides upon cooling. A blue shift of the emission spectra at 4 K of both species was observed when the excitation energy density was increased to a level where singlet-singlet annihilation plays a significant role. This observation appears to support the notion that an additional long-wave pigment exists in the antenna of these bacteria. ¬© 1986.</t>
  </si>
  <si>
    <t>501-512</t>
  </si>
  <si>
    <t>60003878;60008734;60003878;60003878;60003878;60003878</t>
  </si>
  <si>
    <t>24395538800;35599806700;24442767200;24442954500;7004456032;6603047878</t>
  </si>
  <si>
    <t>Vos, Marcel;van Grondelle, Rienk;van der Kooij, Fred W.;van de Poll, Dan;Amesz, Jan;Duysens, Louis N.M.</t>
  </si>
  <si>
    <t>Vos M.</t>
  </si>
  <si>
    <t>Singlet-singlet annihilation at low temperatures in the antenna of purple bacteria</t>
  </si>
  <si>
    <t>10.1016/0005-2728(86)90119-2</t>
  </si>
  <si>
    <t>2-s2.0-0022448709</t>
  </si>
  <si>
    <t>European Molecular Biology Organization</t>
  </si>
  <si>
    <t>EMBO</t>
  </si>
  <si>
    <t>['¬© 1986', 'weight polypeptide', 'significant changes', 'saturating concentrations', 'removal indicate', 'rapidly phosphorylated', 'ps ii', 'photosystem cross', 'min period', 'mg2 +,', 'lhcp polypeptides', 'lhcp phosphorylation', 'lhcp molecules', 'largely completed', 'initial 3', 'extensive mixing', 'continued phosphorylation', 'associated changes', '6 min']</t>
  </si>
  <si>
    <t>(Spinach chloroplast) | Light-harvesting chlorophyll a b-binding protein | Protein phosphorylation | Thylakoid protein</t>
  </si>
  <si>
    <t>The kinetics of LHCP phosphorylation and associated changes in photosystem cross-section and energy 'spill-over' from PS II to PS I have been examined in isolated spinach chloroplasts. During an initial phosphorylation period of 3-6 min, in the presence of saturating concentrations of Mg2+, the increase in PS I and decrease in PS II cross-section are largely completed, as judged by both measurements of the steady-state redox state of Q and fluorescence yield changes. This corresponds to a period of rapid 32P incorporation into the low-molecular weight LHCP polypeptide. Subsequent to this initial 3-6-min period there is substantial further phosphorylation of both LHCP polypeptides, which is not accompanied by significant changes in photosystem cross-section, even after the chloroplasts had been unstacked with extensive mixing of PS I and PS II by Mg-removal. It is suggested that there exists a specific 'mobile' population of LHCP molecules which is rapidly phosphorylated and which may be enriched in the low-molecular-weight polypeptide. In addition, measurements of the kinetics of the 'spill-over' changes upon either Mg2+ addition or removal indicate that the continued phosphorylation of LHCP is able to increase the 'spill-over' process under favourable ionic conditions. ¬© 1986.</t>
  </si>
  <si>
    <t>60030318;60030318;60030318</t>
  </si>
  <si>
    <t>7201971898;7102263604;7006530694</t>
  </si>
  <si>
    <t>Jennings, Robert C.;Islam, Khalid;Zucchelli, Giuseppe</t>
  </si>
  <si>
    <t>Spinach-thylakoid phosphorylation: Studies on the kinetics of changes in photosystem antenna size, spill-over and phosphorylation of light-harvesting chlorophyll a b protein</t>
  </si>
  <si>
    <t>10.1016/0005-2728(86)90117-9</t>
  </si>
  <si>
    <t>2-s2.0-30744432565</t>
  </si>
  <si>
    <t>['¬© 1986', 'near zone']</t>
  </si>
  <si>
    <t>A theory of convergent and divergent resonance cones in the near zone of a magnetic ring antenna in a cold magnetized plasma is developed. A comparison with the electric ring exciter is made. Density variations due to the rf field ponderomotive force are estimated. ¬© 1986.</t>
  </si>
  <si>
    <t>73-76</t>
  </si>
  <si>
    <t>Physics Letters A</t>
  </si>
  <si>
    <t>Karpman, V. I.</t>
  </si>
  <si>
    <t>Troitsk</t>
  </si>
  <si>
    <t>Pushkov Institute of Terrestrial Magnetism, Ionosphere and Radiowave Propagation, Russian Academy of Sciences</t>
  </si>
  <si>
    <t>Karpman V.</t>
  </si>
  <si>
    <t>Resonance cones of a magnetic ring antenna in an anisotropic plasma</t>
  </si>
  <si>
    <t>0375-9601(86)90162-3</t>
  </si>
  <si>
    <t>10.1016/0375-9601(86)90162-3</t>
  </si>
  <si>
    <t>2-s2.0-45949129020</t>
  </si>
  <si>
    <t>Connecticut State Emergency Response Commission</t>
  </si>
  <si>
    <t>['¬© 1986', 'two light', 'two chlorophyll', 'three apoproteins', 'structural relationship', 'results suggest', 'polyclonal antibodies', 'peripheral light', 'immunological relatedness', 'harvesting systems', 'harvesting polypeptides', 'harvesting complex']</t>
  </si>
  <si>
    <t>Chlorophyll antenna | Light-harvesting complex | Monoclonal antibody | Photosystem I | Photosystem II | Thylakoid protein</t>
  </si>
  <si>
    <t>Monoclonal and polyclonal antibodies have been raised against the three apoproteins of the peripheral light-harvesting complex of photosystem I (LHC I) from Pisum sativum L. These antibodies have been used to study the immunological relatedness of the light-harvesting polypeptides of photosystems I and II. The results suggest that there is no immunological/structural relationship between the two light-harvesting systems. The apoproteins of the LHC I fall into two distinct groups corresponding to the two chlorophyll a b complexes comprising the PS I antenna. ¬© 1986.</t>
  </si>
  <si>
    <t>295-300</t>
  </si>
  <si>
    <t>60022020;60022020</t>
  </si>
  <si>
    <t>57201784349;55663208500</t>
  </si>
  <si>
    <t>Williams, R. S.;Ellis, R. J.</t>
  </si>
  <si>
    <t>Coventry</t>
  </si>
  <si>
    <t>University of Warwick</t>
  </si>
  <si>
    <t>Williams R.</t>
  </si>
  <si>
    <t>Immunological studies on the light-harvesting polypeptides of photosystems I and II</t>
  </si>
  <si>
    <t>0014-5793(86)80761-X</t>
  </si>
  <si>
    <t>10.1016/0014-5793(86)80761-X</t>
  </si>
  <si>
    <t>2-s2.0-46149128764</t>
  </si>
  <si>
    <t>['¬© 1986', 'type material', 'two projections', 'species rank', 'new taxon', 'new descriptions', 'n .,', 'mediterranean species', 'given based', 'francis group', 'four species', 'dimorpha sp', 'additional material']</t>
  </si>
  <si>
    <t>For four species of Paraleptomysis, revised or new descriptions are given based on type material and partly on additional material from a large distribution range. P. banyulensis (BƒÉcescu) is elevated to species rank, and a new taxon, P. dimorpha sp.n., from equatorial West Africa is described. One may distinguish two biogeographically definable groups: 1) Atlantic and Mediterranean species, P. apiops, P. banyulensis, and P. dimorpha, with one spiniform projection at sympod of antenna; and 2) eastern Indian Ocean and China Sea species, P. xenops and P. sinensis, with two projections at this sympod. ¬© 1986, Taylor and Francis Group.</t>
  </si>
  <si>
    <t>147-160</t>
  </si>
  <si>
    <t>Sarsia</t>
  </si>
  <si>
    <t>Wittmann, Karl J.</t>
  </si>
  <si>
    <t>Austria</t>
  </si>
  <si>
    <t>Vienna</t>
  </si>
  <si>
    <t>Universit√§t Wien</t>
  </si>
  <si>
    <t>Wittmann K.</t>
  </si>
  <si>
    <t>A revision of the genus paraleptomysis Liu&amp;Wang (crustacea: Mysidacea)</t>
  </si>
  <si>
    <t>10.1080/00364827.1986.10419677</t>
  </si>
  <si>
    <t>2-s2.0-0005173963</t>
  </si>
  <si>
    <t>['two sessions', 'techniques known', 'satellite service', 'satellite orbit', 'permissible interference', 'network characteristics', 'large range', 'first session', 'door open', 'current limitations']</t>
  </si>
  <si>
    <t>The World Administrative Radio Conference on the use of the geostationary-satellite orbit and the planning of the space services utilizing it (ORB), established by the World Administrative Radio Conference (WARC-79) and to be held in two sessions, decided at its First Session (ORB(1), 1985) to plan the use of the geostationary-satellite orbit in selected frequency bands allocated to the fixed-satellite service, employing two distinct planning methods. Four major technical factors affect the number of orbit locations available for planning: earth station antenna gain, satellite and earth station antenna discrimination, permissible interference and network dissimilarities ('inhomogeneity'). Considering the large range of network characteristics, further relief for planning purposes must mainly be sought from improved antenna radiation characteristics and higher interference levels, but also from a variety of other techniques known to enhance orbit utilization efficiency. ORB(2), tasked with implementing the two planning methods, should recognize the importance of these techniques as well as their current limitations, and should leave the door open for their further development.</t>
  </si>
  <si>
    <t>0497137X</t>
  </si>
  <si>
    <t>Telecommunication journal</t>
  </si>
  <si>
    <t>Weiss, H. J.</t>
  </si>
  <si>
    <t>Weiss H.</t>
  </si>
  <si>
    <t>MAXIMIZING ACCESS TO THE GEOSTATIONARY-SATELLITE ORBIT.</t>
  </si>
  <si>
    <t>2-s2.0-0022758349</t>
  </si>
  <si>
    <t>['vertical plane', 'standard parabolic', 'spinning direction', 'latest concept', 'improved performance', 'horn antennas', 'beam requires', 'azimuth plane', 'antenna type', '0 ghz']</t>
  </si>
  <si>
    <t>The latest concept in spinning direction-finder antennas offers a greatly reduced profile and improved performance from 0. 5 to 40. 0 GHz. The problem in designing a low-profile DF antenna is the need to produce a beam that is narrow in the azimuth plane and wide in the vertical plane; such a beam requires a broad azimuth aperture and a short vertical aperture. Considering the deficiencies of the standard parabolic and horn antennas, we have devised an antenna that is a parabola only in the azimuth plane and a horn in the vertical plane, thus taking advantage of the virtues of each antenna type.</t>
  </si>
  <si>
    <t>109-112, 114</t>
  </si>
  <si>
    <t>Hill, John E.</t>
  </si>
  <si>
    <t>Watkins-Johnson Company</t>
  </si>
  <si>
    <t>Hill J.E.</t>
  </si>
  <si>
    <t>LOW-PROFILE ANTENNA IMPROVES DF ACCURACY.</t>
  </si>
  <si>
    <t>2-s2.0-0022761352</t>
  </si>
  <si>
    <t>F32GM010585</t>
  </si>
  <si>
    <t>['three chlorophyll', 'proteins cross', 'proteins 5', 'protein complex', 'major chlorophyll', 'kda chlorophyll', 'immunoblotting procedures', 'harvesting complex', 'h .,', 'distinct chlorophyll', 'cyanobacterial 36', 'cpiiib represents', 'complex contains', 'binding species', 'binding proteins', 'binding protein', 'binding complexes', 'aphanocapsa since', 'antibody prepared', 'antibodies raised', 'antibodies prepared', '1985 ).']</t>
  </si>
  <si>
    <t>Chlorophyll-proteins | cyanobacteria | Photosystem II | thylakoid</t>
  </si>
  <si>
    <t>Chlorophyll-binding proteins from the cyanobacterium Aphanocapsa 6714 were identified by immunoblotting procedures. Three chlorophyll-binding complexes, CPIII‚Ä≤, CPIIIa, and CPIIIb, were associated with PSII. CPIII‚Ä≤ likely serves as an antenna to PSII in Aphanocapsa since it could be removed from active PSII core preparations without loss of activity. The CPIII' proteins cross-reacted to antibodies prepared against the maize PSII light-harvesting complex, LHC-II. The CPIIIa polypeptides cross-reacted to antibodies raised against the Chlamydomonas PSII chlorophyll-proteins 5 and 6, indicating that this complex contains the major chlorophyll-binding species of the cyanobacterial PSII core. Lastly, an antibody prepared against the cyanobacterial 36-kDa chlorophyll-binding protein [Pakrasi, H., Riethman, H., and Sherman, L. (1985). Proc. Natl. Acad. Sci. USA82, 6903-6907] recognized only the 36-kDa IIIb apoprotein, indicating that CPIIIb represents a distinct chlorophyll-protein complex. ¬© 1986 Plenum Publishing Corporation.</t>
  </si>
  <si>
    <t>285-293</t>
  </si>
  <si>
    <t>0145479X</t>
  </si>
  <si>
    <t>Journal of Bioenergetics and Biomembranes</t>
  </si>
  <si>
    <t>60006173;60006173</t>
  </si>
  <si>
    <t>7004682381;57195342181</t>
  </si>
  <si>
    <t>Bullerjahn, George S.;Sherman, Louis A.</t>
  </si>
  <si>
    <t>University of Missouri</t>
  </si>
  <si>
    <t>Bullerjahn G.</t>
  </si>
  <si>
    <t>Immunological characterization of photosystem II chlorophyll-binding proteins from the cyanobacterium, Aphanocapsa 6714</t>
  </si>
  <si>
    <t>10.1007/BF00743049</t>
  </si>
  <si>
    <t>2-s2.0-0022762164</t>
  </si>
  <si>
    <t>['slot lines', 'impedance matching']</t>
  </si>
  <si>
    <t>The feed circuits required for dipole arrays perform power division, impedance matching, balanced-to-unbalanced line transformation, and, if needed, phase control tasks. The planar feed described was designed for octave-bandwidth dipole arrays. It is based on a planar matching balun built with microstrip and slot lines.</t>
  </si>
  <si>
    <t>91-92</t>
  </si>
  <si>
    <t>100328573;100328573</t>
  </si>
  <si>
    <t>7004654512;7003465942</t>
  </si>
  <si>
    <t>Axelrod, A.;Lipman, D.</t>
  </si>
  <si>
    <t>Tadiran Ltd</t>
  </si>
  <si>
    <t>Axelrod A.</t>
  </si>
  <si>
    <t>NOVEL PLANAR BALUN FEEDS OCTAVE-BANDWIDTH DIPOLE.</t>
  </si>
  <si>
    <t>2-s2.0-0022762808</t>
  </si>
  <si>
    <t>['practical problems', 'laminar materials', 'including kevlar', 'graphite cloth', 'fiberglass reflectors', 'edge treatment', 'article introduces', 'also described']</t>
  </si>
  <si>
    <t>This article introduces the reader to practical problems in the design of fiberglass reflectors and radomes with circular, elliptic and hyperbolic shaped curves of rotation. The author describes construction methods and materials for bonding and forming, including Kevlar, graphite cloth, pre-preg resin cloth and epoxides. Methods of edge treatment for laminar materials are also described.</t>
  </si>
  <si>
    <t>111-112, 114</t>
  </si>
  <si>
    <t>Downs, J. W.</t>
  </si>
  <si>
    <t>Santa Clara</t>
  </si>
  <si>
    <t>Custom Radomes &amp; Reflectors Inc</t>
  </si>
  <si>
    <t>Downs J.</t>
  </si>
  <si>
    <t>DESIGNING FOR FIBERGLASS AND COMPOSITES.</t>
  </si>
  <si>
    <t>2-s2.0-0022763519</t>
  </si>
  <si>
    <t>['weather forecasting', 'video display', 'two objectives', 'telecommunication equipment', 'system installed', 'satellite images', 'processing stations', 'operational region', 'one another', 'grid computer', 'following components', 'essentially consists', 'data storage', 'cassette recorder', 'apt antenna', 'also examined', '140 mhz']</t>
  </si>
  <si>
    <t>The requirement that a meteorological station must exist on board a multi-disciplinary research vessel requires a fitting out which essentially consists of two parts independent of one another: (1) For weather forecasting on board ship one must procure meteorological data material (observations, analyses) from the operational region of the ship. (2) All the relevant meteorological parameters must be registered and processed on the ship itself. The equipment to accomplish those two objectives is examined. These comprise the telecommunication equipment and satellite image receiving station. The system installed on board the 'Meteor' consists of the following components: 1) VHS/APT antenna, 2) Receiver for the frequency range 135-140 MHz, 3) System control computer, 4) Grid computer, 5) Video display, 6) High resolution color monitor, 7) Cassette recorder for image and data storage, 8) Laser image recorder, as hard copy unit for the satellite images. Meteorological data acquisition and processing stations are also examined.</t>
  </si>
  <si>
    <t>101-105</t>
  </si>
  <si>
    <t>Marine technology Dusseldorf</t>
  </si>
  <si>
    <t>Bock, Karl Heinz</t>
  </si>
  <si>
    <t>Bock K.</t>
  </si>
  <si>
    <t>SHIPBOARD METEOROLOGICAL STATION.</t>
  </si>
  <si>
    <t>2-s2.0-0022765390</t>
  </si>
  <si>
    <t>['optimum algorithm', 'independent noise', 'antenna array']</t>
  </si>
  <si>
    <t>A quasi-optimum algorithm is synthesized for the detection and measurement of the amplitudes and phases of signals at the outputs of the elements of an antenna array in the presence of internal, independent noise and spatially correlated interference.</t>
  </si>
  <si>
    <t>105-115</t>
  </si>
  <si>
    <t>7103225019;6505936754</t>
  </si>
  <si>
    <t>Maslov, A. F.;Nesterov, K. P.</t>
  </si>
  <si>
    <t>Maslov A.</t>
  </si>
  <si>
    <t>QUASI-OPTIMUM ALGORITHM FOR SIGNAL DETECTION AND THE MEASUREMENT OF ITS PARAMETERS AT THE OUTPUTS OF THE ELEMENTS OF AN ANTENNA ARRAY OPERATING IN A NONHOMOGENEOUS MEDIUM IN THE PRESENCE OF CORRELATED INTERFERENCE.</t>
  </si>
  <si>
    <t>2-s2.0-0022765734</t>
  </si>
  <si>
    <t>['current developments', 'brief review', 'article outlined', 'article describes']</t>
  </si>
  <si>
    <t>The article describes the current developments in HF transmitter control systems used by the BBC. After a brief review of the BBC's HF broadcasting operations, the article outlined the requirements for automation and describes the philosophy and implementation of the control system designed by the BBC. Five such systems are now in service, and the article finally covers planned further developments.</t>
  </si>
  <si>
    <t>212-222</t>
  </si>
  <si>
    <t>King, D. J.</t>
  </si>
  <si>
    <t>King D.</t>
  </si>
  <si>
    <t>AUTOMATIC CONTROL SYSTEMS FOR BBC HF TRANSMITTING STATIONS.</t>
  </si>
  <si>
    <t>2-s2.0-0022767141</t>
  </si>
  <si>
    <t>729-737</t>
  </si>
  <si>
    <t>6505774502;6505919136</t>
  </si>
  <si>
    <t>Krivokhizha, V. P.;Yatsuk, K. P.</t>
  </si>
  <si>
    <t>Krivokhizha V.</t>
  </si>
  <si>
    <t>The anisotropically conductive disk approximation in the problem of radiation of a plane finite spiral (symmetric wave regime)</t>
  </si>
  <si>
    <t>10.1007/BF01039488</t>
  </si>
  <si>
    <t>2-s2.0-0022768656</t>
  </si>
  <si>
    <t>['wide class', 'required properties', 'new methods', 'equal phase', 'emitting contours', 'criterion enabling', 'closed lines']</t>
  </si>
  <si>
    <t>The structure of the family of lines of equal phase of a two-dimensional electromagnetic field, having a given asymptotic form at infinity, is studied. A number of new methods for synthesizing resonance antennas based on a given radiation pattern are related to the choice of closed lines of equal phase as emitting contours. A criterion enabling the existence of lines of equal phase with the required properties to be determined is derived for a wide class of patterns. The results are illustrated with examples.</t>
  </si>
  <si>
    <t>73-80</t>
  </si>
  <si>
    <t>Milevskiy, A. S.</t>
  </si>
  <si>
    <t>Milevskiy A.</t>
  </si>
  <si>
    <t>LINES OF EQUAL PHASE OF A TWO-DIMENSIONAL ELECTROMAGNETIC FIELD AND THE CONDITIONS FOR THEIR CLOSURE.</t>
  </si>
  <si>
    <t>2-s2.0-0022769088</t>
  </si>
  <si>
    <t>['shelf components', 'proper combination', 'power phased', 'band phased', 'array antennas', 'array antenna', '200 mu']</t>
  </si>
  <si>
    <t>Relative phase difference measurements must be made between identical active circuit elements in pulsed, high-power phased-array antennas that transmit and receive signal pulses of less than 200 mu s. Low-cost microwave components take the place of expensive network analyzers for testing active circuit elements in phased-arrays. The proper combination of off-the-shelf components has made it possible to make successful measurements that fine-tune the unit-to-unit phase tracking for a C-band phased-array antenna.</t>
  </si>
  <si>
    <t>Foster, James</t>
  </si>
  <si>
    <t>Foster J.</t>
  </si>
  <si>
    <t>COMMON COMPONENTS EASE PHASED-ARRAY ANALYSIS.</t>
  </si>
  <si>
    <t>2-s2.0-17344391725</t>
  </si>
  <si>
    <t>['¬© 1986', 'shorter wavelengths', 'reduced state', 'pigment molecules', 'picosecond excitation', 'oxidized state', 'latter bleaching', 'isolated membranes', 'flashes produced', 'excited states', 'electron transfer', 'bchl c', 'absorption bands', '850 nm', '840 oxidation', '10 ps', '1 stoichiometry']</t>
  </si>
  <si>
    <t>(P. aestuarii) | Bacteriochlorophyll c | Charge separation | Photosynthesis | Picosecond spectroscopy</t>
  </si>
  <si>
    <t>Picosecond excitation at 850 nm of isolated membranes of the photosynthetic green sulfur bacterium Prosthecochloris aestuarii, when the primary electron donor P-840 was in the oxidized state, caused the formation of excited states of bacteriochlorophyll (BChl) a in the antenna, but not those of other pigment molecules, as had been observed upon excitation at shorter wavelengths. When, however, P-840 was initially in the reduced state, the flashes produced in addition absorption changes that could be attributed to reaction center components. These changes included bleachings of the absorption bands of P-840 and of BChl c. The latter bleaching, caused by BChl c reduction, decayed in 700 ¬± 70 ps, due to electron transfer to the next electron acceptor, whereas the bleaching of the bands of P-840 did not reverse in the time region studied (up to 3 ns). Analysis of the absorbance changes appeared to indicate a 1:1 stoichiometry for P-840 oxidation and BChl c reduction. The primary charge separation occurred in less than 10 ps. ¬© 1986.</t>
  </si>
  <si>
    <t>7101961104;7004456032;6603047878</t>
  </si>
  <si>
    <t>Shuvalov, V. A.;Amesz, J.;Duysens, L. N.M.</t>
  </si>
  <si>
    <t>Shuvalov V.</t>
  </si>
  <si>
    <t>Picosecond spectroscopy of isolated membranes of the photosynthetic green sulfur bacterium Prosthecochloris aestuarii upon selective excitation of the primary electron donor</t>
  </si>
  <si>
    <t>10.1016/0005-2728(86)90242-2</t>
  </si>
  <si>
    <t>2-s2.0-0002562342</t>
  </si>
  <si>
    <t>['¬© 1986', 'transfer quenching', 'transfer distances', 'thiacyanine fluorescence', 'surfactant cobalt', 'stilbenes together', 'stilbene fluorescence', 'stilbene aggregates', 'rights reserved', 'recent investigations', 'rates estimated', 'quenching occurs', 'new emission', 'moderately long', 'little evidence', 'fluorescent state', 'energy transfer', 'electron transfer', 'cobalt complexes', 'assemblies containing', 'ascribed either', 'appears electron', 'antenna effect', 'also observed']</t>
  </si>
  <si>
    <t>A study of energy and electron transfer of H-aggregated surfactant trans-stilbenes in supported multilayer assemblies is reported. The fluorescent state of the stilbenes is quenched over moderately long (80‚Äì90 A) distances by a surfactant thiacyanine dye concurrent with sensitization of the thiacyanine fluorescence. Although relatively long-range donor acceptor excitation energy transfer occurs, the stilbene aggregates do not transfer excitation efficiently among themselves; consequently, there is little evidence for an antenna effect in assemblies containing multiple layers of the stilbene. For assemblies containing the stilbenes together with a surfactant cobalt(III) complex or viologen, quenching of the stilbene fluorescence is also observed. In these cases the quenching occurs over much shorter distances, and no new emission or net photochemical changes can be detected. For the viologen it appears electron-transfer quenching is dominant; for the cobalt complexes the quenching observed could be ascribed either to electron transfer or to energy transfer. Electron-transfer distances and rates estimated from these studies appear consistent with results from recent investigations with quite different systems. ¬© 1986, American Chemical Society. All rights reserved.</t>
  </si>
  <si>
    <t>5712-5719</t>
  </si>
  <si>
    <t>60025111;60027165</t>
  </si>
  <si>
    <t>7006950833;7006299186</t>
  </si>
  <si>
    <t>Mooney, William F.;Whitten, David G.</t>
  </si>
  <si>
    <t>Rochester;Chapel Hill</t>
  </si>
  <si>
    <t>University of Rochester;The University of North Carolina at Chapel Hill</t>
  </si>
  <si>
    <t>60027165;60025111</t>
  </si>
  <si>
    <t>Mooney W.</t>
  </si>
  <si>
    <t>Energy- and Electron-Transfer Quenching of Surfactant trans-Stilbenes in Supported Multilayers: The Use of Hydrophobic Substrate Chromophores To Determine Short-Range Distance Dependence in Assemblies</t>
  </si>
  <si>
    <t>10.1021/ja00279a009</t>
  </si>
  <si>
    <t>2-s2.0-0001152327</t>
  </si>
  <si>
    <t>['sulzer ).', 'parasitized hosts', 'oviposition increased', 'myzus persicae', 'handling time', 'first encounter', 'easily parasitized', 'cerasicola used']</t>
  </si>
  <si>
    <t>Aphidiidae | diserimination | Ephedrus cerasicola | host instar | Myzus persicae | oviposition</t>
  </si>
  <si>
    <t>The parasitoid Ephedrus cerasicola Star√Ω oviposited in all 4 nymphal instars and in newly moulted adults of Myzus persicae (Sulzer). The different host categories were offered with no choice. The duration of an oviposition increased with the age of nymphs, being about 13, 18, 21, 22, and 17 s from 1 st instars to adults, respectively. Observations of number of stabbing attacks prior to oviposition, percent of the encounters not resulting in oviposition, time from first encounter to oviposition, handling time and aphid defensive behaviour also indicated that 1 st instar M. persicae are most easily parasitized. The behaviour of E. cerasicola in encounters with unparasitized and parasitized hosts, suggested that the parasitoid could discriminate. In encounters with parasitized 1 st to 4th instar aphids, E. cerasicola used only the antennae in 80% of the encounters that resulted in discrimination. ¬© 1986 Lavoisier Abonnements.</t>
  </si>
  <si>
    <t>261-267</t>
  </si>
  <si>
    <t>Entomophaga</t>
  </si>
  <si>
    <t>100310649;60007008</t>
  </si>
  <si>
    <t>23489088500;6508015569</t>
  </si>
  <si>
    <t>Hofsvang, T.;H√•gvar, Eline B.</t>
  </si>
  <si>
    <t>As;As</t>
  </si>
  <si>
    <t>Norges Milj√∏- og Biovitenskapelige Universitet;Plant Protection Centre</t>
  </si>
  <si>
    <t>60007008;100310649</t>
  </si>
  <si>
    <t>Hofsvang T.</t>
  </si>
  <si>
    <t>Oviposition behaviour of Ephedrus cerasicola [Hym.: Aphidiidae] parasitizing different instars of its aphid host</t>
  </si>
  <si>
    <t>10.1007/BF02373335</t>
  </si>
  <si>
    <t>2-s2.0-0007769421</t>
  </si>
  <si>
    <t>['strongly dependent', 'specific reference', 'realistically apportioned', 'pointing accuracy', 'paper explains', 'different subsystems', 'dbs example', 'communications satellite', 'antenna pattern']</t>
  </si>
  <si>
    <t>The performance of a communications satellite is strongly dependent on the pointing accuracy of its antenna pattern. Several subsystems contribute, directly or indirectly, to this beam pointing accuracy. Therefore, to ensure that the overall pointing requirement is met, an error budget must be established and the error components must be realistically apportioned between the different subsystems. The paper explains how this is done with specific reference to the STC/ DBS example.</t>
  </si>
  <si>
    <t>205-214</t>
  </si>
  <si>
    <t>Space communication and broadcasting</t>
  </si>
  <si>
    <t>101442374;101442374</t>
  </si>
  <si>
    <t>6602728958;57225256291</t>
  </si>
  <si>
    <t>Benet, C. A.;Dewell, R. D.</t>
  </si>
  <si>
    <t>Princeton Junction</t>
  </si>
  <si>
    <t>COMSAT</t>
  </si>
  <si>
    <t>Benet C.A.</t>
  </si>
  <si>
    <t>ANTENNA BEAM POINTING AND ERROR BUDGET ANALYSIS FOR COMMUNICATIONS SATELLITES.</t>
  </si>
  <si>
    <t>2-s2.0-0022772305</t>
  </si>
  <si>
    <t>['given satellite', 'coverage area', 'antenna required', 'also provided']</t>
  </si>
  <si>
    <t>The factors affecting satellite television reception are outlined and the article also deals with the design of receive-only systems for the reception of satellite television throughout the world. Information is also provided on the size of antenna required to receive from a given satellite at different points within its coverage area.</t>
  </si>
  <si>
    <t>Communication &amp; broadcasting</t>
  </si>
  <si>
    <t>Donnithorne, J. A.</t>
  </si>
  <si>
    <t>Donnithorne J.</t>
  </si>
  <si>
    <t>WORLD-WIDE RECEPTION OF SATELLITE TELEVISION PROGRAMMES.</t>
  </si>
  <si>
    <t>2-s2.0-0022774081</t>
  </si>
  <si>
    <t>['ultimately demonstrated', 'statistical sense', 'simply characterized', 'production tolerances', 'probability function', 'principal planes', 'principal plane', 'overdesign allowance', 'nonetheless predictable', 'independent requirements', 'illumination taper', 'antenna patterns']</t>
  </si>
  <si>
    <t>Planar array performance, as ultimately demonstrated by antenna patterns, is most simply characterized in its principal planes. Patterns are shaped in each principal plane to separate and independent requirements. Given a set of requirements, the dimensions and illumination taper for the array can be determined. However, as a result of production error tolerances, the designer would still be uncertain of the actual array performances. It is shown here that the performance is nonetheless predictable in a statistical sense, using a probability function associated with the design and fabrication of the rows and columns of the array. Curves that relate this probability function to a range of conditions, overdesign allowance and production tolerances are derived.</t>
  </si>
  <si>
    <t>201-204, 206</t>
  </si>
  <si>
    <t>Kaplan, Philip D.</t>
  </si>
  <si>
    <t>McLean</t>
  </si>
  <si>
    <t>MITRE Corporation</t>
  </si>
  <si>
    <t>Kaplan P.</t>
  </si>
  <si>
    <t>PREDICTING ANTENNA SIDELOBE PERFORMANCE.</t>
  </si>
  <si>
    <t>2-s2.0-0022774873</t>
  </si>
  <si>
    <t>['two wedges', 'polarization properties', 'dielectric wedge', 'authors discuss']</t>
  </si>
  <si>
    <t>The authors discuss the design of dielectric wedge-scanned lens antennas and present measured results on a conical scanned unit operating at 94GHz. The wedge-scanned antenna offers the possibilities of conical as well as (with two wedges) arbitrary scan patterns, together with good beam patterns, polarization properties and input port isolation.</t>
  </si>
  <si>
    <t>207-208, 210, 212</t>
  </si>
  <si>
    <t>100321467;100321467</t>
  </si>
  <si>
    <t>7102734848;7201911173</t>
  </si>
  <si>
    <t>Goldsmith, Paul F.;Gill, George J.</t>
  </si>
  <si>
    <t>DIELECTRIC WEDGE CONICAL SCANNED GAUSSIAN OPTICS LENS ANTENNA.</t>
  </si>
  <si>
    <t>2-s2.0-0022774874</t>
  </si>
  <si>
    <t>['staff officers', 'recently faced', 'rca engineer', 'marketing groups', 'international programs', 'functional knowledge']</t>
  </si>
  <si>
    <t>Members of MSRD's International Programs and Marketing groups have recently faced this situation in attempting to explain the operation of phased array radars to non-U. S. staff officers. Their solution: a 'primer' that explains not only how a phased array works, but, more importantly, what military advantages ensue from including it in one's arsenal. The primer is tailored to build on the customer's functional knowledge of conventional radar operation. This article, derived from the primer, provides the RCA engineer with fundamentals of the phased array radar, so important to MSRD.</t>
  </si>
  <si>
    <t>Mulle, W. A.</t>
  </si>
  <si>
    <t>Mulle W.</t>
  </si>
  <si>
    <t>RADAR/PHASED ARRAY RADAR PRIMER.</t>
  </si>
  <si>
    <t>2-s2.0-0022774929</t>
  </si>
  <si>
    <t>['w capability', 'transceiver may', 'test system', 'range 30mhz', 'mode frequency', 'individual module', 'frequency hopping', 'civil use', 'automatic built', 'agile v']</t>
  </si>
  <si>
    <t>The Marconi Swordfish transceiver is a multi-mode frequency-agile v. h. f/u. h. f transceiver designed for military or civil use on land or at sea. It covers the range 30MHz to 400MHz, with a. m, f. m, s. s. b and c. w capability. Voice or data can be handled, and both speech-encryption and fast-frequency hopping are optional. Additionally the transceiver may be configured for Satcom or Link 11 use. Swordfish is modular in construction and features an automatic built-in test system which enables fault location to an individual module. As a consequence of these features, Swordfish is versatile, cost-effective and is easy both to use and to maintain.</t>
  </si>
  <si>
    <t>43-46</t>
  </si>
  <si>
    <t>Kearns, K.</t>
  </si>
  <si>
    <t>Marconi Communication Systems</t>
  </si>
  <si>
    <t>Kearns K.</t>
  </si>
  <si>
    <t>SWORDFISH.</t>
  </si>
  <si>
    <t>2-s2.0-0022776114</t>
  </si>
  <si>
    <t>['satellite communications', 'future designers', 'brief review', 'borne antennas']</t>
  </si>
  <si>
    <t>A brief review of some highlights in the history of antenna development prior to satellite communications is presented. Some challenging problems facing past and future designers of ground-based and space-borne antennas for satellite communications are then discussed.</t>
  </si>
  <si>
    <t>226-233</t>
  </si>
  <si>
    <t>ANTENNAS FOR SATELLITE COMMUNICATIONS - SOME HIGHLIGHTS IN PAST DEVELOPMENT AND FUTURE TRENDS.</t>
  </si>
  <si>
    <t>2-s2.0-0022776641</t>
  </si>
  <si>
    <t>['transmitters driving', 'transmitter failure', 'transmission line', 'tight coupling', 'remaining transmitters', 'periodic antennas', 'operating conditions', 'forward current', 'equivalent circuit', 'effective vswr', 'array consisting', 'also investigated', '16 log']</t>
  </si>
  <si>
    <t>Models of a transmitter tuning network and measured impedance matrices of an array consisting of 16 log-periodic antennas are used to investigate the tuning and operating conditions of the transmitters driving the array. It is found that tuning the transmitters in the presence of tight coupling is facilitated by maintaining the forward current in the array feeders constant in both magnitude and phase. The improvement in the effective VSWR's seen by the transmitters after tuning is discussed in terms of an equivalent circuit of the tuning network consisting of a transformer and a length of transmission line. The effect of a transmitter failure on the remaining transmitters is also investigated.</t>
  </si>
  <si>
    <t>212-225</t>
  </si>
  <si>
    <t>100340969;100340969</t>
  </si>
  <si>
    <t>Dep of Defence</t>
  </si>
  <si>
    <t>EXCITATION OF A WIDE BAND HF PHASED TRANSMITTING ARRAY.</t>
  </si>
  <si>
    <t>2-s2.0-0022777547</t>
  </si>
  <si>
    <t>['west falklands', 'special relevance', 'network covering', 'falkland islands', 'article deals']</t>
  </si>
  <si>
    <t>This article deals with the flexible military line-of-sight commmunication system installed on the Falkland islands, which provides a network covering both East and West Falklands. Emphasis is given to the use of containerization as a means of providing a complete communication system, and its special relevance in the harsh conditions experienced in the Falkland Islands is discussed.</t>
  </si>
  <si>
    <t>25-29</t>
  </si>
  <si>
    <t>Brick, F. I.</t>
  </si>
  <si>
    <t>Brick F.</t>
  </si>
  <si>
    <t>ADAPTABLE MILITARY COMMUNICATION SYSTEM.</t>
  </si>
  <si>
    <t>2-s2.0-0022777624</t>
  </si>
  <si>
    <t>['track system', 'system design', 'step size', 'noise ratio', 'investigated using', 'geosynchronous satellite', 'design equations', 'computer simulation', 'accurate model']</t>
  </si>
  <si>
    <t>In this paper the signal-to-noise ratio and step size requirements of a step-track system, to be used for the tracking of a geosynchronous satellite, have been investigated using a computer simulation and an experiment with a view to derive a simple and an accurate model for a system design. Design equations have been derived from the results. Criteria for the selection of the step size and the signal-to-noise ratio have been discussed. Some limitations of the system have also been mentioned.</t>
  </si>
  <si>
    <t>215-228</t>
  </si>
  <si>
    <t>Richharia, M.</t>
  </si>
  <si>
    <t>Richharia M.</t>
  </si>
  <si>
    <t>DESIGN CONSIDERATIONS FOR AN EARTH STATION STEP-TRACK SYSTEM.</t>
  </si>
  <si>
    <t>2-s2.0-0022778692</t>
  </si>
  <si>
    <t>['w twt', 'speed transmission', 'satellite communications', 'noise amplifier', 'low c', 'latest technologies', 'hemt low', 'earth stations', 'digital data', '544 mbit', '30 ghz', '20 ghz']</t>
  </si>
  <si>
    <t>This paper describes two types of earth stations that have been developed for Japan's satellite communications. The fixed earth station and mobile earth station operate at 30 GHz for the uplink, and at 20 GHz for the downlink. Both stations can simultaneously perform high-speed transmission of reception of digital data at 1. 544 Mbit/s. A variety of the latest technologies are incorporated into these earth stations. To provide a highly accurate surface antenna, a main dish made of Carbon Fiber Reinforced Plastics (CFRP) was used. Other advanced components include an HEMT low-noise amplifier, a 350-W TWT, and a low C/N operation modem.</t>
  </si>
  <si>
    <t>307-317</t>
  </si>
  <si>
    <t>Fujitsu Scientific and Technical Journal</t>
  </si>
  <si>
    <t>7103195363;7405409081;7004231942</t>
  </si>
  <si>
    <t>Kurachi, Koichi;Saito, Toshiyuki;Ogata, Fumiaki</t>
  </si>
  <si>
    <t>Kurachi K.</t>
  </si>
  <si>
    <t>30/20 GHz EARTH STATION.</t>
  </si>
  <si>
    <t>2-s2.0-0022779475</t>
  </si>
  <si>
    <t>['various elements', 'unique design', 'transportable systems', 'terminals may', 'special attention', 'marconi range', 'elliptical antenna', 'earth terminals', 'article describes']</t>
  </si>
  <si>
    <t>This article describes the new Marconi Type P7020 Transportable Satellite Earth Station. Performance, and characteristics of the various elements of the earth terminals are given, with special attention being paid to the elliptical antenna which is of unique design. Uses to which the terminals may be put are discussed and mention is made of other terminals in the Marconi range of transportable systems.</t>
  </si>
  <si>
    <t>19-23</t>
  </si>
  <si>
    <t>Ackroyd, B. R.</t>
  </si>
  <si>
    <t>Ackroyd B.</t>
  </si>
  <si>
    <t>TRANSPORTABLE SATELLITE EARTH TERMINALS.</t>
  </si>
  <si>
    <t>2-s2.0-0022779497</t>
  </si>
  <si>
    <t>['use instrument', 'soundly based', 'rf emissions', 'radiation emanating', 'measurement protocol', 'astounding rate', 'also discussed']</t>
  </si>
  <si>
    <t>Operators of visual display terminals (VDT's) are concerned that they may be at risk from exposure to electromagnetic (EM) radiation emanating from VDT's. Consequently, requests for measurements of EM radiation emissions, particularly in the radiofrequency (RF) region of the spectrum, from VDT's are increasing at an astounding rate. In this paper the sources and levels of RF emissions from VDT's are defined. An inexpensive, easy-to-use instrument for the measurement of the RF emissions is described. Also discussed are a soundly based, easy to follow emission specification and measurement protocol.</t>
  </si>
  <si>
    <t>234-240</t>
  </si>
  <si>
    <t>100334183;100334183</t>
  </si>
  <si>
    <t>6602876764;35576999000</t>
  </si>
  <si>
    <t>Bangay, M. J.;Joyner, K. H.</t>
  </si>
  <si>
    <t>Commonwealth Department of Health</t>
  </si>
  <si>
    <t>Bangay M.</t>
  </si>
  <si>
    <t>INSTRUMENT TO MEASURE THE RF EMISSIONS FROM, AND AN EMISSION SPECIFICATION FOR, VISUAL DISPLAY TERMINALS.</t>
  </si>
  <si>
    <t>2-s2.0-0022780428</t>
  </si>
  <si>
    <t>['yet achieved', 'wide variety', 'various sophistication', 'seldom feasible', 'presently available', 'pickup elements', 'monitor cardiac', 'full development', 'emg ),', 'eeg ),', 'cresp ).', 'analytical science', 'acceptance necessary', '12 feet']</t>
  </si>
  <si>
    <t>Since it is seldom feasible to attach pickup elements directly to the tissues or organs being investigated, some method of sensing the reflections and projections of the phenomena from the surface of the body must usually be employed. As a result of the transition of medicine from a descriptive to an analytical science, a wide variety of pickup elements of various sophistication have been developed and are presently available for recording many important phenomena associated with various physiological functions from different anatomical sites. With the exception of the electrocardiogram (ECG), electroencephalogram (EEG), and electromyogram (EMG), other forms of biomonitoring have not yet achieved the acceptance necessary to allow their full development. The authors have conducted exploratory laboratory testing of a prototype passive remote physiological sensing system they refer to as a cryogenic remote sensing polygraph (CRESP). CRESP's ability to monitor cardiac, respiratory, muscular, and brain wave activity remotely at distances up to 12 feet from the patient under study has been established.</t>
  </si>
  <si>
    <t>260-265</t>
  </si>
  <si>
    <t>Medical Instrumentation</t>
  </si>
  <si>
    <t>60005247;60005247</t>
  </si>
  <si>
    <t>57205039534;6506492029</t>
  </si>
  <si>
    <t>Stoller, Kenneth P.;Taff, Barry E.</t>
  </si>
  <si>
    <t>David Geffen School of Medicine at UCLA</t>
  </si>
  <si>
    <t>Stoller K.P.</t>
  </si>
  <si>
    <t>REMOTE PHYSIOLOGICAL SENSING: HISTORICAL PERSPECTIVE, THEORIES AND PRELIMINARY DEVELOPMENTS.</t>
  </si>
  <si>
    <t>2-s2.0-0022781157</t>
  </si>
  <si>
    <t>['two radiators', 'target may', 'target consisting', 'practical dimensions', 'point source', 'point radiators', 'parameter estimates', 'luminescent points', 'located either', 'general case', 'fresnel zone', 'far zone', 'correlation matrix', 'confirmed experimentally', 'composite source']</t>
  </si>
  <si>
    <t>A correlation matrix of parameter estimates is derived for a target consisting of a set of luminescent points or point radiators (for a passive radar). The general case of discussed, where the target may be located either in the far zone or in the Fresnel zone. Formulas are derived which account for the effect of inconsequential signal parameters and hold for antennas of any practical dimensions. The characteristics of estimates of the positions of two radiators are calculated as an example. The possibility of improving the estimate of the range of a composite source above that of a point source is confirmed experimentally.</t>
  </si>
  <si>
    <t>58-64</t>
  </si>
  <si>
    <t>3 l</t>
  </si>
  <si>
    <t>7102280274;57196930874</t>
  </si>
  <si>
    <t>Trifonov, A. P.;Lukin, A. N.</t>
  </si>
  <si>
    <t>Trifonov A.</t>
  </si>
  <si>
    <t>ESTIMATE OF THE PARAMETERS OF A COMPOSITE TARGET OBTAINED BY SPACE-TIME SIGNAL PROCESSING.</t>
  </si>
  <si>
    <t>2-s2.0-0022782803</t>
  </si>
  <si>
    <t>['smooth sea', 'several sources', 'rician model', 'primarily based', 'frequency models', 'fading statistics', 'fading amplitude', 'elevation angle', 'described parametrically', 'correlation bandwidths', 'also characterized']</t>
  </si>
  <si>
    <t>Models of the maritime multipath fading process oriented toward communications systems engineers are presented. These models are primarily based on experimental data obtained from several sources and include both fading amplitude and time/frequency models. The fading amplitude models consist of both a Rician model for fading statistics, which is applicable for most of the time, and a specular reflection model that assumes a smooth sea. The models are described parametrically in terms of elevation angle and ship earth station antenna gain. Fading (or Doppler) spectrum, fade duration times, and correlation bandwidths are also characterized. Finally, methods for combating multipath fading applicable to commercial maritime communications are surveyed.</t>
  </si>
  <si>
    <t>319-338</t>
  </si>
  <si>
    <t>COMSAT Technical Review</t>
  </si>
  <si>
    <t>6601953916;57220763091</t>
  </si>
  <si>
    <t>Sandrin, W. A.;Fang, D. J.</t>
  </si>
  <si>
    <t>Sandrin W.A.</t>
  </si>
  <si>
    <t>MULTIPATH FADING CHARACTERIZATION OF L-BAND MARITIME MOBILE SATELLITE LINKS.</t>
  </si>
  <si>
    <t>2-s2.0-0022783352</t>
  </si>
  <si>
    <t>['surfaces matched', 'smoother currents', 'sin **', 'rp ).', 'radiation patterns', 'radiating surface', 'given rp', 'generalized method', 'frequency variations', 'detailed account', 'circular antennas', 'circular ).', 'characteristic oscillations', 'center frequency', 'bandwidth properties', 'arbitrary shape', 'antenna surface']</t>
  </si>
  <si>
    <t>We examine antennas whose surface shape is matched to a given radiation pattern (RP). This means that the given RP is characteristic for the antenna surface in the sense of the generalized method of characteristic oscillations. Such antennas have smoother currents and their radiation patterns should be more stable to frequency variations (for a fixed current distribution at the center frequency) than in antennas with an arbitrary shape of the radiating surface (e. g. , circular). The purpose of this paper is to give a more detailed account of the bandwidth properties of surfaces matched to radiation patterns of the type sin**m phi and sin**m phi /2, and to make a comparison with the bandwidth properties of circular antennas.</t>
  </si>
  <si>
    <t>Chuprin, A. D.</t>
  </si>
  <si>
    <t>Chuprin A.</t>
  </si>
  <si>
    <t>FREQUENCY PROPERTIES OF ANTENNAS WHOSE SURFACE SHAPE IS DETERMINED FROM A GIVEN RADIATION PATTERN.</t>
  </si>
  <si>
    <t>2-s2.0-0022785532</t>
  </si>
  <si>
    <t>['specific array', 'sidelobe isolation', 'rf power', 'reflector geometry', 'reflector configuration', 'polarization isolation', 'multiple fixed', 'judged better', 'fixed multiple', 'feed element', 'fed dual', 'confocal parabolas', 'beam applications', 'beam application', 'array design', 'achievable e', '20 ghz']</t>
  </si>
  <si>
    <t>This paper describes multiple scanning-beam and multiple fixed-beam antenna systems operating at 20 GHz which utilize monolithic microwave integrated circuit (MMIC) modules that provide both RF power and dynamic phase control. Specific array-fed dual-reflector configurations presented include a phased array feeding a pair of confocal parabolas for both the scanning-beam and fixed-beam applications, and a focal-region-fed Cassegrain system for fixed-beam application. A reflector geometry, feed element, and array design are developed for each configuration, and secondary radiation patterns are computed to determine the achievable e. i. r. p. levels, sidelobe isolation, and cross-polarization isolation. The secondary radiation patterns are calculated. The focal-region-fed Cassegrain reflector was judged better for fixed multiple-beam applications, while the phased-array-fed, dual-reflector configuration was chosen for multiple scanning beams.</t>
  </si>
  <si>
    <t>339-373</t>
  </si>
  <si>
    <t>7003318356;7007059212;56124566600;7004861018;7102764296</t>
  </si>
  <si>
    <t>Sorbello, R. M.;Zaghloul, A. I.;Lee, B. S.;Siddiqi, S.;Geller, B. D.</t>
  </si>
  <si>
    <t>Sorbello R.</t>
  </si>
  <si>
    <t>20-GHz PHASED-ARRAY-FED ANTENNAS UTILIZING DISTRIBUTED MMIC MODULES.</t>
  </si>
  <si>
    <t>2-s2.0-0022785554</t>
  </si>
  <si>
    <t>['zigzag turns', 'wind toward', 'wind experiments', 'wind direction', 'wide pheromone', 'walked across', 'upwind zigzag', 'upwind angle', 'tunnel simulated', 'trogoderma variabile', 'tack heading', 'tables 1', 'stimulus pattern', 'still air', 'spatial relationships', 'reversal turns', 'raised posture', 'pheromone stimulus', 'pheromone corridor', 'path straightness', 'odor stimuli', 'odor concentration', 'loops generated', 'loop experiments', 'loop experiment', "loop ',", 'locomotory rate', 'locomotion compensator', 'lateral boundaries', 'investigated using', "corridor ',", 'correcting responses', 'clean air', 'chemotactic responses', 'center axis', 'beetles set', 'beetles responded', 'beetle maintained', 'beetle increased', 'beetle decreased', 'beetle crossed', 'air stream', 'air current', 'abrupt change', '7 ).', '5 ).', '4 ).', '3 ).', '2 ).', '1 ).']</t>
  </si>
  <si>
    <t>Chemo-orientation of male granary beetles (Trogoderma variabile) to female sex pheromone [(Z)-14-methyl-8-hexadecenal] was investigated using a locomotion compensator (Fig. 1). 1. Beetles responded in less than 1 s to a puff of female sex pheromone in still air with an alert, antennae-raised posture, and local search orientation, with loops generated by a relatively constant turn bias (Fig. 2). 2. In wind experiments the locomotion compensator maintained the beetle in the center of a small wind tunnel above the sphere. Lateral boundaries of a pheromone corridor parallel to the wind were generated by real-time 'closed-loop' control of the pheromone, preserving the spatial relationships between the insect's movements and the stimulus pattern. Changing the odor concentration in the wind-tunnel simulated what the beetle would perceive if it walked across a boundary between clean air and air with pheromone. 3. Most of the beetles oriented upwind in a relatively straight path within the 10-cm-wide pheromone 'corridor', and reached the boundary of the pheromone corridor as a result of net sideways displacement across the wind (Fig. 3). As a beetle crossed the boundary of the corridor, pheromone was eliminated from the air stream, and the beetle decreased its locomotory rate and path straightness, and increased its absolute turning rate (Tables 1 and 2, Fig. 4). Sign-reversal turns 'outside of the corridor' headed the beetle up- or downwind back across the wind toward the pheromone corridor. As the beetle re-entered the pheromone corridor, pheromone was emitted into the airstream; the beetle increased its locomotory rate, and then turned, reversing its tack heading (Tables 1 and 2, Fig. 4). The responses to pheromone being turned on and off resulted in a zigzag path along the border of the corridor (Fig. 3). 4. In computer-timed, 'open-loop' experiments, the beetles set and maintained a preferred course relative to the wind direction when the air stream contained uniform and constant sex pheromone (Figs. 5, 6 and 7). Although each path had a consistent heading relative to the wind, numerous upwind zigzag turns occurred (Fig. 5). Beetles that continued to move when the pheromone concentration decreased, turned in either an upwind 'zig' or a downwind 'loop', but no beetle maintained an upwind angle or continued an upwind zigzag as observed in the closed-loop experiment. The frequency of turns neither decreased nor increased after the pheromone was turned off. 5. The chemotactic turning response, correlating with the abrupt change in pheromone stimulus around the beetle, is evidence that insects are capable of detecting purely temporal changes in odor stimuli in an air current. Because the distance between zigzag turns is larger in the open-loop than in the closed-loop experiments, and since the distance walked perpendicular to the center axis of the wind is larger in open-loop than in the closed loop experiments, the temporal stimulus change rather than internally-controlled turn generators, directs the zigzag turns at the 'corridor edge'. Zigzag turns in the open-loop experiment seem to be 'internally-controlled' turns or correcting responses of the anemotactic guidance system rather than chemotactic responses, since the pheromone stimulus is constant. ¬© 1986 Springer-Verlag.</t>
  </si>
  <si>
    <t>729-739</t>
  </si>
  <si>
    <t>60015457;60015457</t>
  </si>
  <si>
    <t>35850079600;7202733086</t>
  </si>
  <si>
    <t>Tobin, Thomas R.;Bell, William J.</t>
  </si>
  <si>
    <t>Lawrence</t>
  </si>
  <si>
    <t>University of Kansas</t>
  </si>
  <si>
    <t>Tobin T.</t>
  </si>
  <si>
    <t>Chemo-orientation of male Trogoderma variabile (Coleoptera, Dermestidae) in a simulated corridor of female sex pheromone</t>
  </si>
  <si>
    <t>10.1007/BF00603831</t>
  </si>
  <si>
    <t>2-s2.0-15044351979</t>
  </si>
  <si>
    <t>['update rate', 'system constraints', 'gain adjustment', 'distributed controller', 'discussion covers', 'computational performance', 'array control']</t>
  </si>
  <si>
    <t>A phased array transmit/receive (T/R) module with a distributed controller is examined. The element requires controls for transmit/receive switching phase shifting and gain adjustment. Additional controller functions such as self-testing also may be included. The discussion covers: system constraints on array control; alternative array control schemes; centralized array control; partially distributed array control; element level control; control connection comparison; computational performance; error compensation performance; error sidelobe reduction; compensation algorithm effect on update rate; manufacturing and logistics; and distributed control implementations.</t>
  </si>
  <si>
    <t>60015623;60015623;60015623</t>
  </si>
  <si>
    <t>7006429403;36936615100;6602229700</t>
  </si>
  <si>
    <t>Waldron, T. P.;Chin, S. K.;Naster, R. J.</t>
  </si>
  <si>
    <t>Boston</t>
  </si>
  <si>
    <t>General Electric Company</t>
  </si>
  <si>
    <t>Waldron T.P.</t>
  </si>
  <si>
    <t>DISTRIBUTED BEAMSTEERING CONTROL OF PHASED ARRAY RADARS.</t>
  </si>
  <si>
    <t>2-s2.0-17144446484</t>
  </si>
  <si>
    <t>1511-1536</t>
  </si>
  <si>
    <t>Lamb, James W.</t>
  </si>
  <si>
    <t>Quasioptical coupling of Gaussian beam systems to large Cassegrain antennas</t>
  </si>
  <si>
    <t>10.1007/BF01010755</t>
  </si>
  <si>
    <t>2-s2.0-0022791313</t>
  </si>
  <si>
    <t>['pushing ahead', 'defense department', 'briefly reported']</t>
  </si>
  <si>
    <t>The Defense Department is pushing ahead on plans not only to develop large focal plane arrays, but to ensure that the capacity to produce them in quantity will be there if and when they are needed. Progress in the field is briefly reported.</t>
  </si>
  <si>
    <t>107-108</t>
  </si>
  <si>
    <t>Troy, Charles T.</t>
  </si>
  <si>
    <t>Troy C.</t>
  </si>
  <si>
    <t>SDI SETS ITS SIGHTS ON LARGE DETECTOR ARRAYS.</t>
  </si>
  <si>
    <t>2-s2.0-0022791514</t>
  </si>
  <si>
    <t>['spot size', 'refractive index', 'quartz spheres', 'quartz lens', 'power density', 'potential use', 'minimum radius', 'minimum diameter', 'made smaller', 'fused quartz', 'free space', 'focusing properties', 'focusing deteriorates', 'dielectric spheres', 'calculations show', 'also calculated', 'absorption losses', 'absorption loss', '2 db']</t>
  </si>
  <si>
    <t>The potential use of small substrate lenses for coupling to antennas at millimeter wave frequencies is investigated by analyzing the focusing properties of dielectric spheres with quarter-wave matching layers. The fields and the power density are calculated at various points within the sphere to learn how the focusing deteriorates as the lens is made smaller. The absorption loss of the lens is also calculated. The calculations show that quartz spheres with quarter-wave matching layers, can exhibit good focusing properties down to a radius of about half a free space wavelength. This minimum radius was found to increase almost linearly with the refractive index of the lens. The calculations also indicate that at 94GHz the absorption losses of fused quartz, silicon and gallium arsenide lenses, with radii of one free space wavelength or less, are less than 0.2 dB. As the minimum diameter of a quartz lens is comparable with the spot size in free space, it should be possible to build an imaging lens array in which each lens will act as a separate imaging element. ¬© 1986 Plenum Publishing Corporation.</t>
  </si>
  <si>
    <t>1631-1647</t>
  </si>
  <si>
    <t>60031581;60031581</t>
  </si>
  <si>
    <t>7004693666;7102803490</t>
  </si>
  <si>
    <t>Kasilingam, Dayalan;Rutledge, David</t>
  </si>
  <si>
    <t>California Institute of Technology</t>
  </si>
  <si>
    <t>Kasilingam D.</t>
  </si>
  <si>
    <t>Focusing properties of small lenses</t>
  </si>
  <si>
    <t>10.1007/BF01010762</t>
  </si>
  <si>
    <t>2-s2.0-0022795127</t>
  </si>
  <si>
    <t>['resonant antennas', 'phase field', 'phase currents', 'numerical method', 'mathematical statement', 'amplitude distribution']</t>
  </si>
  <si>
    <t>Two synthesis problems are of interest: finding the amplitude distribution of the in-phase currents in an annular antenna array, and finding the in-phase field at the surface of a closed continuous plane antenna. The second problem arises in the synthesis of resonant antennas. In this paper both problems are formulated in the same mathematical statement and the same numerical method of solution is applied to them.</t>
  </si>
  <si>
    <t>159-163</t>
  </si>
  <si>
    <t>Andriychuk, M. I.</t>
  </si>
  <si>
    <t>Andriychuk M.</t>
  </si>
  <si>
    <t>SYNTHESIS OF ANNULAR IN-PHASE ANTENNAS FROM A GIVEN AMPLITUDE RADIATION PATTERN.</t>
  </si>
  <si>
    <t>2-s2.0-0022800336</t>
  </si>
  <si>
    <t>['special case', 'resolvable target', 'practical interest', 'passive radar', 'general results', 'general expressions', 'estimation characteristics', 'another publication']</t>
  </si>
  <si>
    <t>General expressions for the estimation characteristics of the parameters of a complicated discrete target, consisting of p bright points (or reemitters) or p point emitters for passive radar, were obtained by authors in another publication. Here they take the general results from there and apply them to a special case of practical interest - the estimation of the parameters of a resolvable target.</t>
  </si>
  <si>
    <t>166-169</t>
  </si>
  <si>
    <t>ESTIMATION OF THE PARAMETERS OF A COMPLICATED SOLVABLE TARGET IN SPACE-TIME SIGNAL PROCESSING.</t>
  </si>
  <si>
    <t>2-s2.0-0022802275</t>
  </si>
  <si>
    <t>['planes separated', 'one another', 'method used', 'distance 2a']</t>
  </si>
  <si>
    <t>The problem of the emission of the natural electrical waves from five plane waveguides, formed by six perfectly conducting infinitely thin half-planes separated from one another by the same distance 2a, is investigated. Such a structure enables one to investigate the properties of a finite phased antenna array, to make a comparison with the analogous infinite array and to determine edge effects exactly. The rigorous numerically analytical method of solving this problem is similar to the method used to investigate the problem of emission from three plane waveguides.</t>
  </si>
  <si>
    <t>157-159</t>
  </si>
  <si>
    <t>6603706402;6505836075</t>
  </si>
  <si>
    <t>Zhurav, S. M.;Korshunkov, S. Yu</t>
  </si>
  <si>
    <t>Zhurav S.</t>
  </si>
  <si>
    <t>EMISSION OF ELECTRICAL WAVES FROM FIVE PLANE WAVEGUIDES.</t>
  </si>
  <si>
    <t>2-s2.0-0022802966</t>
  </si>
  <si>
    <t>7102384283;7005730753;6602783965</t>
  </si>
  <si>
    <t>Ermolaev, V. T.;Krasnov, B. A.;Flaksman, A. G.</t>
  </si>
  <si>
    <t>The effect of weighting-vector fluctuation on the efficiency of adaptive antenna arrays</t>
  </si>
  <si>
    <t>10.1007/BF01033974</t>
  </si>
  <si>
    <t>2-s2.0-0022803069</t>
  </si>
  <si>
    <t>['original structure', 'excellent properties']</t>
  </si>
  <si>
    <t>In this paper, a circularly polarized backfire antenna with an original structure and excellent properties is presented. It is designed on the basis of "Equivalent Reflector Method" proposed by the author. ¬© 1986 Science press.</t>
  </si>
  <si>
    <t>315-317</t>
  </si>
  <si>
    <t>Ximing, Song</t>
  </si>
  <si>
    <t>Ximing S.</t>
  </si>
  <si>
    <t>An original circularly polarized backfire antenna with high gain</t>
  </si>
  <si>
    <t>10.1007/BF02778859</t>
  </si>
  <si>
    <t>2-s2.0-51649154321</t>
  </si>
  <si>
    <t>['structures like', 'serially striated', 'sensory receptors', 'sensilla trichodea', 'sensilla placodea', 'sensilla basiconica', 'maximum numbers', 'many dendrites', 'flagellar segments', 'dendritic sheath', 'apis florea', 'antenna consists']</t>
  </si>
  <si>
    <t>Apis florea F. | dendrite | light microscopy | sensilla basiconica | sensilla placodea | sensilla trichodea | tormogen cell | transmission electron microscopy | trichogen cell</t>
  </si>
  <si>
    <t>The sensory receptors of the flagellum of Apis florea were studied with simple and transmission electron microscopy. The antenna consists of scape, pedicel and 10 segmented flagellum. Scape and pedicel have only feather like hairs and no structures like the setae or sensillae of the flagellum. The first two segments of the flagellum were covered with setae. The distribution and population of sensilla trichodea, sensilla placodea and sensilla basiconica were determined. Sensilla trichodea were found in maximum numbers and were present on all the flagellar segments. Sensilla placodea and sensilla basiconica were present on 8 distal segments. Transmission electron microscopy studies revealed that the surface of the shaft of sensilla trichodea is serially striated having small permeable points probably indicating pores. The lumen of the sensillum is filled with many dendrites and the dendrites are enclosed in the dendritic sheath. ¬© 1986 Indian Academy of Sciences.</t>
  </si>
  <si>
    <t>595-603</t>
  </si>
  <si>
    <t>Proceedings: Animal Sciences</t>
  </si>
  <si>
    <t>Gupta, Mahavir</t>
  </si>
  <si>
    <t>Hisar</t>
  </si>
  <si>
    <t>CCS Haryana Agricultural University</t>
  </si>
  <si>
    <t>Gupta M.</t>
  </si>
  <si>
    <t>A quantitative study and ultrastructure of flagellar sensillae of Apis florea F. (Hymenoptera: Apidae)</t>
  </si>
  <si>
    <t>10.1007/BF03179423</t>
  </si>
  <si>
    <t>2-s2.0-77649234612</t>
  </si>
  <si>
    <t>['¬© 1986', 'three decrease', 'stable polypeptide', 'small part', 'rights reserved', 'rhodopseudomonas viridis', 'reaction center', 'proteinase k', 'polypeptide composition', 'photosynthetic membranes', 'photochemical activity', 'much slower', 'ectothiorhodospira halochloris', 'discussed quantitatively', 'containing organisms', 'b 800', '960 ).', '3 kda', '0 kda']</t>
  </si>
  <si>
    <t>Bacterial Photosynthesis | Difference Spectroscopy | Ectothiorhodospira | Proteolysis | Reaction Center</t>
  </si>
  <si>
    <t>Photosynthetic membranes of Rhodopseudomonas viridis and Ectothiorhodospira halochloris were treated with proteinase K. The photochemical activity (light minus dark difference spectra) were compared to the polypeptide composition (SDS-polyacrylamide gel analysis). In E. halochloris, difference bands appear at 806 (+), 838 (+) and 854 nm (-). All three decrease in intensity upon incubation with proteinase K., but this decrease is much slower than the proteolysis of both the reaction center and antenna related polypeptides. Photochemical activity remains high as long as a small part of the RC and two lower molecular weight polypeptides M* (22.0 kDa) and B* (15.3 kDa) are present. The M subunit is the most stable polypeptide in the RC of Rp. viridis too, and the photochemical activity is related to the remainder of this and to the one newly formed polypeptide (15.3 kDa), but doesn‚Äôt show the typical absorption shift of the antenna (B 800/1020 ‚Äî¬ª B 800/960). The results are discussed quantitatively and compared to those obtained from Bchl a containing organisms. ¬© 1986, Walter de Gruyter. All rights reserved.</t>
  </si>
  <si>
    <t>873-880</t>
  </si>
  <si>
    <t>60028717;60028717;60028717</t>
  </si>
  <si>
    <t>7402618696;56899954200;57216047370</t>
  </si>
  <si>
    <t>Steiner, R.;Kalumenos, B.;Scheer, H.</t>
  </si>
  <si>
    <t>The Photosynthetic Apparatus of Ectothiorhodospira Halochloris 3. Effect of Proteolytic Digestion on the Photoactivity</t>
  </si>
  <si>
    <t>10.1515/znc-1986-9-1013</t>
  </si>
  <si>
    <t>2-s2.0-84914632879</t>
  </si>
  <si>
    <t>U.S. Department of Agriculture</t>
  </si>
  <si>
    <t>USDA</t>
  </si>
  <si>
    <t>['¬© 1986', 'wild type', 'transport complexes', 'thylakoid membrane', 'substantially higher', 'ps ii', 'photosystem ii', 'mutant vs', 'mutant chloroplasts', 'lowered light', 'lhc ii', 'harvesting capacity', 'harvesting antenna', 'e .,', 'complex ratio', 'chlorophyll b', 'b light', 'apparent lack', 'antenna size', 'acta 767', '50 chl', '250 chl', '185 chl', '150 chl']</t>
  </si>
  <si>
    <t>(Barley chloroplast) | Chlorophyl antenna size | Electron transport | Light-harvesting complex | Photosystem II heterogeneity</t>
  </si>
  <si>
    <t>The stoichiometry of the electron-transport complexes and the chlorophyll (Chl) antenna size of the photosystems is correlated in chloroplasts from barley wild type and in the chlorophyll b-less chlorina f2 mutant. Chloroplasts from mutant plants displayed three characteristic changes in the organization of Photosystem I (PS I) and Photosystem II (PS II). (a) The light-harvesting antenna of PS II was lowered from about 250 Chl a + b in the wild type to only 50 Chl a molecules in the mutant. The light-harvesting antenna of PS I was lowered from about 185 Chl a + b in the wild type to about 150 Chl a molecules in the mutant. (b) The PS II PS I complex ratio was substantially higher, i.e., about 3.0, in the mutant vs. about 1.8 in the wild type. (c) Mutant chloroplasts lacked the differentiation of PS II into PS IIŒ± and PS IIŒ≤. The enhanced PS II PS I ratio is explained as a response of the plant to the lowered light-harvesting capacity of PS II in the mutant chloroplasts. The apparent lack of PS II heterogeneity in the thylakoid membrane of the chlorina f2 correlates with the absence of the Chl a b light-harvesting complex II (LHC II) (Percival, M.P., Webber, A.N. and Baker, N.R. (1984) Biochim. Biophys. Acta 767, 582-589) and suggests a difference in the amount of LHC II associated with PS IIŒ± and PS IIŒ≤. ¬© 1986.</t>
  </si>
  <si>
    <t>331-339</t>
  </si>
  <si>
    <t>60025038;60025038;60025038</t>
  </si>
  <si>
    <t>7004537244;16463790600;57203081985</t>
  </si>
  <si>
    <t>Ghirardi, Maria L.;McCauley, Steven W.;Melis, Anastasios</t>
  </si>
  <si>
    <t>Ghirardi M.</t>
  </si>
  <si>
    <t>Photochemical apparatus organization in the thylakoid membrane of Hordeum vulgare wild type and chlorophyll b-less chlorina f2 mutant</t>
  </si>
  <si>
    <t>10.1016/0005-2728(86)90069-1</t>
  </si>
  <si>
    <t>2-s2.0-0001673812</t>
  </si>
  <si>
    <t>['œ ≤-', '¬© 1986', 'wild type', 'whole cells', 'triton x', 'treated particles', 'strain confirmed', 'solubilization mixtures', 'several chlorophyll', 'related complex', 'related chl', 'reaction center', 'protein complexes', 'protein complex', 'probable pathways', 'previously described', 'new ps', 'main light', 'lacked one', 'isolated chlorophyll', 'higher plants', 'harvesting antenna', 'following sequence', 'following correlations', 'fluorescence emissions', 'fl 50', 'essential part', 'energy transfer', 'emission spectrum', 'electrophoretic behaviour', 'eight mutants', 'double mutant', 'different strains', 'cp iv', 'cp iii', 'cp ii', 'cp 0a', 'cp 0', 'contained cp', 'connecting antenna', 'complexes corresponding', 'complex showed', 'complex corresponding', 'comparative study', 'chloroplast fragments', 'chlorophyll fluorescence', 'chlamydomonas reinhardtii', 'another mutant', 'also observed', '77 k', '717 nm', '682 nm']</t>
  </si>
  <si>
    <t>(C. reinhardtii) | Chlorophyll fluorescence | Chlorophyll-protein complex | Photosystem I</t>
  </si>
  <si>
    <t>With the aim of confirming the relationships between low-temperature emission bands of chlorophyll fluorescence of whole cells and chlorophyll-protein complexes as defined by their electrophoretic behaviour, a study was performed with the wild type of Chlamydomonas reinhardtii and eight mutants which lacked one or several chlorophyll-protein complexes and showed impaired photosynthetic functions. Chlorophyll-protein complexes from chloroplast fragments or Triton X-100-treated particles, which were enriched in both Photosystems I and II (PS I and PS II), were analyzed by lithium dodecylsulfate polyacrylamide gel electrophoresis at 4¬∞C, using either lithium dodecylsulfate or n-octyl-Œ≤-d-glucopyranoside in the solubilization mixtures. Absorption and fluorescence emission spectra were measured at 77 K with whole cells and also, for fluorescence, with isolated chlorophyll-protein complexes. Fluorescence emissions in the 680-682 nm (F682), 686 nm (F686), 696 nm (F696), 703 nm (F703), 707 nm (F707) and 712-717 nm (F715) regions were observed with whole cells of the different strains. A comparative study of the chlorophyll-protein complexes, the fluorescence emissions and the photochemical activities shown by each strain confirmed the following correlations, which have been previously described or proposed in the literature for algae or higher plants: F682 with CP II, the chlorophyll (Chl) a + b complex corresponding to the main light-harvesting antenna; F686 and F696 with CP IV and CP III, the Chl a complexes corresponding to the antenna and to the core of PS II respectively; F707 with CP 0, the Chl a + b complex part of the PS I antenna; F715 with CP I, the Chl a complex corresponding to the core of PS I. A new PS-I-related Chl a-protein complex, tentatively designated CP 0a, was also observed. This complex showed an apparent relative molecular mass slightly smaller than that of CP I. It was the only PS I-related complex in the double mutant Fl 5 Pg 27 which lacks Chl b, CP 0, CP I and CP II. It appeared to be correlated with F703, which was observed with cells of the same double mutant. The emission spectrum of another mutant, Fl 50 which contained CP I and CP II but was deficient in CP 0 and CP 0a, showed a F715 contribution significantly reduced, indicating that CP 0 and CP 0a play an essential part in energy transfer from CP II to CP I. The probable pathways of light energy transfer in C. reinhardtii were examined. It is proposed that CP 0a acts as a connecting antenna between CP 0 and CP I, the energy transfer from CP II to PS I occurring through the following sequence: CP II ‚Üí CP 0 ‚Üí CP 0a ‚Üí CP I core antenna ‚Üí PS I reaction center. ¬© 1986.</t>
  </si>
  <si>
    <t>395-406</t>
  </si>
  <si>
    <t>60008134;60008134;60008134</t>
  </si>
  <si>
    <t>7201815134;6602420717;16193893500</t>
  </si>
  <si>
    <t>Garnier, Jacques;Maroc, Jeannine;Guyon, Denise</t>
  </si>
  <si>
    <t>Garnier J.</t>
  </si>
  <si>
    <t>Low-temperature fluorescence emission spectra and chlorophyll-protein complexes in mutants of Chlamydomonas reinhardtii: Evidence for a new chlorophyll-a-protein complex related to Photosystem I</t>
  </si>
  <si>
    <t>10.1016/0005-2728(86)90076-9</t>
  </si>
  <si>
    <t>2-s2.0-4243961251</t>
  </si>
  <si>
    <t>Vetenskapsr√•det</t>
  </si>
  <si>
    <t>VR</t>
  </si>
  <si>
    <t>['¬© 1986', 'using low', 'transfer dynamics', 'state decays', 'spectrally homogeneous', 'slower time', 'slower processes', 'similar time', 'similar process', 'rhodospirillum rubrum', 'rhodobacter sphaeroides', 'results suggest', 'minimum unit', 'may consist', 'low values', 'initial value', 'initial transfer', 'excited state', 'direct excitation', 'detailed picture', 'bchl 880', 'bchl 875', 'bchl 850', 'bchl 800', 'allowed us', 'absorption anisotropy', '8 chromophores', '50 ps', '2 ps', '10 ps', '01 ).']</t>
  </si>
  <si>
    <t>(R. rubrum, Rb. sphaeroides) | Bacteriochlorophyll | Energy transfer | Light-harvesting complex | Picosecond anisotropy decay | Pigment-protein complex</t>
  </si>
  <si>
    <t>We have studied the energy-transfer dynamics in chromatophores of Rhodospirillum rubrum and Rhodobacter sphaeroides (formerly called Rhodopseudomonas sphaeroides) under conditions of closed and open reaction centers, using low-intensity picosecond infrared absorption recovery measurements. The possibilities of selective infrared excitation and probing as well as picosecond anisotropy decay measurements offered by this technique have allowed us to obtain a detailed picture of the transfer dynamics. Upon selective excitation of a bacteriochlorophyll (BChl)-protein complex (B800-850, B875 or B880) a very low initial value of the absorption anisotropy (r(0) ‚âà 0.1) is observed for the excited-state decays of BChl 850, BChl 875 and BChl 880. This is consistent with a very fast (k ‚âà 3 ¬∑ 1012 s-1) initial transfer of energy between similar bacteriochlorophyll molecules. We suggest that this fast transfer occurs within a minimum unit of 6-8 chromophores. Only direct excitation of BChl 800 shows highly polarized, very short-lived (1-2 ps) absorbance changes due to the excited state of BChl 800. On a slower time-scale, 5-10 ps, the energy then migrates between the units of 6-8 bacteriochlorophyll molecules. On a similar time-scale, 35-50 ps, an equilibration of the excitation density occurs between different pigment pools. Thus in Rb. sphaeroides there is an equilibration between B800-850 and B875 (œÑ = 37 ¬± 4 ps) and in R. rubrum there is a similar process between B880 and B896 (œÑ = 47 ¬± 4 ps). These slower processes are associated with a further decay of the anisotropy from the initial value of ‚âà 0.1 to very low values (less than 0.01). Our results suggest that the protein-pigment complexes designated B800-850 and B880 are not spectrally homogeneous, but may consist of spectrally slightly different bacteriochlorophyll molecules. ¬© 1986.</t>
  </si>
  <si>
    <t>431-446</t>
  </si>
  <si>
    <t>60031040;60008734;60031040;60031040;60031040</t>
  </si>
  <si>
    <t>7006706612;35599806700;24371778100;7004173821;7004029175</t>
  </si>
  <si>
    <t>Sundstr√∂m, V.;van Grondelle, R.;Bergstr√∂m, H.;√Ökesson, E.;Gillbro, T.</t>
  </si>
  <si>
    <t>Sweden;Netherlands</t>
  </si>
  <si>
    <t>Umea;Amsterdam</t>
  </si>
  <si>
    <t>Ume√• Universitet;Vrije Universiteit Amsterdam</t>
  </si>
  <si>
    <t>60031040;60008734</t>
  </si>
  <si>
    <t>Sundstr√∂m V.</t>
  </si>
  <si>
    <t>Excitation-energy transport in the bacteriochlorophyll antenna systems of Rhodospirillum rubrum and Rhodobacter sphaeroides, studied by low-intensity picosecond absorption spectroscopy</t>
  </si>
  <si>
    <t>10.1016/0005-2728(86)90080-0</t>
  </si>
  <si>
    <t>2-s2.0-46149130857</t>
  </si>
  <si>
    <t>Carl Tryggers Stiftelse f√∂r Vetenskaplig Forskning</t>
  </si>
  <si>
    <t>['¬© 1986', 'treated thylakoids', 'subsequent damage', 'subfractionation analyses', 'rich non', 'results support', 'results revealed', 'reaction centre', 'prevent overexcitation', 'physiological mechanism', 'photosystem ii', 'peripheral light', 'monovalent cations', 'little inhibition', 'light intensities', 'lhc ii', 'heated thylakoids', 'harvesting chlorophyll', 'elevated temperatures', 'electron transport', 'dependent separation', 'core polypeptides', 'background level', 'b complex', 'appressed thylakoids']</t>
  </si>
  <si>
    <t>(Spinach chloroplast) | Electron transport | Photoinhibition | Photosystem II heterogeneity | Temperature effect | Thylakoid membrane organization</t>
  </si>
  <si>
    <t>Changes in the organization of the chloroplast photosynthetic membrane at moderately elevated temperatures were detected by SDS-polyacrylamide gel electrophoresis, electron transport and fluorescence induction measurements and by subfractionation analyses of heat-treated thylakoids. The results revealed that above 30¬∞C there is a dissociation of peripheral light-harvesting chlorophyll a b complex (LHC II) from Photosystem II. This is followed by a migration of Photosystem II and a portion of its tightly bound LHC II to the Photosystem-I-rich non-appressed thylakoid regions. This lateral migration includes all identifiable Photosystem II polypeptides and not only the reaction centre or core polypeptides. Concomitantly, there is a conversion of Photosystem IIŒ± to Photosystem IIŒ≤ as judged from fluorescence induction measurements with the heated thylakoids. These results support the notion of Photosystem IIŒ≤ being localized in the non-appressed thylakoids and possessing a smaller antenna size. All temperature-induced changes required a background level of monovalent cations, and were partially reversible upon lowering the temperature. In the 30-40¬∞C temperature range, where most of the changes in the organization and location of Photosystem II occurred, there is very little inhibition of electron transport capacity. We postulate that the temperature-dependent separation of Photosystem II from LHC II is a physiological mechanism to prevent overexcitation and subsequent damage of Photosystem II at high-light intensities that are accompanied by elevated temperatures. ¬© 1986.</t>
  </si>
  <si>
    <t>475-483</t>
  </si>
  <si>
    <t>60029170;60029170;60029170;60029170</t>
  </si>
  <si>
    <t>6602751507;57203081985;7006474660;7401941729</t>
  </si>
  <si>
    <t>Sundby, Cecilia;Melis, Anastasios;M√§enp√§√§, Pirkko;Andersson, Bertil</t>
  </si>
  <si>
    <t>Lund</t>
  </si>
  <si>
    <t>Lunds Universitet</t>
  </si>
  <si>
    <t>Sundby C.</t>
  </si>
  <si>
    <t>Temperature-dependent changes in the antenna size of Photosystem II. Reversible conversion of Photosystem II&lt;inf&gt;Œ±&lt;/inf&gt; to Photosystem II&lt;inf&gt;Œ≤&lt;/inf&gt;</t>
  </si>
  <si>
    <t>10.1016/0005-2728(86)90084-8</t>
  </si>
  <si>
    <t>2-s2.0-46149131760</t>
  </si>
  <si>
    <t>['¬© 1986', 'tail flip', 'rolling moments', 'performing manoeuvres', 'novaehollandiae generates', 'negligible amount', 'contrast j', 'continuous swimming', 'animals cannot']</t>
  </si>
  <si>
    <t>Hydrodynamics of swimming | Ibacus peronii | Jasus novaehollandiae | Lobster | Thenus orientalis</t>
  </si>
  <si>
    <t>The swimming of two scyllarid lobsters Ibacus peronii Leach and Thenus orientalis Lund was studied and compared with the swimming of the palinurid lobster Jasus novaehollandiae Holthuis. In the two scyllarid lobsters significant lift is created during backward tail flips. Articulation of the flattened antennal plates alters the distribution of this lift so that pitching and rolling moments are created which are used in continuous swimming and in performing manoeuvres. By contrast J. novaehollandiae generates a negligible amount of lift during each tail flip and its antennae are not shaped or positioned to control any lift that is created, consequently backward tail flips in these animals cannot be used to produce efficient continuous swimming or manoeuvering. ¬© 1986.</t>
  </si>
  <si>
    <t>85-99</t>
  </si>
  <si>
    <t>Journal of Experimental Marine Biology and Ecology</t>
  </si>
  <si>
    <t>60015356;60015356</t>
  </si>
  <si>
    <t>36965086900;7003835989</t>
  </si>
  <si>
    <t>Jacklyn, P. M.;Ritz, D. A.</t>
  </si>
  <si>
    <t>Hobart</t>
  </si>
  <si>
    <t>University of Tasmania</t>
  </si>
  <si>
    <t>Jacklyn P.</t>
  </si>
  <si>
    <t>Hydrodynamics of swimming in scyllarid lobsters</t>
  </si>
  <si>
    <t>10.1016/0022-0981(86)90043-2</t>
  </si>
  <si>
    <t>2-s2.0-38249040423</t>
  </si>
  <si>
    <t>['single antenna', 'sharp angles', 'regards cross', 'radio towers', 'radiation pattern', 'polarization decoupling', 'permit interference', 'normally operated', 'article describes', 'antennas used', 'antennas e']</t>
  </si>
  <si>
    <t>Antennas used in tightly meshed radio relay networks are subject to particularly stringent requirements regarding sidelobe suppression in the radiation pattern in order to permit interference-free operation even when radio relay links cross at sharp angles. Furthermore, the transition from analog to digital radio relay operation, where links are normally operated with both polarizations, results in more exacting electrical requirements for the antennas e. g. as regards cross-polarization decoupling. Moreover, there are very few installation positions available on radio towers, a fact which makes it necessary to transmit two separate frequency ranges via a single antenna. The article describes the construction of the new shell antennas satisfying these requirements.</t>
  </si>
  <si>
    <t>323-327</t>
  </si>
  <si>
    <t>6603030400;6505930732</t>
  </si>
  <si>
    <t>Gessner, Karl Peter;Hartwich, Horst</t>
  </si>
  <si>
    <t>Gessner K.</t>
  </si>
  <si>
    <t>MODULAR SHELL ANTENNAS FOR DIGITAL RADIO RELAY SYSTEMS.</t>
  </si>
  <si>
    <t>2-s2.0-0022805995</t>
  </si>
  <si>
    <t>['typical arrays', 'two smaller', 'spillover efficiency', 'optimum taper', 'multibeam systems', 'focal length', 'five elements', 'feed array', 'dimensional configuration', 'described consisting', '65 %.']</t>
  </si>
  <si>
    <t>A feed array is described consisting of constant width slot antennas (CWSA), fed from a block containing finline transitions. The array has a two-dimensional configuration, with five elements each on five parallel substrates. Beamwidths are compatible for use in multibeam systems with the ratio of focal length to-reflector subtended angle (f/D) equal to unity with optimum taper. Array element spacings are close to a factor of two smaller than for other typical arrays, and spillover efficiency is about 65%.</t>
  </si>
  <si>
    <t>1372-1376</t>
  </si>
  <si>
    <t>60014313;60014313;60014313</t>
  </si>
  <si>
    <t>7003389714;35617942000;7005304586</t>
  </si>
  <si>
    <t>Yngvesson, K. Sigfrid;Johansson, Joakim F.;Kollberg, Erik L.</t>
  </si>
  <si>
    <t>Yngvesson K.</t>
  </si>
  <si>
    <t>NEW INTEGRATED SLOT ELEMENT FEED ARRAY FOR MULTIBEAM SYSTEMS.</t>
  </si>
  <si>
    <t>2-s2.0-0022806275</t>
  </si>
  <si>
    <t>['paper describes', 'mode subcircuits', 'improved performance', 'high performance', 'greatly simplified', 'feed network', 'experimental results', 'building blocks', '8 multiplied']</t>
  </si>
  <si>
    <t>This paper describes the design and construction of a novel, high performance, broadband, stripline, 8 multiplied by 8-port feed network. Hybrid ring couplers with improved performance are used as building blocks. The division of the circuit into two stackable even-mode and odd-mode subcircuits has greatly simplified the realization and testing of the feed network. Experimental results for various phase modes are presented.</t>
  </si>
  <si>
    <t>Abouzahra, Mohamed D.</t>
  </si>
  <si>
    <t>Abouzahra M.</t>
  </si>
  <si>
    <t>DESIGN AND PERFORMANCE OF A WIDEBAND, MULTILAYER FEED NETWORK.</t>
  </si>
  <si>
    <t>2-s2.0-0022806682</t>
  </si>
  <si>
    <t>['radiation pattern', 'new type', 'high performance', 'gain within', 'experimental results', 'effectively applicable', 'band antennas']</t>
  </si>
  <si>
    <t>A new type of dual-band microstrip antenna was presented and tested. The experimental results had high performance in both the radiation pattern and gain within the desired frequency range. The antenna is considered to be effectively applicable as a new type of dual-band antennas.</t>
  </si>
  <si>
    <t>1165-1166</t>
  </si>
  <si>
    <t>60028263;60028263;60028263</t>
  </si>
  <si>
    <t>6603687544;7202931816;35453679000</t>
  </si>
  <si>
    <t>Haneishi, Misao;Suga, Hidekazu;Hasegawa, Takaaki</t>
  </si>
  <si>
    <t>Saitama</t>
  </si>
  <si>
    <t>Saitama University</t>
  </si>
  <si>
    <t>Haneishi M.</t>
  </si>
  <si>
    <t>LOW-PROFILE DUAL-BAND MICROSTRIP ANTENNA HAVING OPEN-CIRCUITED STRIPLINE-STUB.</t>
  </si>
  <si>
    <t>2-s2.0-0022807016</t>
  </si>
  <si>
    <t>['upon use', 'transmission coefficients', 'making use', 'integral equations', 'grating period', 'examined numerically', 'dielectric sheet', 'approximation results', 'aperture fields', '3 times']</t>
  </si>
  <si>
    <t>Simple and closed form expressions for reflection and transmission coefficients of a thin strip grating on a dielectric sheet are presented for use in antennas. A set of integral equations for the aperture fields between strips are derived from the three dimensional boundary value problem. Upon use of the low frequency approximation, closed form expressions are obtained for reflection and transmission coefficients. The accuracy of our approximation results is examined numerically by making use of the point matching method. It is shown that the accuracy is excellent provided 1) the period of gratings is smaller than about 0. 3 free space wavelength, and 2) the thickness of the dielectric sheet is greater than about 0. 3 times the grating period.</t>
  </si>
  <si>
    <t>1189-1198</t>
  </si>
  <si>
    <t>60031126;60031126</t>
  </si>
  <si>
    <t>35495699200;7004757850</t>
  </si>
  <si>
    <t>Ando, Makoto;Murota, Masao</t>
  </si>
  <si>
    <t>REFLECTION AND TRANSMISSION COEFFICIENTS OF A THIN STRIP GRATING ON A DIELECTRIC SHEET.</t>
  </si>
  <si>
    <t>2-s2.0-0022807017</t>
  </si>
  <si>
    <t>['would yield', 'wave propagation', 'secondary basis', 'region 2', 'radiolocation service', 'permitted basis', 'mobile services', 'frequency fields', 'control sky', 'band 1605', 'antenna systems', '1705 khz']</t>
  </si>
  <si>
    <t>In Region 2, the band 1605-1705 kHz is shared by the broadcasting, fixed and mobile services, the radiolocation service on a secondary basis and the aeronautical radionavigation service on a permitted basis. Antenna systems for the band 1605-1705 kHz should be designed in such a way as to control sky-wave propagation with a view to reducing its intensity to the lowest possible levels; this would yield an ideal plan without interference from radio-frequency fields by either direct wave or sky-wave.</t>
  </si>
  <si>
    <t>646-648</t>
  </si>
  <si>
    <t>Montanaro, S. E.</t>
  </si>
  <si>
    <t>Montanaro S.</t>
  </si>
  <si>
    <t>ANTENNA SYSTEM FOR THE BROADCASTING SERVICE IN THE BAND 1605-1705 kHz.</t>
  </si>
  <si>
    <t>2-s2.0-0022808991</t>
  </si>
  <si>
    <t>['single printed', 'power points', 'monopulse antenna', 'mode operation', 'matrix network', 'cylindrical perimeter', 'circuit board', 'antenna elements', 'antenna consists', '40 degree', '2 multiplied', '16 facets', '16 antennas']</t>
  </si>
  <si>
    <t>The design and performance of a Ku-band conformed antenna are described. The antenna is a cylindrical receiving antenna that searches over a full 360 degree azimuth scan range for a target return signal. The antenna consists of 16 antenna facets, oriented at a 22. 5 degree angular spacing about the cylindrical perimeter. Each facet is a 2 multiplied by 4 dipole array covering approximately 23 degree in azimuth by 40 degree in elevation at the half-power points. One of the 16 facets is a monopulse antenna centered on the forward center line of the cylinder. In the sum-mode operation, the monopulse antenna is identical to the other 15 receiving antennas. All 16 antennas are connected through a switch matrix printed on the same circuit board to provide 16 beams in azimuth. The monopulse-antenna difference beam provides the final target designation angle. The antenna elements and the feeding-switch-matrix network are printed on both sides of a single printed-circuit board.</t>
  </si>
  <si>
    <t>1288-1293</t>
  </si>
  <si>
    <t>60007716;60007716</t>
  </si>
  <si>
    <t>7202771665;7202937916</t>
  </si>
  <si>
    <t>Agrawal, Ashok K.;Powell, Walter E.</t>
  </si>
  <si>
    <t>Agrawal A.</t>
  </si>
  <si>
    <t>PRINTED CIRCUIT CYLINDRICAL ARRAY ANTENNA.</t>
  </si>
  <si>
    <t>2-s2.0-0022809242</t>
  </si>
  <si>
    <t>['videotex system', 'unlimited amount', 'slightly burdening', 'paper describes', 'modern two', 'head end', 'designed system', 'data base', 'catv network']</t>
  </si>
  <si>
    <t>The paper describes a videotex system that can be applied in modern two-way CATV networks. With this videotex system a subscriber has access to an unlimited amount of information which is stored in a data base at the head end of the CATV network. The videotex system only occupies one TV channel, thus only slightly burdening the network. The designed system is based on the British teletext principle, which is presently in use in many European countries.</t>
  </si>
  <si>
    <t>397-401</t>
  </si>
  <si>
    <t>van den Boom, Henrie</t>
  </si>
  <si>
    <t>van den Boom H.</t>
  </si>
  <si>
    <t>INTERACTIVE VIDEOTEX SYSTEM FOR TWO-WAY CATV NETWORKS.</t>
  </si>
  <si>
    <t>2-s2.0-0022811964</t>
  </si>
  <si>
    <t>['three categories', 'table listing', 'summary form', 'satellite systems', 'parameters describing', 'national satellites', 'major characteristics', 'global systems', 'data presented', 'articles focus', 'article consists']</t>
  </si>
  <si>
    <t>The articles focus on satellites and satellite systems that can roughly be grouped into three categories: global systems, and regional or national satellites or systems. The format for each article consists of a narrative text giving a history of each satellite from its inception to its performance in orbit, and a table listing in summary form a number of parameters describing its major characteristics. The type and extent of the data presented in the tables for each satellite varies somewhat from article to article.</t>
  </si>
  <si>
    <t>263-357</t>
  </si>
  <si>
    <t>SATELLITE PARAMETERS DOSSIER.</t>
  </si>
  <si>
    <t>2-s2.0-0022812201</t>
  </si>
  <si>
    <t>1074-1077</t>
  </si>
  <si>
    <t>Sokolov, I. V.</t>
  </si>
  <si>
    <t>Sokolov I.</t>
  </si>
  <si>
    <t>Parameters of a biconical measuring antenna</t>
  </si>
  <si>
    <t>10.1007/BF00864973</t>
  </si>
  <si>
    <t>2-s2.0-0022813494</t>
  </si>
  <si>
    <t>['synthesis method', 'special care', 'small arrays', 'short description', 'shipboard radar', 'recently proposed', 'procedures efficient', 'present analysis', 'one needs', 'mutual coupling', 'memory requirement', 'large arrays', 'kind ),', 'error analysis', 'computer time', 'array elements']</t>
  </si>
  <si>
    <t>In the design of high-performance slot arrays (e. g. arrays for SAR, Windscatterometer, shipboard radar) one needs to take into account the mutual coupling between the array elements, in order to obtain a good input matching for the antenna. A synthesis method for small arrays (of the 'element by element' kind), which explicitly includes mutual coupling, has been recently proposed. In this paper we analyze this method and adapt it to analysis and synthesis of large slot arrays. After a short description of the method, we present analysis and synthesis which lead to the development of procedures efficient for small as well as large arrays. In this development , special care has been devoted to the reduction of the computer time and memory requirement (which is essential for arrays of thousands of elements) and to error analysis.</t>
  </si>
  <si>
    <t>359-364</t>
  </si>
  <si>
    <t>Alta frequenza</t>
  </si>
  <si>
    <t>7006097620;7003742703</t>
  </si>
  <si>
    <t>Mazzarella, Giuseppe;Panariello, Gaetano</t>
  </si>
  <si>
    <t>Mazzarella G.</t>
  </si>
  <si>
    <t>DESIGN OF SLOT ARRAYS FOR SAR APPLICATIONS.</t>
  </si>
  <si>
    <t>2-s2.0-0022813978</t>
  </si>
  <si>
    <t>['user requirements', 'track resolution', 'relative motion', 'main parameters', 'limitations imposed', 'implementation aspects', 'imaging geometry', 'fundamental equations', 'constraints imposed', 'briefly recalled', 'allows one']</t>
  </si>
  <si>
    <t>The synthetic aperture radar is a pulse compression radar mounted on a platform (aircraft, spacecraft, shuttle) which moves with respect to the target. The relative motion is used to synthesize a very long antenna aperture, to achieve an along-track resolution in the order of meters. The principle of operation is briefly recalled, the fundamental equations are derived and the limitations imposed by the imaging geometry on the selection of the main system parameters are discussed. Implementation aspects are taken into account and, finally, a criterion to optimize the selection of the main parameters is shown, which allows one to satisfy all the constraints imposed by the user requirements.</t>
  </si>
  <si>
    <t>337-348</t>
  </si>
  <si>
    <t>60084299;60084299;60084299</t>
  </si>
  <si>
    <t>6603909364;35494538700;7005803434</t>
  </si>
  <si>
    <t>Levrini, Guido;Barbarossa, Sergio;Picardi, Giovanni</t>
  </si>
  <si>
    <t>Selenia S.p.A.</t>
  </si>
  <si>
    <t>Levrini G.</t>
  </si>
  <si>
    <t>SENSITIVITY PROBLEM IN THE SYNTHETIC APERTURE RADAR (SAR).</t>
  </si>
  <si>
    <t>2-s2.0-0022814189</t>
  </si>
  <si>
    <t>['theoretical expression', 'spectral approach', 'seven types', 'seasonal variations', 'millimeter waves', 'ground covers', 'experimental studies', 'determined experimentally', '6 mm']</t>
  </si>
  <si>
    <t>A theoretical expression for the space-time frequency correlation function of millimeter waves, scattered by random ground covers, is obtained on the basis of the spectral approach to the approximation of the tangent plane method. Experimental studies of the scattering of millimeter waves by ground covers are carried out from an aircraft. The experiment is performed at a wavelength of 8. 6 mm. The specific effective scattering areas and their angular and seasonal variations are determined experimentally for seven types of ground covers.</t>
  </si>
  <si>
    <t>168-177</t>
  </si>
  <si>
    <t>7004850705;56375460400</t>
  </si>
  <si>
    <t>Andreyev, G. A.;Potapov, A. A.</t>
  </si>
  <si>
    <t>Andreyev G.</t>
  </si>
  <si>
    <t>EFFECT OF RANDOM SURFACE ROUGHNESSES ON A REFLECTED PULSED MILLIMETER WAVE SIGNAL.</t>
  </si>
  <si>
    <t>2-s2.0-0022816205</t>
  </si>
  <si>
    <t>['svd ).', 'spatial resolution', 'significant increase', 'numerical simulation', 'makes use', 'local shift', 'invariant basis', 'integral equation', 'first kind', 'conditioned problem', 'brightness temperature']</t>
  </si>
  <si>
    <t>The retrieval of the brightness temperature distribution of the earth's surface from antenna temperature measurements implies the inversion of a Fredholm integral equation of the first kind, that is the solution of an ill-posed inverse problem. A method for the antenna pattern correction is suggested which makes use of the singular value decompostion (SVD). A local shift-invariant basis of functions is used to discretize the integral equation and the inversion of the corresponding algebraic ill-conditioned problem is performed by the SVD. The expansion of the brightness temperature on the local basis function set is suited to accommodate the available 'a priori' information about the scenery in the algorithms. Results of a numerical simulation are given for a scenery where the brightness temperature extends over a finite observation interval. This feature appears crucial toward the attainment of a significant increase in spatial resolution.</t>
  </si>
  <si>
    <t>385-389</t>
  </si>
  <si>
    <t>100750947;100750947</t>
  </si>
  <si>
    <t>6602453967;7005171615</t>
  </si>
  <si>
    <t>Cesky, Tomas;Mongiardo, Mauro</t>
  </si>
  <si>
    <t>Czech Republic</t>
  </si>
  <si>
    <t>Prague</t>
  </si>
  <si>
    <t>PTT Research Inst</t>
  </si>
  <si>
    <t>Cesky T.</t>
  </si>
  <si>
    <t>ANTENNA PATTERN DECONVOLUTION AND RESTORATION OF FINITE EXTENT BRIGHTNESS DISTRIBUTION BY A SINGULAR VALUE DECOMPOSITION TECHNIQUE.</t>
  </si>
  <si>
    <t>2-s2.0-0022816618</t>
  </si>
  <si>
    <t>['widest angle', 'three types', 'source defines', 'reflector antennas', 'proper choice', 'optical systems', 'given direction', 'decrease aberrations', 'bifocal systems']</t>
  </si>
  <si>
    <t>A functional is introduced which is a measure of the aberration of optical systems in a given direction. Minimization of this functional in terms of the coordinates of the source defines the optimum scanning curve (or focal surface). Comparison of reflector antennas of three types (Cassegrain, Schwarzschild, and bifocal) showed that the last has the widest angle (or scanning sector). It is shown that it is possible to decrease aberrations in bifocal systems by a proper choice of the profile of the reflector between two reference points in bifocal systems.</t>
  </si>
  <si>
    <t>41-49</t>
  </si>
  <si>
    <t>6507252594;57198186279</t>
  </si>
  <si>
    <t>Bodulinskiy, V. K.;Romanova, V. I.</t>
  </si>
  <si>
    <t>REFLECTOR ANTENNAS - ABERRATION CRITERIA, SCANNING LIMITS.</t>
  </si>
  <si>
    <t>2-s2.0-0022819085</t>
  </si>
  <si>
    <t>['special cases', 'small disk', 'shaped flaw', 'relative amplitude', 'reflecting capability', 'pulsed radiation', 'known formulas', 'investigated theoretically', 'flaws larger', 'echo signal', 'bottom plane', 'arbitrary dimensions', 'analytical expression']</t>
  </si>
  <si>
    <t>The reflecting capability of a disk having arbitrary dimensions is investigated theoretically for pulsed radiation. An analytical expression is derived for the relative amplitude of an echo signal versus the parameters of the radiator and of a disk-shaped flaw where as special cases there are the well-known formulas for the amplitude of an echo signal from a small disk and from the bottom plane. As an example, ADD- diagrams are analyzed for flaws larger than the radiator.</t>
  </si>
  <si>
    <t>718-722</t>
  </si>
  <si>
    <t>The Soviet journal of nondestructive testing</t>
  </si>
  <si>
    <t>101099442;101099442</t>
  </si>
  <si>
    <t>6701513236;7006709368</t>
  </si>
  <si>
    <t>Rakhimov, V. F.;Ermolov, I. N.</t>
  </si>
  <si>
    <t>Rostov-on-Don</t>
  </si>
  <si>
    <t>Scientific &amp; Industrial Assoc</t>
  </si>
  <si>
    <t>Rakhimov V.</t>
  </si>
  <si>
    <t>REFLECTION OF ACOUSTIC WAVES FROM A DISK.</t>
  </si>
  <si>
    <t>2-s2.0-0022819529</t>
  </si>
  <si>
    <t>T32GM007257</t>
  </si>
  <si>
    <t>['wind detection', 'whether sustained', 'transient adjustments', 'three responses', 'steering responses', 'steering movements', 'simulated yaw', 'schistocerca gregaria', 'may provide', 'made either', 'loop conditions', 'lateral movements', 'hairplates operate', 'hairplates occluded', 'flying locusts', 'apparent antagonism', '5 ).', '5 ),', '3 ).']</t>
  </si>
  <si>
    <t>1. Steering movements of tethered, flying locusts, Schistocerca gregaria, subjected to simulated yaw were examined under open-loop conditions. Lateral movements of hindlimbs or curling of the abdomen were monitored with a capacitive movement transducer and were interpreted as indicating the tendency of the animal to turn. 2. Three responses to simulated yaw were noted: 1) Yaw-correcting upwind turning tendencies (Figs. 1, 2, 3). 2) Downwind turning tendencies (Figs. 2, 3, 4, 5), and 3) transient adjustments of hindlimb position consistent with an upwind turning tendency occurred in animals that made either no sustained postural adjustments of hindlimbs, or that exhibited sustained downwind turning tendencies (Figs. 4, 5). 3. Ablations of certain mechanoreceptors tested their roles in wind detection and wind angle determination. The expression of upwind turning tendencies, whether sustained or transient, depends on inputs from cephalic mechanosensory hairplates (Figs. 2, 3, 4, 5). With hairplates occluded, all locusts exhibited downwind turning tendencies. All downwind turning tendencies depend on inputs from the antennae (Figs. 2, 3). 4. Antennae and hairplates operate in an apparent antagonism in the steering responses they produce, which may provide the control flexibility required for complex flight maneuvering. ¬© 1986 Springer-Verlag.</t>
  </si>
  <si>
    <t>849-857</t>
  </si>
  <si>
    <t>Arbas, Edmund A.</t>
  </si>
  <si>
    <t>Arizona Research Laboratories</t>
  </si>
  <si>
    <t>Arbas E.</t>
  </si>
  <si>
    <t>Control of hindlimb posture by wind-sensitive hairs and antennae during locust flight</t>
  </si>
  <si>
    <t>10.1007/BF00603738</t>
  </si>
  <si>
    <t>2-s2.0-0023004061</t>
  </si>
  <si>
    <t>['triton x', 'still present', 'size particles', 'significantly increased', 'room temperature', 'reduced number', 'protoplasma 129', 'protein complexes', 'positive value', 'photosynthetic apparatus', 'o2 evolution', 'nm particles', 'n cells', 'membrane fractions', 'marine alga', 'lhcp constituents', 'lhcp ).', 'induction experiments', 'high values', 'electrophoresis demonstrates', 'ef particles', 'ef faces', 'cryptomonas maculata', 'cp1 band', 'banding pattern', '73 ).', '693 nm', '684 nm']</t>
  </si>
  <si>
    <t>Antennae pigments | Cryptomonas | Fluorescence (emission, induction) | Nitrogen deficiency | Photosystem I, II | Thylakoid membrane</t>
  </si>
  <si>
    <t>Nitrogen deficiency affects both photosystems and the antennae pigment systems in the photosynthetic apparatus of the marine alga, Cryptomonas maculata. Under increasing energy fluence rates, O2 evolution in nitrogen-deficient (-N) cell suspensions never reached a positive value; in control cultures (+N), O2 evolution increased and was saturated at about 6.4 W¬∑m-2 with about 100 Œºmol O2¬∑mg chlorophyll-1¬∑h-1. During fluorescence-induction experiments at room temperature, Fo and Fmax were significantly increased in-N cells whereas the Fvar/Fmax ratio decreased from 0.6 to 0.1. These observations can be correlated with a significantly decreased population of 12.5-nm-size particles in the exoplasmic-fracture (EF) faces of freeze-cleaved thylakoid membranes in-N cells (Rhiel et al., 1985, Protoplasma 129, 62-73). The EF particles are suggested to represent photosystem II associated with chlorophyll a/c-protein complexes (LHCP). The banding pattern of isolated and Triton X-100-solubilized thylakoid membranes of both +N and-N cells in sucrose gradients showed that the LHCP is still present in-N cells. The same applies to sodium dodecyl sulfate-polyacrylamide gel electrophoresis of these membrane fractions. The reduced number of the 12.5-nm particles in the EF faces of-N cells may be a result of decoupling of the LHCP constituents of the photosystem-II complex rather than their degradation. This is supported by high values for the initial fluorescence Fo in fluorescence-induction experiments and, in part, is indicated by the shift of the maximal fluorescence emission from 693 nm in +N to 684 nm in-N cells. The lack of the CP1 band in the gels of sodium dodecyl sulfate-solubilized thylakoid membranes from-N cells after electrophoresis demonstrates that photosystem I is also severely affected. ¬© 1986 Springer-Verlag.</t>
  </si>
  <si>
    <t>361-369</t>
  </si>
  <si>
    <t>60012556;60012556;60012556</t>
  </si>
  <si>
    <t>6701794483;7004370016;6701797914</t>
  </si>
  <si>
    <t>Rhiel, E.;Krupinska, K.;Wehrmeyer, W.</t>
  </si>
  <si>
    <t>Marburg</t>
  </si>
  <si>
    <t>Philipps-Universit√§t Marburg</t>
  </si>
  <si>
    <t>Rhiel E.</t>
  </si>
  <si>
    <t>Effects of nitrogen starvation on the function and organization of the photosynthetic membranes in Cryptomonas maculata (Cryptophyceae)</t>
  </si>
  <si>
    <t>10.1007/BF00392132</t>
  </si>
  <si>
    <t>2-s2.0-34250125310</t>
  </si>
  <si>
    <t>['¬© 1986', 'upon incubation', 'two photosystems', 'state 1', 'specific inhibitor', 'results suggest', 'photoacoustic detection', 'nostoc cells', 'harvesting chlorophyll', 'grana thylakoids', 'excitation energy', 'equal increase', 'efficient antennae', 'blocks dephosphorylation', '620 nm']</t>
  </si>
  <si>
    <t>(N. muscorum) | Emerson enhancement | Excitation energy distribution | Oxygen evolution | Photoacoustic spectroscopy | Photosynthesis</t>
  </si>
  <si>
    <t>Photoacoustic detection of modulated oxygen evolution was obtained from algae in vivo. In the cyanobacterium Nostoc muscorum, during State 1 to State 2 transition, the effective absorption cross-section of PS II measured at 580 and 620 nm, decreased by 10-15% concomitant with an equal increase in the cross-section of Photosystem I. Upon incubation of Nostoc cells with a specific inhibitor of phosphatases (NaF) which blocks dephosphorylation of proteins, State 1 was abolished and only State 2 could be observed. These results suggest that in organisms containing phycobiliproteins as efficient antennae and which are missing both light-harvesting chlorophyll a b protein complex and grana thylakoids the level of protein phosphorylation controls the distribution of excitation energy between the two photosystems. ¬© 1986.</t>
  </si>
  <si>
    <t>74-80</t>
  </si>
  <si>
    <t>Canaani, Ora</t>
  </si>
  <si>
    <t>Rehovot</t>
  </si>
  <si>
    <t>Weizmann Institute of Science Israel</t>
  </si>
  <si>
    <t>Canaani O.</t>
  </si>
  <si>
    <t>Photoacoustic detection of oxygen evolution and State 1-State 2 transitions in cyanobacteria</t>
  </si>
  <si>
    <t>10.1016/0005-2728(86)90058-7</t>
  </si>
  <si>
    <t>2-s2.0-0004811547</t>
  </si>
  <si>
    <t>['stationary process', 'proposed formulation', 'plastic deformation', 'numerical strategy', 'necessarily white', 'linear structures', 'involving elasto', 'dependent variance', 'computed results', 'asymmetric non', 'also included']</t>
  </si>
  <si>
    <t>A formulation, within the framework of the finite element method, for the analysis of the responses of symmetric and asymmetric non-linear structures, involving elasto-plastic deformation, subjected to non-stationary random excitation represented as a product of an arbitrary time modulating function and a stationary process, not necessarily white in nature, is proposed in this paper. A numerical strategy for implementing the proposed formulation is also included. Application of the method is made for the determination of the time-dependent variance of the response of a quarter-scale physical model of a class of mast antenna structures. Computed results are included and discussed. ¬© 1986 Academic Press Inc. (London) Limited.</t>
  </si>
  <si>
    <t>463-470</t>
  </si>
  <si>
    <t>Response of discretized structures with elasto-plastic deformation to non-stationary random excitation</t>
  </si>
  <si>
    <t>S0022-460X(86)80147-X</t>
  </si>
  <si>
    <t>10.1016/S0022-460X(86)80147-X</t>
  </si>
  <si>
    <t>2-s2.0-0023045009</t>
  </si>
  <si>
    <t>R01CA008418</t>
  </si>
  <si>
    <t>['œ ≤-', '¬© 1986', 'void volume', 'viable cells', 'upon incubation', 'type chain', 'similar conditions', 'purified extract', 'plummer et', 'peak obtained', 'nonlabeled epiglycanin', 'meningosepticum containing', 'mannose content', 'labeled epiglycanin', 'glycosyl hydrolase', 'gel p', 'gel filtration', 'four antennae', 'extensive incubation', 'epiglycanin glycopeptides', 'enzyme treatment', 'effluent volume', 'composition indicated', 'column p', 'cleaved fraction', 'carbohydrate components', 'calibrated column', 'approximately 80', 'apparent mr', '4 gave']</t>
  </si>
  <si>
    <t>Mannose-labeled epiglycanin was prepared by incubation of TA3-Ha ascites cells with [2-3H]mannose, removal of the epiglycanin by incubation of viable cells with l-1-p-to-sylamino-2-phenylethyl chloromethyl ketone-trypsin, and isolation of the large epiglycanin glycopeptides by gel filtration. Purification of epiglycanin glycopeptides was performed by wheat germ agglutinin affinity chromatography. Extensive incubation of epiglycanin with Pronase, followed by passage through a calibrated column of Bio-Gel P-4 (Column P-4), gave three fractions. The fraction of lowest apparent molecular weight, about 5000, upon incubation with a purified extract from F. meningosepticum containing an N-glycosyl hydrolase and an endo-N-acetyl-Œ≤-d-glucosaminidase (T. H. Plummer et. al. (1984) J. Biol. Chem. 259, 10700-10704) and passage through Column P- 4 gave a peak of radioactivity at apparent Mr 3000. Incubation of nonlabeled epiglycanin under similar conditions with the same enzyme preparation followed by passage through Column P-4, gave two peaks, based upon total mannose content. One of these, partially deglycosylated epiglycanin, was present in the void volume. Its composition indicated that approximately 80% of the mannose content of epiglycanin had been removed by the enzyme treatment, whereas no change was noted in the proportion of the other carbohydrate components. The effluent volume of the second peak coincided precisely with the peak obtained from the Pronase-cleaved fraction. Its composition and apparent Mr were consistent with those of an N-lactosamine-type chain with four antennae, Man3Gal4GlcNAc5NeuAc2-3. ¬© 1986.</t>
  </si>
  <si>
    <t>47-54</t>
  </si>
  <si>
    <t>60002746;60002746;60002746;60002746</t>
  </si>
  <si>
    <t>7004065529;55396294700;35475527700;7101977136</t>
  </si>
  <si>
    <t>Codington, John F.;Deak, Mary Rose;Frim, David M.;Jeanloz, Roger W.</t>
  </si>
  <si>
    <t>Harvard Medical School</t>
  </si>
  <si>
    <t>Codington J.F.</t>
  </si>
  <si>
    <t>Evidence for the presence of an N-acetyllactosamine-type chain in epiglycanin</t>
  </si>
  <si>
    <t>10.1016/0003-9861(86)90049-4</t>
  </si>
  <si>
    <t>2-s2.0-0022994789</t>
  </si>
  <si>
    <t>['suspension point', 'seismic noise', 'reference arm', 'phase signal', 'pendulum displacement', 'measured interferometrically', 'interferometer using', 'get rid', '7 km', '2 km', '10 hz']</t>
  </si>
  <si>
    <t>We describe the performances of a 100-kg, 1-m-long active pendulum provided with a reference arm to get rid of the effects of tilting of the ground. The pendulum displacement with respect to the suspension point is measured interferometrically. The phase signal, to be sent to the actuator which displaces the suspension point, is extracted from the interferometer using an analog phase follower. At 10 Hz we obtain a virtual pendulum length of 1.7 km with the reference arm locked and 1.2 km when the reference arm is free. This device can be used to reduce the seismic noise in an antenna for low-frequency gravitational wave detection.</t>
  </si>
  <si>
    <t>1145-1151</t>
  </si>
  <si>
    <t>Review of Scientific Instruments</t>
  </si>
  <si>
    <t>60028868;60028868;60028868</t>
  </si>
  <si>
    <t>22943966700;7003569996;57132246500</t>
  </si>
  <si>
    <t>Giazotto, A.;Passuello, D.;Stefanini, A.</t>
  </si>
  <si>
    <t>Pisa</t>
  </si>
  <si>
    <t>Universit√† di Pisa</t>
  </si>
  <si>
    <t>Giazotto A.</t>
  </si>
  <si>
    <t>One-mile equivalent length interferometric pendulum for seismic noise reduction</t>
  </si>
  <si>
    <t>10.1063/1.1138618</t>
  </si>
  <si>
    <t>2-s2.0-0000617062</t>
  </si>
  <si>
    <t>['theoretical model', 'power radio', 'plasma source', 'magnetic bucket', 'longitudinal line', 'ion temperature', 'helical antenna', 'electron temperature', 'cusp geometry', 'antenna frequency', '90 kw', '9 ev', '5 ev', '45 mhz', '20 kw', '0 ev']</t>
  </si>
  <si>
    <t>A high-power radio-frequency plasma source was built and tested for an antenna frequency of 2.45 MHz. A puff valve fed hydrogen gas into a plasma chamber made from 4-in.-diam Pyrex tubing. A helical antenna was wound directly around this chamber. The plasma source was surrounded by a magnetic bucket which used a longitudinal line-cusp geometry. For 20 kW of rf input power, the peak electron density was 2.0√ó1019 m-3, the electron temperature was 2.0 eV, the ion temperature was 0.9 eV, and the atomic hydrogen density was 4.4√ó1019 m-3. For 90 kW of rf input power, the peak electron density was 8.9√ó1019 m-3, the electron temperature was 2.5 eV, the ion temperature was 3.0 eV, and the atomic hydrogen density was 2.3√ó1019 m-3. The plasma source had a typical current efficiency of 6 A/kW. A theoretical model for the plasma loading resistance was developed.</t>
  </si>
  <si>
    <t>2409-2414</t>
  </si>
  <si>
    <t>35074760600;22972885000</t>
  </si>
  <si>
    <t>Petty, C. Craig;Smith, Donald K.</t>
  </si>
  <si>
    <t>Petty C.</t>
  </si>
  <si>
    <t>High-power radio-frequency plasma source</t>
  </si>
  <si>
    <t>10.1063/1.1139086</t>
  </si>
  <si>
    <t>2-s2.0-0008393015</t>
  </si>
  <si>
    <t>['œä systems', 'short distances', 'rate constant', 'photosynthetic organisms1', 'photoprotective agents', 'one model', 'neighbouring chlorophyll', 'maximum edge', 'harvesting pigments', 'energy transfer', 'edge distance', 'directly measured', 'chlorophyll distance', 'carotenoids serve']</t>
  </si>
  <si>
    <t>Carotenoids serve as light-harvesting pigments and as photoprotective agents in photosynthetic organisms1-9. Their role as antenna pigments involves absorption of photons in the blue-green spectral region followed by highly efficient singlet-singlet energy transfer to a neighbouring chlorophyll. The dependence of both the rate and mechanism of energy transfer on carotenoid-chlorophyll distance and orientation is Unknown. Here, we have directly measured both the rate and efficiency of singlet energy transfer from a carotenoid covalently linked to pyropheophorbide a (PPheo a) in two model compounds, using picosecond transient absorption spectroscopy. In one model the œÄ systems of the carotenoid and PPsheo a possess a maximum edge-to-edge distance of 5 √Ö, while in the other model this distance is only 2√Ö. Energy transfer occurs from the carotenoid to PPheo a at the 2-√Ö distance with a rate constant of 7 ¬± 2 √ó 1010 s-1 and 53¬±5% efficiency, while energy transfer at the 5-√Ö distance occurs at a rate constant of &lt;3 √ó109 s-1 and with &lt;5% efficiency. These results provide evidence that short distances and strong electronic interactions between carotenoids and chlorophylls are necessary to achieve the high energy transfer efficiencies observed in vivo. ¬© 1986 Nature Publishing Group.</t>
  </si>
  <si>
    <t>570-572</t>
  </si>
  <si>
    <t>Nature</t>
  </si>
  <si>
    <t>60028609;60003892;60003892;60003892;60003892</t>
  </si>
  <si>
    <t>7005602540;56530415100;57195769178;7403336040;26643239600</t>
  </si>
  <si>
    <t>Wasielewski, Michael R.;Liddell, Paul A.;Barrett, Donna;Moore, Thomas A.;Gust, Devens</t>
  </si>
  <si>
    <t>Lemont;Tempe</t>
  </si>
  <si>
    <t>Argonne National Laboratory;Arizona State University</t>
  </si>
  <si>
    <t>60028609;60003892</t>
  </si>
  <si>
    <t>Wasielewski M.R.</t>
  </si>
  <si>
    <t>Ultrafast carotenoid to pheophorbide energy transfer in a biomimetic model for antenna function in photosynthesis</t>
  </si>
  <si>
    <t>10.1038/322570a0</t>
  </si>
  <si>
    <t>2-s2.0-0022489372</t>
  </si>
  <si>
    <t>['various concentrations', 'suitable choice', 'successfully adopted', 'performing measurements', 'method might', 'dielectric parameters', 'dielectric dispersion', 'bound water', 'biological liquid', 'ascorbic acid', 'antenna technique', '1200 mhz']</t>
  </si>
  <si>
    <t>A monopole-antenna technique is adopted for the measurement of the dielectric parameters of ascorbic acid and trypsin of various concentrations in water. The method is standardised by performing measurements on liquids of known dielectric parameters. It is found that the method works satisfactorily in the frequency range 400-1200 MHz if a suitable choice of antenna probe diameter is made. A dielectric dispersion is observed which is attributed to the presence of bound water. It is suggested that the method might be successfully adopted on other biological liquid.</t>
  </si>
  <si>
    <t>1031-1040</t>
  </si>
  <si>
    <t>Physics in Medicine and Biology</t>
  </si>
  <si>
    <t>60030622;60030622</t>
  </si>
  <si>
    <t>7402324356;57204345600</t>
  </si>
  <si>
    <t>Ray, S.;Behari, J.</t>
  </si>
  <si>
    <t>New Delhi</t>
  </si>
  <si>
    <t>Jawaharlal Nehru University</t>
  </si>
  <si>
    <t>Ray S.</t>
  </si>
  <si>
    <t>Microwave absorption in lossy liquids</t>
  </si>
  <si>
    <t>10.1088/0031-9155/31/9/008</t>
  </si>
  <si>
    <t>2-s2.0-0022530956</t>
  </si>
  <si>
    <t>['vsat ),', 'tradeoffs associated', 'terrestrial leased', 'substantially lowering', 'right vsat', 'promising alternative', 'networks offer', 'network designers', 'line networks', 'data transmission', 'careful analysis']</t>
  </si>
  <si>
    <t>Bypass satellite networks have emerged as a promising alternative to terrestrial leased-line networks. Based on 1. 2-meter satellite dishes known as very small aperture terminals (VSAT), these networks offer the potential of increased system reliability and performance while substantially lowering the cost of data transmission. But choosing the right VSAT for a private satellite network involves careful evaluation of the tradeoffs associated with the two leading transmission frequency bands. The C and K//u band each have advantages for network designers and managers, and it takes a careful analysis to determine which one to choose.</t>
  </si>
  <si>
    <t>93-96</t>
  </si>
  <si>
    <t>Electronics</t>
  </si>
  <si>
    <t>WHICH BAND IS RIGHT FOR BYPASS SATELLITES?</t>
  </si>
  <si>
    <t>2-s2.0-0022745186</t>
  </si>
  <si>
    <t>['tv tower', 'tv broadcasting', 'transmitting technology', 'site selection', 'overall arrangement', 'city areas']</t>
  </si>
  <si>
    <t>A brief historical outline pertaining to the introduction of TV broadcasting in Czechoslovakia is presented. Site selection, the construction of a tower in built-up city areas, the TV tower for the city of Prague and the overall arrangement of transmitting technology are outlined.</t>
  </si>
  <si>
    <t>34-37</t>
  </si>
  <si>
    <t>Tesla electronics</t>
  </si>
  <si>
    <t>Aulicky, Vaclav</t>
  </si>
  <si>
    <t>Aulicky V.</t>
  </si>
  <si>
    <t>Television transmitter for the City of Prague</t>
  </si>
  <si>
    <t>2-s2.0-0022821468</t>
  </si>
  <si>
    <t>['practical aspects', 'paper indicates', 'hrp deformation', 'gives suggestions', 'geometrical optics', 'fully explained']</t>
  </si>
  <si>
    <t>It is shown that the deformation of horizontal radiation patterns (HRP) of transmitting TV antennas in the 470 to 790 MHz band due to thin cylindrical dielectric covers (radomes) cannot be fully explained by geometrical optics. The solution of the wave equation suggests that the deformation is caused by higher radial modes whose radiation from the anntenna is stimulated by the radome. The paper indicates some practical aspects of the deduced theoretical findings and gives suggestions of how to reduce the HRP deformation.</t>
  </si>
  <si>
    <t>43-50</t>
  </si>
  <si>
    <t>100346170;100346170;100346170</t>
  </si>
  <si>
    <t>7005058316;6503974816;6505562200</t>
  </si>
  <si>
    <t>Vrba, Jan;Prostecky, Milos;Simicek, Bohumil</t>
  </si>
  <si>
    <t>Ostrava</t>
  </si>
  <si>
    <t>Research Inst</t>
  </si>
  <si>
    <t>Vrba J.</t>
  </si>
  <si>
    <t>Stimulation of higher radial modes radiation by cylindrical dielectric radomes of transmitting TV antennas</t>
  </si>
  <si>
    <t>2-s2.0-0022821495</t>
  </si>
  <si>
    <t>['transmitting antennas', 'reinforced covers', 'negative influence', 'measures taken', 'copper conductors', 'compensation net']</t>
  </si>
  <si>
    <t>The negative influence of glass-reinforced covers on the horizontal radiation pattern of transmitting antennas for the IV/V TV bands is described, as well as the measures taken to suppress this effect by installing a compensation net of copper conductors on the cylinder inner walls. The measurement results obtained before and after the compensation net installation are compared.</t>
  </si>
  <si>
    <t>38-42</t>
  </si>
  <si>
    <t>Bradac, Jindrich</t>
  </si>
  <si>
    <t>Bradac J.</t>
  </si>
  <si>
    <t>Transmitting antennas for TV bands IV and V in compensated glass-reinforced plastic covers</t>
  </si>
  <si>
    <t>2-s2.0-0022821534</t>
  </si>
  <si>
    <t>['vector lines', 'total field', 'surface impedance', 'given structure', 'complex vector', 'array profile']</t>
  </si>
  <si>
    <t>In this paper we discuss the problem of synthesizing periodic arrays with specified reflecting properties. The proposed method makes it possible to determine the profile of such an array and the distribution of the surface impedance. The problem of determining the array profile from the given structure of the field above the array can be solved by obtaining the configuration of vector lines Re PI , where PI is Poynting's complex vector of the total field.</t>
  </si>
  <si>
    <t>198-200</t>
  </si>
  <si>
    <t>6602698017;6506003495</t>
  </si>
  <si>
    <t>Yerokhin, G. A.;Shkvarin, V. V.</t>
  </si>
  <si>
    <t>Yerokhin G.</t>
  </si>
  <si>
    <t>METHOD OF SYNTHESIZING PERIODIC REFLECTING ARRAYS.</t>
  </si>
  <si>
    <t>2-s2.0-0022832391</t>
  </si>
  <si>
    <t>['usually formulated', 'useful effect', 'scattering pattern', 'results obtained', 'receiver antennas', 'paper investigates', 'material parameters', 'located within', 'general problems', 'energy scattering', 'electromagnetic field', 'dimensional case', 'differential ).', 'decrease scattering', 'considerable interest']</t>
  </si>
  <si>
    <t>The problem of synthesizing passive scatterers is usually formulated as a problem of determining their geometric and material parameters from specified scattering properties: the scattering pattern (SP) or the scattering cross section (integral or differential). This paper investigates the general problems which arise in the synthesis of scatterers in the three-dimensional case. The results obtained in this paper can be used in cases when energy scattering is a useful effect (reflectors) as well as in order to decrease scattering; this is of considerable interest in designing construction elements that are located within the zone of the electromagnetic field of receiver antennas and other systems.</t>
  </si>
  <si>
    <t>200-203</t>
  </si>
  <si>
    <t>Yerokhin, G. A.</t>
  </si>
  <si>
    <t>ATTAINABLE CHARACTERISTICS IN THREE-DIMENSIONAL PASSIVE SCATTERED SYNTHESIS PROBLEMS.</t>
  </si>
  <si>
    <t>2-s2.0-0022832392</t>
  </si>
  <si>
    <t>['polyfocal systems', 'plus alpha', 'optical system', 'n sources', 'n foci', 'free focusing', 'first part', 'bifocal system']</t>
  </si>
  <si>
    <t>The problem of determining N surfaces of an optical system, which provides for aberration-free focusing of the fields of N sources at N foci, is solved. In the first part this method is described by the example of a bifocal system. The method is then generalized to polyfocal systems. The last section illustrates the application of MMI to the construction of a symmetrical trifocal system (two-dimensional problem), providing aberration-free focusing in the directions minus alpha , 0, plus alpha ( alpha equals 5 degree ).</t>
  </si>
  <si>
    <t>6505915870;6603710798</t>
  </si>
  <si>
    <t>Vaaz, I. L.;Kinber, B. Ye</t>
  </si>
  <si>
    <t>Vaaz I.</t>
  </si>
  <si>
    <t>POLYFOCAL SYSTEMS - METHOD OF MATCHED IMAGES.</t>
  </si>
  <si>
    <t>2-s2.0-0022843123</t>
  </si>
  <si>
    <t>['space inside', 'shall assume', 'practical interest', 'perfectly conducting', 'infinite flange', 'hopf method', 'electric waves']</t>
  </si>
  <si>
    <t>In this paper we discuss the problem of radiation of natural magnetic waves from a semi-infinite plane waveguide with a height of 2a and an infinite flange. We shall assume that the flange and the waveguide are perfectly conducting and the space inside the waveguide is filled with a homogeneous dielectric medium with dielectric constant epsilon . Such a structure is an analog of many antenna systems and is therefore of practical interest. The solution of the problem, based on the Wiener-Hopf method, is carried out, and radiation of electric waves is considered.</t>
  </si>
  <si>
    <t>194-197</t>
  </si>
  <si>
    <t>6506283856;6603706402;6505836075</t>
  </si>
  <si>
    <t>Voskresenskiy, G. V.;Zhurav, S. M.;Korshunkov, S. Yu</t>
  </si>
  <si>
    <t>Voskresenskiy G.</t>
  </si>
  <si>
    <t>RADIATION OF MAGNETIC WAVES FROM A PLANE WAVEGUIDE WITH A FLANGE.</t>
  </si>
  <si>
    <t>2-s2.0-0022844223</t>
  </si>
  <si>
    <t>['unintentional jamming', 'spectrum system', 'spacing practice', 'service interference', 'rf sensing', 'neighbouring services', 'multiple access', 'mission phases', 'many users', 'low power', 'low interference', 'heavy interference', 'good performance', 'efficient use', 'current signal', 'common bandwidth', 'available bandwidth', '25 users', '2 mhz']</t>
  </si>
  <si>
    <t>A spread-spectrum system is described which demonstrates how efficiently spacecraft service functions can be implemented in payload-dedicated frequency bands. In spite of heavy interference, very good performance is achieved for all mission phases, including the geostationary transfer orbit. In addition to more efficient use of available bandwidth, this system offers high protection against unintentional jamming. Operation at low power-flux density levels also causes very low interference to neighbouring services. The system itself is based on code-division multiple access, with direct sequence modulation of telecommand and telemetry bit streams. The spacecraft service functions provided are: telecommand, telemetry, ranging, and RF sensing of the high-gain onboard antenna. Multiple access to more than 25 users is possible in a common bandwidth of about 2 MHz, despite the presence of service interference from high-power broadcast channels. Compared with current signal-spacing practice for space operation channels using subcarrier techniques, the spread-spectrum system can accommodate at least three times as many users in the same bandwidth.</t>
  </si>
  <si>
    <t>277-290</t>
  </si>
  <si>
    <t>ESA Journal (European Space Agency)</t>
  </si>
  <si>
    <t>Otter, M.</t>
  </si>
  <si>
    <t>Darmstadt</t>
  </si>
  <si>
    <t>ESA</t>
  </si>
  <si>
    <t>Otter M.</t>
  </si>
  <si>
    <t>SPREAD-SPECTRUM MULTIPLE ACCESS FOR SPACECRAFT SERVICE FUNCTIONS (TT&amp;C).</t>
  </si>
  <si>
    <t>2-s2.0-0022866077</t>
  </si>
  <si>
    <t>['versatile service', 'telephone connection', 'stations include', 'specifically designed', 'solar power', 'simplest versions', 'low costs', 'isolated areas', 'fully transistorized', 'environmental resistance', 'earth stations', 'disadvantaged areas', 'developing countries', 'data transmission', 'answer requirements']</t>
  </si>
  <si>
    <t>Satellite communication already brings, in almost all countries in the world, an efficient and versatile service for isolated areas. The 'FASTCOM' small-earth stations have been specifically designed to answer requirements such as: easiness of operation, reliability, environmental resistance, low costs, which are predominant for this type of communication. They should allow economic justification of telephone connection, data transmission and even possibly television reception in the most disadvantaged areas of developing countries. This paper first deals with the general technical aspects of rural satellite communication networks and then describes the FASTCOM stations developed by TELSPACE. The simplest versions of these stations include an antenna and a telecommunication equipment set. These stations are fully transistorized; they can be supplied with solar power and do not require local operators.</t>
  </si>
  <si>
    <t>13-24</t>
  </si>
  <si>
    <t>Commutation and Transmission</t>
  </si>
  <si>
    <t>Salomon, J.</t>
  </si>
  <si>
    <t>Salomon J.</t>
  </si>
  <si>
    <t>FASTCOM: SMALL RURAL COMMUNICATION SATELLITE EARTH STATIONS.</t>
  </si>
  <si>
    <t>2-s2.0-0022874939</t>
  </si>
  <si>
    <t>['test apparatus', 'special controller', 'satellite body', 'leading us', 'initial studies', 'flexible boom', 'conventional system', 'antenna assembly', 'accurately pointed']</t>
  </si>
  <si>
    <t>The latest structural designs for large, high-powered satellites feature a large-diameter flexible antenna at the end of a long, flexible boom. Since this structure can bend and oscillate, it requires a special controller to keep it accurately pointed at its target on the earth. The conventional system of using small thrusters to stabilize the satellite's attitude are inadequate for this task, leading us to investigate the possibilities of using independent controllers for the antenna assembly and the satellite body. After initial studies, we built a test apparatus to simulate flexible satellite structures and developed a precise independent pointing controller for the antenna assembly.</t>
  </si>
  <si>
    <t>26-28</t>
  </si>
  <si>
    <t>Mitsubishi Electric Advance</t>
  </si>
  <si>
    <t>60101699;60101699</t>
  </si>
  <si>
    <t>6603437829;7401529457</t>
  </si>
  <si>
    <t>Kashiwase, Toshio;Tsuchiya, Kazuo</t>
  </si>
  <si>
    <t>Mitsubishi Electric Corporation</t>
  </si>
  <si>
    <t>Kashiwase T.</t>
  </si>
  <si>
    <t>PRECISE ANTENNA-POINTING CONTROLLER FOR FLEXIBLE SPACECRAFT.</t>
  </si>
  <si>
    <t>2-s2.0-0022877607</t>
  </si>
  <si>
    <t>['small close', 'protected area', 'predetermined range', 'outdoor use', 'microwave transceiver', 'indoor applications', 'bistatic sensors', 'also attenuates', '20 years']</t>
  </si>
  <si>
    <t>A monostatic microwave sensor has been developed which can compliment or provide dual technology with microwave bistatic sensors used in many nuclear facilities. The monostatic sensor provides target signatures and detection patterns uniquely different from bistatic sensors. Although the microwave transceiver has been used for indoor applications for over 20 years, outdoor use has been limited because of inability to discriminate against small targets close to the antenna such as rain on the radome and large targets beyond the range of the protected area. A monostatic sensor recently developed has a modulation technique along with appropriate signal processing in the receiver that rejects targets beyond a predetermined range and also attenuates the reflections of small close in targets.</t>
  </si>
  <si>
    <t>121-124</t>
  </si>
  <si>
    <t>Nuclear materials management</t>
  </si>
  <si>
    <t>Cheal, James</t>
  </si>
  <si>
    <t>Southwest Microwave Incorporated</t>
  </si>
  <si>
    <t>Cheal J.</t>
  </si>
  <si>
    <t>MONOSTATIC MICROWAVE SENSOR FOR OUTDOOR PERIMETER PROTECTION.</t>
  </si>
  <si>
    <t>2-s2.0-0022877847</t>
  </si>
  <si>
    <t>['wave sources', 'rf performance', 'phase shift', 'paper discusses', 'minus 0', 'insertion loss', 'implement mm', 'frequency multipliers', '8 plus', '3 db', '18 ghz', '109 plus']</t>
  </si>
  <si>
    <t>This paper discusses the design, fabrication and RF performance of analog phase shifters used with frequency multipliers to implement mm-wave sources for phased array applications. We show that substantial advantages result from this approach. A low loss GaAs monolithic phase shifter incorporating a 90 degree branchline coupler and planar varactor diodes has been fabricated. A phase shift of 109 plus or minus 3 degree with insertion loss of 1. 8 plus or minus 0. 3 dB was measured from 16 to 18 GHz.</t>
  </si>
  <si>
    <t>60022195;60022195;60022195;60022195;60022195;60022195</t>
  </si>
  <si>
    <t>24517673400;7006809018;7501961286;7103048580;7007074256;7006823424</t>
  </si>
  <si>
    <t>Chu, A.;Courtney, W. E.;Chen, C. L.;Mahoney, L. J.;Manfra, M. J.;Atwater, H. A.</t>
  </si>
  <si>
    <t>Chu A.</t>
  </si>
  <si>
    <t>MONOLITHIC ANALOG PHASE SHIFTERS AND FREQUENCY MULTIPLIERS FOR MM-WAVE PHASED ARRAY APPLICATIONS.</t>
  </si>
  <si>
    <t>2-s2.0-0022879971</t>
  </si>
  <si>
    <t>['vi ),', 'user satellites', 'relay systems', 'relay data', 'mitsubishi electric', 'jointly developed', 'ground stations', 'ground station', 'band multibeam', 'array antenna', 'antenna design']</t>
  </si>
  <si>
    <t>The Radio Research Laboratories of Japan's Ministry of Posts and Telecommunications and Mitsubishi Electric have jointly developed an S-band multibeam-array antenna (MBA) system for the multiple-access links envisaged for use in future intersatellite data-relay systems. The antenna design will be tested in space on Engineering Test Satellite-VI (ETS-VI), a two-ton geostationary satellite scheduled for launch in 1992, where it will be used to relay data between user satellites and ground stations. The MBA to be mounted on ETS-VI can receive telemetry data from up to 19 user satellites and transmit command data from the ground station to individual satellites via a single scanned beam.</t>
  </si>
  <si>
    <t>7004285304;55627875456</t>
  </si>
  <si>
    <t>Teshirogi, Tasuku;Yamamoto, Kenji</t>
  </si>
  <si>
    <t>Teshirogi T.</t>
  </si>
  <si>
    <t>S-BAND MULTIBEAM-ARRAY ANTENNA FOR INTERSATELLITE DATA-RELAY SYSTEMS.</t>
  </si>
  <si>
    <t>2-s2.0-0022882805</t>
  </si>
  <si>
    <t>['studies performed', 'studies cover', 'spar aerospace', 'spacecraft concepts', 'space segment', 'project definition', 'national system', 'large number', 'implementation phase', 'directed toward', 'concepts presented', 'canadian department', 'canadian companies', 'ambitious systems']</t>
  </si>
  <si>
    <t>Mobile Communication via satellite is approaching the implementation phase. This paper describes trade-off studies performed by Spar Aerospace under contract to the Canadian Department of Communications to develop a project definition for the space segment of a mobile satellite communication system. The studies cover a range of spacecraft concepts from a minimal entry system to more ambitious systems which can support a large number of users. Although present planning is directed toward a joint regional system formed by cooperation between U. S. and Canadian companies, the concepts presented here can be applied equally well to a national system.</t>
  </si>
  <si>
    <t>381-389</t>
  </si>
  <si>
    <t>Earth-oriented applications of space technology</t>
  </si>
  <si>
    <t>60013506;60013506;60013506;60013506</t>
  </si>
  <si>
    <t>7005028528;55484035800;7006406536;7402338404</t>
  </si>
  <si>
    <t>Kidd, A. M.;Lewis, J. G.;Moody, H. J.;Morgan, C. F.</t>
  </si>
  <si>
    <t>Edmonton</t>
  </si>
  <si>
    <t>L-3 Communications SPAR Aerospace Limited</t>
  </si>
  <si>
    <t>Kidd A.</t>
  </si>
  <si>
    <t>M-SAT SPACE SEGMENT-EVOLUTION TO A COMMERCIAL PROGRAM.</t>
  </si>
  <si>
    <t>2-s2.0-0022883096</t>
  </si>
  <si>
    <t>['phase synthesis', 'numerical examples', 'new method', 'minimax problems', 'author proposes', 'antenna arrays']</t>
  </si>
  <si>
    <t>The author proposes a new method of phase synthesis, as well as of synthesis of the geometry of antenna arrays. The solution is based on the use of some gradient solution methods for minimax problems. The problem with constraints is considered; numerical examples are given.</t>
  </si>
  <si>
    <t>48-54</t>
  </si>
  <si>
    <t>Moscow University computational mathematics and cybernetics</t>
  </si>
  <si>
    <t>Voevodina, N. E.</t>
  </si>
  <si>
    <t>Voevodina N.</t>
  </si>
  <si>
    <t>PHASE SYNTHESIS OF LINEAR ANTENNA ARRAYS IN UNIFORM METRIC.</t>
  </si>
  <si>
    <t>2-s2.0-0022890828</t>
  </si>
  <si>
    <t>['vsats ).', 'using antennas', 'satellite communication', 'retail outlets', 'medium voice', 'handle light', 'earth stations', 'data communications', 'central headquarters', 'branch offices', 'associated electronics', 'aperture terminals']</t>
  </si>
  <si>
    <t>The costs of satellite communication are getting lower thanks to the arrival of very-small-aperture terminals (VSATs). Priced relatively low - 2500 to 20,000, including the dishes and their associated electronics - and using antennas that measure just two to four feet across, these earth stations can handle light to medium voice and data communications between a central headquarters and hundreds or thousands of branch offices or retail outlets.</t>
  </si>
  <si>
    <t>38-43</t>
  </si>
  <si>
    <t>Cook, Rick</t>
  </si>
  <si>
    <t>Cook R.</t>
  </si>
  <si>
    <t>SATELLITE COMMUNICATIONS AT DOWN-TO-EARTH PRICES.</t>
  </si>
  <si>
    <t>2-s2.0-0022893351</t>
  </si>
  <si>
    <t>['silhouette form', 'optics analysis', 'local accuracy', 'integrated accuracy', 'definite frequency', 'angular resolution', 'acoustic fields']</t>
  </si>
  <si>
    <t>A method for analyzing the directionality of acoustic fields is studied. This method involves recording in silhouette form the microphone antenna signals, followed by a coherent-optics analysis. The error of the method is studied. The integrated accuracy of the method and its local accuracy (at a definite frequency) are determined. The angular resolution in this method is the same as that in a method using density recording.</t>
  </si>
  <si>
    <t>66-70</t>
  </si>
  <si>
    <t>Optoelectronics, Instrumentation and Data Processing (English translation of Avtometriya)</t>
  </si>
  <si>
    <t>Lapides, A. A.</t>
  </si>
  <si>
    <t>Lapides A.</t>
  </si>
  <si>
    <t>COHERENT-OPTICS METHOD FOR ANALYZING THE DIRECTIONALITY OF ACOUSTIC FIELDS WITH SHADOWGRAPH RECORDING OF THE SIGNAL.</t>
  </si>
  <si>
    <t>2-s2.0-0022893925</t>
  </si>
  <si>
    <t>['thicker region', 'simple one', 'seafloor receivers', 'sea floor', 'sea bed', 'results suggest', 'resistive basement', 'north pacific', 'luric method', 'ionospheric signals', 'involves dragging', 'electrical structure', 'electric fields', 'easily monitored', 'earlier work1', '65 km', '3 ),', '24 hz', '2 hz', '1 hz', '1 ).']</t>
  </si>
  <si>
    <t>The attenuation of ionospheric signals in the frequency range 0.06-24 Hz by sea water effectively precludes using the magnetotel-luric method to study the electrical structure of the upper oceanic lithosphere. We have carried out a dipole-dipole electromagnetic sounding in the North Pacific by injecting electromagnetic signals into the ocean and sea bed. The crust at the site is 25 Myr old and has a thin sediment cover. The technique, similar to that used in earlier work1,2, involves dragging a horizontal dipole antenna along the sea floor. The electric fields that propagated through the resistive basement were detected by seafloor receivers at ranges of 10-65 km. As the ambient electric field is very small (varying from 10-18 V 2 m-2 Hz-1 at 0.1 Hz to 10-24 V 2 m2 Hz-1 above 1 Hz; ref. 3), the controlled-source signals could be easily monitored. Our data are consistent with a simple one-dimensional Earth model consisting of a 3-7-km-thick crustal layer of moderate conductivity (‚àº0.001 S m-1) underlain by a thicker region of very low conductivity (&lt;2 √ó 10-5 S m -1). The results suggest an upper mantle water content of at most 0.1% by volume. ¬© 1986 Nature Publishing Group.</t>
  </si>
  <si>
    <t>52-54</t>
  </si>
  <si>
    <t>60023018;60023018;60121582;60013609</t>
  </si>
  <si>
    <t>57210520749;57207592856;7004482873;7402908032</t>
  </si>
  <si>
    <t>Cox, C. S.;Constable, S. C.;Chave, A. D.;Webb, S. C.</t>
  </si>
  <si>
    <t>San Diego;San Diego;Woods Hole</t>
  </si>
  <si>
    <t>Cecil H. and Ida M. Green Institute of Geophysics and Planetary Physics;Scripps Institution of Oceanography;Woods Hole Oceanographic Institution</t>
  </si>
  <si>
    <t>60121582;60023018;60013609</t>
  </si>
  <si>
    <t>Cox C.S.</t>
  </si>
  <si>
    <t>Controlled-source electromagnetic sounding of the oceanic lithosphere</t>
  </si>
  <si>
    <t>10.1038/320052a0</t>
  </si>
  <si>
    <t>2-s2.0-0022903816</t>
  </si>
  <si>
    <t>['two 25', 'standards conversion', 'outside broadcasts', 'international exchanges', 'historical review', 'future aspects', 'digital transmission', 'developments since', 'covering 1961', 'color tv', 'antenna towers', '1961 followed']</t>
  </si>
  <si>
    <t>Regular high definition television broadcasting in the United Kingdom began on 2nd November 1936. A historical review is presented of developments since then. The period is divided into two 25-yr intervals denoted as 'the beginning' from 1936 to 1961 followed by the interval of 'growth' covering 1961-1986. Topics considered include: antenna towers, outside broadcasts, studios, international exchanges, standards conversion, digital transmission, color TV, and Future aspects are discussed.</t>
  </si>
  <si>
    <t>Garrett, J.</t>
  </si>
  <si>
    <t>Garrett J.</t>
  </si>
  <si>
    <t>50 YEARS OF BBC TELEVISION - SOME ENGINEERING MILESTONES.</t>
  </si>
  <si>
    <t>2-s2.0-0022904293</t>
  </si>
  <si>
    <t>['walking robots', 'surface strips', 'special trusses', 'spacecraft antennas', 'solar panels', 'screw calculus', 'rigid bodies', 'research task', 'particular systems', 'order matrices', 'investigating systems', 'human beings', 'graph theory', 'general formalism', 'dual elements', 'conversion process', 'biological systems', 'arbitrary structure', 'analytic model', 'actual system']</t>
  </si>
  <si>
    <t>The need for investigating systems of rigid bodies of arbitrary structure derives from the development of manipulators, robots, walking robots, special trusses for deployment of solar panels and spacecraft antennas, and the mechanics of human beings and other biological systems. In this paper, we construct a general formalism to describe the structure, geometry, and kinetics of a system of rigid bodies of arbitrary structure. Graph theory is employed to describe the structure, while the motions are described on the basis of screw calculus, the theory of surface strips, and third-order matrices with dual elements. We propose an algorithm for converting to an analytic model for an actual system of bodies. We conclude that it is possible to change over to particular systems of bodies by specifying the research task and the structure of the system. The conversion process can be automated.</t>
  </si>
  <si>
    <t>Mechanics of solids</t>
  </si>
  <si>
    <t>Prokhorov, V. P.</t>
  </si>
  <si>
    <t>Prokhorov V.</t>
  </si>
  <si>
    <t>ANALYTIC MODEL OF A SYSTEM OF RIGID BODIES OF ARBITRARY STRUCTURE.</t>
  </si>
  <si>
    <t>2-s2.0-0022904366</t>
  </si>
  <si>
    <t>['phase shifter', 'noise amplifier', 'lna ),', 'db gain', 'conversion loss', 'associated gain', '6 db', '5 db', '17 db']</t>
  </si>
  <si>
    <t>Several monolithic integrated circuits have been developed for a 30 GHz receiver. The receiver components include a low-noise amplifier (LNA), an IF amplifier, a mixer, and a phase shifter. The LNA has a 7 dB noise figure with over 17 dB of associated gain. The IF amplifier has a 13-dB gain with a 30 dB control range. The mixer has a conversion loss of 10. 5 dB. The phase shifter has a 180 degree phase shift control and a minimum insertion loss of 1. 6 dB.</t>
  </si>
  <si>
    <t>ED-33</t>
  </si>
  <si>
    <t>60005304;60005304;60005304;60005304;60005304</t>
  </si>
  <si>
    <t>7405258081;7409787561;7202086933;7410337473;7407035350</t>
  </si>
  <si>
    <t>Liu, Louis C.T.;Liu, Carol S.;Kessler, Joel R.;Wang, Shing Kuo;Chang, Ching Der</t>
  </si>
  <si>
    <t>Liu L.</t>
  </si>
  <si>
    <t>30 GHZ MONOLITHIC RECEIVER.</t>
  </si>
  <si>
    <t>2-s2.0-0022909402</t>
  </si>
  <si>
    <t>['working area', 'thermal control', 'summarized briefly', 'specific problems', 'pointing control', 'paper presents', 'large number', 'growth concept', 'feasibility study', 'energy transmission', 'earth observation', 'diameter class', 'diameter antenna', 'centrifugal force', 'astronomical observation', 'antenna requirements', 'also described']</t>
  </si>
  <si>
    <t>This paper presents some results of feasibility study of a space station utilization as a base or a working area to assemble and/or deploy large antennas. The study of the large antenna assembly experiment examined so far is summarized briefly and the specific problems (thermal control, pointing control and surface distortion due to the centrifugal force) are described. The antenna requirements are reviewed. As the missions which utilize space antennas, earth observation, astronomical observation, energy transmission and communication/broadcasting are described. It is clarified that the large number of the antenna in 10 m diameter class and 100 m or more diameter antenna are required. The growth concept of large antenna assembly is also described.</t>
  </si>
  <si>
    <t>391-400</t>
  </si>
  <si>
    <t>60022990;60022990;60022990;60022990;60022990;60022990;60022990</t>
  </si>
  <si>
    <t>18345100800;55722460800;7102598557;35466077200;8324800300;6508017392;6701523484</t>
  </si>
  <si>
    <t>Matsumoto, Kohtaro;Ohkami, Yoshiaki;Kida, Takashi;Iida, Takashi;Okamoto, Ken'ichi;Kinpara, Akira;Ohtomo, Isao</t>
  </si>
  <si>
    <t>Japan Aerospace Exploration Agency</t>
  </si>
  <si>
    <t>SPACE STATION UTILIZATION FOR ASSEMBLY OF LARGE SPACE ANTENNA.</t>
  </si>
  <si>
    <t>2-s2.0-0022911567</t>
  </si>
  <si>
    <t>['z axes', 'study concludes', 'salient features', 'eucalyptus eugenioides', 'cupressus torulosa', 'calculated using', 'approximate measurements']</t>
  </si>
  <si>
    <t>The resistance, inductance and capacitance of mango (Magnifera Indica Linn), eucalyptus (Eucalyptus Eugenioides) and ashok (Cupressus Torulosa Don) leaves are calculated using their configurations in the x, y and z axes. The approximate measurements of these parameters are made using three voltmeter method. A digital computer procedure is used to bring out their salient features. This study concludes that these leaves are suitable for transducers, amplifiers and antennas.</t>
  </si>
  <si>
    <t>83-91</t>
  </si>
  <si>
    <t>pt 3</t>
  </si>
  <si>
    <t>7003913804;6603088237;6602144026</t>
  </si>
  <si>
    <t>Chhalotra, G. P.;Juneja, P. L.;Gavai, A. N.</t>
  </si>
  <si>
    <t>DIGITAL COMPUTER SIMULATION OF CHEMICAL AND ELECTRICAL PROPERTIES OF MANGO, EUCALYPTUS AND ASHOK GREEN LEAVES WITH RLC PARAMETERS MEASUREMENTS.</t>
  </si>
  <si>
    <t>2-s2.0-0022914974</t>
  </si>
  <si>
    <t>['telecom 1', 'simple design', 'recent requirements', 'radio mode', 'private customers', 'point line', 'operates according', 'data communications', '64 equipment']</t>
  </si>
  <si>
    <t>The 23 GHz DTS 10-64 equipment is dedicated to connect scattered subscribers to the new data network like transmic and Telecom 1 in France, and operates according to a point to multipoint cellular configuration using a Time Division Multiple Access (TDMA) radio mode. The FTD 23 microwave link allows point to point line of sight 2 Mbit/s transmissions and offers exploitation capabilities in compliance with all the recent requirements for data communications. These two systems use a rugged and simple design but are able to satisfy either professional or private customers.</t>
  </si>
  <si>
    <t>29-38</t>
  </si>
  <si>
    <t>57196517161;57208023818</t>
  </si>
  <si>
    <t>Marchand, P.;Fernandez, E.</t>
  </si>
  <si>
    <t>Marchand P.</t>
  </si>
  <si>
    <t>23 GHz RADIO EQUIPMENTS DTS 10-64 AND FTD 23.</t>
  </si>
  <si>
    <t>2-s2.0-0022920623</t>
  </si>
  <si>
    <t>['three relating', 'technology needed', 'global applications', 'geotstationary platform', 'geostationary platform', 'briefly discussed']</t>
  </si>
  <si>
    <t>This paper describes future satellite communication missions which will be possible on the assumption that a geostationary platform is available. The necessity of the geotstationary platform is reviewed in terms of increase and diversification of satellite communication needs. Five advanced communication missions are described as examples of the diversification of future service requirements, three relating to domestic Japanese needs and two to more global applications. The technology needed for the geostationary platform is briefly discussed.</t>
  </si>
  <si>
    <t>425-433</t>
  </si>
  <si>
    <t>60092258;60092258;60092258;60092258;60092258</t>
  </si>
  <si>
    <t>35466077200;24281871400;35494400100;55724594000;55477154400</t>
  </si>
  <si>
    <t>Iida, Takashi;Shimada, Masaaki;Yoshimoto, Shigetoshi;Suzuki, Yoshiaki;Hashimoto, Kazuhiko</t>
  </si>
  <si>
    <t>Iida T.</t>
  </si>
  <si>
    <t>COMMUNICATION MISSIONS FOR GEOSTATIONARY PLATFORMS.</t>
  </si>
  <si>
    <t>2-s2.0-0022925569</t>
  </si>
  <si>
    <t>['results obtained', 'much prospect', 'initial checkout', 'emss experiments']</t>
  </si>
  <si>
    <t>This paper describes experiments and facilities of the EMSS. Antennas and transponders of the satellite, the ship earth station and the aircraft earth station have already been manufactured. The EMSS is an integrated mobile satellite communication system including maritime, aeronautical and land mobile communications. There is much prospect of employing the EMSS as a future mobile satellite communication system. The EMSS experiments will begin in the autumn of 1987 after the initial checkout of the ETS-V. Results obtained from the EMSS experiments will contribute to the development of future mobile satellite communication systems.</t>
  </si>
  <si>
    <t>Denshi Tokyo</t>
  </si>
  <si>
    <t>60092258;60092258;60092258</t>
  </si>
  <si>
    <t>57206128771;35560533200;35452406400</t>
  </si>
  <si>
    <t>Hase, Yoshihiro;Ohmori, Shingo;Kosaka, Katsuhiko</t>
  </si>
  <si>
    <t>Hase Y.</t>
  </si>
  <si>
    <t>EXPERIMENTAL MOBILE SATELLITE SYSTEM (EMSS) USING ETS-V.</t>
  </si>
  <si>
    <t>2-s2.0-0022929129</t>
  </si>
  <si>
    <t>['scattering characteristics', 'periodic array', 'numeric analysis', 'load concentrated', 'free space', 'distributed lengthwise']</t>
  </si>
  <si>
    <t>The scattering of a plane electromagnetic wave by a periodic dipole array with a load concentrated in an arbitrary cross section and distributed lengthwise is studied. Periodic arrays placed in a free space and above an ideally conducting screen are considered. The results of numeric analysis of the scattering characteristics and their correlation with the parameters of the periodic array are presented.</t>
  </si>
  <si>
    <t>52-56</t>
  </si>
  <si>
    <t>Radioelectronics and Communications Systems (English translation of Izvestiya Vysshikh Uchebnykh Z</t>
  </si>
  <si>
    <t>16437068800;7006172632</t>
  </si>
  <si>
    <t>Ponomarev, L. I.;Shatalov, A. V.</t>
  </si>
  <si>
    <t>Ponomarev L.</t>
  </si>
  <si>
    <t>SCATTERING OF A PLANE ELECTROMAGNETIC WAVE BY A PERIODIC DIPOLE ARRAY WITH CONCENTRATED AND DISTRIBUTED LOADS.</t>
  </si>
  <si>
    <t>2-s2.0-0022958855</t>
  </si>
  <si>
    <t>['surface antenna', 'surface according', 'results presented', 'real pattern', 'radiation patterns', 'radiation pattern', 'paper make', 'given relation', 'excitation current', 'easy procedure', 'closer approximation', 'amplitude distribution']</t>
  </si>
  <si>
    <t>The radiation pattern (RP) of a surface antenna is defined by the integral of the excitation current on the surface according to a given relation. The results presented in the paper make it possible to compute the radiation patterns and surface utilization factors by an easy procedure, obtaining a closer approximation of the amplitude distribution to the real pattern.</t>
  </si>
  <si>
    <t>Sitnyanskii, D. D.</t>
  </si>
  <si>
    <t>Sitnyanskii D.</t>
  </si>
  <si>
    <t>CHARACTERISTICS OF APERTURE ANTENNA WITH A COMPOSITE AMPLITUDE DISTRIBUTION.</t>
  </si>
  <si>
    <t>2-s2.0-0022960661</t>
  </si>
  <si>
    <t>['transmitting apaa', 'statistical characteristics', 'passive nodes', 'electrodynamic statement', 'edge effects', 'average characteristics', 'apaa path', 'active modules']</t>
  </si>
  <si>
    <t>A statistical mathematical model of a transmitting APAA is constructed on the basis of a deterministic mathematical model of the antenna in an electrodynamic statement of the problem of a finite antenna curtain radiation and inclusion of the nonlinearity of active modules. The model takes account of the edge effects and links the average characteristics of the radiation field directly with the statistical characteristics of active and passive nodes of the APAA path. The contribution of the nonlinearity of active modules to the mean directional pattern of APAA in terms of power is evaluated.</t>
  </si>
  <si>
    <t>46-51</t>
  </si>
  <si>
    <t>Gostyukhin, V. L.</t>
  </si>
  <si>
    <t>Gostyukhin V.</t>
  </si>
  <si>
    <t>STATISTICAL MODEL OF AN ACTIVE PAA.</t>
  </si>
  <si>
    <t>2-s2.0-0022960965</t>
  </si>
  <si>
    <t>['target moving', 'signal band', 'previous results', 'potential accuracy', 'fresnel zone', 'estimated parameters', 'coordinate derivatives']</t>
  </si>
  <si>
    <t>The potential accuracy of measurement of the coordinates and coordinate derivatives of a target moving in the Fresnel zone of a receiving antenna system using broadband signals is discussed. The accuracy of the estimated parameters is analyzed as a function of the distance to the target and the width of the signal band. A comparison is made with previous results.</t>
  </si>
  <si>
    <t>36-41</t>
  </si>
  <si>
    <t>Nakhmanson, G. S.</t>
  </si>
  <si>
    <t>Nakhmanson G.</t>
  </si>
  <si>
    <t>RADAR ESTIMATION OF THE POSITION OF A MOVING TARGET USING BROADBAND SIGNALS.</t>
  </si>
  <si>
    <t>2-s2.0-0022961280</t>
  </si>
  <si>
    <t>['simultaneous cs', 'signal models', 'observation interval', 'larger volume', 'determined primarily', 'correlation processing', 'communication systems', 'available information']</t>
  </si>
  <si>
    <t>In communication systems (CS) which use communication relay stations (CRS) with a code-based multistation access to the input of the receiver of CRS, signals from several correspondents using a common frequency band arrive simultaneously. The signal of each correspondent is separated from the mix by means of a correlation processing (convolution) which disregards the presence or absence of the signals of other correspondents. Not all available information is utilized in the process. If a larger volume of information about the signal is taken into account in processing it, the reliability of message reception would be enhanced. This information is determined primarily by the type of signal models. We consider a simultaneous CS with the length T of discrete information pulses. The length of observation interval is usually taken equal to this value.</t>
  </si>
  <si>
    <t>88-90</t>
  </si>
  <si>
    <t>Popov, A. S.</t>
  </si>
  <si>
    <t>Popov A.</t>
  </si>
  <si>
    <t>MARKOV MODEL OF A PHASE-KEYED PSEUDORANDOM MULTISTATION SIGNAL IN THE RECEIVING ANTENNA ARRAY.</t>
  </si>
  <si>
    <t>2-s2.0-0022961287</t>
  </si>
  <si>
    <t>National Institute of Allergy and Infectious Diseases</t>
  </si>
  <si>
    <t>R01AI012020</t>
  </si>
  <si>
    <t>NIAID</t>
  </si>
  <si>
    <t>['upon contact', 'two species', 'two pairs', 'tergite 8', 'sexes respond', 'scales ).', 'pheromone bouquet', 'minor components', 'mating system', 'mating follows', 'male pheromone', 'major components', 'gland cell', 'giant epidermal', 'filled lumen', 'female attractants', 'female attractant', 'dual luring', 'dorsal part', 'different ratios', 'corema deflates', 'calling males', 'attracts males', 'antler shaped', 'antennal cells', 'abdominal pumping', '5 mg', '2 h']</t>
  </si>
  <si>
    <t>Two sympatric species of Asian arctiid moths (Creatonotos spp.) use a sequential, dual luring and mating system. After sunset males pneumatically expand their coremata from a cavity between the abdominal sternites 7 and 8 and release their pheromone. They attract other males and thus, scent-emitting male groups may develop. About 30 min later females are attracted to the calling males. Upon contact with a female the male's corema deflates and mating follows. After 1-2 h the male calling subsides and now the remaining virgin females continue to emit their pheromone bouquet from internal, tubular glands located in the dorsal part of the abdomen, rostrad from tergite 8/9. This attracts males and further matings occur.- The coremata are huge, pneumatically eversible organs composed of two pairs of tubes, up to 37 mm long, each covered by ca. 3000 scent hairs (scales). There is a giant epidermal (trichogen) gland cell at the base of each hair. One large corema may contain up to 0.5 mg of the pheromone, hydroxydanaidal. The internal, tubular female glands are antler shaped; their air-filled lumen is ventilated by abdominal pumping. The major components of the female attractant are (Z,Z,Z)-3,6,9-heneicosatriene and (Z,Z)-2 (2,5-octadienyl)-3-undecyloxirane with different ratios in the two species. One of the minor components, common to both species, is (Z,Z,Z)-3,6,9-tricosatriene. Only the male antennae possess specialized receptor cells for the female attractants; other antennal cells of both sexes respond to the male pheromone.</t>
  </si>
  <si>
    <t>Experimental biology</t>
  </si>
  <si>
    <t>24520737200;7401918861;7402499597;7402111035;57202669416</t>
  </si>
  <si>
    <t>Wunderer, H.;Hansen, K.;Bell, T. W.;Schneider, D.;Meinwald, J.</t>
  </si>
  <si>
    <t>Wunderer H.</t>
  </si>
  <si>
    <t>Sex pheromones of two Asian moths (Creatonotos transiens, C. gangis; Lepidoptera--Arctiidae): behavior, morphology, chemistry and electrophysiology.</t>
  </si>
  <si>
    <t>2-s2.0-0022961601</t>
  </si>
  <si>
    <t>['would produce', 'space position', 'space filtration', 'receiving antenna', 'processed information', 'phi //', 'phase holograms', 'phase hologram', 'phase distribution', 'paper examines', 'output effect', 'object wave', 'object signal', 'long objects', 'interference background', 'high quality', 'fourier transforms', 'displacement source', 'digital images', 'constant amplitude', 'acoustic images']</t>
  </si>
  <si>
    <t>When only the phase distribution of the field of an object wave is used at the opening of the receiving antenna, the volume of recorded and processed information in the recovery of radio and acoustic images can be reduced, but the loss of information about the amplitude distribution inevitably produces an interference background, worsening the output effect. It was suggested that the object signal can be added at each point of the receiving antenna to the signal of the reference displacement source A//oexp(-i phi //o) with a constant amplitude A//O and the phase phi //0, so that the registration process could be linearized; after space filtration this would produce a high quality of the point object recovered from the phase hologram. The formation of digital images of long objects from phase holograms with a shift (PHS) involves specifics associated both with the choice of the space position of the displacement source and its parameters as well as with the discretization of the holograms when using numeric algorithms of Fourier transforms. The paper examines these features.</t>
  </si>
  <si>
    <t>96-98</t>
  </si>
  <si>
    <t>36978598700;7102438809</t>
  </si>
  <si>
    <t>Zelenskii, A. A.;Lukin, V. V.</t>
  </si>
  <si>
    <t>Zelenskii A.</t>
  </si>
  <si>
    <t>DIGITAL IMAGE RECOVERY FROM SHIFTED PHASE HOLOGRAMS.</t>
  </si>
  <si>
    <t>2-s2.0-0022961878</t>
  </si>
  <si>
    <t>462-466</t>
  </si>
  <si>
    <t>60002787;60002787;60002787</t>
  </si>
  <si>
    <t>55445582500;37019710800;26652105300</t>
  </si>
  <si>
    <t>Ito, K.;Itoh, K.;Kogo, H.</t>
  </si>
  <si>
    <t>Improved design of series-fed circularly polarised printed linear arrays</t>
  </si>
  <si>
    <t>10.1049/ip-h-2.1986.0079</t>
  </si>
  <si>
    <t>2-s2.0-0022969413</t>
  </si>
  <si>
    <t>60029284;60029284;60029284</t>
  </si>
  <si>
    <t>57213453102;56234502600;55547130349</t>
  </si>
  <si>
    <t>Mathur, S. P.;Sinha, A. K.;Sinha, A. K.</t>
  </si>
  <si>
    <t>University of Delhi</t>
  </si>
  <si>
    <t>Mathur S.P.</t>
  </si>
  <si>
    <t>Experimental study of a slotted telemetry antenna array with a shaped beam for satellite communication</t>
  </si>
  <si>
    <t>10.1049/ip-h-2.1986.0083</t>
  </si>
  <si>
    <t>2-s2.0-0022970213</t>
  </si>
  <si>
    <t>1108-1114</t>
  </si>
  <si>
    <t>7006198109;7102384283</t>
  </si>
  <si>
    <t>Gershman, A. B.;Ermolaev, V. T.</t>
  </si>
  <si>
    <t>Gershman A.</t>
  </si>
  <si>
    <t>Accelerating a stochastic algorithm that adjusts the weighting coefficients for adaptive antenna arrays</t>
  </si>
  <si>
    <t>10.1007/BF01034326</t>
  </si>
  <si>
    <t>2-s2.0-0022987472</t>
  </si>
  <si>
    <t>['posterior reconstruction', 'near field', 'measurement chamber', 'echoic conditions', 'directional pattern']</t>
  </si>
  <si>
    <t>A method is analyzed of posterior reconstruction of the directional pattern of an antenna from sounding its near field in echoic conditions of a measurement chamber. The results of experimental numeric modeling are reported.</t>
  </si>
  <si>
    <t>25-31</t>
  </si>
  <si>
    <t>15769363300;7005899824</t>
  </si>
  <si>
    <t>Nechaev, E. E.;Voronin, E. N.</t>
  </si>
  <si>
    <t>Nechaev E.</t>
  </si>
  <si>
    <t>RECONSTRUCTIVE METHOD FOR MEASUREMENT OF THE EXTERNAL PARAMETERS OF AN ANTENNA.</t>
  </si>
  <si>
    <t>2-s2.0-0022988499</t>
  </si>
  <si>
    <t>['wave damping', 'much smaller', 'geometric length', 'finite conductance', 'dispersion equation', 'delays defined', 'delay time', 'delay line', 'connected helices']</t>
  </si>
  <si>
    <t>A delay line on connected helices produces delays significantly larger than geometric length, i. e. , delays defined by the ratio of the turn of a helix to its lead. Experimental studies indicate that the wave damping for the same delay time in connected helices is much smaller than in a helix with a screen. It is interesting, therefore, to examine the dispersion equation of connected helices taking into account their finite conductance.</t>
  </si>
  <si>
    <t>61-63</t>
  </si>
  <si>
    <t>Pchel'nikov, Yu N.</t>
  </si>
  <si>
    <t>Pchel'nikov Y.</t>
  </si>
  <si>
    <t>EVALUATING WAVE DAMPING IN DELAY LINES ON CONNECTED HELICES.</t>
  </si>
  <si>
    <t>2-s2.0-0022990154</t>
  </si>
  <si>
    <t>['solid near', 'point source', 'plane boundary', 'planar wave', 'numerical calculation']</t>
  </si>
  <si>
    <t>An antenna potential method is used to solve the problem of diffraction in a solid near a plane boundary. The results are cited of a numerical calculation of diffraction of the field of a planar wave and of a point source in a sphere and in an elongated ellipsoid near the plane.</t>
  </si>
  <si>
    <t>95-98</t>
  </si>
  <si>
    <t>Moscow University Physics Bulletin (English Translation of Vestnik Moskovskogo Universiteta, Fizik</t>
  </si>
  <si>
    <t>7102485503;6506600379</t>
  </si>
  <si>
    <t>Kravtsov, V. V.;Senatorov, P. K.</t>
  </si>
  <si>
    <t>SOLUTION OF A SCALAR DIFFRACTION PROBLEM IN A SOLID NEAR A PLANE USING AN ANTENNA POTENTIAL MODEL.</t>
  </si>
  <si>
    <t>2-s2.0-0022990274</t>
  </si>
  <si>
    <t>['wave prediction', 'wave path', 'trail echoes', 'smooth ground', 'rough sea', 'radar receiver', 'paper describes', 'false targets', 'exponential atmosphere', 'detection threshold', 'averaging effects']</t>
  </si>
  <si>
    <t>This paper describes a number of propagation prediction algorithms and their associated computer programs, which have been applied to and, in some cases specifically designed for, h. f. radar system planning. These algorithms can be used to solve a variety of propagation prediction problems including (a) ground-wave path-loss prediction used to model antennas mounted near a cliff, propagation over smoothly varying irregular terrain, propagation over smooth ground but with an exponential atmosphere and paths over a rough sea; (b) h. f. sky-wave prediction; (c) estimating the rate at which meteor-trail echoes (a source of false targets or clutter) exceed the detection threshold of a radar; (d) extending an h. f. sea-echo Doppler spectrum model to include the averaging effects of a finite antenna beamwidth and the finite resolution bandwidth of a radar receiver.</t>
  </si>
  <si>
    <t>275-281</t>
  </si>
  <si>
    <t>GEC journal of research</t>
  </si>
  <si>
    <t>;;;;;</t>
  </si>
  <si>
    <t>7201801837;7006652639;7007084505;7103121480;6602397656;6701672754</t>
  </si>
  <si>
    <t>Gill, R. S.;Herring, R. N.;Kingsley, S. P.;Milsom, J. D.;Pielou, J. M.;Rotheram, S.</t>
  </si>
  <si>
    <t>Gill R.</t>
  </si>
  <si>
    <t>PROPAGATION PREDICTIONS FOR HF RADAR SYSTEM PLANNING.</t>
  </si>
  <si>
    <t>2-s2.0-0022991801</t>
  </si>
  <si>
    <t>['radiation pattern', 'numeric algorithm', 'finite cone', 'field reflected', 'calculation examples', 'antenna design', 'antenna arrays']</t>
  </si>
  <si>
    <t>A method is suggested for calculating the radiation pattern of antenna arrays on a finite cone where the influence of the field reflected from the edge of the cone is evaluated by using the methods of geometrical diffraction theory. A numeric algorithm and a program have been created; calculation examples are given. The numeric analysis procedure is shown to be convenient for calculations of antenna design and antenna arrays on a cone of a large electrical length (kl equals 50), where the use of rigorous methods becomes ineffective.</t>
  </si>
  <si>
    <t>30-35</t>
  </si>
  <si>
    <t>7801675220;6506592733;7401696923</t>
  </si>
  <si>
    <t>Tensin, V. S.;Shunin, O. A.;Kuznetsov, A. P.</t>
  </si>
  <si>
    <t>Tensin V.</t>
  </si>
  <si>
    <t>RADIATION PATTERNS OF A CIRCULAR ANTENNA ARRAY OF CROSS-ORIENTED SLOTS ON A FINITE METAL CONE.</t>
  </si>
  <si>
    <t>2-s2.0-0022991810</t>
  </si>
  <si>
    <t>['steps taken', 'reliable model', 'models investigated', 'mirror antenna', 'hyperbolic radiators', 'hyperbolic mirror', 'high requirements', 'electrodynamic characteristics', 'cassegrain antennas', 'analyzed using', 'accurate methods']</t>
  </si>
  <si>
    <t>When designing mirror antennas in which high requirements are imposed on the electrodynamic characteristics, it is necessary to complicate the models investigated, and they are analyzed using more accurate methods. One of the steps taken in constructing a reliable model of a mirror antenna is to take into account the shadowing of the aperture by the radiator. Experience in taking into account the shadowing of the aperture of a hyperbolic mirror in Cassegrain antennas has shown that the use of hyperbolic radiators will only provide satisfactory accuracy, as a comparison between the theoretical and experimental characteristics shows, for large electrical dimensions of the hyperbolic mirror. In this paper we calculate the electrodynamic characteristics of a single-mirror antenna with a waveguide radiator using a correct electrodynamic approach.</t>
  </si>
  <si>
    <t>66-69</t>
  </si>
  <si>
    <t>7801670783;7102811340;6508175678</t>
  </si>
  <si>
    <t>Martsafei, V. V.;Pavlenko, V. V.;Tsalimov, G. F.</t>
  </si>
  <si>
    <t>Martsafei V.</t>
  </si>
  <si>
    <t>EFFECT OF SHADOWING OF THE APERTURE BY THE RADIATOR ON THE ELECTRODYNAMIC CHARACTERISTICS OF A SINGLE-MIRROR ANTENNA.</t>
  </si>
  <si>
    <t>2-s2.0-0022999699</t>
  </si>
  <si>
    <t>['printed dipoles', 'flat infinite', 'finite paa', 'finite array', 'electrodynamic characteristics', 'edge waves', 'directional patterns']</t>
  </si>
  <si>
    <t>The characteristics of printed dipoles in flat infinite and finite PAA have been studied. The method of charge was used to investigate the electrodynamic characteristics of the dipole. The directional patterns of elements in a finite array were determined by the method of edge waves and simulation of an infinite dipole PAA.</t>
  </si>
  <si>
    <t>7202667195;6503995906</t>
  </si>
  <si>
    <t>Filippov, V. S.;Sapozhinkov, A. A.</t>
  </si>
  <si>
    <t>Filippov V.</t>
  </si>
  <si>
    <t>CHARACTERISTICS OF INFINITE AND FINITE PRINTED DIPOLE ANTENNA ARRAYS.</t>
  </si>
  <si>
    <t>2-s2.0-0022999704</t>
  </si>
  <si>
    <t>['typical functions', 'techniques used', 'based communications']</t>
  </si>
  <si>
    <t>A review of papers in non-Soviet periodicals describing antenna feeder systems in SHF-EHF band built for space-based communications is presented. The techniques used to perform the typical functions of modern space communications systems are described.</t>
  </si>
  <si>
    <t>7006446317;36907890500;6505871159;6506916663</t>
  </si>
  <si>
    <t>Arkhipov, N. S.;Bondar, L. V.;Vitovtsev, A. G.;Loman, V. I.</t>
  </si>
  <si>
    <t>Arkhipov N.</t>
  </si>
  <si>
    <t>ANTENNA FEEDER SYSTEMS OF COMMUNICATIONS FACILITIES IN SHF-EHF BANDS: A REVIEW.</t>
  </si>
  <si>
    <t>2-s2.0-0023006713</t>
  </si>
  <si>
    <t>1156-1158</t>
  </si>
  <si>
    <t>6508391748;6505814869;6506143061</t>
  </si>
  <si>
    <t>Romanchev, V. S.;Seryakov, Yu N.;Shabanov, R. I.</t>
  </si>
  <si>
    <t>Romanchev V.</t>
  </si>
  <si>
    <t>Application of complex transfer-constant meters in measuring systems</t>
  </si>
  <si>
    <t>10.1007/BF00866081</t>
  </si>
  <si>
    <t>2-s2.0-0023008422</t>
  </si>
  <si>
    <t>['system configuration', 'rectangular near', 'radiation patterns', 'gain measurement', 'field system', 'field measurements', 'conventional far', 'also efficient']</t>
  </si>
  <si>
    <t>The system configuration and performance of a plane-rectangular near-field antenna test facility with 4 m multiplied by 4 m scanner were described. The radiation patterns and gain of a pyramidal horn antenna were measured and compared with the results by conventional far-field measurements. Consequently, the system is verified to be able to measure the radiation patterns exactly over a wide angular region even by use of theoretical probe correction. It is demonstrated that the near-field system is also efficient for gain measurement.</t>
  </si>
  <si>
    <t>74-76</t>
  </si>
  <si>
    <t>7004285304;36725294300;7202500800;35594632500</t>
  </si>
  <si>
    <t>Teshirogi, Tasuku;Hori, Yosiaki;Okubo, Shigeru;Itoh, Takeo</t>
  </si>
  <si>
    <t>DEVELOPMENT OF A LARGE NEAR-FIELD ANTENNA MEASUREMENT FACILITY.</t>
  </si>
  <si>
    <t>2-s2.0-0023015630</t>
  </si>
  <si>
    <t>['mobile subdish', 'dynamic deformations', 'automatic movement']</t>
  </si>
  <si>
    <t>A method of compensation of phase distortions produced by the dynamic deformations of the surface in large mirror antennas is considered. An automatic movement and tilt of a mobile subdish are used for compensation. The results of numeric computer simulation are described, which confirm the efficiency of the method.</t>
  </si>
  <si>
    <t>71-76</t>
  </si>
  <si>
    <t>7005619585;6603231341</t>
  </si>
  <si>
    <t>Puzyrev, V. A.;Danilevich, A. B.</t>
  </si>
  <si>
    <t>Puzyrev V.</t>
  </si>
  <si>
    <t>AUTOMATIC CONTROL OF THE COMPENSATION OF PHASE DISTORTIONS IN STRAINED RADIOTELESCOPE REFLECTORS.</t>
  </si>
  <si>
    <t>2-s2.0-0023016168</t>
  </si>
  <si>
    <t>['radiation characteristics', 'phase distribution', 'numeric implementation', 'minor lobes', 'low level', 'exciting waves', 'edge effects', 'computational costs', 'circular polarization', 'apd correction']</t>
  </si>
  <si>
    <t>An algorithm of correction of amplitude-phase distribution (APD) of the exciting waves of a finite antenna array (AA) is described. The correction is done to compensate for the influence of edge effects on the radiation characteristics of AA. Examples are given of APD correction in an AA with a low level of minor lobes, for the formation of a difference directional pattern and circular polarization. The computational costs of a numeric implementation of the algorithm are evaluated.</t>
  </si>
  <si>
    <t>41-45</t>
  </si>
  <si>
    <t>Klimachev, K. G.</t>
  </si>
  <si>
    <t>Klimachev K.</t>
  </si>
  <si>
    <t>CORRECTION OF THE AMPLITUDE-PHASE DISTRIBUTIONS IN FINITE ANTENNA ARRAYS.</t>
  </si>
  <si>
    <t>2-s2.0-0023016341</t>
  </si>
  <si>
    <t>['small arrays', 'side radiation', 'regular component', 'noticeable variation', 'large arrays', 'infinite array', 'associated mainly']</t>
  </si>
  <si>
    <t>The results of a study of the characteristics of a finite slot antenna array are reported. It is shown that edge waves cause a noticeable variation of the side radiation in large arrays at the maximum beam deviation in a single-beam scanning sector. In small arrays, these variations are associated mainly with the regular component of the current, which is described by the interaction of the radiators in the infinite array.</t>
  </si>
  <si>
    <t>36-40</t>
  </si>
  <si>
    <t>7202667195;6506193924</t>
  </si>
  <si>
    <t>Filippov, V. S.;Tatarnikov, D. V.</t>
  </si>
  <si>
    <t>EDGE WAVES AND THE CHARACTERISTICS OF A SLOT PAA.</t>
  </si>
  <si>
    <t>2-s2.0-0023016342</t>
  </si>
  <si>
    <t>['special criteria', 'real time', 'organization principles', 'operation dynamics', 'ninth order', 'multidimensional system', 'multiconnected system', 'hybrid system', 'dynamic programming', 'control levels', 'certain constraints', 'applied repeatedly']</t>
  </si>
  <si>
    <t>A multiconnected system is considered, namely, a hybrid control system of an antenna containing diverse executive devices and operating under certain constraints. On the basis of self-organization principles and the method of dynamic programming, applied repeatedly to a number of special criteria, an algorithm is suggested which forms the control of the multidimensional system in real time and by minimizing a quadratic quality criterion. The results of calculation of control levels are described and the operation dynamics of a hybrid system with the object of control of the ninth order is simulated.</t>
  </si>
  <si>
    <t>Kibernetika i Vychislitel'naya Tekhnika</t>
  </si>
  <si>
    <t>57196539344;6503851257</t>
  </si>
  <si>
    <t>Zaitsev, G. F.;Vaipan, S. N.</t>
  </si>
  <si>
    <t>Zaitsev G.</t>
  </si>
  <si>
    <t>ALGORITHM OF MULTILEVEL OPTIMIZATION OF CONTROL OF A HYBRID SYSTEM UNDER CONSTRAINTS ON CONTROL ACTIONS AND PHASE COORDINATES.</t>
  </si>
  <si>
    <t>2-s2.0-0023016508</t>
  </si>
  <si>
    <t>['weights defined', 'common criterion']</t>
  </si>
  <si>
    <t>The common criterion of the efficiency of adjustment of an adaptive antenna array (AA) is the maximum. With this criterion, the optimum space processing is reduced to adding the signals of partial AA channels with weights defined from the solution of a given extremum problem. A method is suggested which is based on a pseudoinversion for computing the projections of pseudosolutions.</t>
  </si>
  <si>
    <t>7101701880;6504238132</t>
  </si>
  <si>
    <t>Zhuravlev, A. K.;Ermolin, M. V.</t>
  </si>
  <si>
    <t>Zhuravlev A.</t>
  </si>
  <si>
    <t>FAST ADAPTATION OF ANTENNA ARRAY IN THE PRESENCE OF SPACE-CORRELATED NOISE.</t>
  </si>
  <si>
    <t>2-s2.0-0023016677</t>
  </si>
  <si>
    <t>['various degrees', 'processing efficacy', 'noise coherence', 'model chosen', 'decreasing signal', 'crucial importance']</t>
  </si>
  <si>
    <t>For signals and noise with various degrees of coherence, the algorithms of space-time processing used in adaptive antenna arrays (AAA) are compared in terms of their efficacy. It is demonstrated that with decreasing signal and noise coherence, the processing efficacy is reduced. The coordination of the model chosen with the statistical noise structure and the match between the standard signal model and the valid signal statistics are shown to be of crucial importance.</t>
  </si>
  <si>
    <t>56486136900;6602436817</t>
  </si>
  <si>
    <t>Popovskii, V. V.;Kobin, S. V.</t>
  </si>
  <si>
    <t>Popovskii V.</t>
  </si>
  <si>
    <t>USE OF ADAPTIVE AA IN THE PROCESSING OF PARTIALLY COHERENT SIGNALS.</t>
  </si>
  <si>
    <t>2-s2.0-0023016678</t>
  </si>
  <si>
    <t>['transfer energy', 'reduced amounts', 'reaction centers', 'protein complex', 'phycobiliproteins obtained', 'lhc ii', 'less mutants', 'isolated photosystems', 'interaction appears', 'intact thylakoids', 'ii antenna', 'harvesting chlorophyll', 'green algae', 'functional association', 'eukaryotic thylakoids', 'energy transfer', 'cyanophytes f', 'cyanophyte thylakoids', 'chlorophyll b', 'chlamydomonas reinhardtii', 'bound phycobilisomes', 'anacystis nidulans']</t>
  </si>
  <si>
    <t>Phycobiliproteins obtained by dissociation of phycobilisomes were reassociated in vitro with intact thylakoids or isolated photosystems I and II preparations obtained from cyanophytes (prokaryotes) or green algae (eukaryotes) to form bound phycobilisome complexes. Energy transfer from Fremyella diplosiphon phycobiliproteins to chlorophyll a of reaction centers I and II were measured in: (i) complexes containing intact thylakoids of the cyanophytes F. diplosiphon or Anacystis nidulans and the eukaryotic algae Euglena gracilis and nutants of Chlamydomonas reinhardtii: (ii) complexes containing isolated photosystem II particles of A. nidulans or C. reinhardtii; and (iii) complexes containing reaction center I of F. displosiphon or C. reinhardtii. Energy transfer from phycoerythrin to chlorophyll a of photosystem II could be demonstrated in complexes containing phycobilisomes bound to cyanophyte thylakoids or isolated photosystem II particles of A. nidulans or C. reinhardtii. Bound phycobilisomes did not transfer energy to photosystem II within green algae thylakoids containing altered forms of light-harvesting chlorophyll a/b-protein complex (LHC) II antenna, reduced amounts of LHC II, or chlorophyll b, or chlorophyll b-less mutants, nor to chlorophyll a of photosystem I of intact thylakoids or isolated reaction centers. We conclude that phycobilisomes can form a specific and functional association with photosystem II particles of both cyanophytes and eukaryotic thylakoids. This interaction appears to be hindered by the presence of LHC II antenna in the eukaryotic thylakoids.</t>
  </si>
  <si>
    <t>12317-12323</t>
  </si>
  <si>
    <t>Journal of Biological Chemistry</t>
  </si>
  <si>
    <t>60007903;60007903</t>
  </si>
  <si>
    <t>7004114169;7005705984</t>
  </si>
  <si>
    <t>Kirilovsky, D.;Ohad, I.</t>
  </si>
  <si>
    <t>Jerusalem</t>
  </si>
  <si>
    <t>Hebrew University of Jerusalem</t>
  </si>
  <si>
    <t>Kirilovsky D.</t>
  </si>
  <si>
    <t>Functional assembly in vitro of phycobilisomes with isolated photosystem II particles of eukaryotic chloroplasts</t>
  </si>
  <si>
    <t>2-s2.0-0023018054</t>
  </si>
  <si>
    <t>['usually based', 'satisfactory description', 'respective part', 'radiation field', 'methods used', 'infinite horn', 'horn antennas', 'horn antenna', 'heuristic assumptions', 'gtd methods', 'finite length', 'field distribution', 'electrodynamic characteristics', 'diffraction theory', 'article employs', 'approximation yields', 'aperture size']</t>
  </si>
  <si>
    <t>Methods used to calculate the characteristics with horn antennas are usually based on heuristic assumptions. In particular, the aperture method assumes that the field distribution in a horn of a finite length is identical to the field in the respective part of an infinite horn. For large electrical dimensional dimensions of the horn antenna, this approximation yields a satisfactory description of the radiation field in the main lobe area, and when GTD methods are used, a satisfactory description of the radiation field in an even broader region is obtained. This article employs the method of diffraction theory to calculate the electrodynamic characteristics of horn antennas with an aperture size of the order of the wavelength.</t>
  </si>
  <si>
    <t>56-58</t>
  </si>
  <si>
    <t>7801670783;6508175678</t>
  </si>
  <si>
    <t>Martsafei, V. V.;Tsalimov, G. F.</t>
  </si>
  <si>
    <t>ELECTRODYNAMIC CHARACTERISTICS OF HORN ANTENNAS.</t>
  </si>
  <si>
    <t>2-s2.0-0023018173</t>
  </si>
  <si>
    <t>['type adaptive', 'specified amplitude', 'short distance', 'rating amplifiers', 'radiator system', 'phase distribution', 'limited region', 'control algorithm', 'computer modeling', 'adaptive shaping', 'accuracy characteristics']</t>
  </si>
  <si>
    <t>A process for adaptive shaping of a specified amplitude-phase distribution (APD) of a field in a limited region at a short distance from a system of radiators is investigated. A gradient-type adaptive-control algorithm is considered for the rating amplifiers of the radiator system. The results of computer modeling of the accuracy characteristics of the method are reported.</t>
  </si>
  <si>
    <t>7006499714;7102341936;6507903561</t>
  </si>
  <si>
    <t>Samoilenko, V. I.;Bogdanov, S. V.;Zaroshchinskii, O. I.</t>
  </si>
  <si>
    <t>Samoilenko V.</t>
  </si>
  <si>
    <t>ADAPTIVE SHAPING OF AMPLITUDE-PHASE FIELD DISTRIBUTIONS IN A LIMITED REGION.</t>
  </si>
  <si>
    <t>2-s2.0-0023020408</t>
  </si>
  <si>
    <t>['supercritical inserts', 'scanning sector', 'frequency subband']</t>
  </si>
  <si>
    <t>The characteristics are studied of two-frequency waveguide PAA with optimal matching dielectric and supercritical inserts. It is shown that the matching of the radiators and the 'short-circuiting' of the openings of passive LF elements by means of devices such as band-rejection filters makes it possible to expand the scanning sector and raise the gain of two-frequency waveguide PAA operating in the high-frequency subband.</t>
  </si>
  <si>
    <t>32-35</t>
  </si>
  <si>
    <t>16437068800;7102129534;6507566951</t>
  </si>
  <si>
    <t>Ponomarev, L. I.;Stepanenko, V. I.;Kul'kov, M. Yu</t>
  </si>
  <si>
    <t>EXPANDING THE SCANNING SECTOR OF TWO-FREQUENCY ALIGNED WAVEGUIDE PAA.</t>
  </si>
  <si>
    <t>2-s2.0-0023020414</t>
  </si>
  <si>
    <t>['valuable tool', 'stress physiology', 'photosynthetic apparatus', 'fs ),', 'fluorescence decrease', 'destructive methods', 'antenna system']</t>
  </si>
  <si>
    <t>In vivo chlorophyll fluorescence measurements have become a valuable tool in ecophysiology. Fluorescence emission spectra are influenced by the reabsorption of the tissue and indicate the composition of the antenna system and are influenced by the chlorophyll content per leaf area. The fluorescence induction kinetics ("Kautsky effect") can be used to study photosynthetic activity. These rapid, non-destructive methods can be applied for ecophysiological field research to check the vitality of plants and to document stress effects on the photosynthetic apparatus. The Rfd-values (Rfd=fd/fs), the ratio of the fluorescence decrease (fd) to the steady state fluorescence (fs), can be taken as a rapid vitality index of the leaves and trees. We here describe fundamental chlorophyll fluorescence results of leaves which are needed for the interpretation of in vivo fluorescence signatures in stress physiology and in the forest dieback research. ¬© 1986 Springer-Verlag.</t>
  </si>
  <si>
    <t>297-308</t>
  </si>
  <si>
    <t>0301634X</t>
  </si>
  <si>
    <t>Radiation and Environmental Biophysics</t>
  </si>
  <si>
    <t>60029428;60029428;60029428;60029428</t>
  </si>
  <si>
    <t>7006918218;7003911032;6507961423;56277614100</t>
  </si>
  <si>
    <t>Lichtenthaler, H. K.;Buschmann, C.;Rinderle, U.;Schmuck, G.</t>
  </si>
  <si>
    <t>Karlsruhe</t>
  </si>
  <si>
    <t>Karlsruhe Institute of Technology, Campus South</t>
  </si>
  <si>
    <t>Lichtenthaler H.</t>
  </si>
  <si>
    <t>Application of chlorophyll fluorescence in ecophysiology</t>
  </si>
  <si>
    <t>10.1007/BF01214643</t>
  </si>
  <si>
    <t>2-s2.0-0023027469</t>
  </si>
  <si>
    <t>['rectilinear sections', 'pocklington equation', 'basis functions', 'automatically satisfied']</t>
  </si>
  <si>
    <t>An algorithm is constructed using Galerkin's method as it applies to the Pocklington equation, and a program is compiled for analyzing arbitrary wire structures consisting of rectilinear sections. The basis functions are chosen in such a way that Kirchhoff's condition is automatically satisfied at the nodes.</t>
  </si>
  <si>
    <t>7004098923;7102944285</t>
  </si>
  <si>
    <t>Kudin, V. P.;Ruban, A. P.</t>
  </si>
  <si>
    <t>Kudin V.</t>
  </si>
  <si>
    <t>ALGORITHMIC REPRESENTATION OF WIRE-STRUCTURE EXCITATION PROBLEMS.</t>
  </si>
  <si>
    <t>2-s2.0-0023031204</t>
  </si>
  <si>
    <t>['variation pattern', 'signal emitted', 'periodic design', 'one case', 'greatly reduced', 'dipole lengths', 'band signals', 'another case']</t>
  </si>
  <si>
    <t>The radiation of very-wide-band signals by a log-periodic dipole antenna and by antennas which differ from a log-periodic design only in the variation pattern of coordinates and the dipole lengths is studied. This deviation from log-periodicity allows correcting the antenna phase responses, which, in one case, has greatly reduced the distortion of the signal emitted and, in another case, has provided for compression of signal with linear frequency modulation.</t>
  </si>
  <si>
    <t>62-66</t>
  </si>
  <si>
    <t>7003580445;6506964363</t>
  </si>
  <si>
    <t>Yatskevich, V. A.;Fedosenko, L. L.</t>
  </si>
  <si>
    <t>Yatskevich V.</t>
  </si>
  <si>
    <t>ANTENNAS FOR RADIATION OF VERY-WIDE-BAND SIGNALS.</t>
  </si>
  <si>
    <t>2-s2.0-0023033826</t>
  </si>
  <si>
    <t>['signal sources', 'numeric modeling', 'large number', 'input signals', 'correlation matrix', 'antenna array', 'angular position']</t>
  </si>
  <si>
    <t>A method is suggested for estimating the parameters of a large number of signal sources which allows evaluating simultaneously the power and angular position of signal sources by processing the correlation matrix of the input signals of an antenna array. The realization of the method involves minimizing the quality indicator proposed. The results of numeric modeling are presented, demonstrating the feasibility of obtaining a superresolution of signal sources.</t>
  </si>
  <si>
    <t>6603351545;7006499714</t>
  </si>
  <si>
    <t>Grubrin, I. V.;Samoilenko, V. I.</t>
  </si>
  <si>
    <t>Grubrin I.</t>
  </si>
  <si>
    <t>ESTIMATING THE POWER AND ANGLE COORDINATES OF SINGLE SOURCES IN MULTICHANNEL SYSTEMS.</t>
  </si>
  <si>
    <t>2-s2.0-0023034220</t>
  </si>
  <si>
    <t>['wind tunnel', 'used either', 'tobacco plant', 'specific interneurones11', 'specific interneurones', 'similar sequence', 'respond postsynaptically', 'region resembling', 'received grafts', 'pheromonal stimulation', 'normal males', 'normal females13', 'modulated anemotaxis', 'manduca sexta', 'male antennae8', 'male antennae', 'major component', 'macroglomerular complex16', 'macroglomerular complex', 'laying site', 'gynandromorphic females', 'female moths', 'characteristic mate', 'antennal lobes', 'also find']</t>
  </si>
  <si>
    <t>When tobacco hornworm moths (Manduca sexta) are tested in a wind tunnel with a source of female pheromones upwind, males but not normal females show pheromone-modulated anemotaxis and a characteristic mate-seeking behavioural sequence1-7. These behaviours are produced by stimulation of sensory neurones found only in male antennae8-10. These neurones project axons only to dendrites of pheromone-specific interneurones11,12 in the macroglomerular complex, a region of neuropil in the antennal lobe characteristic of males but not present in normal females13-15. Some interneurones in the antennal lobes of female moths that have received grafts of male antennae (gynandromorphs) respond postsynaptically to stimulation with bombykal, a major component of the pheromone16. They branch into a region resembling the macroglomerular complex16, like their counterparts in normal males. We show here that gynandromorphic females respond to pheromonal stimulation with anemotaxis. We also find that normal females display a similar sequence in response to the odour of their egg-laying site, the tobacco plant. It is likely that a common motor path is used either by pheromone-specific interneurones in the antennal lobes of males or by tobacco-specific interneurones in females. We assume that the interneurones in gynandromorphic females that branch into the macroglomerular complex induced by a grafted male antenna can activate this pathway. ¬© 1986 Nature Publishing Group.</t>
  </si>
  <si>
    <t>801-803</t>
  </si>
  <si>
    <t>60005455;60023324;60103678;60103678</t>
  </si>
  <si>
    <t>7004388304;7102653635;23043623000;23045329600</t>
  </si>
  <si>
    <t>Schneiderman, Anne M.;Hildebrand, John G.;Brennan, Margaret M.;Tdieinson, James H.</t>
  </si>
  <si>
    <t>Gainesville;Tucson;New Haven</t>
  </si>
  <si>
    <t>USDA Agricultural Research Service, Gainesville;Arizona Research Laboratories;Yale University</t>
  </si>
  <si>
    <t>60103678;60023324;60005455</t>
  </si>
  <si>
    <t>Schneiderman A.M.</t>
  </si>
  <si>
    <t>Trans-sexually grafted antennae alter pheromone-directed behaviour in a moth</t>
  </si>
  <si>
    <t>10.1038/323801a0</t>
  </si>
  <si>
    <t>2-s2.0-0023059924</t>
  </si>
  <si>
    <t>['resonant mode', 'resonant excitation', 'published results', 'linear theory', 'injected light', 'field pattern', 'experimental results', 'eigenmode analysis', 'coupled waveguides']</t>
  </si>
  <si>
    <t>We present a linear theory to explain the experimentally observed emission angle scanning of an injection-locked diode laser array when the frequency of the injected light is changed. This theory is based on eigenmode analysis of the coupled waveguides and on the use of the antenna array theory for the far-field pattern. The experimental results are explained in terms of the resonant excitation of eigenmodes, which selects the far-field pattern associated with the resonant mode. The agreement with published results is good.</t>
  </si>
  <si>
    <t>1719-1721</t>
  </si>
  <si>
    <t>Applied Physics Letters</t>
  </si>
  <si>
    <t>7404322039;23032658900</t>
  </si>
  <si>
    <t>Weber, Jean Pierre;Wang, Shyh</t>
  </si>
  <si>
    <t>Weber J.</t>
  </si>
  <si>
    <t>Analysis of the far-field output angle scanning by injection locking of a diode laser array</t>
  </si>
  <si>
    <t>10.1063/1.96813</t>
  </si>
  <si>
    <t>2-s2.0-0039247656</t>
  </si>
  <si>
    <t>['uniform near', 'several hundred', 'resonant wavelength', 'reentrant cavity', 'power source', 'power ratio', 'plasma density', 'nonresonant structure', 'following features', '10 w', '10 ev', '1 %).']</t>
  </si>
  <si>
    <t>A low-power source of plasma employing ECRH microwave breakdown in a reentrant cavity is described. The cavity has the following features: its dimensions can be made much smaller than its resonant wavelength, cavity Q values of several hundred are not difficult to achieve, and the vacuum rf electric field is uniform near its center. The plasma density to power ratio is roughly 109 cm-3 per watt for powers up to about 10 W. A smooth radial profile and a temperature of 5-10 eV are observed, and the plasma is very quiescent (Œ¥n/n is less than 1%). The cavity's construction and performance is described and compared to the performance of a simple loop antenna in a nonresonant structure.</t>
  </si>
  <si>
    <t>2957-2960</t>
  </si>
  <si>
    <t>60010756;60010756;60010756</t>
  </si>
  <si>
    <t>18036681000;7101963373;7402680504</t>
  </si>
  <si>
    <t>Brown, M. R.;Sheridan, T. E.;Hayes, M. A.</t>
  </si>
  <si>
    <t>Dartmouth College</t>
  </si>
  <si>
    <t>Reentrant cavity as a low-power plasma source</t>
  </si>
  <si>
    <t>10.1063/1.1139023</t>
  </si>
  <si>
    <t>2-s2.0-0043008618</t>
  </si>
  <si>
    <t>['toroidal current', 'generalized ohm', 'experimental measurement', 'driven simultaneously', 'authors report', '330 khz']</t>
  </si>
  <si>
    <t>The authors report on experimental measurement of toroidal current I phi up to about 1 kAmp driven by m=1 helical antennas fed at 330 kHz. Poloidal currents I0 are driven simultaneously by the same structure. The measurements are interpreted in terms of the nonlinear Hall effect terms being the active driving terms in the generalized Ohm's law.</t>
  </si>
  <si>
    <t>695-703</t>
  </si>
  <si>
    <t>Plasma Physics and Controlled Fusion</t>
  </si>
  <si>
    <t>57190910863;22988641300</t>
  </si>
  <si>
    <t>Dutch, M.;McCarthy, A. L.</t>
  </si>
  <si>
    <t>Dutch M.</t>
  </si>
  <si>
    <t>Steady toroidal current drive with m=1 radio frequency travelling wave structures</t>
  </si>
  <si>
    <t>10.1088/0741-3335/28/4/007</t>
  </si>
  <si>
    <t>2-s2.0-0348085127</t>
  </si>
  <si>
    <t>['two types', 'two antennae', 'shock wave', 'sample measurements', 'relaxing oscillation', 'nonlinear waves', 'nonlinear wave', 'new method', 'flight method', 'dispersion relation', 'discussed circumstantially']</t>
  </si>
  <si>
    <t>A new method for observing a nonlinear wave is proposed and illustrated with sample measurements. Observations are performed by using the time-of-flight method by counting the temporal upper hybrid wave packets which pass through the gap between two antennae. Two types of nonlinear waves were found in the experiment. One is outlined in the Korteweg de Vries equation by its behavior through the dispersion relation and the other behaves as a shock wave which represents the relaxing oscillation. The method of observation and the characteristics of the nonlinear waves are discussed circumstantially.</t>
  </si>
  <si>
    <t>566-571</t>
  </si>
  <si>
    <t>Mori, Ichiro</t>
  </si>
  <si>
    <t>Tokushima</t>
  </si>
  <si>
    <t>Tokushima University</t>
  </si>
  <si>
    <t>Mori I.</t>
  </si>
  <si>
    <t>New method of observing nonlinear waves in a plasma</t>
  </si>
  <si>
    <t>10.1063/1.1138872</t>
  </si>
  <si>
    <t>2-s2.0-33846062558</t>
  </si>
  <si>
    <t>['wave energy', 'rf catalyst', 'present experiments', 'much larger', 'icrf wave', 'external antenna', 'energy flow', 'circulating power', 'bulk plasma', 'beam particles', 'amplification factor']</t>
  </si>
  <si>
    <t>A concept of RF catalyst by use of ion cyclotron wave is presented. The ICRF wave is excited by the external antenna, amplified by the beam particles and absorbed by the bulk plasma. The circulating power in the plasma is much larger than the wave energy which is radiated from the antenna: the injected wave works as catalyst to stimulate the energy flow from beam particles to the bulk plasma. Solving the kinetic wave equation in a model Tokamak geometry, the amplification factor is calculated, and the applicable plasma parameters in present experiments are discussed.</t>
  </si>
  <si>
    <t>1499-1510</t>
  </si>
  <si>
    <t>9 B</t>
  </si>
  <si>
    <t>60030788;;60030788</t>
  </si>
  <si>
    <t>35352798500;7005509402;13306390500</t>
  </si>
  <si>
    <t>Itoh, S. I.;Fukuyama, A.;Itoh, K.</t>
  </si>
  <si>
    <t>Higashihiroshima</t>
  </si>
  <si>
    <t>Hiroshima University</t>
  </si>
  <si>
    <t>Itoh S.I.</t>
  </si>
  <si>
    <t>ICRF wave catalyst in beam-heated plasma</t>
  </si>
  <si>
    <t>10.1088/0741-3335/28/9B/005</t>
  </si>
  <si>
    <t>2-s2.0-36149037167</t>
  </si>
  <si>
    <t>['two effects', 'single parameter', 'shield thickness', 'shield cross', 'section shape', 'rounded edges', 'ohmic losses', 'magnetic shielding', 'faraday shields', 'edge shield', 'detailed analysis', 'cross section', 'considerable attention', 'antenna current']</t>
  </si>
  <si>
    <t>Metallic Faraday shields commonly in use in many ion cyclotron resonance heating experiments have been shown to have two adverse effects on the antenna-plasma coupling properties: magnetic shielding of the antenna current and possibly significant ohmic losses. The purpose of this paper is to investigate these two effects for shields of finite thickness using a detailed analysis of the fringing fields induced by the Faraday shields. Naturally, the extension to finite thickness introduces the question of shield cross-section shape. Considerable attention is given to this point through two case studies of a square-edged and a rounded-edge shield. It is shown that magnetic shielding properties of a given cross section can be characterized by a single parameter, dependent only on cross-section shape and dimensions. Ohmic losses are seen to be 30%-40% less for a cross section with rounded edges than for the square-edged cross section. Also of interest is a minimum in the ohmic loss versus thickness relation for the round cross section, indicating the existence of an optimum ohmic loss design with respect to shield thickness.</t>
  </si>
  <si>
    <t>3980-3989</t>
  </si>
  <si>
    <t>Journal of Applied Physics</t>
  </si>
  <si>
    <t>60030821;60030821;60030821</t>
  </si>
  <si>
    <t>6701628102;6507751626;7003283869</t>
  </si>
  <si>
    <t>Smithe, D. N.;Kashuba, R. J.;Kammash, T.</t>
  </si>
  <si>
    <t>Smithe D.</t>
  </si>
  <si>
    <t>Calculation of magnetic shielding and ohmic losses from finite thickness Faraday shields used in rf heating of plasmas</t>
  </si>
  <si>
    <t>10.1063/1.336702</t>
  </si>
  <si>
    <t>2-s2.0-36549096817</t>
  </si>
  <si>
    <t>['zeff measurements', 'vuv spectroscopy', 'visible spectroscopy', 'visible charge', 'visible bremsstrahlung', 'utilizing part', 'used routinely', 'transport models', 'spatial scan', 'rotation velocities', 'rf antennas', 'plasma parameters', 'ne -,', 'methods must', 'like metals', 'k lines', 'impurity influxes', 'impurity content', 'impurity concentrations', 'exchange spectroscopy', 'energy range', 'enabling studies', 'diagnostics left', 'crystal spectrometers', '35 nm', '170 nm']</t>
  </si>
  <si>
    <t>The present spectroscopic diagnostics on Joint European Torus (JET) consist of bolometry, fiber- and close-coupled visible spectroscopy (200-700 nm), as well as survey (10-170 nm) and spatial scan VUV spectroscopy (10-250 nm). Visible bremsstrahlung is used routinely for Zeff measurements. Hydrogen and impurity influxes from walls, limiters, and rf antennas are derived from visible spectral lines. Visible charge-exchange spectroscopy, utilizing part of the JET heating beams, yields ion temperatures, rotation velocities, and impurity concentrations in the plasma. VUV spectroscopy is employed for measuring the impurity content in the bulk plasma using an impurity transport code. Spatial scan spectrometers allow verification of the transport models by means of recorded emission shells. A 20-m-high resolution crystal spectrometer yields ion temperatures and rotation velocities from the He- and H-like resonance lines, as well as other plasma parameters. A pulse-height analysis system covers the energy range of metal and Cl-K lines and can be used for electron temperature measurements. In the near future XUV (0.7-35 nm) and double-crystal spectrometers (0.1-2 nm), one of them providing a spatial scan, will be available, enabling studies of H- and He-like light impurities, as well as Ne-, He-, and H-like metals. Bolometry, visible spectroscopy, and two crystal instruments will be the only diagnostics left during the JET active phase. By then, models and methods must have been established for assessing the behavior of the important impurities C, O (,Be), and Ni with these diagnostics.</t>
  </si>
  <si>
    <t>2000-2005</t>
  </si>
  <si>
    <t>Behringer, K.</t>
  </si>
  <si>
    <t>Behringer K.</t>
  </si>
  <si>
    <t>Spectroscopic diagnostics on JET (invited)</t>
  </si>
  <si>
    <t>10.1063/1.1138771</t>
  </si>
  <si>
    <t>2-s2.0-36549098432</t>
  </si>
  <si>
    <t>['current generation', 'asymmetrically heated', 'asymmetrical heating']</t>
  </si>
  <si>
    <t>The first experimental observation of current generation by asymmetrical heating of ions is reported. Ions were asymmetrically heated by a unidirectional fast Alfv√©n wave launched by a slow wave antenna inside a tokamak. Current generation was detected by measuring the asymmetry of the toroidal plasma current with probes at the top and bottom of the toroidal plasma column.</t>
  </si>
  <si>
    <t>4322-4324</t>
  </si>
  <si>
    <t>60021285;60021285;60021285;60021285;60021285</t>
  </si>
  <si>
    <t>7004633655;22971285200;35460663000;7103380578;22992067900</t>
  </si>
  <si>
    <t>Gahl, J.;Ishihara, O.;Wong, K. L.;Kristiansen, M.;Hagler, M.</t>
  </si>
  <si>
    <t>Lubbock</t>
  </si>
  <si>
    <t>Texas Tech University</t>
  </si>
  <si>
    <t>Gahl J.</t>
  </si>
  <si>
    <t>Experimental observation of current generation by asymmetrical heating of ions in a tokamak plasma</t>
  </si>
  <si>
    <t>10.1063/1.337477</t>
  </si>
  <si>
    <t>2-s2.0-36549098899</t>
  </si>
  <si>
    <t>['single discharge', 'rf antennas', 'report results', 'presently employed', 'omc ).', 'ion temperatures', 'high resolution', 'extraction regions', 'echelle grating', 'conventional grating']</t>
  </si>
  <si>
    <t>Spatially resolved spectra have been obtained, during a single discharge, with one spectrometer using an optical multifiber commutator (OMC). We report results from this device which can be preprogrammed to select up to nine viewing chords, via high transmission optical fibers. This arrangement has been incorporated with a multichannel (OMA) spectrometer, where the fiber-to-fiber switching time matches the basic video scan of the detector (16 ms). The spectrometer can be operated in medium resolution mode (0.3 √Ö) with a conventional grating or with high resolution (0.05 √Ö) by substituting an echelle grating. The apparatus has been used for the evaluation of ion temperatures in the source and extraction regions of the Culham negative ion source. It is presently employed in JET for the study of the relative impurity influxes from the wall, the limiters, and the rf antennas.</t>
  </si>
  <si>
    <t>2015-2016</t>
  </si>
  <si>
    <t>60008662;60008662;60008662;60008662</t>
  </si>
  <si>
    <t>7004209274;7003270220;7102408729;57197610794</t>
  </si>
  <si>
    <t>Bunting, C. A.;Carolan, P. G.;Field, A. R.;Forrest, M. J.</t>
  </si>
  <si>
    <t>Oxfordshire</t>
  </si>
  <si>
    <t>Euratom Ukaea Fusion Association</t>
  </si>
  <si>
    <t>Bunting C.A.</t>
  </si>
  <si>
    <t>Spectroscopy of plasmas with a multifiber commutator</t>
  </si>
  <si>
    <t>10.1063/1.1138775</t>
  </si>
  <si>
    <t>2-s2.0-36549098959</t>
  </si>
  <si>
    <t>758-759</t>
  </si>
  <si>
    <t>Bacon, Jonathan</t>
  </si>
  <si>
    <t>Brighton</t>
  </si>
  <si>
    <t>University of Sussex</t>
  </si>
  <si>
    <t>Insect pheromones: Beauty is in the antennae of the beholder</t>
  </si>
  <si>
    <t>10.1038/323758a0</t>
  </si>
  <si>
    <t>2-s2.0-36849142605</t>
  </si>
  <si>
    <t>['ten events', 'stars coalesce', 'hubble constant', 'easily identified', 'decaying orbit', 'absolute distance']</t>
  </si>
  <si>
    <t>I report here how gravitational wave observations can be used to determine the Hubble constant, H0. The nearly monochromatic gravitational waves emitted by the decaying orbit of an ultra-compact, two-neutron-star binary system just before the stars coalesce are very likely to be detected by the kilometre-sized interferometric gravitational wave antennas now being designed1-4. The signal is easily identified and contains enough information to determine the absolute distance to the binary, independently of any assumptions about the masses of the stars. Ten events out to 100 Mpc may suffice to measure the Hubble constant to 3% accuracy. ¬© 1986 Nature Publishing Group.</t>
  </si>
  <si>
    <t>310-311</t>
  </si>
  <si>
    <t>Schutz, Bernard F.</t>
  </si>
  <si>
    <t>Cardiff</t>
  </si>
  <si>
    <t>Cardiff University</t>
  </si>
  <si>
    <t>Schutz B.</t>
  </si>
  <si>
    <t>Determining the Hubble constant from gravitational wave observations</t>
  </si>
  <si>
    <t>10.1038/323310a0</t>
  </si>
  <si>
    <t>2-s2.0-36849148681</t>
  </si>
  <si>
    <t>['three antennae', 'temperatures reached', 'sawtooth activity', 'radial position', 'power level', 'one observed', 'ohmic phase', 'nbi ).', 'latter started', 'large increases', 'initial results', 'icrf power', 'icrf heating', 'hydrogen injection', 'february 1986', 'central temperatures', 'also shown', '7 mw', '6 mw']</t>
  </si>
  <si>
    <t>Additional plasma heating | Joint european torus | Plasma | Thermonuclear fusion research | Tokamaks</t>
  </si>
  <si>
    <t>Heating the JET plasma well above temperatures reached in the ohmic phase is the aim of the two additional heating systems planned for JET: ion cyclotron resonance heating (ICRF) and neutral beam injection (NBI). Operations with the latter started in February 1986, initially with hydrogen injection, up to a power level of 7 MW. ICRF power has been delivered to the plasma by three antennae and has reached power levels of 6 MW for 2 s. In most experiments, the frequency of the waves is adjusted to position the minority ion resonance layer close to the centre of the discharge, resulting in a centrally peaked power deposition profile. Results have also shown that the increase of the volume averaged electron temperature was much less dependent on the radial position of the ion resonance layer than were the central temperatures of both ions and electrons which can both approach 5 keV. In cases of 'on axis' heating, large increases in the sawtooth activity is observed with sawtooth periods exceeding 0.3 s. Initial results with NBI have shown a decrease of the global energy confinement time with additional power similar to the one observed with ICRF heating.</t>
  </si>
  <si>
    <t>1211-1223</t>
  </si>
  <si>
    <t>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t>
  </si>
  <si>
    <t>24082215600;7101732885;57199165667;6507765800;7202591076;7201648276;7006933165;7003283433;24082229900;57214366548;7102660576;7004869489;24082368800;55942837500;7102777093;7006668206;6603936866;24082276100;6508140817;6603620704;7101932604;6602614264;7006088731;57212335886;7102781542;24082335400;6508100881;6603612309;7404497658;6602396986;57197468616;7004163618;24082416500;57216144819;6504508537;6603478494;6505930664;7005140549;57215925146;7004773970;6602308137;22991444600;7003696773;7102792905;7401555523;6701655449;7004516874;25942069200;7006832103;7004039683;6506877375;6603306814;6507154639;6701368283;57212709240;56219593900;6505457921;57197639087;7003360842;55183251400;7004301765;57214479515;57215996802;36979951600;7006134272;57205926335;6701787813;7202634112;57200265110;57199134976;24082324800;24082374000;7202218741;57200593554;7004122122;24082346500;6602650591;6701608996;6602949949;7102804545;24082300100;6603836077;6602394237;6507043897;24082435500;22966773900;7201801766;24082133900;6701846198;6602339687;7004524370;7003813118;7401824741;24082280500;6507472028;7004278406;7101984372;35459336300</t>
  </si>
  <si>
    <t>Ainsworth, A.;Altmann, H.;Anderson, R. J.;Arbez, J.;Bartlett, D.;Bailey, W.;Behringer, K.;Bertolini, E.;Bertoldi, P.;Best, C. H.;Bhatnagar, V.;Bickerton, R. J.;Boissin, G.;Bonicelli, T.;Booth, S.;Boschi, A.;Bosia, G.;Botman, M.;Brelen, H.;Brinkschulte, H.;Browne, M. L.;Brusati, M.;Budd, T.;Bures, M.;Butcher, P.;Buttgereit, H.;Cacaut, D.;Caldwell-Nichols, C.;Campbell, D.;Carwardine, J.;Celentano, G.;Challis, C. D.;Cheetman, A.;Christiansen, J.;Christodoulopoulos, C.;Chuilon, P.;Claesen, R.;Coad, J. P.;Cooke, M.;Cordey, J. G.;Core, W.;Corti, S.;Costley, A. E.;Cottrell, G.;Dean, J.;Deksnis, E.;Deschamps, G.;Dietz, K. J.;Dobbing, J.;Dorling, S. E.;Duechs, D. F.;Duesing, G.;Duquenoy, H.;De Kock, L.;Edwards, A.;Engelhardt, W.;Erhorn, F.;Eriksson, B.;Falter, H.;Hellsten, T.;Hemmerich, J. L.;Hemsworth, R.;Hendriks, F.;Herzog, R. F.;Horton, L.;How, J.;Huart, M.;Hubbard, A.;Hugon, M.;Jones, P.;Kaeline, J.;Kaellne, A.;Kaye, A.;Keen, B. E.;Keilhacker, M.;Kinahan, G.;Konstantellos, A.;Kupschus, P.;Lallia, P.;Last, J. R.;Foden, N.;Froger, C.;Fullard, K.;Galetsas, A.;Gallacher, A.;Gibson, A.;Gill, R. D.;Geode, A.;Gondhalekar, A.;Gottardi, N. A.;Gowers, C.;Granetz, R.;Green, B.;Gregoli, S.;Griph, F. S.;Haange, R.;Hancock, C. J.;Harbour, P.</t>
  </si>
  <si>
    <t>Ainsworth A.</t>
  </si>
  <si>
    <t>Plasma heating in JET</t>
  </si>
  <si>
    <t>10.1088/0741-3335/28/9A/002</t>
  </si>
  <si>
    <t>2-s2.0-42549173233</t>
  </si>
  <si>
    <t>['unwanted radiation', 'somewhat lower', 'measured performance', 'macor ).', 'emission spectra', 'dump shows', 'calculated results', 'additional reflection']</t>
  </si>
  <si>
    <t>Compact, vacuum-compatible submillimeter viewing dumps, whose design parameters were based on the results of simple ray calculations, have been fabricated from Pyrex, Macor, and alumina. The measured performance of the dumps agrees qualitatively with calculated results. The absorption is somewhat lower than expected, but still acceptable (‚â•99% absorption for Pyrex and Macor). In an electron cyclotron plasma emission experiment on Alcator C tokamak, comparison of the emission spectra with and without the dump shows that the dump in this configuration is effective in suppressing the unwanted radiation by approximately 90%. The additional reflection is believed to be due to a portion of the antenna pattern missing the dump.</t>
  </si>
  <si>
    <t>1242-1247</t>
  </si>
  <si>
    <t>8422934300;57203254283</t>
  </si>
  <si>
    <t>Kato, K.;Hutchinson, I. H.</t>
  </si>
  <si>
    <t>Kato K.</t>
  </si>
  <si>
    <t>Design and performance of compact vacuum-compatible submillimeter viewing dumps</t>
  </si>
  <si>
    <t>10.1063/1.1138635</t>
  </si>
  <si>
    <t>2-s2.0-4344682688</t>
  </si>
  <si>
    <t>['¬© 1987', 'voltage sensor', 'reversible compression', 'polyene chain', 'membrane potential', 'liposomes depends', 'combination scatter', 'biological membranes']</t>
  </si>
  <si>
    <t>Spectroscopy of combination scatter has established that the conformation of Œ≤-carotene incorporated into the liposomes depends on the membrane potential. Reversible compression of the polyene chain of the Œ≤-carotene molecule is observed on exposure to K+ and Ca2+ ionophores. It is concluded that the ability we found of the carotenoids to change the conformation on exposure to a membrane potential may serve as the basis for the functioning of the carotenoids as an "antenna" or "voltage sensor" of biological membranes. ¬© 1987.</t>
  </si>
  <si>
    <t>499-502</t>
  </si>
  <si>
    <t>Biophysics</t>
  </si>
  <si>
    <t>60007457;60007457;60007457;60007457</t>
  </si>
  <si>
    <t>7101648122;6603881961;7006100108;24446372300</t>
  </si>
  <si>
    <t>Maksimov, G. V.;Churin, A. A.;Pashchenko, V. Z.;Rubin, A. B.</t>
  </si>
  <si>
    <t>Maksimov G.</t>
  </si>
  <si>
    <t>Study of the potential dependent changes in the conformation of the Œ≤-carotene molecule using spectroscopy of combination scatter</t>
  </si>
  <si>
    <t>2-s2.0-46149138608</t>
  </si>
  <si>
    <t>['two antennae', 'quadrupole antenna', 'observed according', 'energy confinement', 'discussed using', 'central temperatures', '5 mw', '5 kev', '3 mj', '10 mj']</t>
  </si>
  <si>
    <t>Confinement | Deposition | Energy | ICRH | JET | Plasma Heating | Tokamak</t>
  </si>
  <si>
    <t>Two antennae have been installed in JET and operated to the maximum design capability of the generators. 4.5 MW, 10 MJ have been coupled to the plasma which heated up to a maximum stored energy of 3 MJ with central temperatures of Te0=5 keV and Ti0=4 keV without increase of the relative impurity concentration. Degradation of energy confinement is observed according to an L mode scaling. The effect of k/sub //// shaping is discussed using a quadrupole antenna. Hydrogen and helium 3 minority heating regimes give similar results.</t>
  </si>
  <si>
    <t>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60025104</t>
  </si>
  <si>
    <t>7005524697;57199165667;6507765800;7202591076;57224804682;7006933165;7003283433;7102660576;55942837500;6603936866;6603620704;7101932604;6602614264;57212335886;7404497658;57216144819;6504508537;6603478494;6505930664;7005140549;7004773970;22991444600;7003696773;7102792905;6602722340;25942069200;57225744903;7003491523;57197639087;9272131300;6602394237;6602471891;7201801766;6602339687;7401824741;7004205984;34770634700;7003475833;7004301765;7007064308;8624136400;7404237364;7202218741;7404269925;22992042200;6701368283;57216097363;6602949949;7102804545;7005907594;7003385770;22967753200;57216046557;57225349964;7006023680;7201778122;7003379610;7402394752;6506620809;7101741406;7801450819;6603142782;6603867912;22994327700;7005152182;6603919164;22994489000;57201345596;6603348651;7003802749;6701751243;7005377624;6602131241;35426571000;7202427847;6603893101;6603775337;57199472012;57202148215;6701379838;7003483247;6603144490;22636386900;7103355564;57213037536</t>
  </si>
  <si>
    <t>Jacquinot, J.;Anderson, R. J.;Arbez, J.;Bartlett, D.;Beaumont, B.;Behringer, K.;Bertolini, E.;Bhatnagar, V. P.;Bonicelli, T.;Bosia, G. F.;Brinkschulte, H. W.;Browne, M. L.;Brusati, M.;Bures, M.;Campbell, D.;Christiansen, J. P.;Christodoulopoulos, C. O.A.;Chuilon, P.;Claesen, R.;Coad, J. P.;Cordey, J. G.;Corti, S.;Costley, A.;Cottrell, G.;Denne, B.;Dietz, K.;Ejima, S.;Erents, S. K.;Eriksson, B. T.;Evrard, M.;Fullard, K.;Gambier, D.;Gill, R. D.;Gottardi, N.;Green, B.;Grosso, G.;Hawkes, N. C.;Hellsten, T.;Hemmerich, J. L.;Huguet, M.;Jarvis, O. N.;Jones, E.;Kaye, A. S.;Kimura, H.;De Kock, J.;De Kock, L.;Krause, H.;Lallia, P. P.;Last, J.;Lazzaro, E.;Lomas, P. J.;Magyar, G.;Mansfield, M.;Marchese, V.;Mast, F. K.;McCracken, G. M.;Mondino, P.;Morgan, P.;Niestadt, R. M.;O'Rourke, J.;Piekaar, H.;Plancoulaine, J.;Rebut, P. H.;Rhoden, G.;Sadler, G.;Sand, F.;Santaquistina, A.;Schmid, M. S.;Schueller, F.;Segre, S.;Sibley, A.;Stamp, M. F.;Steed, C. A.;Stott, P. E.;Summers, D.;Tanga, A.;Tagle, J. A.;Thomas, P. R.;Thomsen, K.;Tubbing, B. J.D.;Valisa, M.;Van Der Beken, H.;Watkins, M.;Wade, T. J.;Walker, C. I.</t>
  </si>
  <si>
    <t>Jacquinot J.</t>
  </si>
  <si>
    <t>ICRF studies on JET</t>
  </si>
  <si>
    <t>10.1088/0741-3335/28/1A/002</t>
  </si>
  <si>
    <t>2-s2.0-5544291430</t>
  </si>
  <si>
    <t>['simplified ways', 'plasma midplane', 'obtain two', 'magnetic axis', 'large tokamaks', 'experimental observations', 'dimensional approaches', 'dimensional approach', '0 intersects']</t>
  </si>
  <si>
    <t>The relevance of one- and two-dimensional approaches to two-ion mode conversion in Tokamaks is discussed, in view of experimental observations in Tokamaks using laser or microwave scattering techniques. The problem of evaluation of the condition for fast wave resonance in the two-dimensional approach is analysed. Simplified ways to find the mode conversion surfaces when they exist are presented. Also for large Tokamaks, it is possible to obtain two-ion mode conversion for realistic antenna spectra, provided ion species concentration and frequency are chosen such that the surface S=0 intersects the plasma midplane just outside of the magnetic axis.</t>
  </si>
  <si>
    <t>1483-1498</t>
  </si>
  <si>
    <t>Tennfors, E.</t>
  </si>
  <si>
    <t>Stockholm</t>
  </si>
  <si>
    <t>The Royal Institute of Technology (KTH)</t>
  </si>
  <si>
    <t>Tennfors E.</t>
  </si>
  <si>
    <t>Two-ion ICRF heating in Tokamaks</t>
  </si>
  <si>
    <t>10.1088/0741-3335/28/9B/004</t>
  </si>
  <si>
    <t>2-s2.0-5844238896</t>
  </si>
  <si>
    <t>DMB-8505492</t>
  </si>
  <si>
    <t>['¬© 1986', 'wavelength absorption', 'two groups', 'triton x', 'results suggest', 'membrane structure', 'isolated b800', 'intact chromatophore', 'first example', 'emission spectra', 'dependent changes', 'circular dichroism', 'chromatium tepidum', 'b917 ).', 'antenna complexes', 'antenna complex', 'absorption irreversibly', 'absorb maximally', '917 nm', '855 nm', '855 complex', '855 ).', '800 nm', '4 ].']</t>
  </si>
  <si>
    <t>(C. tepidum) | Bacterial photosynthesis | Bacteriochlorophyll | Chlorophyll-protein complex | Chromatophore</t>
  </si>
  <si>
    <t>The chromatophore of a novel thermophilic purple photosynthetic bacterium, Chromatium tepidum, had light-harvesting BChl proteins which gave absorption maxima at 917, 855 and 800 nm at 20¬∞C. These antenna complexes were found to have BChl of the a type [4]. This is, therefore, the first example of a BChl a antenna complex which shows a long-wavelength absorption up to 917 nm. Treatment by Triton X-100 and successive sodium dodecyl sulfate polyacrylamide gel electrophoresis separated these antenna complexes into two groups. One of them has one antenna component which absorbs around 917 nm (B917). The other contains at least an antennae which absorb maximally at 800 and 855 nm (B800-855). The temperature-dependent changes of absorption, circular dichroism and emission spectra were reversible up to 70¬∞C in the intact chromatophore and in the isolated B800-855 complex. On the contrary, the isolated complex B917 lost its absorption irreversibly over the temperature of 50¬∞C. These results suggest a membrane structure which is essential for the thermostability of chromatophores from C. tepidum. ¬© 1986.</t>
  </si>
  <si>
    <t>191-197</t>
  </si>
  <si>
    <t>60008435;60008435;60008435;60029472</t>
  </si>
  <si>
    <t>7103347251;7006435243;7202179625;7005169480</t>
  </si>
  <si>
    <t>Nozawa, Tsunenori;Fukada, Taisei;Hatano, Masahiro;Madigan, Michael T.</t>
  </si>
  <si>
    <t>Carbondale;Sendai</t>
  </si>
  <si>
    <t>Southern Illinois University Carbondale;Tohoku University</t>
  </si>
  <si>
    <t>60029472;60008435</t>
  </si>
  <si>
    <t>Nozawa T.</t>
  </si>
  <si>
    <t>Organization of intracytoplasmic membranes in a novel thermophilic purple photosynthetic bacterium as revealed by absorption, circular dichroism and emission spectra</t>
  </si>
  <si>
    <t>10.1016/0005-2728(86)90223-9</t>
  </si>
  <si>
    <t>2-s2.0-0041343584</t>
  </si>
  <si>
    <t>['¬© 1986', 'tetraselmis suecica', 'skeletonema costatum', 'restrained larvae', 'l .)', 'grev .)', 'beat frequency']</t>
  </si>
  <si>
    <t>Balanus balanoides | Elminius modestus | Feeding | Limb movements | Nauplii</t>
  </si>
  <si>
    <t>The limb beat movements of Balanus (= Semibalanus) balanoides (L.) and Elminius modestus Darwin nauplii were used to study the response of the larvae to patches of microalgae. Observations were made on restrained larvae in relatively large volumes of flowing sea water. The behaviour of the larvae was recorded on video-tape and analysed, frame-by-frame, after the experiment. It was found that the volume through which the antennae moved (= swept volume; a combination of antennal surface area, beat frequency, amplitude and percentage of time spent swimming) in a minute was increased, for both species, in the presence of microalgae. The response was evoked by Skeletonema costatum (Grev.) Cleve and Tetraselmis suecica (Kylin) Butcher at temperatures of 10-20¬∞C. The swept volume rose with increasing algal concentration to a plateau, at concentrations above 100 cells¬∑Œºl-1,‚âà50% higher than the values obtained without algae. ¬© 1986.</t>
  </si>
  <si>
    <t>119-129</t>
  </si>
  <si>
    <t>Yule, A. B.</t>
  </si>
  <si>
    <t>Yule A.</t>
  </si>
  <si>
    <t>Changes in the limb beat movements of barnacle nauplii in the presence of food organisms</t>
  </si>
  <si>
    <t>0022-0981(86)90136-X</t>
  </si>
  <si>
    <t>10.1016/0022-0981(86)90136-X</t>
  </si>
  <si>
    <t>2-s2.0-38249040642</t>
  </si>
  <si>
    <t>GM 33219</t>
  </si>
  <si>
    <t>['¬© 1986', 'two types', 'normally expressed', 'head development', 'gene causes', 'foreign gene', 'dominant allele', 'developmental replacement', 'coding region', 'cell identity', 'antp transcription', 'another gene', 'abnormal location', 'abnormal activation']</t>
  </si>
  <si>
    <t>Mutations in Drosophila homeotic genes lead to the developmental replacement of one normal body part by another. We have examined the mechanism by which a dominant allele of the Antennapedia (Antp) gene causes the antennae to be replaced by legs. Normal Antp gene activity is required for thoracic but not for head development. We demonstrate that the Antp73b inversion mutation results in Antp transcription in the head. Antp transcripts found in this abnormal location are of two types: normal-sized Antp RNAs and fusion RNAs joining Antp exons (including the protein-coding region) to 5‚Ä≤ exons from another gene. This foreign gene is normally expressed in the head, suggesting the cause for abnormal activation of Antp. The result is a change of cell identity from head to thorax. ¬© 1986.</t>
  </si>
  <si>
    <t>1017-1023</t>
  </si>
  <si>
    <t>Cell</t>
  </si>
  <si>
    <t>60015481;60013234;60015481</t>
  </si>
  <si>
    <t>36852414800;57201312928;17137010700</t>
  </si>
  <si>
    <t>Frischer, Lauren E.;Hagen, Frederick S.;Garber, Richard L.</t>
  </si>
  <si>
    <t>Seattle;Seattle</t>
  </si>
  <si>
    <t>University of Washington;ZymoGenetics, Inc.</t>
  </si>
  <si>
    <t>60015481;60013234</t>
  </si>
  <si>
    <t>Frischer L.</t>
  </si>
  <si>
    <t>An inversion that disrupts the Antennapedia gene causes abnormal structure and localization of RNAs</t>
  </si>
  <si>
    <t>0092-8674(86)90816-0</t>
  </si>
  <si>
    <t>10.1016/0092-8674(86)90816-0</t>
  </si>
  <si>
    <t>2-s2.0-0022893836</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</si>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</sst>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8" fontId="0" fillId="0" borderId="0" xfId="0" applyNumberForma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87"/>
      <sheetName val="1989"/>
      <sheetName val="1988"/>
      <sheetName val="1990"/>
      <sheetName val="1991"/>
      <sheetName val="1992"/>
      <sheetName val="1993"/>
      <sheetName val="1994"/>
      <sheetName val="199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04B7F-F18F-CA46-B572-694E3E3E0848}">
  <dimension ref="A1:AW176"/>
  <sheetViews>
    <sheetView tabSelected="1" topLeftCell="AB1" workbookViewId="0">
      <selection activeCell="AI11" sqref="AI11"/>
    </sheetView>
  </sheetViews>
  <sheetFormatPr baseColWidth="10" defaultRowHeight="16" x14ac:dyDescent="0.2"/>
  <sheetData>
    <row r="1" spans="1:49" s="13" customFormat="1" x14ac:dyDescent="0.2">
      <c r="A1" s="16"/>
      <c r="B1" s="16" t="s">
        <v>1827</v>
      </c>
      <c r="C1" s="16" t="s">
        <v>1826</v>
      </c>
      <c r="D1" s="16" t="s">
        <v>1825</v>
      </c>
      <c r="E1" s="16" t="s">
        <v>1824</v>
      </c>
      <c r="F1" s="16" t="s">
        <v>1823</v>
      </c>
      <c r="G1" s="16" t="s">
        <v>1822</v>
      </c>
      <c r="H1" s="16" t="s">
        <v>1821</v>
      </c>
      <c r="I1" s="16" t="s">
        <v>1820</v>
      </c>
      <c r="J1" s="16" t="s">
        <v>1819</v>
      </c>
      <c r="K1" s="16" t="s">
        <v>1818</v>
      </c>
      <c r="L1" s="16" t="s">
        <v>1817</v>
      </c>
      <c r="M1" s="16" t="s">
        <v>1816</v>
      </c>
      <c r="N1" s="16" t="s">
        <v>1815</v>
      </c>
      <c r="O1" s="16" t="s">
        <v>1814</v>
      </c>
      <c r="P1" s="16" t="s">
        <v>1813</v>
      </c>
      <c r="Q1" s="16" t="s">
        <v>1812</v>
      </c>
      <c r="R1" s="21" t="s">
        <v>1811</v>
      </c>
      <c r="S1" s="16" t="s">
        <v>1810</v>
      </c>
      <c r="T1" s="16" t="s">
        <v>1810</v>
      </c>
      <c r="U1" s="16" t="s">
        <v>1809</v>
      </c>
      <c r="V1" s="21" t="s">
        <v>1808</v>
      </c>
      <c r="W1" s="16" t="s">
        <v>1807</v>
      </c>
      <c r="X1" s="15" t="s">
        <v>1806</v>
      </c>
      <c r="Y1" s="20" t="s">
        <v>1805</v>
      </c>
      <c r="Z1" s="19" t="s">
        <v>1790</v>
      </c>
      <c r="AA1" s="16" t="s">
        <v>1804</v>
      </c>
      <c r="AB1" s="16" t="s">
        <v>1803</v>
      </c>
      <c r="AC1" s="16" t="s">
        <v>1802</v>
      </c>
      <c r="AD1" s="16" t="s">
        <v>1801</v>
      </c>
      <c r="AE1" s="16" t="s">
        <v>1800</v>
      </c>
      <c r="AF1" s="16" t="s">
        <v>1799</v>
      </c>
      <c r="AG1" s="16" t="s">
        <v>1798</v>
      </c>
      <c r="AH1" s="16" t="s">
        <v>1797</v>
      </c>
      <c r="AI1" s="16" t="s">
        <v>1796</v>
      </c>
      <c r="AJ1" s="16" t="s">
        <v>1795</v>
      </c>
      <c r="AK1" s="15" t="s">
        <v>1794</v>
      </c>
      <c r="AL1" s="16" t="s">
        <v>1793</v>
      </c>
      <c r="AM1" s="18" t="s">
        <v>1792</v>
      </c>
      <c r="AN1" s="17" t="s">
        <v>1791</v>
      </c>
      <c r="AO1" s="17" t="s">
        <v>1790</v>
      </c>
      <c r="AP1" s="16" t="s">
        <v>1789</v>
      </c>
      <c r="AQ1" s="16" t="s">
        <v>1788</v>
      </c>
      <c r="AR1" s="16" t="s">
        <v>1787</v>
      </c>
      <c r="AS1" s="16" t="s">
        <v>1786</v>
      </c>
      <c r="AT1" s="15" t="s">
        <v>1785</v>
      </c>
      <c r="AU1" s="14" t="s">
        <v>1784</v>
      </c>
      <c r="AV1" s="14" t="s">
        <v>1783</v>
      </c>
      <c r="AW1" s="14" t="s">
        <v>1782</v>
      </c>
    </row>
    <row r="2" spans="1:49" x14ac:dyDescent="0.2">
      <c r="A2">
        <v>0</v>
      </c>
      <c r="B2" t="s">
        <v>1781</v>
      </c>
      <c r="C2" t="s">
        <v>1780</v>
      </c>
      <c r="D2" t="s">
        <v>1779</v>
      </c>
      <c r="E2">
        <v>2430723</v>
      </c>
      <c r="F2" t="s">
        <v>1778</v>
      </c>
      <c r="G2" t="s">
        <v>4</v>
      </c>
      <c r="H2" t="s">
        <v>3</v>
      </c>
      <c r="I2" t="s">
        <v>1777</v>
      </c>
      <c r="J2" t="s">
        <v>1776</v>
      </c>
      <c r="K2" t="s">
        <v>1775</v>
      </c>
      <c r="L2" t="s">
        <v>1774</v>
      </c>
      <c r="M2" t="s">
        <v>42</v>
      </c>
      <c r="N2">
        <v>3</v>
      </c>
      <c r="O2" t="s">
        <v>1773</v>
      </c>
      <c r="P2" t="s">
        <v>1772</v>
      </c>
      <c r="Q2" t="s">
        <v>1771</v>
      </c>
      <c r="R2" s="7">
        <v>31772</v>
      </c>
      <c r="S2" s="8">
        <f t="shared" ref="S2:S65" si="0">YEAR(R2)</f>
        <v>1986</v>
      </c>
      <c r="T2" s="8">
        <v>1986</v>
      </c>
      <c r="U2" s="8">
        <f t="shared" ref="U2:U65" si="1">2022-T2</f>
        <v>36</v>
      </c>
      <c r="V2" s="7">
        <v>31772</v>
      </c>
      <c r="W2" t="s">
        <v>1770</v>
      </c>
      <c r="X2" s="2">
        <v>26.303999999999998</v>
      </c>
      <c r="Y2" s="6">
        <f t="shared" ref="Y2:Y65" si="2">(X2-$Z$4)/($Z$3-$Z$4)</f>
        <v>0.70217025706735003</v>
      </c>
      <c r="AA2">
        <v>928674</v>
      </c>
      <c r="AB2">
        <v>18434</v>
      </c>
      <c r="AD2" t="s">
        <v>2</v>
      </c>
      <c r="AE2">
        <v>47</v>
      </c>
      <c r="AF2">
        <v>6</v>
      </c>
      <c r="AH2" t="s">
        <v>1769</v>
      </c>
      <c r="AI2" t="s">
        <v>1768</v>
      </c>
      <c r="AK2" t="s">
        <v>1767</v>
      </c>
      <c r="AL2">
        <v>54</v>
      </c>
      <c r="AM2" s="5">
        <f t="shared" ref="AM2:AM65" si="3">AL2/U2</f>
        <v>1.5</v>
      </c>
      <c r="AN2" s="4">
        <f t="shared" ref="AN2:AN65" si="4">(AM2-$AO$4)/($AO$3-$AO$4)</f>
        <v>2.2718667171525938E-3</v>
      </c>
      <c r="AO2" s="3"/>
      <c r="AP2">
        <v>0</v>
      </c>
      <c r="AQ2" t="s">
        <v>123</v>
      </c>
      <c r="AR2" t="s">
        <v>1766</v>
      </c>
      <c r="AS2" t="s">
        <v>122</v>
      </c>
      <c r="AT2" s="2">
        <v>41.582000000000001</v>
      </c>
      <c r="AU2" s="1">
        <f t="shared" ref="AU2:AU65" si="5">(Y2*0.7+AN2*0.3)*100</f>
        <v>49.220073996229083</v>
      </c>
      <c r="AV2" s="1">
        <f t="shared" ref="AV2:AV65" si="6">(Y2*0.5+AN2*0.5)*100</f>
        <v>35.22210618922513</v>
      </c>
      <c r="AW2" s="1">
        <f t="shared" ref="AW2:AW65" si="7">(Y2*0.3+AN2*0.7)*100</f>
        <v>21.224138382221184</v>
      </c>
    </row>
    <row r="3" spans="1:49" x14ac:dyDescent="0.2">
      <c r="A3">
        <v>1</v>
      </c>
      <c r="B3" t="s">
        <v>1765</v>
      </c>
      <c r="C3" t="s">
        <v>1764</v>
      </c>
      <c r="D3" t="s">
        <v>1763</v>
      </c>
      <c r="F3" t="s">
        <v>1762</v>
      </c>
      <c r="G3" t="s">
        <v>4</v>
      </c>
      <c r="H3" t="s">
        <v>3</v>
      </c>
      <c r="I3" t="s">
        <v>1761</v>
      </c>
      <c r="J3">
        <v>60025779</v>
      </c>
      <c r="K3" t="s">
        <v>100</v>
      </c>
      <c r="L3" t="s">
        <v>99</v>
      </c>
      <c r="M3" t="s">
        <v>38</v>
      </c>
      <c r="N3">
        <v>1</v>
      </c>
      <c r="O3" t="s">
        <v>1760</v>
      </c>
      <c r="P3">
        <v>7005965987</v>
      </c>
      <c r="Q3">
        <v>60025779</v>
      </c>
      <c r="R3" s="7">
        <v>31762</v>
      </c>
      <c r="S3" s="8">
        <f t="shared" si="0"/>
        <v>1986</v>
      </c>
      <c r="T3" s="8">
        <v>1986</v>
      </c>
      <c r="U3" s="8">
        <f t="shared" si="1"/>
        <v>36</v>
      </c>
      <c r="V3" s="7">
        <v>31762</v>
      </c>
      <c r="W3" t="s">
        <v>825</v>
      </c>
      <c r="X3" s="2">
        <v>0.96499999999999997</v>
      </c>
      <c r="Y3" s="6">
        <f t="shared" si="2"/>
        <v>2.5760123862149969E-2</v>
      </c>
      <c r="Z3">
        <v>37.460999999999999</v>
      </c>
      <c r="AA3">
        <v>220981</v>
      </c>
      <c r="AB3">
        <v>29606</v>
      </c>
      <c r="AD3" t="s">
        <v>2</v>
      </c>
      <c r="AE3">
        <v>103</v>
      </c>
      <c r="AF3" s="9">
        <v>44256</v>
      </c>
      <c r="AH3" t="s">
        <v>1759</v>
      </c>
      <c r="AI3" t="s">
        <v>1758</v>
      </c>
      <c r="AJ3" t="s">
        <v>1757</v>
      </c>
      <c r="AK3" t="s">
        <v>1756</v>
      </c>
      <c r="AL3">
        <v>8</v>
      </c>
      <c r="AM3" s="5">
        <f t="shared" si="3"/>
        <v>0.22222222222222221</v>
      </c>
      <c r="AN3" s="4">
        <f t="shared" si="4"/>
        <v>3.365728469855694E-4</v>
      </c>
      <c r="AO3" s="3">
        <v>660.25</v>
      </c>
      <c r="AP3">
        <v>0</v>
      </c>
      <c r="AR3" t="s">
        <v>1</v>
      </c>
      <c r="AT3" s="2" t="s">
        <v>0</v>
      </c>
      <c r="AU3" s="1">
        <f t="shared" si="5"/>
        <v>1.8133058557600648</v>
      </c>
      <c r="AV3" s="1">
        <f t="shared" si="6"/>
        <v>1.3048348354567769</v>
      </c>
      <c r="AW3" s="1">
        <f t="shared" si="7"/>
        <v>0.79636381515348886</v>
      </c>
    </row>
    <row r="4" spans="1:49" x14ac:dyDescent="0.2">
      <c r="A4">
        <v>2</v>
      </c>
      <c r="B4" t="s">
        <v>1755</v>
      </c>
      <c r="C4" t="s">
        <v>1754</v>
      </c>
      <c r="D4">
        <v>5272886902239</v>
      </c>
      <c r="F4" t="s">
        <v>1753</v>
      </c>
      <c r="G4" t="s">
        <v>4</v>
      </c>
      <c r="H4" t="s">
        <v>3</v>
      </c>
      <c r="I4" t="s">
        <v>1752</v>
      </c>
      <c r="J4" t="s">
        <v>1751</v>
      </c>
      <c r="K4" t="s">
        <v>1750</v>
      </c>
      <c r="L4" t="s">
        <v>1749</v>
      </c>
      <c r="M4" t="s">
        <v>109</v>
      </c>
      <c r="N4">
        <v>4</v>
      </c>
      <c r="O4" t="s">
        <v>1748</v>
      </c>
      <c r="P4" t="s">
        <v>1747</v>
      </c>
      <c r="Q4" t="s">
        <v>1746</v>
      </c>
      <c r="R4" s="7">
        <v>31749</v>
      </c>
      <c r="S4" s="8">
        <f t="shared" si="0"/>
        <v>1986</v>
      </c>
      <c r="T4" s="8">
        <v>1986</v>
      </c>
      <c r="U4" s="8">
        <f t="shared" si="1"/>
        <v>36</v>
      </c>
      <c r="V4" s="7">
        <v>31749</v>
      </c>
      <c r="W4" t="s">
        <v>142</v>
      </c>
      <c r="X4" s="2">
        <v>1.59</v>
      </c>
      <c r="Y4" s="6">
        <f t="shared" si="2"/>
        <v>4.2444141907583888E-2</v>
      </c>
      <c r="Z4">
        <v>0</v>
      </c>
      <c r="AA4">
        <v>52728</v>
      </c>
      <c r="AB4">
        <v>16791</v>
      </c>
      <c r="AD4" t="s">
        <v>2</v>
      </c>
      <c r="AE4">
        <v>852</v>
      </c>
      <c r="AF4" s="9">
        <v>44257</v>
      </c>
      <c r="AH4" t="s">
        <v>1745</v>
      </c>
      <c r="AI4" t="s">
        <v>1744</v>
      </c>
      <c r="AJ4" t="s">
        <v>1743</v>
      </c>
      <c r="AK4" t="s">
        <v>1742</v>
      </c>
      <c r="AL4">
        <v>33</v>
      </c>
      <c r="AM4" s="5">
        <f t="shared" si="3"/>
        <v>0.91666666666666663</v>
      </c>
      <c r="AN4" s="4">
        <f t="shared" si="4"/>
        <v>1.3883629938154739E-3</v>
      </c>
      <c r="AO4" s="3">
        <v>0</v>
      </c>
      <c r="AP4">
        <v>0</v>
      </c>
      <c r="AQ4" t="s">
        <v>96</v>
      </c>
      <c r="AR4" t="s">
        <v>1741</v>
      </c>
      <c r="AS4" t="s">
        <v>95</v>
      </c>
      <c r="AT4" s="2" t="s">
        <v>0</v>
      </c>
      <c r="AU4" s="1">
        <f t="shared" si="5"/>
        <v>3.0127408233453363</v>
      </c>
      <c r="AV4" s="1">
        <f t="shared" si="6"/>
        <v>2.191625245069968</v>
      </c>
      <c r="AW4" s="1">
        <f t="shared" si="7"/>
        <v>1.3705096667945997</v>
      </c>
    </row>
    <row r="5" spans="1:49" x14ac:dyDescent="0.2">
      <c r="A5">
        <v>3</v>
      </c>
      <c r="B5" t="s">
        <v>1740</v>
      </c>
      <c r="C5" t="s">
        <v>1739</v>
      </c>
      <c r="F5" t="s">
        <v>1738</v>
      </c>
      <c r="G5" t="s">
        <v>4</v>
      </c>
      <c r="H5" t="s">
        <v>3</v>
      </c>
      <c r="I5" t="s">
        <v>1737</v>
      </c>
      <c r="J5">
        <v>60002014</v>
      </c>
      <c r="K5" t="s">
        <v>1736</v>
      </c>
      <c r="L5" t="s">
        <v>1735</v>
      </c>
      <c r="M5" t="s">
        <v>102</v>
      </c>
      <c r="N5">
        <v>1</v>
      </c>
      <c r="O5" t="s">
        <v>1734</v>
      </c>
      <c r="P5">
        <v>6603189332</v>
      </c>
      <c r="Q5">
        <v>60002014</v>
      </c>
      <c r="R5" s="7">
        <v>31747</v>
      </c>
      <c r="S5" s="8">
        <f t="shared" si="0"/>
        <v>1986</v>
      </c>
      <c r="T5" s="8">
        <v>1986</v>
      </c>
      <c r="U5" s="8">
        <f t="shared" si="1"/>
        <v>36</v>
      </c>
      <c r="V5" s="7">
        <v>1986</v>
      </c>
      <c r="W5" t="s">
        <v>1601</v>
      </c>
      <c r="X5" s="2">
        <v>1.3280000000000001</v>
      </c>
      <c r="Y5" s="6">
        <f t="shared" si="2"/>
        <v>3.5450201542937994E-2</v>
      </c>
      <c r="AA5">
        <v>7413335</v>
      </c>
      <c r="AB5">
        <v>29251</v>
      </c>
      <c r="AD5" t="s">
        <v>2</v>
      </c>
      <c r="AE5">
        <v>28</v>
      </c>
      <c r="AF5" t="s">
        <v>1621</v>
      </c>
      <c r="AG5">
        <v>4</v>
      </c>
      <c r="AH5" t="s">
        <v>1733</v>
      </c>
      <c r="AI5" t="s">
        <v>1732</v>
      </c>
      <c r="AK5" t="s">
        <v>1731</v>
      </c>
      <c r="AL5">
        <v>4</v>
      </c>
      <c r="AM5" s="5">
        <f t="shared" si="3"/>
        <v>0.1111111111111111</v>
      </c>
      <c r="AN5" s="4">
        <f t="shared" si="4"/>
        <v>1.682864234927847E-4</v>
      </c>
      <c r="AO5" s="3"/>
      <c r="AP5">
        <v>0</v>
      </c>
      <c r="AR5" t="s">
        <v>1</v>
      </c>
      <c r="AT5" s="2">
        <v>2.4580000000000002</v>
      </c>
      <c r="AU5" s="1">
        <f t="shared" si="5"/>
        <v>2.4865627007104427</v>
      </c>
      <c r="AV5" s="1">
        <f t="shared" si="6"/>
        <v>1.780924398321539</v>
      </c>
      <c r="AW5" s="1">
        <f t="shared" si="7"/>
        <v>1.0752860959326347</v>
      </c>
    </row>
    <row r="6" spans="1:49" x14ac:dyDescent="0.2">
      <c r="A6">
        <v>4</v>
      </c>
      <c r="B6" t="s">
        <v>1730</v>
      </c>
      <c r="C6" t="s">
        <v>1729</v>
      </c>
      <c r="F6" t="s">
        <v>1728</v>
      </c>
      <c r="G6" t="s">
        <v>4</v>
      </c>
      <c r="H6" t="s">
        <v>3</v>
      </c>
      <c r="I6" t="s">
        <v>1727</v>
      </c>
      <c r="J6">
        <v>60025104</v>
      </c>
      <c r="K6" t="s">
        <v>111</v>
      </c>
      <c r="M6" t="s">
        <v>38</v>
      </c>
      <c r="N6">
        <v>85</v>
      </c>
      <c r="O6" t="s">
        <v>1726</v>
      </c>
      <c r="P6" t="s">
        <v>1725</v>
      </c>
      <c r="Q6" t="s">
        <v>1724</v>
      </c>
      <c r="R6" s="7">
        <v>31747</v>
      </c>
      <c r="S6" s="8">
        <f t="shared" si="0"/>
        <v>1986</v>
      </c>
      <c r="T6" s="8">
        <v>1986</v>
      </c>
      <c r="U6" s="8">
        <f t="shared" si="1"/>
        <v>36</v>
      </c>
      <c r="V6" s="7">
        <v>1986</v>
      </c>
      <c r="W6" t="s">
        <v>1601</v>
      </c>
      <c r="X6" s="2">
        <v>1.3280000000000001</v>
      </c>
      <c r="Y6" s="6">
        <f t="shared" si="2"/>
        <v>3.5450201542937994E-2</v>
      </c>
      <c r="AA6">
        <v>7413335</v>
      </c>
      <c r="AB6">
        <v>29251</v>
      </c>
      <c r="AD6" t="s">
        <v>2</v>
      </c>
      <c r="AE6">
        <v>28</v>
      </c>
      <c r="AF6" s="12">
        <v>4.1666666666666664E-2</v>
      </c>
      <c r="AG6">
        <v>2</v>
      </c>
      <c r="AH6" s="10">
        <v>42005</v>
      </c>
      <c r="AI6" t="s">
        <v>1723</v>
      </c>
      <c r="AJ6" t="s">
        <v>1722</v>
      </c>
      <c r="AK6" t="s">
        <v>1721</v>
      </c>
      <c r="AL6">
        <v>20</v>
      </c>
      <c r="AM6" s="5">
        <f t="shared" si="3"/>
        <v>0.55555555555555558</v>
      </c>
      <c r="AN6" s="4">
        <f t="shared" si="4"/>
        <v>8.414321174639236E-4</v>
      </c>
      <c r="AO6" s="3"/>
      <c r="AP6">
        <v>0</v>
      </c>
      <c r="AR6" t="s">
        <v>1</v>
      </c>
      <c r="AT6" s="2">
        <v>2.4580000000000002</v>
      </c>
      <c r="AU6" s="1">
        <f t="shared" si="5"/>
        <v>2.5067570715295773</v>
      </c>
      <c r="AV6" s="1">
        <f t="shared" si="6"/>
        <v>1.8145816830200958</v>
      </c>
      <c r="AW6" s="1">
        <f t="shared" si="7"/>
        <v>1.1224062945106144</v>
      </c>
    </row>
    <row r="7" spans="1:49" x14ac:dyDescent="0.2">
      <c r="A7">
        <v>5</v>
      </c>
      <c r="B7" t="s">
        <v>1720</v>
      </c>
      <c r="D7">
        <v>6350986900645</v>
      </c>
      <c r="F7" t="s">
        <v>1719</v>
      </c>
      <c r="G7" t="s">
        <v>4</v>
      </c>
      <c r="H7" t="s">
        <v>3</v>
      </c>
      <c r="I7" t="s">
        <v>1718</v>
      </c>
      <c r="J7">
        <v>60007457</v>
      </c>
      <c r="K7" t="s">
        <v>143</v>
      </c>
      <c r="L7" t="s">
        <v>126</v>
      </c>
      <c r="M7" t="s">
        <v>89</v>
      </c>
      <c r="N7">
        <v>4</v>
      </c>
      <c r="O7" t="s">
        <v>1717</v>
      </c>
      <c r="P7" t="s">
        <v>1716</v>
      </c>
      <c r="Q7" t="s">
        <v>1715</v>
      </c>
      <c r="R7" s="7">
        <v>31747</v>
      </c>
      <c r="S7" s="8">
        <f t="shared" si="0"/>
        <v>1986</v>
      </c>
      <c r="T7" s="8">
        <v>1986</v>
      </c>
      <c r="U7" s="8">
        <f t="shared" si="1"/>
        <v>36</v>
      </c>
      <c r="V7" s="7">
        <v>1986</v>
      </c>
      <c r="W7" t="s">
        <v>1714</v>
      </c>
      <c r="X7" s="2" t="s">
        <v>0</v>
      </c>
      <c r="Y7" s="6" t="e">
        <f t="shared" si="2"/>
        <v>#VALUE!</v>
      </c>
      <c r="AA7">
        <v>63509</v>
      </c>
      <c r="AB7">
        <v>14860</v>
      </c>
      <c r="AD7" t="s">
        <v>2</v>
      </c>
      <c r="AE7">
        <v>31</v>
      </c>
      <c r="AF7">
        <v>3</v>
      </c>
      <c r="AH7" t="s">
        <v>1713</v>
      </c>
      <c r="AI7" t="s">
        <v>1712</v>
      </c>
      <c r="AK7" t="s">
        <v>1711</v>
      </c>
      <c r="AL7">
        <v>0</v>
      </c>
      <c r="AM7" s="5">
        <f t="shared" si="3"/>
        <v>0</v>
      </c>
      <c r="AN7" s="4">
        <f t="shared" si="4"/>
        <v>0</v>
      </c>
      <c r="AO7" s="3"/>
      <c r="AP7">
        <v>0</v>
      </c>
      <c r="AR7" t="s">
        <v>1</v>
      </c>
      <c r="AT7" s="2" t="s">
        <v>0</v>
      </c>
      <c r="AU7" s="1" t="e">
        <f t="shared" si="5"/>
        <v>#VALUE!</v>
      </c>
      <c r="AV7" s="1" t="e">
        <f t="shared" si="6"/>
        <v>#VALUE!</v>
      </c>
      <c r="AW7" s="1" t="e">
        <f t="shared" si="7"/>
        <v>#VALUE!</v>
      </c>
    </row>
    <row r="8" spans="1:49" x14ac:dyDescent="0.2">
      <c r="A8">
        <v>6</v>
      </c>
      <c r="B8" t="s">
        <v>1710</v>
      </c>
      <c r="C8" t="s">
        <v>1709</v>
      </c>
      <c r="F8" t="s">
        <v>1708</v>
      </c>
      <c r="G8" t="s">
        <v>4</v>
      </c>
      <c r="H8" t="s">
        <v>3</v>
      </c>
      <c r="I8" t="s">
        <v>1707</v>
      </c>
      <c r="J8">
        <v>60022195</v>
      </c>
      <c r="K8" t="s">
        <v>84</v>
      </c>
      <c r="L8" t="s">
        <v>83</v>
      </c>
      <c r="M8" t="s">
        <v>7</v>
      </c>
      <c r="N8">
        <v>2</v>
      </c>
      <c r="O8" t="s">
        <v>1706</v>
      </c>
      <c r="P8" t="s">
        <v>1705</v>
      </c>
      <c r="Q8" t="s">
        <v>174</v>
      </c>
      <c r="R8" s="7">
        <v>31747</v>
      </c>
      <c r="S8" s="8">
        <f t="shared" si="0"/>
        <v>1986</v>
      </c>
      <c r="T8" s="8">
        <v>1986</v>
      </c>
      <c r="U8" s="8">
        <f t="shared" si="1"/>
        <v>36</v>
      </c>
      <c r="V8" s="7">
        <v>1986</v>
      </c>
      <c r="W8" t="s">
        <v>1025</v>
      </c>
      <c r="X8" s="2">
        <v>0.60499999999999998</v>
      </c>
      <c r="Y8" s="6">
        <f t="shared" si="2"/>
        <v>1.6150129467980032E-2</v>
      </c>
      <c r="AA8">
        <v>346748</v>
      </c>
      <c r="AB8">
        <v>15563</v>
      </c>
      <c r="AD8" t="s">
        <v>2</v>
      </c>
      <c r="AE8">
        <v>57</v>
      </c>
      <c r="AF8">
        <v>7</v>
      </c>
      <c r="AH8" t="s">
        <v>1704</v>
      </c>
      <c r="AI8" t="s">
        <v>1703</v>
      </c>
      <c r="AK8" t="s">
        <v>1702</v>
      </c>
      <c r="AL8">
        <v>5</v>
      </c>
      <c r="AM8" s="5">
        <f t="shared" si="3"/>
        <v>0.1388888888888889</v>
      </c>
      <c r="AN8" s="4">
        <f t="shared" si="4"/>
        <v>2.103580293659809E-4</v>
      </c>
      <c r="AO8" s="3"/>
      <c r="AP8">
        <v>0</v>
      </c>
      <c r="AR8" t="s">
        <v>1</v>
      </c>
      <c r="AT8" s="2">
        <v>1.5229999999999999</v>
      </c>
      <c r="AU8" s="1">
        <f t="shared" si="5"/>
        <v>1.1368198036395816</v>
      </c>
      <c r="AV8" s="1">
        <f t="shared" si="6"/>
        <v>0.81802437486730062</v>
      </c>
      <c r="AW8" s="1">
        <f t="shared" si="7"/>
        <v>0.49922894609501967</v>
      </c>
    </row>
    <row r="9" spans="1:49" x14ac:dyDescent="0.2">
      <c r="A9">
        <v>7</v>
      </c>
      <c r="B9" t="s">
        <v>1701</v>
      </c>
      <c r="C9" t="s">
        <v>1700</v>
      </c>
      <c r="F9" t="s">
        <v>1699</v>
      </c>
      <c r="G9" t="s">
        <v>4</v>
      </c>
      <c r="H9" t="s">
        <v>3</v>
      </c>
      <c r="I9" t="s">
        <v>1698</v>
      </c>
      <c r="J9">
        <v>60025104</v>
      </c>
      <c r="K9" t="s">
        <v>111</v>
      </c>
      <c r="M9" t="s">
        <v>38</v>
      </c>
      <c r="N9">
        <v>99</v>
      </c>
      <c r="O9" t="s">
        <v>1697</v>
      </c>
      <c r="P9" t="s">
        <v>1696</v>
      </c>
      <c r="Q9" t="s">
        <v>1695</v>
      </c>
      <c r="R9" s="7">
        <v>31747</v>
      </c>
      <c r="S9" s="8">
        <f t="shared" si="0"/>
        <v>1986</v>
      </c>
      <c r="T9" s="8">
        <v>1986</v>
      </c>
      <c r="U9" s="8">
        <f t="shared" si="1"/>
        <v>36</v>
      </c>
      <c r="V9" s="7">
        <v>1986</v>
      </c>
      <c r="W9" t="s">
        <v>1601</v>
      </c>
      <c r="X9" s="2">
        <v>1.3280000000000001</v>
      </c>
      <c r="Y9" s="6">
        <f t="shared" si="2"/>
        <v>3.5450201542937994E-2</v>
      </c>
      <c r="AA9">
        <v>7413335</v>
      </c>
      <c r="AB9">
        <v>29251</v>
      </c>
      <c r="AD9" t="s">
        <v>2</v>
      </c>
      <c r="AE9">
        <v>28</v>
      </c>
      <c r="AF9" s="12">
        <v>0.375</v>
      </c>
      <c r="AG9">
        <v>2</v>
      </c>
      <c r="AH9" t="s">
        <v>1694</v>
      </c>
      <c r="AI9" t="s">
        <v>1693</v>
      </c>
      <c r="AJ9" t="s">
        <v>1692</v>
      </c>
      <c r="AK9" t="s">
        <v>1691</v>
      </c>
      <c r="AL9">
        <v>2</v>
      </c>
      <c r="AM9" s="5">
        <f t="shared" si="3"/>
        <v>5.5555555555555552E-2</v>
      </c>
      <c r="AN9" s="4">
        <f t="shared" si="4"/>
        <v>8.4143211746392349E-5</v>
      </c>
      <c r="AO9" s="3"/>
      <c r="AP9">
        <v>0</v>
      </c>
      <c r="AR9" t="s">
        <v>1</v>
      </c>
      <c r="AT9" s="2">
        <v>2.4580000000000002</v>
      </c>
      <c r="AU9" s="1">
        <f t="shared" si="5"/>
        <v>2.4840384043580515</v>
      </c>
      <c r="AV9" s="1">
        <f t="shared" si="6"/>
        <v>1.7767172377342193</v>
      </c>
      <c r="AW9" s="1">
        <f t="shared" si="7"/>
        <v>1.0693960711103871</v>
      </c>
    </row>
    <row r="10" spans="1:49" x14ac:dyDescent="0.2">
      <c r="A10">
        <v>8</v>
      </c>
      <c r="B10" t="s">
        <v>1690</v>
      </c>
      <c r="C10" t="s">
        <v>1689</v>
      </c>
      <c r="F10" t="s">
        <v>1688</v>
      </c>
      <c r="G10" t="s">
        <v>4</v>
      </c>
      <c r="H10" t="s">
        <v>3</v>
      </c>
      <c r="I10" t="s">
        <v>1687</v>
      </c>
      <c r="J10">
        <v>60023998</v>
      </c>
      <c r="K10" t="s">
        <v>1686</v>
      </c>
      <c r="L10" t="s">
        <v>1685</v>
      </c>
      <c r="M10" t="s">
        <v>38</v>
      </c>
      <c r="N10">
        <v>1</v>
      </c>
      <c r="O10" t="s">
        <v>1684</v>
      </c>
      <c r="P10">
        <v>7006936307</v>
      </c>
      <c r="Q10">
        <v>60023998</v>
      </c>
      <c r="R10" s="7">
        <v>31747</v>
      </c>
      <c r="S10" s="8">
        <f t="shared" si="0"/>
        <v>1986</v>
      </c>
      <c r="T10" s="8">
        <v>1986</v>
      </c>
      <c r="U10" s="8">
        <f t="shared" si="1"/>
        <v>36</v>
      </c>
      <c r="V10" s="7">
        <v>1986</v>
      </c>
      <c r="W10" t="s">
        <v>1047</v>
      </c>
      <c r="X10" s="2">
        <v>15.993</v>
      </c>
      <c r="Y10" s="6">
        <f t="shared" si="2"/>
        <v>0.42692400096099947</v>
      </c>
      <c r="AA10">
        <v>280836</v>
      </c>
      <c r="AB10">
        <v>21206</v>
      </c>
      <c r="AD10" t="s">
        <v>2</v>
      </c>
      <c r="AE10">
        <v>323</v>
      </c>
      <c r="AF10">
        <v>6086</v>
      </c>
      <c r="AH10" t="s">
        <v>1683</v>
      </c>
      <c r="AI10" t="s">
        <v>1682</v>
      </c>
      <c r="AK10" t="s">
        <v>1681</v>
      </c>
      <c r="AL10">
        <v>695</v>
      </c>
      <c r="AM10" s="5">
        <f t="shared" si="3"/>
        <v>19.305555555555557</v>
      </c>
      <c r="AN10" s="4">
        <f t="shared" si="4"/>
        <v>2.9239766081871347E-2</v>
      </c>
      <c r="AO10" s="3"/>
      <c r="AP10">
        <v>0</v>
      </c>
      <c r="AR10" t="s">
        <v>1</v>
      </c>
      <c r="AT10" s="2">
        <v>49.962000000000003</v>
      </c>
      <c r="AU10" s="1">
        <f t="shared" si="5"/>
        <v>30.761873049726095</v>
      </c>
      <c r="AV10" s="1">
        <f t="shared" si="6"/>
        <v>22.808188352143542</v>
      </c>
      <c r="AW10" s="1">
        <f t="shared" si="7"/>
        <v>14.854503654560977</v>
      </c>
    </row>
    <row r="11" spans="1:49" x14ac:dyDescent="0.2">
      <c r="A11">
        <v>9</v>
      </c>
      <c r="B11" t="s">
        <v>1680</v>
      </c>
      <c r="C11" t="s">
        <v>1679</v>
      </c>
      <c r="F11" t="s">
        <v>1678</v>
      </c>
      <c r="G11" t="s">
        <v>4</v>
      </c>
      <c r="H11" t="s">
        <v>3</v>
      </c>
      <c r="I11" t="s">
        <v>194</v>
      </c>
      <c r="J11">
        <v>60017317</v>
      </c>
      <c r="K11" t="s">
        <v>1677</v>
      </c>
      <c r="L11" t="s">
        <v>1676</v>
      </c>
      <c r="M11" t="s">
        <v>38</v>
      </c>
      <c r="N11">
        <v>1</v>
      </c>
      <c r="O11" t="s">
        <v>1675</v>
      </c>
      <c r="P11">
        <v>7101857978</v>
      </c>
      <c r="Q11">
        <v>60017317</v>
      </c>
      <c r="R11" s="7">
        <v>31747</v>
      </c>
      <c r="S11" s="8">
        <f t="shared" si="0"/>
        <v>1986</v>
      </c>
      <c r="T11" s="8">
        <v>1986</v>
      </c>
      <c r="U11" s="8">
        <f t="shared" si="1"/>
        <v>36</v>
      </c>
      <c r="V11" s="7">
        <v>1986</v>
      </c>
      <c r="W11" t="s">
        <v>1047</v>
      </c>
      <c r="X11" s="2">
        <v>15.993</v>
      </c>
      <c r="Y11" s="6">
        <f t="shared" si="2"/>
        <v>0.42692400096099947</v>
      </c>
      <c r="AA11">
        <v>280836</v>
      </c>
      <c r="AB11">
        <v>21206</v>
      </c>
      <c r="AD11" t="s">
        <v>2</v>
      </c>
      <c r="AE11">
        <v>323</v>
      </c>
      <c r="AF11">
        <v>6091</v>
      </c>
      <c r="AH11" t="s">
        <v>1674</v>
      </c>
      <c r="AL11">
        <v>0</v>
      </c>
      <c r="AM11" s="5">
        <f t="shared" si="3"/>
        <v>0</v>
      </c>
      <c r="AN11" s="4">
        <f t="shared" si="4"/>
        <v>0</v>
      </c>
      <c r="AO11" s="3"/>
      <c r="AP11">
        <v>1</v>
      </c>
      <c r="AR11" t="s">
        <v>1</v>
      </c>
      <c r="AT11" s="2">
        <v>49.962000000000003</v>
      </c>
      <c r="AU11" s="1">
        <f t="shared" si="5"/>
        <v>29.884680067269958</v>
      </c>
      <c r="AV11" s="1">
        <f t="shared" si="6"/>
        <v>21.346200048049973</v>
      </c>
      <c r="AW11" s="1">
        <f t="shared" si="7"/>
        <v>12.807720028829984</v>
      </c>
    </row>
    <row r="12" spans="1:49" x14ac:dyDescent="0.2">
      <c r="A12">
        <v>10</v>
      </c>
      <c r="B12" t="s">
        <v>1673</v>
      </c>
      <c r="C12" t="s">
        <v>1672</v>
      </c>
      <c r="F12" t="s">
        <v>1671</v>
      </c>
      <c r="G12" t="s">
        <v>4</v>
      </c>
      <c r="H12" t="s">
        <v>3</v>
      </c>
      <c r="I12" t="s">
        <v>1670</v>
      </c>
      <c r="J12">
        <v>60008662</v>
      </c>
      <c r="K12" t="s">
        <v>1669</v>
      </c>
      <c r="L12" t="s">
        <v>1668</v>
      </c>
      <c r="M12" t="s">
        <v>38</v>
      </c>
      <c r="N12">
        <v>4</v>
      </c>
      <c r="O12" t="s">
        <v>1667</v>
      </c>
      <c r="P12" t="s">
        <v>1666</v>
      </c>
      <c r="Q12" t="s">
        <v>1665</v>
      </c>
      <c r="R12" s="7">
        <v>31747</v>
      </c>
      <c r="S12" s="8">
        <f t="shared" si="0"/>
        <v>1986</v>
      </c>
      <c r="T12" s="8">
        <v>1986</v>
      </c>
      <c r="U12" s="8">
        <f t="shared" si="1"/>
        <v>36</v>
      </c>
      <c r="V12" s="7">
        <v>1986</v>
      </c>
      <c r="W12" t="s">
        <v>1025</v>
      </c>
      <c r="X12" s="2">
        <v>0.60499999999999998</v>
      </c>
      <c r="Y12" s="6">
        <f t="shared" si="2"/>
        <v>1.6150129467980032E-2</v>
      </c>
      <c r="AA12">
        <v>346748</v>
      </c>
      <c r="AB12">
        <v>15563</v>
      </c>
      <c r="AD12" t="s">
        <v>2</v>
      </c>
      <c r="AE12">
        <v>57</v>
      </c>
      <c r="AF12">
        <v>8</v>
      </c>
      <c r="AH12" t="s">
        <v>1664</v>
      </c>
      <c r="AI12" t="s">
        <v>1663</v>
      </c>
      <c r="AK12" t="s">
        <v>1662</v>
      </c>
      <c r="AL12">
        <v>3</v>
      </c>
      <c r="AM12" s="5">
        <f t="shared" si="3"/>
        <v>8.3333333333333329E-2</v>
      </c>
      <c r="AN12" s="4">
        <f t="shared" si="4"/>
        <v>1.2621481761958852E-4</v>
      </c>
      <c r="AO12" s="3"/>
      <c r="AP12">
        <v>0</v>
      </c>
      <c r="AR12" t="s">
        <v>1</v>
      </c>
      <c r="AT12" s="2">
        <v>1.5229999999999999</v>
      </c>
      <c r="AU12" s="1">
        <f t="shared" si="5"/>
        <v>1.1342955072871899</v>
      </c>
      <c r="AV12" s="1">
        <f t="shared" si="6"/>
        <v>0.8138172142799811</v>
      </c>
      <c r="AW12" s="1">
        <f t="shared" si="7"/>
        <v>0.49333892127277218</v>
      </c>
    </row>
    <row r="13" spans="1:49" x14ac:dyDescent="0.2">
      <c r="A13">
        <v>11</v>
      </c>
      <c r="B13" t="s">
        <v>1661</v>
      </c>
      <c r="C13" t="s">
        <v>1660</v>
      </c>
      <c r="F13" t="s">
        <v>1659</v>
      </c>
      <c r="G13" t="s">
        <v>4</v>
      </c>
      <c r="H13" t="s">
        <v>3</v>
      </c>
      <c r="I13" t="s">
        <v>1658</v>
      </c>
      <c r="J13">
        <v>60021285</v>
      </c>
      <c r="K13" t="s">
        <v>1657</v>
      </c>
      <c r="L13" t="s">
        <v>1656</v>
      </c>
      <c r="M13" t="s">
        <v>7</v>
      </c>
      <c r="N13">
        <v>5</v>
      </c>
      <c r="O13" t="s">
        <v>1655</v>
      </c>
      <c r="P13" t="s">
        <v>1654</v>
      </c>
      <c r="Q13" t="s">
        <v>1653</v>
      </c>
      <c r="R13" s="7">
        <v>31747</v>
      </c>
      <c r="S13" s="8">
        <f t="shared" si="0"/>
        <v>1986</v>
      </c>
      <c r="T13" s="8">
        <v>1986</v>
      </c>
      <c r="U13" s="8">
        <f t="shared" si="1"/>
        <v>36</v>
      </c>
      <c r="V13" s="7">
        <v>1986</v>
      </c>
      <c r="W13" t="s">
        <v>1634</v>
      </c>
      <c r="X13" s="2">
        <v>0.69899999999999995</v>
      </c>
      <c r="Y13" s="6">
        <f t="shared" si="2"/>
        <v>1.8659405782013295E-2</v>
      </c>
      <c r="AA13">
        <v>218979</v>
      </c>
      <c r="AB13">
        <v>28132</v>
      </c>
      <c r="AD13" t="s">
        <v>2</v>
      </c>
      <c r="AE13">
        <v>60</v>
      </c>
      <c r="AF13">
        <v>12</v>
      </c>
      <c r="AH13" t="s">
        <v>1652</v>
      </c>
      <c r="AI13" t="s">
        <v>1651</v>
      </c>
      <c r="AK13" t="s">
        <v>1650</v>
      </c>
      <c r="AL13">
        <v>1</v>
      </c>
      <c r="AM13" s="5">
        <f t="shared" si="3"/>
        <v>2.7777777777777776E-2</v>
      </c>
      <c r="AN13" s="4">
        <f t="shared" si="4"/>
        <v>4.2071605873196175E-5</v>
      </c>
      <c r="AO13" s="3"/>
      <c r="AP13">
        <v>0</v>
      </c>
      <c r="AR13" t="s">
        <v>1</v>
      </c>
      <c r="AT13" s="2">
        <v>2.5459999999999998</v>
      </c>
      <c r="AU13" s="1">
        <f t="shared" si="5"/>
        <v>1.3074205529171263</v>
      </c>
      <c r="AV13" s="1">
        <f t="shared" si="6"/>
        <v>0.93507386939432457</v>
      </c>
      <c r="AW13" s="1">
        <f t="shared" si="7"/>
        <v>0.56272718587152248</v>
      </c>
    </row>
    <row r="14" spans="1:49" x14ac:dyDescent="0.2">
      <c r="A14">
        <v>12</v>
      </c>
      <c r="B14" t="s">
        <v>1649</v>
      </c>
      <c r="C14" t="s">
        <v>1648</v>
      </c>
      <c r="F14" t="s">
        <v>1647</v>
      </c>
      <c r="G14" t="s">
        <v>4</v>
      </c>
      <c r="H14" t="s">
        <v>3</v>
      </c>
      <c r="I14" t="s">
        <v>1646</v>
      </c>
      <c r="J14">
        <v>60025104</v>
      </c>
      <c r="K14" t="s">
        <v>111</v>
      </c>
      <c r="M14" t="s">
        <v>38</v>
      </c>
      <c r="N14">
        <v>1</v>
      </c>
      <c r="O14" t="s">
        <v>1645</v>
      </c>
      <c r="P14">
        <v>7006933165</v>
      </c>
      <c r="Q14">
        <v>60025104</v>
      </c>
      <c r="R14" s="7">
        <v>31747</v>
      </c>
      <c r="S14" s="8">
        <f t="shared" si="0"/>
        <v>1986</v>
      </c>
      <c r="T14" s="8">
        <v>1986</v>
      </c>
      <c r="U14" s="8">
        <f t="shared" si="1"/>
        <v>36</v>
      </c>
      <c r="V14" s="7">
        <v>1986</v>
      </c>
      <c r="W14" t="s">
        <v>1025</v>
      </c>
      <c r="X14" s="2">
        <v>0.60499999999999998</v>
      </c>
      <c r="Y14" s="6">
        <f t="shared" si="2"/>
        <v>1.6150129467980032E-2</v>
      </c>
      <c r="AA14">
        <v>346748</v>
      </c>
      <c r="AB14">
        <v>15563</v>
      </c>
      <c r="AD14" t="s">
        <v>2</v>
      </c>
      <c r="AE14">
        <v>57</v>
      </c>
      <c r="AF14">
        <v>8</v>
      </c>
      <c r="AH14" t="s">
        <v>1644</v>
      </c>
      <c r="AI14" t="s">
        <v>1643</v>
      </c>
      <c r="AK14" t="s">
        <v>1642</v>
      </c>
      <c r="AL14">
        <v>6</v>
      </c>
      <c r="AM14" s="5">
        <f t="shared" si="3"/>
        <v>0.16666666666666666</v>
      </c>
      <c r="AN14" s="4">
        <f t="shared" si="4"/>
        <v>2.5242963523917705E-4</v>
      </c>
      <c r="AO14" s="3"/>
      <c r="AP14">
        <v>0</v>
      </c>
      <c r="AR14" t="s">
        <v>1</v>
      </c>
      <c r="AT14" s="2">
        <v>1.5229999999999999</v>
      </c>
      <c r="AU14" s="1">
        <f t="shared" si="5"/>
        <v>1.1380819518157774</v>
      </c>
      <c r="AV14" s="1">
        <f t="shared" si="6"/>
        <v>0.82012795516096038</v>
      </c>
      <c r="AW14" s="1">
        <f t="shared" si="7"/>
        <v>0.50217395850614344</v>
      </c>
    </row>
    <row r="15" spans="1:49" x14ac:dyDescent="0.2">
      <c r="A15">
        <v>13</v>
      </c>
      <c r="B15" t="s">
        <v>1641</v>
      </c>
      <c r="C15" t="s">
        <v>1640</v>
      </c>
      <c r="F15" t="s">
        <v>1639</v>
      </c>
      <c r="G15" t="s">
        <v>4</v>
      </c>
      <c r="H15" t="s">
        <v>3</v>
      </c>
      <c r="I15" t="s">
        <v>1638</v>
      </c>
      <c r="J15">
        <v>60030821</v>
      </c>
      <c r="K15" t="s">
        <v>110</v>
      </c>
      <c r="L15" t="s">
        <v>81</v>
      </c>
      <c r="M15" t="s">
        <v>7</v>
      </c>
      <c r="N15">
        <v>3</v>
      </c>
      <c r="O15" t="s">
        <v>1637</v>
      </c>
      <c r="P15" t="s">
        <v>1636</v>
      </c>
      <c r="Q15" t="s">
        <v>1635</v>
      </c>
      <c r="R15" s="7">
        <v>31747</v>
      </c>
      <c r="S15" s="8">
        <f t="shared" si="0"/>
        <v>1986</v>
      </c>
      <c r="T15" s="8">
        <v>1986</v>
      </c>
      <c r="U15" s="8">
        <f t="shared" si="1"/>
        <v>36</v>
      </c>
      <c r="V15" s="7">
        <v>1986</v>
      </c>
      <c r="W15" t="s">
        <v>1634</v>
      </c>
      <c r="X15" s="2">
        <v>0.69899999999999995</v>
      </c>
      <c r="Y15" s="6">
        <f t="shared" si="2"/>
        <v>1.8659405782013295E-2</v>
      </c>
      <c r="AA15">
        <v>218979</v>
      </c>
      <c r="AB15">
        <v>28132</v>
      </c>
      <c r="AD15" t="s">
        <v>2</v>
      </c>
      <c r="AE15">
        <v>59</v>
      </c>
      <c r="AF15">
        <v>12</v>
      </c>
      <c r="AH15" t="s">
        <v>1633</v>
      </c>
      <c r="AI15" t="s">
        <v>1632</v>
      </c>
      <c r="AK15" t="s">
        <v>1631</v>
      </c>
      <c r="AL15">
        <v>4</v>
      </c>
      <c r="AM15" s="5">
        <f t="shared" si="3"/>
        <v>0.1111111111111111</v>
      </c>
      <c r="AN15" s="4">
        <f t="shared" si="4"/>
        <v>1.682864234927847E-4</v>
      </c>
      <c r="AO15" s="3"/>
      <c r="AP15">
        <v>0</v>
      </c>
      <c r="AR15" t="s">
        <v>1</v>
      </c>
      <c r="AT15" s="2">
        <v>2.5459999999999998</v>
      </c>
      <c r="AU15" s="1">
        <f t="shared" si="5"/>
        <v>1.3112069974457141</v>
      </c>
      <c r="AV15" s="1">
        <f t="shared" si="6"/>
        <v>0.94138461027530407</v>
      </c>
      <c r="AW15" s="1">
        <f t="shared" si="7"/>
        <v>0.57156222310489369</v>
      </c>
    </row>
    <row r="16" spans="1:49" x14ac:dyDescent="0.2">
      <c r="A16">
        <v>14</v>
      </c>
      <c r="B16" t="s">
        <v>1630</v>
      </c>
      <c r="C16" t="s">
        <v>1629</v>
      </c>
      <c r="F16" t="s">
        <v>1628</v>
      </c>
      <c r="G16" t="s">
        <v>4</v>
      </c>
      <c r="H16" t="s">
        <v>3</v>
      </c>
      <c r="I16" t="s">
        <v>1627</v>
      </c>
      <c r="J16">
        <v>60030788</v>
      </c>
      <c r="K16" t="s">
        <v>1626</v>
      </c>
      <c r="L16" t="s">
        <v>1625</v>
      </c>
      <c r="M16" t="s">
        <v>6</v>
      </c>
      <c r="N16">
        <v>3</v>
      </c>
      <c r="O16" t="s">
        <v>1624</v>
      </c>
      <c r="P16" t="s">
        <v>1623</v>
      </c>
      <c r="Q16" t="s">
        <v>1622</v>
      </c>
      <c r="R16" s="7">
        <v>31747</v>
      </c>
      <c r="S16" s="8">
        <f t="shared" si="0"/>
        <v>1986</v>
      </c>
      <c r="T16" s="8">
        <v>1986</v>
      </c>
      <c r="U16" s="8">
        <f t="shared" si="1"/>
        <v>36</v>
      </c>
      <c r="V16" s="7">
        <v>1986</v>
      </c>
      <c r="W16" t="s">
        <v>1601</v>
      </c>
      <c r="X16" s="2">
        <v>1.3280000000000001</v>
      </c>
      <c r="Y16" s="6">
        <f t="shared" si="2"/>
        <v>3.5450201542937994E-2</v>
      </c>
      <c r="AA16">
        <v>7413335</v>
      </c>
      <c r="AB16">
        <v>29251</v>
      </c>
      <c r="AD16" t="s">
        <v>2</v>
      </c>
      <c r="AE16">
        <v>28</v>
      </c>
      <c r="AF16" t="s">
        <v>1621</v>
      </c>
      <c r="AG16">
        <v>5</v>
      </c>
      <c r="AH16" t="s">
        <v>1620</v>
      </c>
      <c r="AI16" t="s">
        <v>1619</v>
      </c>
      <c r="AK16" t="s">
        <v>1618</v>
      </c>
      <c r="AL16">
        <v>0</v>
      </c>
      <c r="AM16" s="5">
        <f t="shared" si="3"/>
        <v>0</v>
      </c>
      <c r="AN16" s="4">
        <f t="shared" si="4"/>
        <v>0</v>
      </c>
      <c r="AO16" s="3"/>
      <c r="AP16">
        <v>0</v>
      </c>
      <c r="AR16" t="s">
        <v>1</v>
      </c>
      <c r="AT16" s="2">
        <v>2.4580000000000002</v>
      </c>
      <c r="AU16" s="1">
        <f t="shared" si="5"/>
        <v>2.4815141080056597</v>
      </c>
      <c r="AV16" s="1">
        <f t="shared" si="6"/>
        <v>1.7725100771468998</v>
      </c>
      <c r="AW16" s="1">
        <f t="shared" si="7"/>
        <v>1.0635060462881398</v>
      </c>
    </row>
    <row r="17" spans="1:49" x14ac:dyDescent="0.2">
      <c r="A17">
        <v>15</v>
      </c>
      <c r="B17" t="s">
        <v>1617</v>
      </c>
      <c r="C17" t="s">
        <v>1616</v>
      </c>
      <c r="F17" t="s">
        <v>1615</v>
      </c>
      <c r="G17" t="s">
        <v>4</v>
      </c>
      <c r="H17" t="s">
        <v>3</v>
      </c>
      <c r="I17" t="s">
        <v>1614</v>
      </c>
      <c r="J17">
        <v>60009852</v>
      </c>
      <c r="K17" t="s">
        <v>1613</v>
      </c>
      <c r="L17" t="s">
        <v>1612</v>
      </c>
      <c r="M17" t="s">
        <v>6</v>
      </c>
      <c r="N17">
        <v>1</v>
      </c>
      <c r="O17" t="s">
        <v>1611</v>
      </c>
      <c r="P17">
        <v>35353222200</v>
      </c>
      <c r="Q17">
        <v>60009852</v>
      </c>
      <c r="R17" s="7">
        <v>31747</v>
      </c>
      <c r="S17" s="8">
        <f t="shared" si="0"/>
        <v>1986</v>
      </c>
      <c r="T17" s="8">
        <v>1986</v>
      </c>
      <c r="U17" s="8">
        <f t="shared" si="1"/>
        <v>36</v>
      </c>
      <c r="V17" s="7">
        <v>1986</v>
      </c>
      <c r="W17" t="s">
        <v>1025</v>
      </c>
      <c r="X17" s="2">
        <v>0.60499999999999998</v>
      </c>
      <c r="Y17" s="6">
        <f t="shared" si="2"/>
        <v>1.6150129467980032E-2</v>
      </c>
      <c r="AA17">
        <v>346748</v>
      </c>
      <c r="AB17">
        <v>15563</v>
      </c>
      <c r="AD17" t="s">
        <v>2</v>
      </c>
      <c r="AE17">
        <v>57</v>
      </c>
      <c r="AF17">
        <v>4</v>
      </c>
      <c r="AH17" t="s">
        <v>1610</v>
      </c>
      <c r="AI17" t="s">
        <v>1609</v>
      </c>
      <c r="AK17" t="s">
        <v>1608</v>
      </c>
      <c r="AL17">
        <v>2</v>
      </c>
      <c r="AM17" s="5">
        <f t="shared" si="3"/>
        <v>5.5555555555555552E-2</v>
      </c>
      <c r="AN17" s="4">
        <f t="shared" si="4"/>
        <v>8.4143211746392349E-5</v>
      </c>
      <c r="AO17" s="3"/>
      <c r="AP17">
        <v>0</v>
      </c>
      <c r="AR17" t="s">
        <v>1</v>
      </c>
      <c r="AT17" s="2">
        <v>1.5229999999999999</v>
      </c>
      <c r="AU17" s="1">
        <f t="shared" si="5"/>
        <v>1.1330333591109938</v>
      </c>
      <c r="AV17" s="1">
        <f t="shared" si="6"/>
        <v>0.81171363398632124</v>
      </c>
      <c r="AW17" s="1">
        <f t="shared" si="7"/>
        <v>0.49039390886164841</v>
      </c>
    </row>
    <row r="18" spans="1:49" x14ac:dyDescent="0.2">
      <c r="A18">
        <v>16</v>
      </c>
      <c r="B18" t="s">
        <v>1607</v>
      </c>
      <c r="C18" t="s">
        <v>1606</v>
      </c>
      <c r="F18" t="s">
        <v>1605</v>
      </c>
      <c r="G18" t="s">
        <v>4</v>
      </c>
      <c r="H18" t="s">
        <v>3</v>
      </c>
      <c r="I18" t="s">
        <v>1604</v>
      </c>
      <c r="J18">
        <v>60020828</v>
      </c>
      <c r="K18" t="s">
        <v>138</v>
      </c>
      <c r="L18" t="s">
        <v>137</v>
      </c>
      <c r="M18" t="s">
        <v>66</v>
      </c>
      <c r="N18">
        <v>2</v>
      </c>
      <c r="O18" t="s">
        <v>1603</v>
      </c>
      <c r="P18" t="s">
        <v>1602</v>
      </c>
      <c r="Q18" t="s">
        <v>136</v>
      </c>
      <c r="R18" s="7">
        <v>31747</v>
      </c>
      <c r="S18" s="8">
        <f t="shared" si="0"/>
        <v>1986</v>
      </c>
      <c r="T18" s="8">
        <v>1986</v>
      </c>
      <c r="U18" s="8">
        <f t="shared" si="1"/>
        <v>36</v>
      </c>
      <c r="V18" s="7">
        <v>1986</v>
      </c>
      <c r="W18" t="s">
        <v>1601</v>
      </c>
      <c r="X18" s="2">
        <v>1.3280000000000001</v>
      </c>
      <c r="Y18" s="6">
        <f t="shared" si="2"/>
        <v>3.5450201542937994E-2</v>
      </c>
      <c r="AA18">
        <v>7413335</v>
      </c>
      <c r="AB18">
        <v>29251</v>
      </c>
      <c r="AD18" t="s">
        <v>2</v>
      </c>
      <c r="AE18">
        <v>28</v>
      </c>
      <c r="AF18">
        <v>4</v>
      </c>
      <c r="AG18">
        <v>7</v>
      </c>
      <c r="AH18" t="s">
        <v>1600</v>
      </c>
      <c r="AI18" t="s">
        <v>1599</v>
      </c>
      <c r="AK18" t="s">
        <v>1598</v>
      </c>
      <c r="AL18">
        <v>16</v>
      </c>
      <c r="AM18" s="5">
        <f t="shared" si="3"/>
        <v>0.44444444444444442</v>
      </c>
      <c r="AN18" s="4">
        <f t="shared" si="4"/>
        <v>6.7314569397113879E-4</v>
      </c>
      <c r="AO18" s="3"/>
      <c r="AP18">
        <v>0</v>
      </c>
      <c r="AR18" t="s">
        <v>1</v>
      </c>
      <c r="AT18" s="2">
        <v>2.4580000000000002</v>
      </c>
      <c r="AU18" s="1">
        <f t="shared" si="5"/>
        <v>2.5017084788247939</v>
      </c>
      <c r="AV18" s="1">
        <f t="shared" si="6"/>
        <v>1.8061673618454566</v>
      </c>
      <c r="AW18" s="1">
        <f t="shared" si="7"/>
        <v>1.1106262448661195</v>
      </c>
    </row>
    <row r="19" spans="1:49" x14ac:dyDescent="0.2">
      <c r="A19">
        <v>17</v>
      </c>
      <c r="B19" t="s">
        <v>1597</v>
      </c>
      <c r="C19" t="s">
        <v>1596</v>
      </c>
      <c r="F19" t="s">
        <v>1595</v>
      </c>
      <c r="G19" t="s">
        <v>4</v>
      </c>
      <c r="H19" t="s">
        <v>3</v>
      </c>
      <c r="I19" t="s">
        <v>105</v>
      </c>
      <c r="J19">
        <v>60010756</v>
      </c>
      <c r="K19" t="s">
        <v>1594</v>
      </c>
      <c r="L19" t="s">
        <v>98</v>
      </c>
      <c r="M19" t="s">
        <v>7</v>
      </c>
      <c r="N19">
        <v>3</v>
      </c>
      <c r="O19" t="s">
        <v>1593</v>
      </c>
      <c r="P19" t="s">
        <v>1592</v>
      </c>
      <c r="Q19" t="s">
        <v>1591</v>
      </c>
      <c r="R19" s="7">
        <v>31747</v>
      </c>
      <c r="S19" s="8">
        <f t="shared" si="0"/>
        <v>1986</v>
      </c>
      <c r="T19" s="8">
        <v>1986</v>
      </c>
      <c r="U19" s="8">
        <f t="shared" si="1"/>
        <v>36</v>
      </c>
      <c r="V19" s="7">
        <v>1986</v>
      </c>
      <c r="W19" t="s">
        <v>1025</v>
      </c>
      <c r="X19" s="2">
        <v>0.60499999999999998</v>
      </c>
      <c r="Y19" s="6">
        <f t="shared" si="2"/>
        <v>1.6150129467980032E-2</v>
      </c>
      <c r="AA19">
        <v>346748</v>
      </c>
      <c r="AB19">
        <v>15563</v>
      </c>
      <c r="AD19" t="s">
        <v>2</v>
      </c>
      <c r="AE19">
        <v>57</v>
      </c>
      <c r="AF19">
        <v>12</v>
      </c>
      <c r="AH19" t="s">
        <v>1590</v>
      </c>
      <c r="AI19" t="s">
        <v>1589</v>
      </c>
      <c r="AK19" t="s">
        <v>1588</v>
      </c>
      <c r="AL19">
        <v>6</v>
      </c>
      <c r="AM19" s="5">
        <f t="shared" si="3"/>
        <v>0.16666666666666666</v>
      </c>
      <c r="AN19" s="4">
        <f t="shared" si="4"/>
        <v>2.5242963523917705E-4</v>
      </c>
      <c r="AO19" s="3"/>
      <c r="AP19">
        <v>0</v>
      </c>
      <c r="AR19" t="s">
        <v>1</v>
      </c>
      <c r="AT19" s="2">
        <v>1.5229999999999999</v>
      </c>
      <c r="AU19" s="1">
        <f t="shared" si="5"/>
        <v>1.1380819518157774</v>
      </c>
      <c r="AV19" s="1">
        <f t="shared" si="6"/>
        <v>0.82012795516096038</v>
      </c>
      <c r="AW19" s="1">
        <f t="shared" si="7"/>
        <v>0.50217395850614344</v>
      </c>
    </row>
    <row r="20" spans="1:49" x14ac:dyDescent="0.2">
      <c r="A20">
        <v>18</v>
      </c>
      <c r="B20" t="s">
        <v>1587</v>
      </c>
      <c r="C20" t="s">
        <v>1586</v>
      </c>
      <c r="F20" t="s">
        <v>1585</v>
      </c>
      <c r="G20" t="s">
        <v>4</v>
      </c>
      <c r="H20" t="s">
        <v>3</v>
      </c>
      <c r="I20" t="s">
        <v>1584</v>
      </c>
      <c r="J20">
        <v>60025038</v>
      </c>
      <c r="K20" t="s">
        <v>115</v>
      </c>
      <c r="L20" t="s">
        <v>114</v>
      </c>
      <c r="M20" t="s">
        <v>7</v>
      </c>
      <c r="N20">
        <v>2</v>
      </c>
      <c r="O20" t="s">
        <v>1583</v>
      </c>
      <c r="P20" t="s">
        <v>1582</v>
      </c>
      <c r="Q20" t="s">
        <v>121</v>
      </c>
      <c r="R20" s="7">
        <v>31747</v>
      </c>
      <c r="S20" s="8">
        <f t="shared" si="0"/>
        <v>1986</v>
      </c>
      <c r="T20" s="8">
        <v>1986</v>
      </c>
      <c r="U20" s="8">
        <f t="shared" si="1"/>
        <v>36</v>
      </c>
      <c r="V20" s="7">
        <v>1986</v>
      </c>
      <c r="W20" t="s">
        <v>1581</v>
      </c>
      <c r="X20" s="2">
        <v>1.1819999999999999</v>
      </c>
      <c r="Y20" s="6">
        <f t="shared" si="2"/>
        <v>3.1552814927524625E-2</v>
      </c>
      <c r="AA20">
        <v>36951</v>
      </c>
      <c r="AB20">
        <v>27030</v>
      </c>
      <c r="AD20" t="s">
        <v>2</v>
      </c>
      <c r="AE20">
        <v>48</v>
      </c>
      <c r="AF20">
        <v>25</v>
      </c>
      <c r="AH20" t="s">
        <v>1580</v>
      </c>
      <c r="AI20" t="s">
        <v>1579</v>
      </c>
      <c r="AK20" t="s">
        <v>1578</v>
      </c>
      <c r="AL20">
        <v>6</v>
      </c>
      <c r="AM20" s="5">
        <f t="shared" si="3"/>
        <v>0.16666666666666666</v>
      </c>
      <c r="AN20" s="4">
        <f t="shared" si="4"/>
        <v>2.5242963523917705E-4</v>
      </c>
      <c r="AO20" s="3"/>
      <c r="AP20">
        <v>0</v>
      </c>
      <c r="AR20" t="s">
        <v>1</v>
      </c>
      <c r="AT20" s="2">
        <v>3.7909999999999999</v>
      </c>
      <c r="AU20" s="1">
        <f t="shared" si="5"/>
        <v>2.2162699339838987</v>
      </c>
      <c r="AV20" s="1">
        <f t="shared" si="6"/>
        <v>1.5902622281381902</v>
      </c>
      <c r="AW20" s="1">
        <f t="shared" si="7"/>
        <v>0.9642545222924811</v>
      </c>
    </row>
    <row r="21" spans="1:49" x14ac:dyDescent="0.2">
      <c r="A21">
        <v>19</v>
      </c>
      <c r="B21" t="s">
        <v>1577</v>
      </c>
      <c r="C21" t="s">
        <v>1576</v>
      </c>
      <c r="E21">
        <v>3774007</v>
      </c>
      <c r="F21" t="s">
        <v>1575</v>
      </c>
      <c r="G21" t="s">
        <v>4</v>
      </c>
      <c r="H21" t="s">
        <v>3</v>
      </c>
      <c r="I21" t="s">
        <v>1574</v>
      </c>
      <c r="J21" t="s">
        <v>1573</v>
      </c>
      <c r="K21" t="s">
        <v>1572</v>
      </c>
      <c r="L21" t="s">
        <v>1571</v>
      </c>
      <c r="M21" t="s">
        <v>48</v>
      </c>
      <c r="N21">
        <v>4</v>
      </c>
      <c r="O21" t="s">
        <v>1570</v>
      </c>
      <c r="P21" t="s">
        <v>1569</v>
      </c>
      <c r="Q21" t="s">
        <v>1568</v>
      </c>
      <c r="R21" s="7">
        <v>31747</v>
      </c>
      <c r="S21" s="8">
        <f t="shared" si="0"/>
        <v>1986</v>
      </c>
      <c r="T21" s="8">
        <v>1986</v>
      </c>
      <c r="U21" s="8">
        <f t="shared" si="1"/>
        <v>36</v>
      </c>
      <c r="V21" s="7">
        <v>1986</v>
      </c>
      <c r="W21" t="s">
        <v>1047</v>
      </c>
      <c r="X21" s="2">
        <v>15.993</v>
      </c>
      <c r="Y21" s="6">
        <f t="shared" si="2"/>
        <v>0.42692400096099947</v>
      </c>
      <c r="AA21">
        <v>280836</v>
      </c>
      <c r="AB21">
        <v>21206</v>
      </c>
      <c r="AD21" t="s">
        <v>2</v>
      </c>
      <c r="AE21">
        <v>323</v>
      </c>
      <c r="AF21">
        <v>6091</v>
      </c>
      <c r="AH21" t="s">
        <v>1567</v>
      </c>
      <c r="AI21" t="s">
        <v>1566</v>
      </c>
      <c r="AK21" t="s">
        <v>1565</v>
      </c>
      <c r="AL21">
        <v>59</v>
      </c>
      <c r="AM21" s="5">
        <f t="shared" si="3"/>
        <v>1.6388888888888888</v>
      </c>
      <c r="AN21" s="4">
        <f t="shared" si="4"/>
        <v>2.4822247465185747E-3</v>
      </c>
      <c r="AO21" s="3"/>
      <c r="AP21">
        <v>0</v>
      </c>
      <c r="AR21" t="s">
        <v>1</v>
      </c>
      <c r="AT21" s="2">
        <v>49.962000000000003</v>
      </c>
      <c r="AU21" s="1">
        <f t="shared" si="5"/>
        <v>29.959146809665516</v>
      </c>
      <c r="AV21" s="1">
        <f t="shared" si="6"/>
        <v>21.470311285375903</v>
      </c>
      <c r="AW21" s="1">
        <f t="shared" si="7"/>
        <v>12.981475761086283</v>
      </c>
    </row>
    <row r="22" spans="1:49" x14ac:dyDescent="0.2">
      <c r="A22">
        <v>20</v>
      </c>
      <c r="B22" t="s">
        <v>1564</v>
      </c>
      <c r="F22" t="s">
        <v>1563</v>
      </c>
      <c r="G22" t="s">
        <v>4</v>
      </c>
      <c r="H22" t="s">
        <v>3</v>
      </c>
      <c r="I22" t="s">
        <v>1562</v>
      </c>
      <c r="N22">
        <v>2</v>
      </c>
      <c r="O22" t="s">
        <v>1561</v>
      </c>
      <c r="P22" t="s">
        <v>1560</v>
      </c>
      <c r="Q22" t="s">
        <v>18</v>
      </c>
      <c r="R22" s="7">
        <v>31747</v>
      </c>
      <c r="S22" s="8">
        <f t="shared" si="0"/>
        <v>1986</v>
      </c>
      <c r="T22" s="8">
        <v>1986</v>
      </c>
      <c r="U22" s="8">
        <f t="shared" si="1"/>
        <v>36</v>
      </c>
      <c r="V22" s="7">
        <v>1986</v>
      </c>
      <c r="W22" t="s">
        <v>1301</v>
      </c>
      <c r="X22" s="2" t="s">
        <v>0</v>
      </c>
      <c r="Y22" s="6" t="e">
        <f t="shared" si="2"/>
        <v>#VALUE!</v>
      </c>
      <c r="AA22">
        <v>337870</v>
      </c>
      <c r="AB22">
        <v>32478</v>
      </c>
      <c r="AD22" t="s">
        <v>2</v>
      </c>
      <c r="AE22">
        <v>29</v>
      </c>
      <c r="AF22">
        <v>3</v>
      </c>
      <c r="AH22" t="s">
        <v>152</v>
      </c>
      <c r="AI22" t="s">
        <v>1559</v>
      </c>
      <c r="AK22" t="s">
        <v>1558</v>
      </c>
      <c r="AL22">
        <v>0</v>
      </c>
      <c r="AM22" s="5">
        <f t="shared" si="3"/>
        <v>0</v>
      </c>
      <c r="AN22" s="4">
        <f t="shared" si="4"/>
        <v>0</v>
      </c>
      <c r="AO22" s="3"/>
      <c r="AP22">
        <v>0</v>
      </c>
      <c r="AR22" t="s">
        <v>1</v>
      </c>
      <c r="AT22" s="2" t="s">
        <v>0</v>
      </c>
      <c r="AU22" s="1" t="e">
        <f t="shared" si="5"/>
        <v>#VALUE!</v>
      </c>
      <c r="AV22" s="1" t="e">
        <f t="shared" si="6"/>
        <v>#VALUE!</v>
      </c>
      <c r="AW22" s="1" t="e">
        <f t="shared" si="7"/>
        <v>#VALUE!</v>
      </c>
    </row>
    <row r="23" spans="1:49" x14ac:dyDescent="0.2">
      <c r="A23">
        <v>21</v>
      </c>
      <c r="B23" t="s">
        <v>1557</v>
      </c>
      <c r="F23" t="s">
        <v>1556</v>
      </c>
      <c r="G23" t="s">
        <v>4</v>
      </c>
      <c r="H23" t="s">
        <v>3</v>
      </c>
      <c r="I23" t="s">
        <v>1555</v>
      </c>
      <c r="N23">
        <v>2</v>
      </c>
      <c r="O23" t="s">
        <v>1554</v>
      </c>
      <c r="P23" t="s">
        <v>1553</v>
      </c>
      <c r="Q23" t="s">
        <v>18</v>
      </c>
      <c r="R23" s="7">
        <v>31747</v>
      </c>
      <c r="S23" s="8">
        <f t="shared" si="0"/>
        <v>1986</v>
      </c>
      <c r="T23" s="8">
        <v>1986</v>
      </c>
      <c r="U23" s="8">
        <f t="shared" si="1"/>
        <v>36</v>
      </c>
      <c r="V23" s="7">
        <v>1986</v>
      </c>
      <c r="W23" t="s">
        <v>1301</v>
      </c>
      <c r="X23" s="2" t="s">
        <v>0</v>
      </c>
      <c r="Y23" s="6" t="e">
        <f t="shared" si="2"/>
        <v>#VALUE!</v>
      </c>
      <c r="AA23">
        <v>337870</v>
      </c>
      <c r="AB23">
        <v>32478</v>
      </c>
      <c r="AD23" t="s">
        <v>2</v>
      </c>
      <c r="AE23">
        <v>29</v>
      </c>
      <c r="AF23">
        <v>2</v>
      </c>
      <c r="AH23" t="s">
        <v>1552</v>
      </c>
      <c r="AI23" t="s">
        <v>1551</v>
      </c>
      <c r="AK23" t="s">
        <v>1550</v>
      </c>
      <c r="AL23">
        <v>6</v>
      </c>
      <c r="AM23" s="5">
        <f t="shared" si="3"/>
        <v>0.16666666666666666</v>
      </c>
      <c r="AN23" s="4">
        <f t="shared" si="4"/>
        <v>2.5242963523917705E-4</v>
      </c>
      <c r="AO23" s="3"/>
      <c r="AP23">
        <v>0</v>
      </c>
      <c r="AR23" t="s">
        <v>1</v>
      </c>
      <c r="AT23" s="2" t="s">
        <v>0</v>
      </c>
      <c r="AU23" s="1" t="e">
        <f t="shared" si="5"/>
        <v>#VALUE!</v>
      </c>
      <c r="AV23" s="1" t="e">
        <f t="shared" si="6"/>
        <v>#VALUE!</v>
      </c>
      <c r="AW23" s="1" t="e">
        <f t="shared" si="7"/>
        <v>#VALUE!</v>
      </c>
    </row>
    <row r="24" spans="1:49" x14ac:dyDescent="0.2">
      <c r="A24">
        <v>22</v>
      </c>
      <c r="B24" t="s">
        <v>1549</v>
      </c>
      <c r="F24" t="s">
        <v>1548</v>
      </c>
      <c r="G24" t="s">
        <v>4</v>
      </c>
      <c r="H24" t="s">
        <v>3</v>
      </c>
      <c r="I24" t="s">
        <v>1547</v>
      </c>
      <c r="N24">
        <v>2</v>
      </c>
      <c r="O24" t="s">
        <v>1546</v>
      </c>
      <c r="P24" t="s">
        <v>1545</v>
      </c>
      <c r="Q24" t="s">
        <v>18</v>
      </c>
      <c r="R24" s="7">
        <v>31747</v>
      </c>
      <c r="S24" s="8">
        <f t="shared" si="0"/>
        <v>1986</v>
      </c>
      <c r="T24" s="8">
        <v>1986</v>
      </c>
      <c r="U24" s="8">
        <f t="shared" si="1"/>
        <v>36</v>
      </c>
      <c r="V24" s="7">
        <v>1986</v>
      </c>
      <c r="W24" t="s">
        <v>1301</v>
      </c>
      <c r="X24" s="2" t="s">
        <v>0</v>
      </c>
      <c r="Y24" s="6" t="e">
        <f t="shared" si="2"/>
        <v>#VALUE!</v>
      </c>
      <c r="AA24">
        <v>337870</v>
      </c>
      <c r="AB24">
        <v>32478</v>
      </c>
      <c r="AD24" t="s">
        <v>2</v>
      </c>
      <c r="AE24">
        <v>29</v>
      </c>
      <c r="AF24">
        <v>8</v>
      </c>
      <c r="AH24" s="9">
        <v>44538</v>
      </c>
      <c r="AI24" t="s">
        <v>1544</v>
      </c>
      <c r="AK24" t="s">
        <v>1543</v>
      </c>
      <c r="AL24">
        <v>1</v>
      </c>
      <c r="AM24" s="5">
        <f t="shared" si="3"/>
        <v>2.7777777777777776E-2</v>
      </c>
      <c r="AN24" s="4">
        <f t="shared" si="4"/>
        <v>4.2071605873196175E-5</v>
      </c>
      <c r="AO24" s="3"/>
      <c r="AP24">
        <v>0</v>
      </c>
      <c r="AR24" t="s">
        <v>1</v>
      </c>
      <c r="AT24" s="2" t="s">
        <v>0</v>
      </c>
      <c r="AU24" s="1" t="e">
        <f t="shared" si="5"/>
        <v>#VALUE!</v>
      </c>
      <c r="AV24" s="1" t="e">
        <f t="shared" si="6"/>
        <v>#VALUE!</v>
      </c>
      <c r="AW24" s="1" t="e">
        <f t="shared" si="7"/>
        <v>#VALUE!</v>
      </c>
    </row>
    <row r="25" spans="1:49" x14ac:dyDescent="0.2">
      <c r="A25">
        <v>23</v>
      </c>
      <c r="B25" t="s">
        <v>1542</v>
      </c>
      <c r="C25" t="s">
        <v>1541</v>
      </c>
      <c r="E25">
        <v>3823375</v>
      </c>
      <c r="F25" t="s">
        <v>1540</v>
      </c>
      <c r="G25" t="s">
        <v>4</v>
      </c>
      <c r="H25" t="s">
        <v>3</v>
      </c>
      <c r="I25" t="s">
        <v>1539</v>
      </c>
      <c r="J25">
        <v>60029428</v>
      </c>
      <c r="K25" t="s">
        <v>1538</v>
      </c>
      <c r="L25" t="s">
        <v>1537</v>
      </c>
      <c r="M25" t="s">
        <v>23</v>
      </c>
      <c r="N25">
        <v>4</v>
      </c>
      <c r="O25" t="s">
        <v>1536</v>
      </c>
      <c r="P25" t="s">
        <v>1535</v>
      </c>
      <c r="Q25" t="s">
        <v>1534</v>
      </c>
      <c r="R25" s="7">
        <v>31747</v>
      </c>
      <c r="S25" s="8">
        <f t="shared" si="0"/>
        <v>1986</v>
      </c>
      <c r="T25" s="8">
        <v>1986</v>
      </c>
      <c r="U25" s="8">
        <f t="shared" si="1"/>
        <v>36</v>
      </c>
      <c r="V25" s="7">
        <v>31747</v>
      </c>
      <c r="W25" t="s">
        <v>1533</v>
      </c>
      <c r="X25" s="2">
        <v>0.45900000000000002</v>
      </c>
      <c r="Y25" s="6">
        <f t="shared" si="2"/>
        <v>1.2252742852566671E-2</v>
      </c>
      <c r="AA25" t="s">
        <v>1532</v>
      </c>
      <c r="AB25">
        <v>14917</v>
      </c>
      <c r="AC25">
        <v>14322099</v>
      </c>
      <c r="AD25" t="s">
        <v>2</v>
      </c>
      <c r="AE25">
        <v>25</v>
      </c>
      <c r="AF25">
        <v>4</v>
      </c>
      <c r="AH25" t="s">
        <v>1531</v>
      </c>
      <c r="AI25" t="s">
        <v>1530</v>
      </c>
      <c r="AK25" t="s">
        <v>1529</v>
      </c>
      <c r="AL25">
        <v>187</v>
      </c>
      <c r="AM25" s="5">
        <f t="shared" si="3"/>
        <v>5.1944444444444446</v>
      </c>
      <c r="AN25" s="4">
        <f t="shared" si="4"/>
        <v>7.8673902982876864E-3</v>
      </c>
      <c r="AO25" s="3"/>
      <c r="AP25">
        <v>0</v>
      </c>
      <c r="AR25" t="s">
        <v>1</v>
      </c>
      <c r="AT25" s="2" t="s">
        <v>0</v>
      </c>
      <c r="AU25" s="1">
        <f t="shared" si="5"/>
        <v>1.0937137086282973</v>
      </c>
      <c r="AV25" s="1">
        <f t="shared" si="6"/>
        <v>1.0060066575427178</v>
      </c>
      <c r="AW25" s="1">
        <f t="shared" si="7"/>
        <v>0.91829960645713815</v>
      </c>
    </row>
    <row r="26" spans="1:49" x14ac:dyDescent="0.2">
      <c r="A26">
        <v>24</v>
      </c>
      <c r="B26" t="s">
        <v>1528</v>
      </c>
      <c r="F26" t="s">
        <v>1527</v>
      </c>
      <c r="G26" t="s">
        <v>4</v>
      </c>
      <c r="H26" t="s">
        <v>3</v>
      </c>
      <c r="I26" t="s">
        <v>1304</v>
      </c>
      <c r="N26">
        <v>3</v>
      </c>
      <c r="O26" t="s">
        <v>1526</v>
      </c>
      <c r="P26" t="s">
        <v>1525</v>
      </c>
      <c r="Q26" t="s">
        <v>17</v>
      </c>
      <c r="R26" s="7">
        <v>31747</v>
      </c>
      <c r="S26" s="8">
        <f t="shared" si="0"/>
        <v>1986</v>
      </c>
      <c r="T26" s="8">
        <v>1986</v>
      </c>
      <c r="U26" s="8">
        <f t="shared" si="1"/>
        <v>36</v>
      </c>
      <c r="V26" s="7">
        <v>1986</v>
      </c>
      <c r="W26" t="s">
        <v>1301</v>
      </c>
      <c r="X26" s="2" t="s">
        <v>0</v>
      </c>
      <c r="Y26" s="6" t="e">
        <f t="shared" si="2"/>
        <v>#VALUE!</v>
      </c>
      <c r="AA26">
        <v>337870</v>
      </c>
      <c r="AB26">
        <v>32478</v>
      </c>
      <c r="AD26" t="s">
        <v>2</v>
      </c>
      <c r="AE26">
        <v>29</v>
      </c>
      <c r="AF26">
        <v>2</v>
      </c>
      <c r="AH26" t="s">
        <v>1524</v>
      </c>
      <c r="AI26" t="s">
        <v>1523</v>
      </c>
      <c r="AK26" t="s">
        <v>1522</v>
      </c>
      <c r="AL26">
        <v>0</v>
      </c>
      <c r="AM26" s="5">
        <f t="shared" si="3"/>
        <v>0</v>
      </c>
      <c r="AN26" s="4">
        <f t="shared" si="4"/>
        <v>0</v>
      </c>
      <c r="AO26" s="3"/>
      <c r="AP26">
        <v>0</v>
      </c>
      <c r="AR26" t="s">
        <v>1</v>
      </c>
      <c r="AT26" s="2" t="s">
        <v>0</v>
      </c>
      <c r="AU26" s="1" t="e">
        <f t="shared" si="5"/>
        <v>#VALUE!</v>
      </c>
      <c r="AV26" s="1" t="e">
        <f t="shared" si="6"/>
        <v>#VALUE!</v>
      </c>
      <c r="AW26" s="1" t="e">
        <f t="shared" si="7"/>
        <v>#VALUE!</v>
      </c>
    </row>
    <row r="27" spans="1:49" x14ac:dyDescent="0.2">
      <c r="A27">
        <v>25</v>
      </c>
      <c r="B27" t="s">
        <v>1521</v>
      </c>
      <c r="F27" t="s">
        <v>1520</v>
      </c>
      <c r="G27" t="s">
        <v>4</v>
      </c>
      <c r="H27" t="s">
        <v>3</v>
      </c>
      <c r="I27" t="s">
        <v>1519</v>
      </c>
      <c r="N27">
        <v>3</v>
      </c>
      <c r="O27" t="s">
        <v>1518</v>
      </c>
      <c r="P27" t="s">
        <v>1517</v>
      </c>
      <c r="Q27" t="s">
        <v>17</v>
      </c>
      <c r="R27" s="7">
        <v>31747</v>
      </c>
      <c r="S27" s="8">
        <f t="shared" si="0"/>
        <v>1986</v>
      </c>
      <c r="T27" s="8">
        <v>1986</v>
      </c>
      <c r="U27" s="8">
        <f t="shared" si="1"/>
        <v>36</v>
      </c>
      <c r="V27" s="7">
        <v>1986</v>
      </c>
      <c r="W27" t="s">
        <v>1301</v>
      </c>
      <c r="X27" s="2" t="s">
        <v>0</v>
      </c>
      <c r="Y27" s="6" t="e">
        <f t="shared" si="2"/>
        <v>#VALUE!</v>
      </c>
      <c r="AA27">
        <v>337870</v>
      </c>
      <c r="AB27">
        <v>32478</v>
      </c>
      <c r="AD27" t="s">
        <v>2</v>
      </c>
      <c r="AE27">
        <v>29</v>
      </c>
      <c r="AF27">
        <v>5</v>
      </c>
      <c r="AH27" t="s">
        <v>1410</v>
      </c>
      <c r="AI27" t="s">
        <v>1516</v>
      </c>
      <c r="AK27" t="s">
        <v>1515</v>
      </c>
      <c r="AL27">
        <v>0</v>
      </c>
      <c r="AM27" s="5">
        <f t="shared" si="3"/>
        <v>0</v>
      </c>
      <c r="AN27" s="4">
        <f t="shared" si="4"/>
        <v>0</v>
      </c>
      <c r="AO27" s="3"/>
      <c r="AP27">
        <v>0</v>
      </c>
      <c r="AR27" t="s">
        <v>1</v>
      </c>
      <c r="AT27" s="2" t="s">
        <v>0</v>
      </c>
      <c r="AU27" s="1" t="e">
        <f t="shared" si="5"/>
        <v>#VALUE!</v>
      </c>
      <c r="AV27" s="1" t="e">
        <f t="shared" si="6"/>
        <v>#VALUE!</v>
      </c>
      <c r="AW27" s="1" t="e">
        <f t="shared" si="7"/>
        <v>#VALUE!</v>
      </c>
    </row>
    <row r="28" spans="1:49" x14ac:dyDescent="0.2">
      <c r="A28">
        <v>26</v>
      </c>
      <c r="B28" t="s">
        <v>1514</v>
      </c>
      <c r="F28" t="s">
        <v>1513</v>
      </c>
      <c r="G28" t="s">
        <v>4</v>
      </c>
      <c r="H28" t="s">
        <v>3</v>
      </c>
      <c r="I28" t="s">
        <v>1421</v>
      </c>
      <c r="N28">
        <v>2</v>
      </c>
      <c r="O28" t="s">
        <v>1512</v>
      </c>
      <c r="P28" t="s">
        <v>1511</v>
      </c>
      <c r="Q28" t="s">
        <v>18</v>
      </c>
      <c r="R28" s="7">
        <v>31747</v>
      </c>
      <c r="S28" s="8">
        <f t="shared" si="0"/>
        <v>1986</v>
      </c>
      <c r="T28" s="8">
        <v>1986</v>
      </c>
      <c r="U28" s="8">
        <f t="shared" si="1"/>
        <v>36</v>
      </c>
      <c r="V28" s="7">
        <v>1986</v>
      </c>
      <c r="W28" t="s">
        <v>1301</v>
      </c>
      <c r="X28" s="2" t="s">
        <v>0</v>
      </c>
      <c r="Y28" s="6" t="e">
        <f t="shared" si="2"/>
        <v>#VALUE!</v>
      </c>
      <c r="AA28">
        <v>337870</v>
      </c>
      <c r="AB28">
        <v>32478</v>
      </c>
      <c r="AD28" t="s">
        <v>2</v>
      </c>
      <c r="AE28">
        <v>29</v>
      </c>
      <c r="AF28">
        <v>7</v>
      </c>
      <c r="AH28" t="s">
        <v>1510</v>
      </c>
      <c r="AI28" t="s">
        <v>1509</v>
      </c>
      <c r="AK28" t="s">
        <v>1508</v>
      </c>
      <c r="AL28">
        <v>0</v>
      </c>
      <c r="AM28" s="5">
        <f t="shared" si="3"/>
        <v>0</v>
      </c>
      <c r="AN28" s="4">
        <f t="shared" si="4"/>
        <v>0</v>
      </c>
      <c r="AO28" s="3"/>
      <c r="AP28">
        <v>0</v>
      </c>
      <c r="AR28" t="s">
        <v>1</v>
      </c>
      <c r="AT28" s="2" t="s">
        <v>0</v>
      </c>
      <c r="AU28" s="1" t="e">
        <f t="shared" si="5"/>
        <v>#VALUE!</v>
      </c>
      <c r="AV28" s="1" t="e">
        <f t="shared" si="6"/>
        <v>#VALUE!</v>
      </c>
      <c r="AW28" s="1" t="e">
        <f t="shared" si="7"/>
        <v>#VALUE!</v>
      </c>
    </row>
    <row r="29" spans="1:49" x14ac:dyDescent="0.2">
      <c r="A29">
        <v>27</v>
      </c>
      <c r="B29" t="s">
        <v>1507</v>
      </c>
      <c r="E29">
        <v>3528156</v>
      </c>
      <c r="F29" t="s">
        <v>1506</v>
      </c>
      <c r="G29" t="s">
        <v>4</v>
      </c>
      <c r="H29" t="s">
        <v>3</v>
      </c>
      <c r="I29" t="s">
        <v>1505</v>
      </c>
      <c r="J29">
        <v>60007903</v>
      </c>
      <c r="K29" t="s">
        <v>1504</v>
      </c>
      <c r="L29" t="s">
        <v>1503</v>
      </c>
      <c r="M29" t="s">
        <v>72</v>
      </c>
      <c r="N29">
        <v>2</v>
      </c>
      <c r="O29" t="s">
        <v>1502</v>
      </c>
      <c r="P29" t="s">
        <v>1501</v>
      </c>
      <c r="Q29" t="s">
        <v>1500</v>
      </c>
      <c r="R29" s="7">
        <v>31747</v>
      </c>
      <c r="S29" s="8">
        <f t="shared" si="0"/>
        <v>1986</v>
      </c>
      <c r="T29" s="8">
        <v>1986</v>
      </c>
      <c r="U29" s="8">
        <f t="shared" si="1"/>
        <v>36</v>
      </c>
      <c r="V29" s="7">
        <v>1986</v>
      </c>
      <c r="W29" t="s">
        <v>1499</v>
      </c>
      <c r="X29" s="2">
        <v>2.3610000000000002</v>
      </c>
      <c r="Y29" s="6">
        <f t="shared" si="2"/>
        <v>6.3025546568431179E-2</v>
      </c>
      <c r="AA29">
        <v>219258</v>
      </c>
      <c r="AB29">
        <v>17592</v>
      </c>
      <c r="AD29" t="s">
        <v>2</v>
      </c>
      <c r="AE29">
        <v>261</v>
      </c>
      <c r="AF29">
        <v>26</v>
      </c>
      <c r="AH29" t="s">
        <v>1498</v>
      </c>
      <c r="AI29" t="s">
        <v>1497</v>
      </c>
      <c r="AK29" t="s">
        <v>1496</v>
      </c>
      <c r="AL29">
        <v>14</v>
      </c>
      <c r="AM29" s="5">
        <f t="shared" si="3"/>
        <v>0.3888888888888889</v>
      </c>
      <c r="AN29" s="4">
        <f t="shared" si="4"/>
        <v>5.890024822247465E-4</v>
      </c>
      <c r="AO29" s="3"/>
      <c r="AP29">
        <v>0</v>
      </c>
      <c r="AR29" t="s">
        <v>1</v>
      </c>
      <c r="AT29" s="2">
        <v>5.157</v>
      </c>
      <c r="AU29" s="1">
        <f t="shared" si="5"/>
        <v>4.4294583342569247</v>
      </c>
      <c r="AV29" s="1">
        <f t="shared" si="6"/>
        <v>3.1807274525327967</v>
      </c>
      <c r="AW29" s="1">
        <f t="shared" si="7"/>
        <v>1.9319965708086675</v>
      </c>
    </row>
    <row r="30" spans="1:49" x14ac:dyDescent="0.2">
      <c r="A30">
        <v>28</v>
      </c>
      <c r="B30" t="s">
        <v>1495</v>
      </c>
      <c r="F30" t="s">
        <v>1494</v>
      </c>
      <c r="G30" t="s">
        <v>4</v>
      </c>
      <c r="H30" t="s">
        <v>3</v>
      </c>
      <c r="I30" t="s">
        <v>1493</v>
      </c>
      <c r="N30">
        <v>2</v>
      </c>
      <c r="O30" t="s">
        <v>1492</v>
      </c>
      <c r="P30" t="s">
        <v>1491</v>
      </c>
      <c r="Q30" t="s">
        <v>18</v>
      </c>
      <c r="R30" s="7">
        <v>31747</v>
      </c>
      <c r="S30" s="8">
        <f t="shared" si="0"/>
        <v>1986</v>
      </c>
      <c r="T30" s="8">
        <v>1986</v>
      </c>
      <c r="U30" s="8">
        <f t="shared" si="1"/>
        <v>36</v>
      </c>
      <c r="V30" s="7">
        <v>1986</v>
      </c>
      <c r="W30" t="s">
        <v>1301</v>
      </c>
      <c r="X30" s="2" t="s">
        <v>0</v>
      </c>
      <c r="Y30" s="6" t="e">
        <f t="shared" si="2"/>
        <v>#VALUE!</v>
      </c>
      <c r="AA30">
        <v>337870</v>
      </c>
      <c r="AB30">
        <v>32478</v>
      </c>
      <c r="AD30" t="s">
        <v>2</v>
      </c>
      <c r="AE30">
        <v>29</v>
      </c>
      <c r="AF30">
        <v>2</v>
      </c>
      <c r="AH30" t="s">
        <v>169</v>
      </c>
      <c r="AI30" t="s">
        <v>1490</v>
      </c>
      <c r="AK30" t="s">
        <v>1489</v>
      </c>
      <c r="AL30">
        <v>0</v>
      </c>
      <c r="AM30" s="5">
        <f t="shared" si="3"/>
        <v>0</v>
      </c>
      <c r="AN30" s="4">
        <f t="shared" si="4"/>
        <v>0</v>
      </c>
      <c r="AO30" s="3"/>
      <c r="AP30">
        <v>0</v>
      </c>
      <c r="AR30" t="s">
        <v>1</v>
      </c>
      <c r="AT30" s="2" t="s">
        <v>0</v>
      </c>
      <c r="AU30" s="1" t="e">
        <f t="shared" si="5"/>
        <v>#VALUE!</v>
      </c>
      <c r="AV30" s="1" t="e">
        <f t="shared" si="6"/>
        <v>#VALUE!</v>
      </c>
      <c r="AW30" s="1" t="e">
        <f t="shared" si="7"/>
        <v>#VALUE!</v>
      </c>
    </row>
    <row r="31" spans="1:49" x14ac:dyDescent="0.2">
      <c r="A31">
        <v>29</v>
      </c>
      <c r="B31" t="s">
        <v>1488</v>
      </c>
      <c r="F31" t="s">
        <v>1487</v>
      </c>
      <c r="G31" t="s">
        <v>4</v>
      </c>
      <c r="H31" t="s">
        <v>3</v>
      </c>
      <c r="I31" t="s">
        <v>1486</v>
      </c>
      <c r="N31">
        <v>2</v>
      </c>
      <c r="O31" t="s">
        <v>1485</v>
      </c>
      <c r="P31" t="s">
        <v>1484</v>
      </c>
      <c r="Q31" t="s">
        <v>18</v>
      </c>
      <c r="R31" s="7">
        <v>31747</v>
      </c>
      <c r="S31" s="8">
        <f t="shared" si="0"/>
        <v>1986</v>
      </c>
      <c r="T31" s="8">
        <v>1986</v>
      </c>
      <c r="U31" s="8">
        <f t="shared" si="1"/>
        <v>36</v>
      </c>
      <c r="V31" s="7">
        <v>1986</v>
      </c>
      <c r="W31" t="s">
        <v>1301</v>
      </c>
      <c r="X31" s="2" t="s">
        <v>0</v>
      </c>
      <c r="Y31" s="6" t="e">
        <f t="shared" si="2"/>
        <v>#VALUE!</v>
      </c>
      <c r="AA31">
        <v>337870</v>
      </c>
      <c r="AB31">
        <v>32478</v>
      </c>
      <c r="AD31" t="s">
        <v>2</v>
      </c>
      <c r="AE31">
        <v>29</v>
      </c>
      <c r="AF31">
        <v>2</v>
      </c>
      <c r="AH31" t="s">
        <v>113</v>
      </c>
      <c r="AI31" t="s">
        <v>1483</v>
      </c>
      <c r="AK31" t="s">
        <v>1482</v>
      </c>
      <c r="AL31">
        <v>0</v>
      </c>
      <c r="AM31" s="5">
        <f t="shared" si="3"/>
        <v>0</v>
      </c>
      <c r="AN31" s="4">
        <f t="shared" si="4"/>
        <v>0</v>
      </c>
      <c r="AO31" s="3"/>
      <c r="AP31">
        <v>0</v>
      </c>
      <c r="AR31" t="s">
        <v>1</v>
      </c>
      <c r="AT31" s="2" t="s">
        <v>0</v>
      </c>
      <c r="AU31" s="1" t="e">
        <f t="shared" si="5"/>
        <v>#VALUE!</v>
      </c>
      <c r="AV31" s="1" t="e">
        <f t="shared" si="6"/>
        <v>#VALUE!</v>
      </c>
      <c r="AW31" s="1" t="e">
        <f t="shared" si="7"/>
        <v>#VALUE!</v>
      </c>
    </row>
    <row r="32" spans="1:49" x14ac:dyDescent="0.2">
      <c r="A32">
        <v>30</v>
      </c>
      <c r="B32" t="s">
        <v>1481</v>
      </c>
      <c r="F32" t="s">
        <v>1480</v>
      </c>
      <c r="G32" t="s">
        <v>4</v>
      </c>
      <c r="H32" t="s">
        <v>3</v>
      </c>
      <c r="I32" t="s">
        <v>1479</v>
      </c>
      <c r="N32">
        <v>2</v>
      </c>
      <c r="O32" t="s">
        <v>1478</v>
      </c>
      <c r="P32" t="s">
        <v>1477</v>
      </c>
      <c r="Q32" t="s">
        <v>18</v>
      </c>
      <c r="R32" s="7">
        <v>31747</v>
      </c>
      <c r="S32" s="8">
        <f t="shared" si="0"/>
        <v>1986</v>
      </c>
      <c r="T32" s="8">
        <v>1986</v>
      </c>
      <c r="U32" s="8">
        <f t="shared" si="1"/>
        <v>36</v>
      </c>
      <c r="V32" s="7">
        <v>1986</v>
      </c>
      <c r="W32" t="s">
        <v>1476</v>
      </c>
      <c r="X32" s="2" t="s">
        <v>0</v>
      </c>
      <c r="Y32" s="6" t="e">
        <f t="shared" si="2"/>
        <v>#VALUE!</v>
      </c>
      <c r="AA32">
        <v>7398417</v>
      </c>
      <c r="AB32">
        <v>33522</v>
      </c>
      <c r="AD32" t="s">
        <v>2</v>
      </c>
      <c r="AF32">
        <v>71</v>
      </c>
      <c r="AI32" t="s">
        <v>1475</v>
      </c>
      <c r="AK32" t="s">
        <v>1474</v>
      </c>
      <c r="AL32">
        <v>0</v>
      </c>
      <c r="AM32" s="5">
        <f t="shared" si="3"/>
        <v>0</v>
      </c>
      <c r="AN32" s="4">
        <f t="shared" si="4"/>
        <v>0</v>
      </c>
      <c r="AO32" s="3"/>
      <c r="AP32">
        <v>0</v>
      </c>
      <c r="AR32" t="s">
        <v>1</v>
      </c>
      <c r="AT32" s="2" t="s">
        <v>0</v>
      </c>
      <c r="AU32" s="1" t="e">
        <f t="shared" si="5"/>
        <v>#VALUE!</v>
      </c>
      <c r="AV32" s="1" t="e">
        <f t="shared" si="6"/>
        <v>#VALUE!</v>
      </c>
      <c r="AW32" s="1" t="e">
        <f t="shared" si="7"/>
        <v>#VALUE!</v>
      </c>
    </row>
    <row r="33" spans="1:49" x14ac:dyDescent="0.2">
      <c r="A33">
        <v>31</v>
      </c>
      <c r="B33" t="s">
        <v>1473</v>
      </c>
      <c r="F33" t="s">
        <v>1472</v>
      </c>
      <c r="G33" t="s">
        <v>4</v>
      </c>
      <c r="H33" t="s">
        <v>3</v>
      </c>
      <c r="I33" t="s">
        <v>1428</v>
      </c>
      <c r="N33">
        <v>2</v>
      </c>
      <c r="O33" t="s">
        <v>1471</v>
      </c>
      <c r="P33" t="s">
        <v>1470</v>
      </c>
      <c r="Q33" t="s">
        <v>18</v>
      </c>
      <c r="R33" s="7">
        <v>31747</v>
      </c>
      <c r="S33" s="8">
        <f t="shared" si="0"/>
        <v>1986</v>
      </c>
      <c r="T33" s="8">
        <v>1986</v>
      </c>
      <c r="U33" s="8">
        <f t="shared" si="1"/>
        <v>36</v>
      </c>
      <c r="V33" s="7">
        <v>1986</v>
      </c>
      <c r="W33" t="s">
        <v>1301</v>
      </c>
      <c r="X33" s="2" t="s">
        <v>0</v>
      </c>
      <c r="Y33" s="6" t="e">
        <f t="shared" si="2"/>
        <v>#VALUE!</v>
      </c>
      <c r="AA33">
        <v>337870</v>
      </c>
      <c r="AB33">
        <v>32478</v>
      </c>
      <c r="AD33" t="s">
        <v>2</v>
      </c>
      <c r="AE33">
        <v>29</v>
      </c>
      <c r="AF33">
        <v>2</v>
      </c>
      <c r="AH33" t="s">
        <v>1469</v>
      </c>
      <c r="AI33" t="s">
        <v>1468</v>
      </c>
      <c r="AK33" t="s">
        <v>1467</v>
      </c>
      <c r="AL33">
        <v>0</v>
      </c>
      <c r="AM33" s="5">
        <f t="shared" si="3"/>
        <v>0</v>
      </c>
      <c r="AN33" s="4">
        <f t="shared" si="4"/>
        <v>0</v>
      </c>
      <c r="AO33" s="3"/>
      <c r="AP33">
        <v>0</v>
      </c>
      <c r="AR33" t="s">
        <v>1</v>
      </c>
      <c r="AT33" s="2" t="s">
        <v>0</v>
      </c>
      <c r="AU33" s="1" t="e">
        <f t="shared" si="5"/>
        <v>#VALUE!</v>
      </c>
      <c r="AV33" s="1" t="e">
        <f t="shared" si="6"/>
        <v>#VALUE!</v>
      </c>
      <c r="AW33" s="1" t="e">
        <f t="shared" si="7"/>
        <v>#VALUE!</v>
      </c>
    </row>
    <row r="34" spans="1:49" x14ac:dyDescent="0.2">
      <c r="A34">
        <v>32</v>
      </c>
      <c r="B34" t="s">
        <v>1466</v>
      </c>
      <c r="F34" t="s">
        <v>1465</v>
      </c>
      <c r="G34" t="s">
        <v>4</v>
      </c>
      <c r="H34" t="s">
        <v>3</v>
      </c>
      <c r="I34" t="s">
        <v>1464</v>
      </c>
      <c r="N34">
        <v>1</v>
      </c>
      <c r="O34" t="s">
        <v>1463</v>
      </c>
      <c r="P34">
        <v>6602430838</v>
      </c>
      <c r="R34" s="7">
        <v>31747</v>
      </c>
      <c r="S34" s="8">
        <f t="shared" si="0"/>
        <v>1986</v>
      </c>
      <c r="T34" s="8">
        <v>1986</v>
      </c>
      <c r="U34" s="8">
        <f t="shared" si="1"/>
        <v>36</v>
      </c>
      <c r="V34" s="7">
        <v>1986</v>
      </c>
      <c r="W34" t="s">
        <v>1301</v>
      </c>
      <c r="X34" s="2" t="s">
        <v>0</v>
      </c>
      <c r="Y34" s="6" t="e">
        <f t="shared" si="2"/>
        <v>#VALUE!</v>
      </c>
      <c r="AA34">
        <v>337870</v>
      </c>
      <c r="AB34">
        <v>32478</v>
      </c>
      <c r="AD34" t="s">
        <v>2</v>
      </c>
      <c r="AE34">
        <v>29</v>
      </c>
      <c r="AF34">
        <v>2</v>
      </c>
      <c r="AH34" t="s">
        <v>1462</v>
      </c>
      <c r="AI34" t="s">
        <v>1461</v>
      </c>
      <c r="AK34" t="s">
        <v>1460</v>
      </c>
      <c r="AL34">
        <v>0</v>
      </c>
      <c r="AM34" s="5">
        <f t="shared" si="3"/>
        <v>0</v>
      </c>
      <c r="AN34" s="4">
        <f t="shared" si="4"/>
        <v>0</v>
      </c>
      <c r="AO34" s="3"/>
      <c r="AP34">
        <v>0</v>
      </c>
      <c r="AR34" t="s">
        <v>1</v>
      </c>
      <c r="AT34" s="2" t="s">
        <v>0</v>
      </c>
      <c r="AU34" s="1" t="e">
        <f t="shared" si="5"/>
        <v>#VALUE!</v>
      </c>
      <c r="AV34" s="1" t="e">
        <f t="shared" si="6"/>
        <v>#VALUE!</v>
      </c>
      <c r="AW34" s="1" t="e">
        <f t="shared" si="7"/>
        <v>#VALUE!</v>
      </c>
    </row>
    <row r="35" spans="1:49" x14ac:dyDescent="0.2">
      <c r="A35">
        <v>33</v>
      </c>
      <c r="B35" t="s">
        <v>1459</v>
      </c>
      <c r="F35" t="s">
        <v>1458</v>
      </c>
      <c r="G35" t="s">
        <v>4</v>
      </c>
      <c r="H35" t="s">
        <v>3</v>
      </c>
      <c r="I35" t="s">
        <v>1457</v>
      </c>
      <c r="N35">
        <v>2</v>
      </c>
      <c r="O35" t="s">
        <v>1456</v>
      </c>
      <c r="P35" t="s">
        <v>1455</v>
      </c>
      <c r="Q35" t="s">
        <v>18</v>
      </c>
      <c r="R35" s="7">
        <v>31747</v>
      </c>
      <c r="S35" s="8">
        <f t="shared" si="0"/>
        <v>1986</v>
      </c>
      <c r="T35" s="8">
        <v>1986</v>
      </c>
      <c r="U35" s="8">
        <f t="shared" si="1"/>
        <v>36</v>
      </c>
      <c r="V35" s="7">
        <v>1986</v>
      </c>
      <c r="W35" t="s">
        <v>1301</v>
      </c>
      <c r="X35" s="2" t="s">
        <v>0</v>
      </c>
      <c r="Y35" s="6" t="e">
        <f t="shared" si="2"/>
        <v>#VALUE!</v>
      </c>
      <c r="AA35">
        <v>337870</v>
      </c>
      <c r="AB35">
        <v>32478</v>
      </c>
      <c r="AD35" t="s">
        <v>2</v>
      </c>
      <c r="AE35">
        <v>29</v>
      </c>
      <c r="AF35">
        <v>2</v>
      </c>
      <c r="AH35" t="s">
        <v>1454</v>
      </c>
      <c r="AI35" t="s">
        <v>1453</v>
      </c>
      <c r="AK35" t="s">
        <v>1452</v>
      </c>
      <c r="AL35">
        <v>0</v>
      </c>
      <c r="AM35" s="5">
        <f t="shared" si="3"/>
        <v>0</v>
      </c>
      <c r="AN35" s="4">
        <f t="shared" si="4"/>
        <v>0</v>
      </c>
      <c r="AO35" s="3"/>
      <c r="AP35">
        <v>0</v>
      </c>
      <c r="AR35" t="s">
        <v>1</v>
      </c>
      <c r="AT35" s="2" t="s">
        <v>0</v>
      </c>
      <c r="AU35" s="1" t="e">
        <f t="shared" si="5"/>
        <v>#VALUE!</v>
      </c>
      <c r="AV35" s="1" t="e">
        <f t="shared" si="6"/>
        <v>#VALUE!</v>
      </c>
      <c r="AW35" s="1" t="e">
        <f t="shared" si="7"/>
        <v>#VALUE!</v>
      </c>
    </row>
    <row r="36" spans="1:49" x14ac:dyDescent="0.2">
      <c r="A36">
        <v>34</v>
      </c>
      <c r="B36" t="s">
        <v>1451</v>
      </c>
      <c r="F36" t="s">
        <v>1450</v>
      </c>
      <c r="G36" t="s">
        <v>4</v>
      </c>
      <c r="H36" t="s">
        <v>3</v>
      </c>
      <c r="I36" t="s">
        <v>1182</v>
      </c>
      <c r="J36">
        <v>60092258</v>
      </c>
      <c r="K36" t="s">
        <v>51</v>
      </c>
      <c r="L36" t="s">
        <v>50</v>
      </c>
      <c r="M36" t="s">
        <v>6</v>
      </c>
      <c r="N36">
        <v>4</v>
      </c>
      <c r="O36" t="s">
        <v>1449</v>
      </c>
      <c r="P36" t="s">
        <v>1448</v>
      </c>
      <c r="Q36" t="s">
        <v>175</v>
      </c>
      <c r="R36" s="7">
        <v>31747</v>
      </c>
      <c r="S36" s="8">
        <f t="shared" si="0"/>
        <v>1986</v>
      </c>
      <c r="T36" s="8">
        <v>1986</v>
      </c>
      <c r="U36" s="8">
        <f t="shared" si="1"/>
        <v>36</v>
      </c>
      <c r="V36" s="7">
        <v>1986</v>
      </c>
      <c r="W36" t="s">
        <v>1291</v>
      </c>
      <c r="X36" s="2" t="s">
        <v>0</v>
      </c>
      <c r="Y36" s="6" t="e">
        <f t="shared" si="2"/>
        <v>#VALUE!</v>
      </c>
      <c r="AA36">
        <v>2851903</v>
      </c>
      <c r="AB36">
        <v>38260</v>
      </c>
      <c r="AD36" t="s">
        <v>2</v>
      </c>
      <c r="AF36">
        <v>25</v>
      </c>
      <c r="AH36" t="s">
        <v>1447</v>
      </c>
      <c r="AI36" t="s">
        <v>1446</v>
      </c>
      <c r="AK36" t="s">
        <v>1445</v>
      </c>
      <c r="AL36">
        <v>0</v>
      </c>
      <c r="AM36" s="5">
        <f t="shared" si="3"/>
        <v>0</v>
      </c>
      <c r="AN36" s="4">
        <f t="shared" si="4"/>
        <v>0</v>
      </c>
      <c r="AO36" s="3"/>
      <c r="AP36">
        <v>0</v>
      </c>
      <c r="AR36" t="s">
        <v>1</v>
      </c>
      <c r="AT36" s="2" t="s">
        <v>0</v>
      </c>
      <c r="AU36" s="1" t="e">
        <f t="shared" si="5"/>
        <v>#VALUE!</v>
      </c>
      <c r="AV36" s="1" t="e">
        <f t="shared" si="6"/>
        <v>#VALUE!</v>
      </c>
      <c r="AW36" s="1" t="e">
        <f t="shared" si="7"/>
        <v>#VALUE!</v>
      </c>
    </row>
    <row r="37" spans="1:49" x14ac:dyDescent="0.2">
      <c r="A37">
        <v>35</v>
      </c>
      <c r="B37" t="s">
        <v>1444</v>
      </c>
      <c r="C37" t="s">
        <v>1443</v>
      </c>
      <c r="F37" t="s">
        <v>1442</v>
      </c>
      <c r="G37" t="s">
        <v>4</v>
      </c>
      <c r="H37" t="s">
        <v>3</v>
      </c>
      <c r="I37" t="s">
        <v>1441</v>
      </c>
      <c r="N37">
        <v>3</v>
      </c>
      <c r="O37" t="s">
        <v>1440</v>
      </c>
      <c r="P37" t="s">
        <v>1439</v>
      </c>
      <c r="Q37" t="s">
        <v>17</v>
      </c>
      <c r="R37" s="7">
        <v>31747</v>
      </c>
      <c r="S37" s="8">
        <f t="shared" si="0"/>
        <v>1986</v>
      </c>
      <c r="T37" s="8">
        <v>1986</v>
      </c>
      <c r="U37" s="8">
        <f t="shared" si="1"/>
        <v>36</v>
      </c>
      <c r="V37" s="7">
        <v>31747</v>
      </c>
      <c r="W37" t="s">
        <v>153</v>
      </c>
      <c r="X37" s="2">
        <v>0.14899999999999999</v>
      </c>
      <c r="Y37" s="6">
        <f t="shared" si="2"/>
        <v>3.977469902031446E-3</v>
      </c>
      <c r="AA37">
        <v>5431972</v>
      </c>
      <c r="AB37">
        <v>15425</v>
      </c>
      <c r="AC37">
        <v>15738906</v>
      </c>
      <c r="AD37" t="s">
        <v>2</v>
      </c>
      <c r="AE37">
        <v>29</v>
      </c>
      <c r="AF37">
        <v>12</v>
      </c>
      <c r="AH37" t="s">
        <v>1438</v>
      </c>
      <c r="AL37">
        <v>0</v>
      </c>
      <c r="AM37" s="5">
        <f t="shared" si="3"/>
        <v>0</v>
      </c>
      <c r="AN37" s="4">
        <f t="shared" si="4"/>
        <v>0</v>
      </c>
      <c r="AO37" s="3"/>
      <c r="AP37">
        <v>0</v>
      </c>
      <c r="AR37" t="s">
        <v>1</v>
      </c>
      <c r="AT37" s="2" t="s">
        <v>0</v>
      </c>
      <c r="AU37" s="1">
        <f t="shared" si="5"/>
        <v>0.2784228931422012</v>
      </c>
      <c r="AV37" s="1">
        <f t="shared" si="6"/>
        <v>0.19887349510157229</v>
      </c>
      <c r="AW37" s="1">
        <f t="shared" si="7"/>
        <v>0.11932409706094337</v>
      </c>
    </row>
    <row r="38" spans="1:49" x14ac:dyDescent="0.2">
      <c r="A38">
        <v>36</v>
      </c>
      <c r="B38" t="s">
        <v>1437</v>
      </c>
      <c r="F38" t="s">
        <v>1436</v>
      </c>
      <c r="G38" t="s">
        <v>4</v>
      </c>
      <c r="H38" t="s">
        <v>3</v>
      </c>
      <c r="I38" t="s">
        <v>1435</v>
      </c>
      <c r="N38">
        <v>4</v>
      </c>
      <c r="O38" t="s">
        <v>1434</v>
      </c>
      <c r="P38" t="s">
        <v>1433</v>
      </c>
      <c r="Q38" t="s">
        <v>54</v>
      </c>
      <c r="R38" s="7">
        <v>31747</v>
      </c>
      <c r="S38" s="8">
        <f t="shared" si="0"/>
        <v>1986</v>
      </c>
      <c r="T38" s="8">
        <v>1986</v>
      </c>
      <c r="U38" s="8">
        <f t="shared" si="1"/>
        <v>36</v>
      </c>
      <c r="V38" s="7">
        <v>1986</v>
      </c>
      <c r="W38" t="s">
        <v>1301</v>
      </c>
      <c r="X38" s="2" t="s">
        <v>0</v>
      </c>
      <c r="Y38" s="6" t="e">
        <f t="shared" si="2"/>
        <v>#VALUE!</v>
      </c>
      <c r="AA38">
        <v>337870</v>
      </c>
      <c r="AB38">
        <v>32478</v>
      </c>
      <c r="AD38" t="s">
        <v>2</v>
      </c>
      <c r="AE38">
        <v>29</v>
      </c>
      <c r="AF38">
        <v>2</v>
      </c>
      <c r="AH38" s="9">
        <v>44532</v>
      </c>
      <c r="AI38" t="s">
        <v>1432</v>
      </c>
      <c r="AK38" t="s">
        <v>1431</v>
      </c>
      <c r="AL38">
        <v>0</v>
      </c>
      <c r="AM38" s="5">
        <f t="shared" si="3"/>
        <v>0</v>
      </c>
      <c r="AN38" s="4">
        <f t="shared" si="4"/>
        <v>0</v>
      </c>
      <c r="AO38" s="3"/>
      <c r="AP38">
        <v>0</v>
      </c>
      <c r="AR38" t="s">
        <v>1</v>
      </c>
      <c r="AT38" s="2" t="s">
        <v>0</v>
      </c>
      <c r="AU38" s="1" t="e">
        <f t="shared" si="5"/>
        <v>#VALUE!</v>
      </c>
      <c r="AV38" s="1" t="e">
        <f t="shared" si="6"/>
        <v>#VALUE!</v>
      </c>
      <c r="AW38" s="1" t="e">
        <f t="shared" si="7"/>
        <v>#VALUE!</v>
      </c>
    </row>
    <row r="39" spans="1:49" x14ac:dyDescent="0.2">
      <c r="A39">
        <v>37</v>
      </c>
      <c r="B39" t="s">
        <v>1430</v>
      </c>
      <c r="F39" t="s">
        <v>1429</v>
      </c>
      <c r="G39" t="s">
        <v>4</v>
      </c>
      <c r="H39" t="s">
        <v>3</v>
      </c>
      <c r="I39" t="s">
        <v>1428</v>
      </c>
      <c r="N39">
        <v>2</v>
      </c>
      <c r="O39" t="s">
        <v>1427</v>
      </c>
      <c r="P39" t="s">
        <v>1426</v>
      </c>
      <c r="Q39" t="s">
        <v>18</v>
      </c>
      <c r="R39" s="7">
        <v>31747</v>
      </c>
      <c r="S39" s="8">
        <f t="shared" si="0"/>
        <v>1986</v>
      </c>
      <c r="T39" s="8">
        <v>1986</v>
      </c>
      <c r="U39" s="8">
        <f t="shared" si="1"/>
        <v>36</v>
      </c>
      <c r="V39" s="7">
        <v>1986</v>
      </c>
      <c r="W39" t="s">
        <v>1301</v>
      </c>
      <c r="X39" s="2" t="s">
        <v>0</v>
      </c>
      <c r="Y39" s="6" t="e">
        <f t="shared" si="2"/>
        <v>#VALUE!</v>
      </c>
      <c r="AA39">
        <v>337870</v>
      </c>
      <c r="AB39">
        <v>32478</v>
      </c>
      <c r="AD39" t="s">
        <v>2</v>
      </c>
      <c r="AE39">
        <v>29</v>
      </c>
      <c r="AF39">
        <v>2</v>
      </c>
      <c r="AH39" t="s">
        <v>130</v>
      </c>
      <c r="AI39" t="s">
        <v>1425</v>
      </c>
      <c r="AK39" t="s">
        <v>1424</v>
      </c>
      <c r="AL39">
        <v>0</v>
      </c>
      <c r="AM39" s="5">
        <f t="shared" si="3"/>
        <v>0</v>
      </c>
      <c r="AN39" s="4">
        <f t="shared" si="4"/>
        <v>0</v>
      </c>
      <c r="AO39" s="3"/>
      <c r="AP39">
        <v>0</v>
      </c>
      <c r="AR39" t="s">
        <v>1</v>
      </c>
      <c r="AT39" s="2" t="s">
        <v>0</v>
      </c>
      <c r="AU39" s="1" t="e">
        <f t="shared" si="5"/>
        <v>#VALUE!</v>
      </c>
      <c r="AV39" s="1" t="e">
        <f t="shared" si="6"/>
        <v>#VALUE!</v>
      </c>
      <c r="AW39" s="1" t="e">
        <f t="shared" si="7"/>
        <v>#VALUE!</v>
      </c>
    </row>
    <row r="40" spans="1:49" x14ac:dyDescent="0.2">
      <c r="A40">
        <v>38</v>
      </c>
      <c r="B40" t="s">
        <v>1423</v>
      </c>
      <c r="F40" t="s">
        <v>1422</v>
      </c>
      <c r="G40" t="s">
        <v>4</v>
      </c>
      <c r="H40" t="s">
        <v>3</v>
      </c>
      <c r="I40" t="s">
        <v>1421</v>
      </c>
      <c r="N40">
        <v>3</v>
      </c>
      <c r="O40" t="s">
        <v>1420</v>
      </c>
      <c r="P40" t="s">
        <v>1419</v>
      </c>
      <c r="Q40" t="s">
        <v>17</v>
      </c>
      <c r="R40" s="7">
        <v>31747</v>
      </c>
      <c r="S40" s="8">
        <f t="shared" si="0"/>
        <v>1986</v>
      </c>
      <c r="T40" s="8">
        <v>1986</v>
      </c>
      <c r="U40" s="8">
        <f t="shared" si="1"/>
        <v>36</v>
      </c>
      <c r="V40" s="7">
        <v>1986</v>
      </c>
      <c r="W40" t="s">
        <v>1301</v>
      </c>
      <c r="X40" s="2" t="s">
        <v>0</v>
      </c>
      <c r="Y40" s="6" t="e">
        <f t="shared" si="2"/>
        <v>#VALUE!</v>
      </c>
      <c r="AA40">
        <v>337870</v>
      </c>
      <c r="AB40">
        <v>32478</v>
      </c>
      <c r="AD40" t="s">
        <v>2</v>
      </c>
      <c r="AE40">
        <v>29</v>
      </c>
      <c r="AF40">
        <v>5</v>
      </c>
      <c r="AH40" t="s">
        <v>1418</v>
      </c>
      <c r="AI40" t="s">
        <v>1417</v>
      </c>
      <c r="AK40" t="s">
        <v>1416</v>
      </c>
      <c r="AL40">
        <v>0</v>
      </c>
      <c r="AM40" s="5">
        <f t="shared" si="3"/>
        <v>0</v>
      </c>
      <c r="AN40" s="4">
        <f t="shared" si="4"/>
        <v>0</v>
      </c>
      <c r="AO40" s="3"/>
      <c r="AP40">
        <v>0</v>
      </c>
      <c r="AR40" t="s">
        <v>1</v>
      </c>
      <c r="AT40" s="2" t="s">
        <v>0</v>
      </c>
      <c r="AU40" s="1" t="e">
        <f t="shared" si="5"/>
        <v>#VALUE!</v>
      </c>
      <c r="AV40" s="1" t="e">
        <f t="shared" si="6"/>
        <v>#VALUE!</v>
      </c>
      <c r="AW40" s="1" t="e">
        <f t="shared" si="7"/>
        <v>#VALUE!</v>
      </c>
    </row>
    <row r="41" spans="1:49" x14ac:dyDescent="0.2">
      <c r="A41">
        <v>39</v>
      </c>
      <c r="B41" t="s">
        <v>1415</v>
      </c>
      <c r="F41" t="s">
        <v>1414</v>
      </c>
      <c r="G41" t="s">
        <v>4</v>
      </c>
      <c r="H41" t="s">
        <v>3</v>
      </c>
      <c r="I41" t="s">
        <v>1413</v>
      </c>
      <c r="N41">
        <v>3</v>
      </c>
      <c r="O41" t="s">
        <v>1412</v>
      </c>
      <c r="P41" t="s">
        <v>1411</v>
      </c>
      <c r="Q41" t="s">
        <v>17</v>
      </c>
      <c r="R41" s="7">
        <v>31747</v>
      </c>
      <c r="S41" s="8">
        <f t="shared" si="0"/>
        <v>1986</v>
      </c>
      <c r="T41" s="8">
        <v>1986</v>
      </c>
      <c r="U41" s="8">
        <f t="shared" si="1"/>
        <v>36</v>
      </c>
      <c r="V41" s="7">
        <v>1986</v>
      </c>
      <c r="W41" t="s">
        <v>1301</v>
      </c>
      <c r="X41" s="2" t="s">
        <v>0</v>
      </c>
      <c r="Y41" s="6" t="e">
        <f t="shared" si="2"/>
        <v>#VALUE!</v>
      </c>
      <c r="AA41">
        <v>337870</v>
      </c>
      <c r="AB41">
        <v>32478</v>
      </c>
      <c r="AD41" t="s">
        <v>2</v>
      </c>
      <c r="AE41">
        <v>29</v>
      </c>
      <c r="AF41">
        <v>3</v>
      </c>
      <c r="AH41" t="s">
        <v>1410</v>
      </c>
      <c r="AI41" t="s">
        <v>1409</v>
      </c>
      <c r="AK41" t="s">
        <v>1408</v>
      </c>
      <c r="AL41">
        <v>0</v>
      </c>
      <c r="AM41" s="5">
        <f t="shared" si="3"/>
        <v>0</v>
      </c>
      <c r="AN41" s="4">
        <f t="shared" si="4"/>
        <v>0</v>
      </c>
      <c r="AO41" s="3"/>
      <c r="AP41">
        <v>0</v>
      </c>
      <c r="AR41" t="s">
        <v>1</v>
      </c>
      <c r="AT41" s="2" t="s">
        <v>0</v>
      </c>
      <c r="AU41" s="1" t="e">
        <f t="shared" si="5"/>
        <v>#VALUE!</v>
      </c>
      <c r="AV41" s="1" t="e">
        <f t="shared" si="6"/>
        <v>#VALUE!</v>
      </c>
      <c r="AW41" s="1" t="e">
        <f t="shared" si="7"/>
        <v>#VALUE!</v>
      </c>
    </row>
    <row r="42" spans="1:49" x14ac:dyDescent="0.2">
      <c r="A42">
        <v>40</v>
      </c>
      <c r="B42" t="s">
        <v>1407</v>
      </c>
      <c r="F42" t="s">
        <v>1406</v>
      </c>
      <c r="G42" t="s">
        <v>4</v>
      </c>
      <c r="H42" t="s">
        <v>3</v>
      </c>
      <c r="I42" t="s">
        <v>1405</v>
      </c>
      <c r="N42">
        <v>6</v>
      </c>
      <c r="O42" t="s">
        <v>1404</v>
      </c>
      <c r="P42" t="s">
        <v>1403</v>
      </c>
      <c r="Q42" t="s">
        <v>1402</v>
      </c>
      <c r="R42" s="7">
        <v>31747</v>
      </c>
      <c r="S42" s="8">
        <f t="shared" si="0"/>
        <v>1986</v>
      </c>
      <c r="T42" s="8">
        <v>1986</v>
      </c>
      <c r="U42" s="8">
        <f t="shared" si="1"/>
        <v>36</v>
      </c>
      <c r="V42" s="7">
        <v>1986</v>
      </c>
      <c r="W42" t="s">
        <v>1401</v>
      </c>
      <c r="X42" s="2" t="s">
        <v>0</v>
      </c>
      <c r="Y42" s="6" t="e">
        <f t="shared" si="2"/>
        <v>#VALUE!</v>
      </c>
      <c r="AA42">
        <v>2649187</v>
      </c>
      <c r="AB42">
        <v>36931</v>
      </c>
      <c r="AD42" t="s">
        <v>2</v>
      </c>
      <c r="AE42">
        <v>4</v>
      </c>
      <c r="AF42">
        <v>4</v>
      </c>
      <c r="AH42" t="s">
        <v>1400</v>
      </c>
      <c r="AI42" t="s">
        <v>1399</v>
      </c>
      <c r="AK42" t="s">
        <v>1398</v>
      </c>
      <c r="AL42">
        <v>1</v>
      </c>
      <c r="AM42" s="5">
        <f t="shared" si="3"/>
        <v>2.7777777777777776E-2</v>
      </c>
      <c r="AN42" s="4">
        <f t="shared" si="4"/>
        <v>4.2071605873196175E-5</v>
      </c>
      <c r="AO42" s="3"/>
      <c r="AP42">
        <v>0</v>
      </c>
      <c r="AR42" t="s">
        <v>1</v>
      </c>
      <c r="AT42" s="2" t="s">
        <v>0</v>
      </c>
      <c r="AU42" s="1" t="e">
        <f t="shared" si="5"/>
        <v>#VALUE!</v>
      </c>
      <c r="AV42" s="1" t="e">
        <f t="shared" si="6"/>
        <v>#VALUE!</v>
      </c>
      <c r="AW42" s="1" t="e">
        <f t="shared" si="7"/>
        <v>#VALUE!</v>
      </c>
    </row>
    <row r="43" spans="1:49" x14ac:dyDescent="0.2">
      <c r="A43">
        <v>41</v>
      </c>
      <c r="B43" t="s">
        <v>1397</v>
      </c>
      <c r="F43" t="s">
        <v>1396</v>
      </c>
      <c r="G43" t="s">
        <v>4</v>
      </c>
      <c r="H43" t="s">
        <v>3</v>
      </c>
      <c r="I43" t="s">
        <v>225</v>
      </c>
      <c r="N43">
        <v>2</v>
      </c>
      <c r="O43" t="s">
        <v>1395</v>
      </c>
      <c r="P43" t="s">
        <v>1394</v>
      </c>
      <c r="Q43" t="s">
        <v>18</v>
      </c>
      <c r="R43" s="7">
        <v>31747</v>
      </c>
      <c r="S43" s="8">
        <f t="shared" si="0"/>
        <v>1986</v>
      </c>
      <c r="T43" s="8">
        <v>1986</v>
      </c>
      <c r="U43" s="8">
        <f t="shared" si="1"/>
        <v>36</v>
      </c>
      <c r="V43" s="7">
        <v>1986</v>
      </c>
      <c r="W43" t="s">
        <v>1393</v>
      </c>
      <c r="X43" s="2" t="s">
        <v>0</v>
      </c>
      <c r="Y43" s="6" t="e">
        <f t="shared" si="2"/>
        <v>#VALUE!</v>
      </c>
      <c r="AA43">
        <v>271349</v>
      </c>
      <c r="AB43">
        <v>28721</v>
      </c>
      <c r="AD43" t="s">
        <v>2</v>
      </c>
      <c r="AE43">
        <v>41</v>
      </c>
      <c r="AF43">
        <v>5</v>
      </c>
      <c r="AH43" t="s">
        <v>1392</v>
      </c>
      <c r="AI43" t="s">
        <v>1391</v>
      </c>
      <c r="AK43" t="s">
        <v>1390</v>
      </c>
      <c r="AL43">
        <v>0</v>
      </c>
      <c r="AM43" s="5">
        <f t="shared" si="3"/>
        <v>0</v>
      </c>
      <c r="AN43" s="4">
        <f t="shared" si="4"/>
        <v>0</v>
      </c>
      <c r="AO43" s="3"/>
      <c r="AP43">
        <v>0</v>
      </c>
      <c r="AR43" t="s">
        <v>1</v>
      </c>
      <c r="AT43" s="2" t="s">
        <v>0</v>
      </c>
      <c r="AU43" s="1" t="e">
        <f t="shared" si="5"/>
        <v>#VALUE!</v>
      </c>
      <c r="AV43" s="1" t="e">
        <f t="shared" si="6"/>
        <v>#VALUE!</v>
      </c>
      <c r="AW43" s="1" t="e">
        <f t="shared" si="7"/>
        <v>#VALUE!</v>
      </c>
    </row>
    <row r="44" spans="1:49" x14ac:dyDescent="0.2">
      <c r="A44">
        <v>42</v>
      </c>
      <c r="B44" t="s">
        <v>1389</v>
      </c>
      <c r="F44" t="s">
        <v>1388</v>
      </c>
      <c r="G44" t="s">
        <v>4</v>
      </c>
      <c r="H44" t="s">
        <v>3</v>
      </c>
      <c r="I44" t="s">
        <v>1387</v>
      </c>
      <c r="N44">
        <v>1</v>
      </c>
      <c r="O44" t="s">
        <v>1386</v>
      </c>
      <c r="P44">
        <v>7003502127</v>
      </c>
      <c r="R44" s="7">
        <v>31747</v>
      </c>
      <c r="S44" s="8">
        <f t="shared" si="0"/>
        <v>1986</v>
      </c>
      <c r="T44" s="8">
        <v>1986</v>
      </c>
      <c r="U44" s="8">
        <f t="shared" si="1"/>
        <v>36</v>
      </c>
      <c r="V44" s="7">
        <v>1986</v>
      </c>
      <c r="W44" t="s">
        <v>1301</v>
      </c>
      <c r="X44" s="2" t="s">
        <v>0</v>
      </c>
      <c r="Y44" s="6" t="e">
        <f t="shared" si="2"/>
        <v>#VALUE!</v>
      </c>
      <c r="AA44">
        <v>337870</v>
      </c>
      <c r="AB44">
        <v>32478</v>
      </c>
      <c r="AD44" t="s">
        <v>2</v>
      </c>
      <c r="AE44">
        <v>29</v>
      </c>
      <c r="AF44">
        <v>9</v>
      </c>
      <c r="AH44" t="s">
        <v>1385</v>
      </c>
      <c r="AI44" t="s">
        <v>1384</v>
      </c>
      <c r="AK44" t="s">
        <v>1383</v>
      </c>
      <c r="AL44">
        <v>0</v>
      </c>
      <c r="AM44" s="5">
        <f t="shared" si="3"/>
        <v>0</v>
      </c>
      <c r="AN44" s="4">
        <f t="shared" si="4"/>
        <v>0</v>
      </c>
      <c r="AO44" s="3"/>
      <c r="AP44">
        <v>0</v>
      </c>
      <c r="AR44" t="s">
        <v>1</v>
      </c>
      <c r="AT44" s="2" t="s">
        <v>0</v>
      </c>
      <c r="AU44" s="1" t="e">
        <f t="shared" si="5"/>
        <v>#VALUE!</v>
      </c>
      <c r="AV44" s="1" t="e">
        <f t="shared" si="6"/>
        <v>#VALUE!</v>
      </c>
      <c r="AW44" s="1" t="e">
        <f t="shared" si="7"/>
        <v>#VALUE!</v>
      </c>
    </row>
    <row r="45" spans="1:49" x14ac:dyDescent="0.2">
      <c r="A45">
        <v>43</v>
      </c>
      <c r="B45" t="s">
        <v>1382</v>
      </c>
      <c r="F45" t="s">
        <v>1381</v>
      </c>
      <c r="G45" t="s">
        <v>4</v>
      </c>
      <c r="H45" t="s">
        <v>3</v>
      </c>
      <c r="I45" t="s">
        <v>1380</v>
      </c>
      <c r="N45">
        <v>2</v>
      </c>
      <c r="O45" t="s">
        <v>1379</v>
      </c>
      <c r="P45" t="s">
        <v>1378</v>
      </c>
      <c r="Q45" t="s">
        <v>18</v>
      </c>
      <c r="R45" s="7">
        <v>31747</v>
      </c>
      <c r="S45" s="8">
        <f t="shared" si="0"/>
        <v>1986</v>
      </c>
      <c r="T45" s="8">
        <v>1986</v>
      </c>
      <c r="U45" s="8">
        <f t="shared" si="1"/>
        <v>36</v>
      </c>
      <c r="V45" s="7">
        <v>1986</v>
      </c>
      <c r="W45" t="s">
        <v>1301</v>
      </c>
      <c r="X45" s="2" t="s">
        <v>0</v>
      </c>
      <c r="Y45" s="6" t="e">
        <f t="shared" si="2"/>
        <v>#VALUE!</v>
      </c>
      <c r="AA45">
        <v>337870</v>
      </c>
      <c r="AB45">
        <v>32478</v>
      </c>
      <c r="AD45" t="s">
        <v>2</v>
      </c>
      <c r="AE45">
        <v>29</v>
      </c>
      <c r="AF45">
        <v>2</v>
      </c>
      <c r="AH45" t="s">
        <v>1377</v>
      </c>
      <c r="AI45" t="s">
        <v>1376</v>
      </c>
      <c r="AK45" t="s">
        <v>1375</v>
      </c>
      <c r="AL45">
        <v>0</v>
      </c>
      <c r="AM45" s="5">
        <f t="shared" si="3"/>
        <v>0</v>
      </c>
      <c r="AN45" s="4">
        <f t="shared" si="4"/>
        <v>0</v>
      </c>
      <c r="AO45" s="3"/>
      <c r="AP45">
        <v>0</v>
      </c>
      <c r="AR45" t="s">
        <v>1</v>
      </c>
      <c r="AT45" s="2" t="s">
        <v>0</v>
      </c>
      <c r="AU45" s="1" t="e">
        <f t="shared" si="5"/>
        <v>#VALUE!</v>
      </c>
      <c r="AV45" s="1" t="e">
        <f t="shared" si="6"/>
        <v>#VALUE!</v>
      </c>
      <c r="AW45" s="1" t="e">
        <f t="shared" si="7"/>
        <v>#VALUE!</v>
      </c>
    </row>
    <row r="46" spans="1:49" x14ac:dyDescent="0.2">
      <c r="A46">
        <v>44</v>
      </c>
      <c r="B46" t="s">
        <v>1374</v>
      </c>
      <c r="C46" t="s">
        <v>1373</v>
      </c>
      <c r="F46" t="s">
        <v>1372</v>
      </c>
      <c r="G46" t="s">
        <v>4</v>
      </c>
      <c r="H46" t="s">
        <v>3</v>
      </c>
      <c r="I46" t="s">
        <v>1371</v>
      </c>
      <c r="N46">
        <v>2</v>
      </c>
      <c r="O46" t="s">
        <v>1370</v>
      </c>
      <c r="P46" t="s">
        <v>1369</v>
      </c>
      <c r="Q46" t="s">
        <v>18</v>
      </c>
      <c r="R46" s="7">
        <v>31747</v>
      </c>
      <c r="S46" s="8">
        <f t="shared" si="0"/>
        <v>1986</v>
      </c>
      <c r="T46" s="8">
        <v>1986</v>
      </c>
      <c r="U46" s="8">
        <f t="shared" si="1"/>
        <v>36</v>
      </c>
      <c r="V46" s="7">
        <v>31747</v>
      </c>
      <c r="W46" t="s">
        <v>37</v>
      </c>
      <c r="X46" s="2">
        <v>0.318</v>
      </c>
      <c r="Y46" s="6">
        <f t="shared" si="2"/>
        <v>8.4888283815167786E-3</v>
      </c>
      <c r="AA46">
        <v>338443</v>
      </c>
      <c r="AB46">
        <v>27160</v>
      </c>
      <c r="AC46">
        <v>15739120</v>
      </c>
      <c r="AD46" t="s">
        <v>2</v>
      </c>
      <c r="AE46">
        <v>29</v>
      </c>
      <c r="AF46">
        <v>12</v>
      </c>
      <c r="AH46" t="s">
        <v>1368</v>
      </c>
      <c r="AL46">
        <v>0</v>
      </c>
      <c r="AM46" s="5">
        <f t="shared" si="3"/>
        <v>0</v>
      </c>
      <c r="AN46" s="4">
        <f t="shared" si="4"/>
        <v>0</v>
      </c>
      <c r="AO46" s="3"/>
      <c r="AP46">
        <v>0</v>
      </c>
      <c r="AR46" t="s">
        <v>1</v>
      </c>
      <c r="AT46" s="2">
        <v>0.77</v>
      </c>
      <c r="AU46" s="1">
        <f t="shared" si="5"/>
        <v>0.59421798670617454</v>
      </c>
      <c r="AV46" s="1">
        <f t="shared" si="6"/>
        <v>0.42444141907583893</v>
      </c>
      <c r="AW46" s="1">
        <f t="shared" si="7"/>
        <v>0.25466485144550338</v>
      </c>
    </row>
    <row r="47" spans="1:49" x14ac:dyDescent="0.2">
      <c r="A47">
        <v>45</v>
      </c>
      <c r="B47" t="s">
        <v>1367</v>
      </c>
      <c r="C47" t="s">
        <v>1366</v>
      </c>
      <c r="F47" t="s">
        <v>1365</v>
      </c>
      <c r="G47" t="s">
        <v>4</v>
      </c>
      <c r="H47" t="s">
        <v>3</v>
      </c>
      <c r="I47" t="s">
        <v>1364</v>
      </c>
      <c r="J47">
        <v>60029284</v>
      </c>
      <c r="K47" t="s">
        <v>1363</v>
      </c>
      <c r="L47" t="s">
        <v>1065</v>
      </c>
      <c r="M47" t="s">
        <v>22</v>
      </c>
      <c r="N47">
        <v>3</v>
      </c>
      <c r="O47" t="s">
        <v>1362</v>
      </c>
      <c r="P47" t="s">
        <v>1361</v>
      </c>
      <c r="Q47" t="s">
        <v>1360</v>
      </c>
      <c r="R47" s="7">
        <v>31747</v>
      </c>
      <c r="S47" s="8">
        <f t="shared" si="0"/>
        <v>1986</v>
      </c>
      <c r="T47" s="8">
        <v>1986</v>
      </c>
      <c r="U47" s="8">
        <f t="shared" si="1"/>
        <v>36</v>
      </c>
      <c r="V47" s="7">
        <v>31747</v>
      </c>
      <c r="W47" s="11" t="s">
        <v>53</v>
      </c>
      <c r="X47" s="2">
        <v>2.383</v>
      </c>
      <c r="Y47" s="6">
        <f t="shared" si="2"/>
        <v>6.3612824003630442E-2</v>
      </c>
      <c r="AA47" t="s">
        <v>52</v>
      </c>
      <c r="AB47">
        <v>101151</v>
      </c>
      <c r="AD47" t="s">
        <v>2</v>
      </c>
      <c r="AE47">
        <v>133</v>
      </c>
      <c r="AF47">
        <v>6</v>
      </c>
      <c r="AH47" t="s">
        <v>93</v>
      </c>
      <c r="AL47">
        <v>0</v>
      </c>
      <c r="AM47" s="5">
        <f t="shared" si="3"/>
        <v>0</v>
      </c>
      <c r="AN47" s="4">
        <f t="shared" si="4"/>
        <v>0</v>
      </c>
      <c r="AO47" s="3"/>
      <c r="AP47">
        <v>0</v>
      </c>
      <c r="AR47" t="s">
        <v>1</v>
      </c>
      <c r="AT47" s="2" t="s">
        <v>0</v>
      </c>
      <c r="AU47" s="1">
        <f t="shared" si="5"/>
        <v>4.4528976802541305</v>
      </c>
      <c r="AV47" s="1">
        <f t="shared" si="6"/>
        <v>3.1806412001815221</v>
      </c>
      <c r="AW47" s="1">
        <f t="shared" si="7"/>
        <v>1.9083847201089132</v>
      </c>
    </row>
    <row r="48" spans="1:49" x14ac:dyDescent="0.2">
      <c r="A48">
        <v>46</v>
      </c>
      <c r="B48" t="s">
        <v>1359</v>
      </c>
      <c r="C48" t="s">
        <v>1358</v>
      </c>
      <c r="F48" t="s">
        <v>1357</v>
      </c>
      <c r="G48" t="s">
        <v>4</v>
      </c>
      <c r="H48" t="s">
        <v>3</v>
      </c>
      <c r="I48" t="s">
        <v>29</v>
      </c>
      <c r="J48">
        <v>60002787</v>
      </c>
      <c r="K48" t="s">
        <v>28</v>
      </c>
      <c r="L48" t="s">
        <v>27</v>
      </c>
      <c r="M48" t="s">
        <v>6</v>
      </c>
      <c r="N48">
        <v>3</v>
      </c>
      <c r="O48" t="s">
        <v>1356</v>
      </c>
      <c r="P48" t="s">
        <v>1355</v>
      </c>
      <c r="Q48" t="s">
        <v>1354</v>
      </c>
      <c r="R48" s="7">
        <v>31747</v>
      </c>
      <c r="S48" s="8">
        <f t="shared" si="0"/>
        <v>1986</v>
      </c>
      <c r="T48" s="8">
        <v>1986</v>
      </c>
      <c r="U48" s="8">
        <f t="shared" si="1"/>
        <v>36</v>
      </c>
      <c r="V48" s="7">
        <v>31747</v>
      </c>
      <c r="W48" s="11" t="s">
        <v>53</v>
      </c>
      <c r="X48" s="2">
        <v>2.383</v>
      </c>
      <c r="Y48" s="6">
        <f t="shared" si="2"/>
        <v>6.3612824003630442E-2</v>
      </c>
      <c r="AA48" t="s">
        <v>52</v>
      </c>
      <c r="AB48">
        <v>101151</v>
      </c>
      <c r="AD48" t="s">
        <v>2</v>
      </c>
      <c r="AE48">
        <v>133</v>
      </c>
      <c r="AF48">
        <v>6</v>
      </c>
      <c r="AH48" t="s">
        <v>1353</v>
      </c>
      <c r="AL48">
        <v>7</v>
      </c>
      <c r="AM48" s="5">
        <f t="shared" si="3"/>
        <v>0.19444444444444445</v>
      </c>
      <c r="AN48" s="4">
        <f t="shared" si="4"/>
        <v>2.9450124111237325E-4</v>
      </c>
      <c r="AO48" s="3"/>
      <c r="AP48">
        <v>0</v>
      </c>
      <c r="AR48" t="s">
        <v>1</v>
      </c>
      <c r="AT48" s="2" t="s">
        <v>0</v>
      </c>
      <c r="AU48" s="1">
        <f t="shared" si="5"/>
        <v>4.4617327174875019</v>
      </c>
      <c r="AV48" s="1">
        <f t="shared" si="6"/>
        <v>3.1953662622371404</v>
      </c>
      <c r="AW48" s="1">
        <f t="shared" si="7"/>
        <v>1.9289998069867795</v>
      </c>
    </row>
    <row r="49" spans="1:49" x14ac:dyDescent="0.2">
      <c r="A49">
        <v>47</v>
      </c>
      <c r="B49" t="s">
        <v>1352</v>
      </c>
      <c r="F49" t="s">
        <v>1351</v>
      </c>
      <c r="G49" t="s">
        <v>4</v>
      </c>
      <c r="H49" t="s">
        <v>3</v>
      </c>
      <c r="I49" t="s">
        <v>1350</v>
      </c>
      <c r="N49">
        <v>2</v>
      </c>
      <c r="O49" t="s">
        <v>1349</v>
      </c>
      <c r="P49" t="s">
        <v>1348</v>
      </c>
      <c r="Q49" t="s">
        <v>18</v>
      </c>
      <c r="R49" s="7">
        <v>31747</v>
      </c>
      <c r="S49" s="8">
        <f t="shared" si="0"/>
        <v>1986</v>
      </c>
      <c r="T49" s="8">
        <v>1986</v>
      </c>
      <c r="U49" s="8">
        <f t="shared" si="1"/>
        <v>36</v>
      </c>
      <c r="V49" s="7">
        <v>1986</v>
      </c>
      <c r="W49" t="s">
        <v>1301</v>
      </c>
      <c r="X49" s="2" t="s">
        <v>0</v>
      </c>
      <c r="Y49" s="6" t="e">
        <f t="shared" si="2"/>
        <v>#VALUE!</v>
      </c>
      <c r="AA49">
        <v>337870</v>
      </c>
      <c r="AB49">
        <v>32478</v>
      </c>
      <c r="AD49" t="s">
        <v>2</v>
      </c>
      <c r="AE49">
        <v>29</v>
      </c>
      <c r="AF49">
        <v>2</v>
      </c>
      <c r="AH49" t="s">
        <v>1347</v>
      </c>
      <c r="AI49" t="s">
        <v>1346</v>
      </c>
      <c r="AK49" t="s">
        <v>1345</v>
      </c>
      <c r="AL49">
        <v>0</v>
      </c>
      <c r="AM49" s="5">
        <f t="shared" si="3"/>
        <v>0</v>
      </c>
      <c r="AN49" s="4">
        <f t="shared" si="4"/>
        <v>0</v>
      </c>
      <c r="AO49" s="3"/>
      <c r="AP49">
        <v>0</v>
      </c>
      <c r="AR49" t="s">
        <v>1</v>
      </c>
      <c r="AT49" s="2" t="s">
        <v>0</v>
      </c>
      <c r="AU49" s="1" t="e">
        <f t="shared" si="5"/>
        <v>#VALUE!</v>
      </c>
      <c r="AV49" s="1" t="e">
        <f t="shared" si="6"/>
        <v>#VALUE!</v>
      </c>
      <c r="AW49" s="1" t="e">
        <f t="shared" si="7"/>
        <v>#VALUE!</v>
      </c>
    </row>
    <row r="50" spans="1:49" x14ac:dyDescent="0.2">
      <c r="A50">
        <v>48</v>
      </c>
      <c r="B50" t="s">
        <v>1344</v>
      </c>
      <c r="E50">
        <v>3817109</v>
      </c>
      <c r="F50" t="s">
        <v>1343</v>
      </c>
      <c r="G50" t="s">
        <v>4</v>
      </c>
      <c r="H50" t="s">
        <v>3</v>
      </c>
      <c r="I50" t="s">
        <v>1342</v>
      </c>
      <c r="N50">
        <v>5</v>
      </c>
      <c r="O50" t="s">
        <v>1341</v>
      </c>
      <c r="P50" t="s">
        <v>1340</v>
      </c>
      <c r="Q50" t="s">
        <v>24</v>
      </c>
      <c r="R50" s="7">
        <v>31747</v>
      </c>
      <c r="S50" s="8">
        <f t="shared" si="0"/>
        <v>1986</v>
      </c>
      <c r="T50" s="8">
        <v>1986</v>
      </c>
      <c r="U50" s="8">
        <f t="shared" si="1"/>
        <v>36</v>
      </c>
      <c r="V50" s="7">
        <v>1986</v>
      </c>
      <c r="W50" t="s">
        <v>1339</v>
      </c>
      <c r="X50" s="2" t="s">
        <v>0</v>
      </c>
      <c r="Y50" s="6" t="e">
        <f t="shared" si="2"/>
        <v>#VALUE!</v>
      </c>
      <c r="AA50">
        <v>1768638</v>
      </c>
      <c r="AB50">
        <v>79917</v>
      </c>
      <c r="AD50" t="s">
        <v>2</v>
      </c>
      <c r="AE50">
        <v>46</v>
      </c>
      <c r="AF50">
        <v>1</v>
      </c>
      <c r="AH50" s="10">
        <v>46692</v>
      </c>
      <c r="AI50" t="s">
        <v>1338</v>
      </c>
      <c r="AK50" t="s">
        <v>1337</v>
      </c>
      <c r="AL50">
        <v>59</v>
      </c>
      <c r="AM50" s="5">
        <f t="shared" si="3"/>
        <v>1.6388888888888888</v>
      </c>
      <c r="AN50" s="4">
        <f t="shared" si="4"/>
        <v>2.4822247465185747E-3</v>
      </c>
      <c r="AO50" s="3"/>
      <c r="AP50">
        <v>0</v>
      </c>
      <c r="AQ50" t="s">
        <v>1336</v>
      </c>
      <c r="AR50" t="s">
        <v>1335</v>
      </c>
      <c r="AS50" t="s">
        <v>1334</v>
      </c>
      <c r="AT50" s="2" t="s">
        <v>0</v>
      </c>
      <c r="AU50" s="1" t="e">
        <f t="shared" si="5"/>
        <v>#VALUE!</v>
      </c>
      <c r="AV50" s="1" t="e">
        <f t="shared" si="6"/>
        <v>#VALUE!</v>
      </c>
      <c r="AW50" s="1" t="e">
        <f t="shared" si="7"/>
        <v>#VALUE!</v>
      </c>
    </row>
    <row r="51" spans="1:49" x14ac:dyDescent="0.2">
      <c r="A51">
        <v>49</v>
      </c>
      <c r="B51" t="s">
        <v>1333</v>
      </c>
      <c r="F51" t="s">
        <v>1332</v>
      </c>
      <c r="G51" t="s">
        <v>4</v>
      </c>
      <c r="H51" t="s">
        <v>3</v>
      </c>
      <c r="I51" t="s">
        <v>1331</v>
      </c>
      <c r="N51">
        <v>1</v>
      </c>
      <c r="O51" t="s">
        <v>1330</v>
      </c>
      <c r="P51">
        <v>57199771503</v>
      </c>
      <c r="R51" s="7">
        <v>31747</v>
      </c>
      <c r="S51" s="8">
        <f t="shared" si="0"/>
        <v>1986</v>
      </c>
      <c r="T51" s="8">
        <v>1986</v>
      </c>
      <c r="U51" s="8">
        <f t="shared" si="1"/>
        <v>36</v>
      </c>
      <c r="V51" s="7">
        <v>1986</v>
      </c>
      <c r="W51" t="s">
        <v>1301</v>
      </c>
      <c r="X51" s="2" t="s">
        <v>0</v>
      </c>
      <c r="Y51" s="6" t="e">
        <f t="shared" si="2"/>
        <v>#VALUE!</v>
      </c>
      <c r="AA51">
        <v>337870</v>
      </c>
      <c r="AB51">
        <v>32478</v>
      </c>
      <c r="AD51" t="s">
        <v>2</v>
      </c>
      <c r="AE51">
        <v>29</v>
      </c>
      <c r="AF51">
        <v>3</v>
      </c>
      <c r="AH51" t="s">
        <v>1329</v>
      </c>
      <c r="AI51" t="s">
        <v>1328</v>
      </c>
      <c r="AK51" t="s">
        <v>1327</v>
      </c>
      <c r="AL51">
        <v>0</v>
      </c>
      <c r="AM51" s="5">
        <f t="shared" si="3"/>
        <v>0</v>
      </c>
      <c r="AN51" s="4">
        <f t="shared" si="4"/>
        <v>0</v>
      </c>
      <c r="AO51" s="3"/>
      <c r="AP51">
        <v>0</v>
      </c>
      <c r="AR51" t="s">
        <v>1</v>
      </c>
      <c r="AT51" s="2" t="s">
        <v>0</v>
      </c>
      <c r="AU51" s="1" t="e">
        <f t="shared" si="5"/>
        <v>#VALUE!</v>
      </c>
      <c r="AV51" s="1" t="e">
        <f t="shared" si="6"/>
        <v>#VALUE!</v>
      </c>
      <c r="AW51" s="1" t="e">
        <f t="shared" si="7"/>
        <v>#VALUE!</v>
      </c>
    </row>
    <row r="52" spans="1:49" x14ac:dyDescent="0.2">
      <c r="A52">
        <v>50</v>
      </c>
      <c r="B52" t="s">
        <v>1326</v>
      </c>
      <c r="F52" t="s">
        <v>1325</v>
      </c>
      <c r="G52" t="s">
        <v>4</v>
      </c>
      <c r="H52" t="s">
        <v>3</v>
      </c>
      <c r="I52" t="s">
        <v>1324</v>
      </c>
      <c r="N52">
        <v>1</v>
      </c>
      <c r="O52" t="s">
        <v>1323</v>
      </c>
      <c r="P52">
        <v>6701711101</v>
      </c>
      <c r="R52" s="7">
        <v>31747</v>
      </c>
      <c r="S52" s="8">
        <f t="shared" si="0"/>
        <v>1986</v>
      </c>
      <c r="T52" s="8">
        <v>1986</v>
      </c>
      <c r="U52" s="8">
        <f t="shared" si="1"/>
        <v>36</v>
      </c>
      <c r="V52" s="7">
        <v>1986</v>
      </c>
      <c r="W52" t="s">
        <v>1301</v>
      </c>
      <c r="X52" s="2" t="s">
        <v>0</v>
      </c>
      <c r="Y52" s="6" t="e">
        <f t="shared" si="2"/>
        <v>#VALUE!</v>
      </c>
      <c r="AA52">
        <v>337870</v>
      </c>
      <c r="AB52">
        <v>32478</v>
      </c>
      <c r="AD52" t="s">
        <v>2</v>
      </c>
      <c r="AE52">
        <v>29</v>
      </c>
      <c r="AF52">
        <v>5</v>
      </c>
      <c r="AH52" t="s">
        <v>1322</v>
      </c>
      <c r="AI52" t="s">
        <v>1321</v>
      </c>
      <c r="AK52" t="s">
        <v>1320</v>
      </c>
      <c r="AL52">
        <v>1</v>
      </c>
      <c r="AM52" s="5">
        <f t="shared" si="3"/>
        <v>2.7777777777777776E-2</v>
      </c>
      <c r="AN52" s="4">
        <f t="shared" si="4"/>
        <v>4.2071605873196175E-5</v>
      </c>
      <c r="AO52" s="3"/>
      <c r="AP52">
        <v>0</v>
      </c>
      <c r="AR52" t="s">
        <v>1</v>
      </c>
      <c r="AT52" s="2" t="s">
        <v>0</v>
      </c>
      <c r="AU52" s="1" t="e">
        <f t="shared" si="5"/>
        <v>#VALUE!</v>
      </c>
      <c r="AV52" s="1" t="e">
        <f t="shared" si="6"/>
        <v>#VALUE!</v>
      </c>
      <c r="AW52" s="1" t="e">
        <f t="shared" si="7"/>
        <v>#VALUE!</v>
      </c>
    </row>
    <row r="53" spans="1:49" x14ac:dyDescent="0.2">
      <c r="A53">
        <v>51</v>
      </c>
      <c r="B53" t="s">
        <v>1319</v>
      </c>
      <c r="F53" t="s">
        <v>1318</v>
      </c>
      <c r="G53" t="s">
        <v>4</v>
      </c>
      <c r="H53" t="s">
        <v>3</v>
      </c>
      <c r="I53" t="s">
        <v>1317</v>
      </c>
      <c r="N53">
        <v>1</v>
      </c>
      <c r="O53" t="s">
        <v>1316</v>
      </c>
      <c r="P53">
        <v>6602923776</v>
      </c>
      <c r="R53" s="7">
        <v>31747</v>
      </c>
      <c r="S53" s="8">
        <f t="shared" si="0"/>
        <v>1986</v>
      </c>
      <c r="T53" s="8">
        <v>1986</v>
      </c>
      <c r="U53" s="8">
        <f t="shared" si="1"/>
        <v>36</v>
      </c>
      <c r="V53" s="7">
        <v>1986</v>
      </c>
      <c r="W53" t="s">
        <v>1301</v>
      </c>
      <c r="X53" s="2" t="s">
        <v>0</v>
      </c>
      <c r="Y53" s="6" t="e">
        <f t="shared" si="2"/>
        <v>#VALUE!</v>
      </c>
      <c r="AA53">
        <v>337870</v>
      </c>
      <c r="AB53">
        <v>32478</v>
      </c>
      <c r="AD53" t="s">
        <v>2</v>
      </c>
      <c r="AE53">
        <v>29</v>
      </c>
      <c r="AF53">
        <v>2</v>
      </c>
      <c r="AH53" t="s">
        <v>1315</v>
      </c>
      <c r="AI53" t="s">
        <v>1314</v>
      </c>
      <c r="AK53" t="s">
        <v>1313</v>
      </c>
      <c r="AL53">
        <v>0</v>
      </c>
      <c r="AM53" s="5">
        <f t="shared" si="3"/>
        <v>0</v>
      </c>
      <c r="AN53" s="4">
        <f t="shared" si="4"/>
        <v>0</v>
      </c>
      <c r="AO53" s="3"/>
      <c r="AP53">
        <v>0</v>
      </c>
      <c r="AR53" t="s">
        <v>1</v>
      </c>
      <c r="AT53" s="2" t="s">
        <v>0</v>
      </c>
      <c r="AU53" s="1" t="e">
        <f t="shared" si="5"/>
        <v>#VALUE!</v>
      </c>
      <c r="AV53" s="1" t="e">
        <f t="shared" si="6"/>
        <v>#VALUE!</v>
      </c>
      <c r="AW53" s="1" t="e">
        <f t="shared" si="7"/>
        <v>#VALUE!</v>
      </c>
    </row>
    <row r="54" spans="1:49" x14ac:dyDescent="0.2">
      <c r="A54">
        <v>52</v>
      </c>
      <c r="B54" t="s">
        <v>1312</v>
      </c>
      <c r="F54" t="s">
        <v>1311</v>
      </c>
      <c r="G54" t="s">
        <v>4</v>
      </c>
      <c r="H54" t="s">
        <v>3</v>
      </c>
      <c r="I54" t="s">
        <v>1310</v>
      </c>
      <c r="N54">
        <v>1</v>
      </c>
      <c r="O54" t="s">
        <v>1309</v>
      </c>
      <c r="P54">
        <v>6506593677</v>
      </c>
      <c r="R54" s="7">
        <v>31747</v>
      </c>
      <c r="S54" s="8">
        <f t="shared" si="0"/>
        <v>1986</v>
      </c>
      <c r="T54" s="8">
        <v>1986</v>
      </c>
      <c r="U54" s="8">
        <f t="shared" si="1"/>
        <v>36</v>
      </c>
      <c r="V54" s="7">
        <v>1986</v>
      </c>
      <c r="W54" t="s">
        <v>1301</v>
      </c>
      <c r="X54" s="2" t="s">
        <v>0</v>
      </c>
      <c r="Y54" s="6" t="e">
        <f t="shared" si="2"/>
        <v>#VALUE!</v>
      </c>
      <c r="AA54">
        <v>337870</v>
      </c>
      <c r="AB54">
        <v>32478</v>
      </c>
      <c r="AD54" t="s">
        <v>2</v>
      </c>
      <c r="AE54">
        <v>29</v>
      </c>
      <c r="AF54">
        <v>3</v>
      </c>
      <c r="AH54" t="s">
        <v>39</v>
      </c>
      <c r="AI54" t="s">
        <v>1308</v>
      </c>
      <c r="AK54" t="s">
        <v>1307</v>
      </c>
      <c r="AL54">
        <v>0</v>
      </c>
      <c r="AM54" s="5">
        <f t="shared" si="3"/>
        <v>0</v>
      </c>
      <c r="AN54" s="4">
        <f t="shared" si="4"/>
        <v>0</v>
      </c>
      <c r="AO54" s="3"/>
      <c r="AP54">
        <v>0</v>
      </c>
      <c r="AR54" t="s">
        <v>1</v>
      </c>
      <c r="AT54" s="2" t="s">
        <v>0</v>
      </c>
      <c r="AU54" s="1" t="e">
        <f t="shared" si="5"/>
        <v>#VALUE!</v>
      </c>
      <c r="AV54" s="1" t="e">
        <f t="shared" si="6"/>
        <v>#VALUE!</v>
      </c>
      <c r="AW54" s="1" t="e">
        <f t="shared" si="7"/>
        <v>#VALUE!</v>
      </c>
    </row>
    <row r="55" spans="1:49" x14ac:dyDescent="0.2">
      <c r="A55">
        <v>53</v>
      </c>
      <c r="B55" t="s">
        <v>1306</v>
      </c>
      <c r="F55" t="s">
        <v>1305</v>
      </c>
      <c r="G55" t="s">
        <v>4</v>
      </c>
      <c r="H55" t="s">
        <v>3</v>
      </c>
      <c r="I55" t="s">
        <v>1304</v>
      </c>
      <c r="N55">
        <v>2</v>
      </c>
      <c r="O55" t="s">
        <v>1303</v>
      </c>
      <c r="P55" t="s">
        <v>1302</v>
      </c>
      <c r="Q55" t="s">
        <v>18</v>
      </c>
      <c r="R55" s="7">
        <v>31747</v>
      </c>
      <c r="S55" s="8">
        <f t="shared" si="0"/>
        <v>1986</v>
      </c>
      <c r="T55" s="8">
        <v>1986</v>
      </c>
      <c r="U55" s="8">
        <f t="shared" si="1"/>
        <v>36</v>
      </c>
      <c r="V55" s="7">
        <v>1986</v>
      </c>
      <c r="W55" t="s">
        <v>1301</v>
      </c>
      <c r="X55" s="2" t="s">
        <v>0</v>
      </c>
      <c r="Y55" s="6" t="e">
        <f t="shared" si="2"/>
        <v>#VALUE!</v>
      </c>
      <c r="AA55">
        <v>337870</v>
      </c>
      <c r="AB55">
        <v>32478</v>
      </c>
      <c r="AD55" t="s">
        <v>2</v>
      </c>
      <c r="AE55">
        <v>29</v>
      </c>
      <c r="AF55">
        <v>2</v>
      </c>
      <c r="AH55" t="s">
        <v>1300</v>
      </c>
      <c r="AI55" t="s">
        <v>1299</v>
      </c>
      <c r="AK55" t="s">
        <v>1298</v>
      </c>
      <c r="AL55">
        <v>1</v>
      </c>
      <c r="AM55" s="5">
        <f t="shared" si="3"/>
        <v>2.7777777777777776E-2</v>
      </c>
      <c r="AN55" s="4">
        <f t="shared" si="4"/>
        <v>4.2071605873196175E-5</v>
      </c>
      <c r="AO55" s="3"/>
      <c r="AP55">
        <v>0</v>
      </c>
      <c r="AR55" t="s">
        <v>1</v>
      </c>
      <c r="AT55" s="2" t="s">
        <v>0</v>
      </c>
      <c r="AU55" s="1" t="e">
        <f t="shared" si="5"/>
        <v>#VALUE!</v>
      </c>
      <c r="AV55" s="1" t="e">
        <f t="shared" si="6"/>
        <v>#VALUE!</v>
      </c>
      <c r="AW55" s="1" t="e">
        <f t="shared" si="7"/>
        <v>#VALUE!</v>
      </c>
    </row>
    <row r="56" spans="1:49" x14ac:dyDescent="0.2">
      <c r="A56">
        <v>54</v>
      </c>
      <c r="B56" t="s">
        <v>1297</v>
      </c>
      <c r="F56" t="s">
        <v>1296</v>
      </c>
      <c r="G56" t="s">
        <v>4</v>
      </c>
      <c r="H56" t="s">
        <v>3</v>
      </c>
      <c r="I56" t="s">
        <v>1295</v>
      </c>
      <c r="J56">
        <v>60092258</v>
      </c>
      <c r="K56" t="s">
        <v>51</v>
      </c>
      <c r="L56" t="s">
        <v>50</v>
      </c>
      <c r="M56" t="s">
        <v>6</v>
      </c>
      <c r="N56">
        <v>3</v>
      </c>
      <c r="O56" t="s">
        <v>1294</v>
      </c>
      <c r="P56" t="s">
        <v>1293</v>
      </c>
      <c r="Q56" t="s">
        <v>1292</v>
      </c>
      <c r="R56" s="7">
        <v>31747</v>
      </c>
      <c r="S56" s="8">
        <f t="shared" si="0"/>
        <v>1986</v>
      </c>
      <c r="T56" s="8">
        <v>1986</v>
      </c>
      <c r="U56" s="8">
        <f t="shared" si="1"/>
        <v>36</v>
      </c>
      <c r="V56" s="7">
        <v>1986</v>
      </c>
      <c r="W56" t="s">
        <v>1291</v>
      </c>
      <c r="X56" s="2" t="s">
        <v>0</v>
      </c>
      <c r="Y56" s="6" t="e">
        <f t="shared" si="2"/>
        <v>#VALUE!</v>
      </c>
      <c r="AA56">
        <v>2851903</v>
      </c>
      <c r="AB56">
        <v>38260</v>
      </c>
      <c r="AD56" t="s">
        <v>2</v>
      </c>
      <c r="AF56">
        <v>25</v>
      </c>
      <c r="AH56" s="9">
        <v>44540</v>
      </c>
      <c r="AI56" t="s">
        <v>1290</v>
      </c>
      <c r="AK56" t="s">
        <v>1289</v>
      </c>
      <c r="AL56">
        <v>5</v>
      </c>
      <c r="AM56" s="5">
        <f t="shared" si="3"/>
        <v>0.1388888888888889</v>
      </c>
      <c r="AN56" s="4">
        <f t="shared" si="4"/>
        <v>2.103580293659809E-4</v>
      </c>
      <c r="AO56" s="3"/>
      <c r="AP56">
        <v>0</v>
      </c>
      <c r="AR56" t="s">
        <v>1</v>
      </c>
      <c r="AT56" s="2" t="s">
        <v>0</v>
      </c>
      <c r="AU56" s="1" t="e">
        <f t="shared" si="5"/>
        <v>#VALUE!</v>
      </c>
      <c r="AV56" s="1" t="e">
        <f t="shared" si="6"/>
        <v>#VALUE!</v>
      </c>
      <c r="AW56" s="1" t="e">
        <f t="shared" si="7"/>
        <v>#VALUE!</v>
      </c>
    </row>
    <row r="57" spans="1:49" x14ac:dyDescent="0.2">
      <c r="A57">
        <v>55</v>
      </c>
      <c r="B57" t="s">
        <v>1288</v>
      </c>
      <c r="F57" t="s">
        <v>1287</v>
      </c>
      <c r="G57" t="s">
        <v>4</v>
      </c>
      <c r="H57" t="s">
        <v>3</v>
      </c>
      <c r="I57" t="s">
        <v>1286</v>
      </c>
      <c r="J57">
        <v>60092258</v>
      </c>
      <c r="K57" t="s">
        <v>51</v>
      </c>
      <c r="L57" t="s">
        <v>50</v>
      </c>
      <c r="M57" t="s">
        <v>6</v>
      </c>
      <c r="N57">
        <v>5</v>
      </c>
      <c r="O57" t="s">
        <v>1285</v>
      </c>
      <c r="P57" t="s">
        <v>1284</v>
      </c>
      <c r="Q57" t="s">
        <v>1283</v>
      </c>
      <c r="R57" s="7">
        <v>31747</v>
      </c>
      <c r="S57" s="8">
        <f t="shared" si="0"/>
        <v>1986</v>
      </c>
      <c r="T57" s="8">
        <v>1986</v>
      </c>
      <c r="U57" s="8">
        <f t="shared" si="1"/>
        <v>36</v>
      </c>
      <c r="V57" s="7">
        <v>31747</v>
      </c>
      <c r="W57" t="s">
        <v>524</v>
      </c>
      <c r="X57" s="2" t="s">
        <v>0</v>
      </c>
      <c r="Y57" s="6" t="e">
        <f t="shared" si="2"/>
        <v>#VALUE!</v>
      </c>
      <c r="AA57">
        <v>1679368</v>
      </c>
      <c r="AB57">
        <v>35103</v>
      </c>
      <c r="AD57" t="s">
        <v>2</v>
      </c>
      <c r="AE57">
        <v>4</v>
      </c>
      <c r="AF57">
        <v>6</v>
      </c>
      <c r="AH57" t="s">
        <v>1282</v>
      </c>
      <c r="AI57" t="s">
        <v>1281</v>
      </c>
      <c r="AK57" t="s">
        <v>1280</v>
      </c>
      <c r="AL57">
        <v>4</v>
      </c>
      <c r="AM57" s="5">
        <f t="shared" si="3"/>
        <v>0.1111111111111111</v>
      </c>
      <c r="AN57" s="4">
        <f t="shared" si="4"/>
        <v>1.682864234927847E-4</v>
      </c>
      <c r="AO57" s="3"/>
      <c r="AP57">
        <v>0</v>
      </c>
      <c r="AR57" t="s">
        <v>1</v>
      </c>
      <c r="AT57" s="2" t="s">
        <v>0</v>
      </c>
      <c r="AU57" s="1" t="e">
        <f t="shared" si="5"/>
        <v>#VALUE!</v>
      </c>
      <c r="AV57" s="1" t="e">
        <f t="shared" si="6"/>
        <v>#VALUE!</v>
      </c>
      <c r="AW57" s="1" t="e">
        <f t="shared" si="7"/>
        <v>#VALUE!</v>
      </c>
    </row>
    <row r="58" spans="1:49" x14ac:dyDescent="0.2">
      <c r="A58">
        <v>56</v>
      </c>
      <c r="B58" t="s">
        <v>1279</v>
      </c>
      <c r="F58" t="s">
        <v>1278</v>
      </c>
      <c r="G58" t="s">
        <v>4</v>
      </c>
      <c r="H58" t="s">
        <v>3</v>
      </c>
      <c r="I58" t="s">
        <v>1277</v>
      </c>
      <c r="N58">
        <v>2</v>
      </c>
      <c r="O58" t="s">
        <v>1276</v>
      </c>
      <c r="P58" t="s">
        <v>1275</v>
      </c>
      <c r="Q58" t="s">
        <v>18</v>
      </c>
      <c r="R58" s="7">
        <v>31747</v>
      </c>
      <c r="S58" s="8">
        <f t="shared" si="0"/>
        <v>1986</v>
      </c>
      <c r="T58" s="8">
        <v>1986</v>
      </c>
      <c r="U58" s="8">
        <f t="shared" si="1"/>
        <v>36</v>
      </c>
      <c r="V58" s="7">
        <v>1986</v>
      </c>
      <c r="W58" t="s">
        <v>1145</v>
      </c>
      <c r="X58" s="2" t="s">
        <v>0</v>
      </c>
      <c r="Y58" s="6" t="e">
        <f t="shared" si="2"/>
        <v>#VALUE!</v>
      </c>
      <c r="AA58">
        <v>2421283</v>
      </c>
      <c r="AB58">
        <v>62329</v>
      </c>
      <c r="AD58" t="s">
        <v>2</v>
      </c>
      <c r="AF58">
        <v>4</v>
      </c>
      <c r="AH58" t="s">
        <v>1274</v>
      </c>
      <c r="AI58" t="s">
        <v>1273</v>
      </c>
      <c r="AK58" t="s">
        <v>1272</v>
      </c>
      <c r="AL58">
        <v>0</v>
      </c>
      <c r="AM58" s="5">
        <f t="shared" si="3"/>
        <v>0</v>
      </c>
      <c r="AN58" s="4">
        <f t="shared" si="4"/>
        <v>0</v>
      </c>
      <c r="AO58" s="3"/>
      <c r="AP58">
        <v>0</v>
      </c>
      <c r="AR58" t="s">
        <v>1</v>
      </c>
      <c r="AT58" s="2" t="s">
        <v>0</v>
      </c>
      <c r="AU58" s="1" t="e">
        <f t="shared" si="5"/>
        <v>#VALUE!</v>
      </c>
      <c r="AV58" s="1" t="e">
        <f t="shared" si="6"/>
        <v>#VALUE!</v>
      </c>
      <c r="AW58" s="1" t="e">
        <f t="shared" si="7"/>
        <v>#VALUE!</v>
      </c>
    </row>
    <row r="59" spans="1:49" x14ac:dyDescent="0.2">
      <c r="A59">
        <v>57</v>
      </c>
      <c r="B59" t="s">
        <v>1271</v>
      </c>
      <c r="F59" t="s">
        <v>1270</v>
      </c>
      <c r="G59" t="s">
        <v>4</v>
      </c>
      <c r="H59" t="s">
        <v>3</v>
      </c>
      <c r="I59" t="s">
        <v>180</v>
      </c>
      <c r="J59">
        <v>60069494</v>
      </c>
      <c r="K59" t="s">
        <v>179</v>
      </c>
      <c r="L59" t="s">
        <v>178</v>
      </c>
      <c r="M59" t="s">
        <v>22</v>
      </c>
      <c r="N59">
        <v>3</v>
      </c>
      <c r="O59" t="s">
        <v>1269</v>
      </c>
      <c r="P59" t="s">
        <v>1268</v>
      </c>
      <c r="Q59" t="s">
        <v>177</v>
      </c>
      <c r="R59" s="7">
        <v>31747</v>
      </c>
      <c r="S59" s="8">
        <f t="shared" si="0"/>
        <v>1986</v>
      </c>
      <c r="T59" s="8">
        <v>1986</v>
      </c>
      <c r="U59" s="8">
        <f t="shared" si="1"/>
        <v>36</v>
      </c>
      <c r="V59" s="7">
        <v>31747</v>
      </c>
      <c r="W59" t="s">
        <v>176</v>
      </c>
      <c r="X59" s="2" t="s">
        <v>0</v>
      </c>
      <c r="Y59" s="6" t="e">
        <f t="shared" si="2"/>
        <v>#VALUE!</v>
      </c>
      <c r="AA59">
        <v>203386</v>
      </c>
      <c r="AB59">
        <v>17919</v>
      </c>
      <c r="AD59" t="s">
        <v>2</v>
      </c>
      <c r="AE59">
        <v>67</v>
      </c>
      <c r="AF59" t="s">
        <v>1267</v>
      </c>
      <c r="AH59" t="s">
        <v>1266</v>
      </c>
      <c r="AI59" t="s">
        <v>1265</v>
      </c>
      <c r="AK59" t="s">
        <v>1264</v>
      </c>
      <c r="AL59">
        <v>0</v>
      </c>
      <c r="AM59" s="5">
        <f t="shared" si="3"/>
        <v>0</v>
      </c>
      <c r="AN59" s="4">
        <f t="shared" si="4"/>
        <v>0</v>
      </c>
      <c r="AO59" s="3"/>
      <c r="AP59">
        <v>0</v>
      </c>
      <c r="AR59" t="s">
        <v>1</v>
      </c>
      <c r="AT59" s="2" t="s">
        <v>0</v>
      </c>
      <c r="AU59" s="1" t="e">
        <f t="shared" si="5"/>
        <v>#VALUE!</v>
      </c>
      <c r="AV59" s="1" t="e">
        <f t="shared" si="6"/>
        <v>#VALUE!</v>
      </c>
      <c r="AW59" s="1" t="e">
        <f t="shared" si="7"/>
        <v>#VALUE!</v>
      </c>
    </row>
    <row r="60" spans="1:49" x14ac:dyDescent="0.2">
      <c r="A60">
        <v>58</v>
      </c>
      <c r="B60" t="s">
        <v>1263</v>
      </c>
      <c r="F60" t="s">
        <v>1262</v>
      </c>
      <c r="G60" t="s">
        <v>4</v>
      </c>
      <c r="H60" t="s">
        <v>3</v>
      </c>
      <c r="I60" t="s">
        <v>79</v>
      </c>
      <c r="J60">
        <v>60022990</v>
      </c>
      <c r="K60" t="s">
        <v>1261</v>
      </c>
      <c r="L60" t="s">
        <v>116</v>
      </c>
      <c r="M60" t="s">
        <v>6</v>
      </c>
      <c r="N60">
        <v>7</v>
      </c>
      <c r="O60" t="s">
        <v>1260</v>
      </c>
      <c r="P60" t="s">
        <v>1259</v>
      </c>
      <c r="Q60" t="s">
        <v>1258</v>
      </c>
      <c r="R60" s="7">
        <v>31747</v>
      </c>
      <c r="S60" s="8">
        <f t="shared" si="0"/>
        <v>1986</v>
      </c>
      <c r="T60" s="8">
        <v>1986</v>
      </c>
      <c r="U60" s="8">
        <f t="shared" si="1"/>
        <v>36</v>
      </c>
      <c r="V60" s="7">
        <v>1986</v>
      </c>
      <c r="W60" t="s">
        <v>1188</v>
      </c>
      <c r="X60" s="2" t="s">
        <v>0</v>
      </c>
      <c r="Y60" s="6" t="e">
        <f t="shared" si="2"/>
        <v>#VALUE!</v>
      </c>
      <c r="AA60">
        <v>2774488</v>
      </c>
      <c r="AB60">
        <v>34396</v>
      </c>
      <c r="AD60" t="s">
        <v>2</v>
      </c>
      <c r="AE60">
        <v>6</v>
      </c>
      <c r="AF60">
        <v>4</v>
      </c>
      <c r="AH60" t="s">
        <v>1257</v>
      </c>
      <c r="AI60" t="s">
        <v>1256</v>
      </c>
      <c r="AK60" t="s">
        <v>1255</v>
      </c>
      <c r="AL60">
        <v>0</v>
      </c>
      <c r="AM60" s="5">
        <f t="shared" si="3"/>
        <v>0</v>
      </c>
      <c r="AN60" s="4">
        <f t="shared" si="4"/>
        <v>0</v>
      </c>
      <c r="AO60" s="3"/>
      <c r="AP60">
        <v>0</v>
      </c>
      <c r="AR60" t="s">
        <v>1</v>
      </c>
      <c r="AT60" s="2" t="s">
        <v>0</v>
      </c>
      <c r="AU60" s="1" t="e">
        <f t="shared" si="5"/>
        <v>#VALUE!</v>
      </c>
      <c r="AV60" s="1" t="e">
        <f t="shared" si="6"/>
        <v>#VALUE!</v>
      </c>
      <c r="AW60" s="1" t="e">
        <f t="shared" si="7"/>
        <v>#VALUE!</v>
      </c>
    </row>
    <row r="61" spans="1:49" x14ac:dyDescent="0.2">
      <c r="A61">
        <v>59</v>
      </c>
      <c r="B61" t="s">
        <v>1254</v>
      </c>
      <c r="F61" t="s">
        <v>1253</v>
      </c>
      <c r="G61" t="s">
        <v>4</v>
      </c>
      <c r="H61" t="s">
        <v>3</v>
      </c>
      <c r="I61" t="s">
        <v>1252</v>
      </c>
      <c r="J61">
        <v>60005304</v>
      </c>
      <c r="K61" t="s">
        <v>71</v>
      </c>
      <c r="L61" t="s">
        <v>70</v>
      </c>
      <c r="M61" t="s">
        <v>7</v>
      </c>
      <c r="N61">
        <v>5</v>
      </c>
      <c r="O61" t="s">
        <v>1251</v>
      </c>
      <c r="P61" t="s">
        <v>1250</v>
      </c>
      <c r="Q61" t="s">
        <v>1249</v>
      </c>
      <c r="R61" s="7">
        <v>31747</v>
      </c>
      <c r="S61" s="8">
        <f t="shared" si="0"/>
        <v>1986</v>
      </c>
      <c r="T61" s="8">
        <v>1986</v>
      </c>
      <c r="U61" s="8">
        <f t="shared" si="1"/>
        <v>36</v>
      </c>
      <c r="V61" s="7">
        <v>31747</v>
      </c>
      <c r="W61" t="s">
        <v>112</v>
      </c>
      <c r="X61" s="2">
        <v>0.82799999999999996</v>
      </c>
      <c r="Y61" s="6">
        <f t="shared" si="2"/>
        <v>2.2102987106590855E-2</v>
      </c>
      <c r="AA61">
        <v>189383</v>
      </c>
      <c r="AB61">
        <v>26052</v>
      </c>
      <c r="AD61" t="s">
        <v>2</v>
      </c>
      <c r="AE61" t="s">
        <v>1248</v>
      </c>
      <c r="AF61">
        <v>12</v>
      </c>
      <c r="AI61" t="s">
        <v>1247</v>
      </c>
      <c r="AK61" t="s">
        <v>1246</v>
      </c>
      <c r="AL61">
        <v>1</v>
      </c>
      <c r="AM61" s="5">
        <f t="shared" si="3"/>
        <v>2.7777777777777776E-2</v>
      </c>
      <c r="AN61" s="4">
        <f t="shared" si="4"/>
        <v>4.2071605873196175E-5</v>
      </c>
      <c r="AO61" s="3"/>
      <c r="AP61">
        <v>0</v>
      </c>
      <c r="AR61" t="s">
        <v>1</v>
      </c>
      <c r="AT61" s="2">
        <v>2.9169999999999998</v>
      </c>
      <c r="AU61" s="1">
        <f t="shared" si="5"/>
        <v>1.5484712456375556</v>
      </c>
      <c r="AV61" s="1">
        <f t="shared" si="6"/>
        <v>1.1072529356232026</v>
      </c>
      <c r="AW61" s="1">
        <f t="shared" si="7"/>
        <v>0.6660346256088493</v>
      </c>
    </row>
    <row r="62" spans="1:49" x14ac:dyDescent="0.2">
      <c r="A62">
        <v>60</v>
      </c>
      <c r="B62" t="s">
        <v>1245</v>
      </c>
      <c r="F62" t="s">
        <v>1244</v>
      </c>
      <c r="G62" t="s">
        <v>4</v>
      </c>
      <c r="H62" t="s">
        <v>3</v>
      </c>
      <c r="I62" t="s">
        <v>1243</v>
      </c>
      <c r="N62">
        <v>1</v>
      </c>
      <c r="O62" t="s">
        <v>1242</v>
      </c>
      <c r="P62">
        <v>7102859898</v>
      </c>
      <c r="R62" s="7">
        <v>31747</v>
      </c>
      <c r="S62" s="8">
        <f t="shared" si="0"/>
        <v>1986</v>
      </c>
      <c r="T62" s="8">
        <v>1986</v>
      </c>
      <c r="U62" s="8">
        <f t="shared" si="1"/>
        <v>36</v>
      </c>
      <c r="V62" s="7">
        <v>1986</v>
      </c>
      <c r="W62" t="s">
        <v>1241</v>
      </c>
      <c r="X62" s="2" t="s">
        <v>0</v>
      </c>
      <c r="Y62" s="6" t="e">
        <f t="shared" si="2"/>
        <v>#VALUE!</v>
      </c>
      <c r="AA62">
        <v>256544</v>
      </c>
      <c r="AB62">
        <v>14497</v>
      </c>
      <c r="AD62" t="s">
        <v>2</v>
      </c>
      <c r="AE62">
        <v>21</v>
      </c>
      <c r="AF62">
        <v>2</v>
      </c>
      <c r="AH62" t="s">
        <v>34</v>
      </c>
      <c r="AI62" t="s">
        <v>1240</v>
      </c>
      <c r="AK62" t="s">
        <v>1239</v>
      </c>
      <c r="AL62">
        <v>0</v>
      </c>
      <c r="AM62" s="5">
        <f t="shared" si="3"/>
        <v>0</v>
      </c>
      <c r="AN62" s="4">
        <f t="shared" si="4"/>
        <v>0</v>
      </c>
      <c r="AO62" s="3"/>
      <c r="AP62">
        <v>0</v>
      </c>
      <c r="AR62" t="s">
        <v>1</v>
      </c>
      <c r="AT62" s="2">
        <v>0.45200000000000001</v>
      </c>
      <c r="AU62" s="1" t="e">
        <f t="shared" si="5"/>
        <v>#VALUE!</v>
      </c>
      <c r="AV62" s="1" t="e">
        <f t="shared" si="6"/>
        <v>#VALUE!</v>
      </c>
      <c r="AW62" s="1" t="e">
        <f t="shared" si="7"/>
        <v>#VALUE!</v>
      </c>
    </row>
    <row r="63" spans="1:49" x14ac:dyDescent="0.2">
      <c r="A63">
        <v>61</v>
      </c>
      <c r="B63" t="s">
        <v>1238</v>
      </c>
      <c r="F63" t="s">
        <v>1237</v>
      </c>
      <c r="G63" t="s">
        <v>4</v>
      </c>
      <c r="H63" t="s">
        <v>3</v>
      </c>
      <c r="I63" t="s">
        <v>1236</v>
      </c>
      <c r="J63">
        <v>60091909</v>
      </c>
      <c r="K63" t="s">
        <v>171</v>
      </c>
      <c r="L63" t="s">
        <v>73</v>
      </c>
      <c r="M63" t="s">
        <v>38</v>
      </c>
      <c r="N63">
        <v>1</v>
      </c>
      <c r="O63" t="s">
        <v>1235</v>
      </c>
      <c r="P63">
        <v>7201538457</v>
      </c>
      <c r="Q63">
        <v>60091909</v>
      </c>
      <c r="R63" s="7">
        <v>31747</v>
      </c>
      <c r="S63" s="8">
        <f t="shared" si="0"/>
        <v>1986</v>
      </c>
      <c r="T63" s="8">
        <v>1986</v>
      </c>
      <c r="U63" s="8">
        <f t="shared" si="1"/>
        <v>36</v>
      </c>
      <c r="V63" s="7">
        <v>31747</v>
      </c>
      <c r="W63" t="s">
        <v>170</v>
      </c>
      <c r="X63" s="2" t="s">
        <v>0</v>
      </c>
      <c r="Y63" s="6" t="e">
        <f t="shared" si="2"/>
        <v>#VALUE!</v>
      </c>
      <c r="AA63">
        <v>10196587</v>
      </c>
      <c r="AB63">
        <v>18354</v>
      </c>
      <c r="AD63" t="s">
        <v>2</v>
      </c>
      <c r="AF63">
        <v>220</v>
      </c>
      <c r="AH63" t="s">
        <v>104</v>
      </c>
      <c r="AI63" t="s">
        <v>1234</v>
      </c>
      <c r="AK63" t="s">
        <v>1233</v>
      </c>
      <c r="AL63">
        <v>0</v>
      </c>
      <c r="AM63" s="5">
        <f t="shared" si="3"/>
        <v>0</v>
      </c>
      <c r="AN63" s="4">
        <f t="shared" si="4"/>
        <v>0</v>
      </c>
      <c r="AO63" s="3"/>
      <c r="AP63">
        <v>0</v>
      </c>
      <c r="AR63" t="s">
        <v>1</v>
      </c>
      <c r="AT63" s="2" t="s">
        <v>0</v>
      </c>
      <c r="AU63" s="1" t="e">
        <f t="shared" si="5"/>
        <v>#VALUE!</v>
      </c>
      <c r="AV63" s="1" t="e">
        <f t="shared" si="6"/>
        <v>#VALUE!</v>
      </c>
      <c r="AW63" s="1" t="e">
        <f t="shared" si="7"/>
        <v>#VALUE!</v>
      </c>
    </row>
    <row r="64" spans="1:49" x14ac:dyDescent="0.2">
      <c r="A64">
        <v>62</v>
      </c>
      <c r="B64" t="s">
        <v>1232</v>
      </c>
      <c r="C64" t="s">
        <v>1231</v>
      </c>
      <c r="F64" t="s">
        <v>1230</v>
      </c>
      <c r="G64" t="s">
        <v>4</v>
      </c>
      <c r="H64" t="s">
        <v>3</v>
      </c>
      <c r="I64" t="s">
        <v>1229</v>
      </c>
      <c r="J64" t="s">
        <v>1228</v>
      </c>
      <c r="K64" t="s">
        <v>1227</v>
      </c>
      <c r="L64" t="s">
        <v>1226</v>
      </c>
      <c r="M64" t="s">
        <v>48</v>
      </c>
      <c r="N64">
        <v>4</v>
      </c>
      <c r="O64" t="s">
        <v>1225</v>
      </c>
      <c r="P64" t="s">
        <v>1224</v>
      </c>
      <c r="Q64" t="s">
        <v>1223</v>
      </c>
      <c r="R64" s="7">
        <v>31747</v>
      </c>
      <c r="S64" s="8">
        <f t="shared" si="0"/>
        <v>1986</v>
      </c>
      <c r="T64" s="8">
        <v>1986</v>
      </c>
      <c r="U64" s="8">
        <f t="shared" si="1"/>
        <v>36</v>
      </c>
      <c r="V64" s="7">
        <v>1986</v>
      </c>
      <c r="W64" t="s">
        <v>1047</v>
      </c>
      <c r="X64" s="2">
        <v>15.993</v>
      </c>
      <c r="Y64" s="6">
        <f t="shared" si="2"/>
        <v>0.42692400096099947</v>
      </c>
      <c r="AA64">
        <v>280836</v>
      </c>
      <c r="AB64">
        <v>21206</v>
      </c>
      <c r="AD64" t="s">
        <v>2</v>
      </c>
      <c r="AE64">
        <v>320</v>
      </c>
      <c r="AF64">
        <v>6057</v>
      </c>
      <c r="AH64" t="s">
        <v>1222</v>
      </c>
      <c r="AI64" t="s">
        <v>1221</v>
      </c>
      <c r="AK64" t="s">
        <v>1220</v>
      </c>
      <c r="AL64">
        <v>149</v>
      </c>
      <c r="AM64" s="5">
        <f t="shared" si="3"/>
        <v>4.1388888888888893</v>
      </c>
      <c r="AN64" s="4">
        <f t="shared" si="4"/>
        <v>6.2686692751062313E-3</v>
      </c>
      <c r="AO64" s="3"/>
      <c r="AP64">
        <v>0</v>
      </c>
      <c r="AR64" t="s">
        <v>1</v>
      </c>
      <c r="AT64" s="2">
        <v>49.962000000000003</v>
      </c>
      <c r="AU64" s="1">
        <f t="shared" si="5"/>
        <v>30.072740145523149</v>
      </c>
      <c r="AV64" s="1">
        <f t="shared" si="6"/>
        <v>21.659633511805286</v>
      </c>
      <c r="AW64" s="1">
        <f t="shared" si="7"/>
        <v>13.246526878087419</v>
      </c>
    </row>
    <row r="65" spans="1:49" x14ac:dyDescent="0.2">
      <c r="A65">
        <v>63</v>
      </c>
      <c r="B65" t="s">
        <v>1219</v>
      </c>
      <c r="F65" t="s">
        <v>1218</v>
      </c>
      <c r="G65" t="s">
        <v>4</v>
      </c>
      <c r="H65" t="s">
        <v>3</v>
      </c>
      <c r="I65" t="s">
        <v>1217</v>
      </c>
      <c r="N65">
        <v>1</v>
      </c>
      <c r="O65" t="s">
        <v>1216</v>
      </c>
      <c r="P65">
        <v>6602486344</v>
      </c>
      <c r="R65" s="7">
        <v>31747</v>
      </c>
      <c r="S65" s="8">
        <f t="shared" si="0"/>
        <v>1986</v>
      </c>
      <c r="T65" s="8">
        <v>1986</v>
      </c>
      <c r="U65" s="8">
        <f t="shared" si="1"/>
        <v>36</v>
      </c>
      <c r="V65" s="7">
        <v>1986</v>
      </c>
      <c r="W65" t="s">
        <v>1215</v>
      </c>
      <c r="X65" s="2" t="s">
        <v>0</v>
      </c>
      <c r="Y65" s="6" t="e">
        <f t="shared" si="2"/>
        <v>#VALUE!</v>
      </c>
      <c r="AB65">
        <v>68682</v>
      </c>
      <c r="AD65" t="s">
        <v>2</v>
      </c>
      <c r="AF65">
        <v>1</v>
      </c>
      <c r="AH65" t="s">
        <v>1214</v>
      </c>
      <c r="AI65" t="s">
        <v>1213</v>
      </c>
      <c r="AK65" t="s">
        <v>1212</v>
      </c>
      <c r="AL65">
        <v>0</v>
      </c>
      <c r="AM65" s="5">
        <f t="shared" si="3"/>
        <v>0</v>
      </c>
      <c r="AN65" s="4">
        <f t="shared" si="4"/>
        <v>0</v>
      </c>
      <c r="AO65" s="3"/>
      <c r="AP65">
        <v>0</v>
      </c>
      <c r="AR65" t="s">
        <v>1</v>
      </c>
      <c r="AT65" s="2" t="s">
        <v>0</v>
      </c>
      <c r="AU65" s="1" t="e">
        <f t="shared" si="5"/>
        <v>#VALUE!</v>
      </c>
      <c r="AV65" s="1" t="e">
        <f t="shared" si="6"/>
        <v>#VALUE!</v>
      </c>
      <c r="AW65" s="1" t="e">
        <f t="shared" si="7"/>
        <v>#VALUE!</v>
      </c>
    </row>
    <row r="66" spans="1:49" x14ac:dyDescent="0.2">
      <c r="A66">
        <v>64</v>
      </c>
      <c r="B66" t="s">
        <v>1211</v>
      </c>
      <c r="F66" t="s">
        <v>1210</v>
      </c>
      <c r="G66" t="s">
        <v>4</v>
      </c>
      <c r="H66" t="s">
        <v>3</v>
      </c>
      <c r="I66" t="s">
        <v>1209</v>
      </c>
      <c r="N66">
        <v>1</v>
      </c>
      <c r="O66" t="s">
        <v>1208</v>
      </c>
      <c r="P66">
        <v>7403130680</v>
      </c>
      <c r="R66" s="7">
        <v>31747</v>
      </c>
      <c r="S66" s="8">
        <f t="shared" ref="S66:S129" si="8">YEAR(R66)</f>
        <v>1986</v>
      </c>
      <c r="T66" s="8">
        <v>1986</v>
      </c>
      <c r="U66" s="8">
        <f t="shared" ref="U66:U129" si="9">2022-T66</f>
        <v>36</v>
      </c>
      <c r="V66" s="7">
        <v>31747</v>
      </c>
      <c r="W66" t="s">
        <v>245</v>
      </c>
      <c r="X66" s="2" t="s">
        <v>0</v>
      </c>
      <c r="Y66" s="6" t="e">
        <f t="shared" ref="Y66:Y129" si="10">(X66-$Z$4)/($Z$3-$Z$4)</f>
        <v>#VALUE!</v>
      </c>
      <c r="AA66">
        <v>1954091</v>
      </c>
      <c r="AB66">
        <v>31441</v>
      </c>
      <c r="AD66" t="s">
        <v>2</v>
      </c>
      <c r="AE66">
        <v>6</v>
      </c>
      <c r="AF66">
        <v>12</v>
      </c>
      <c r="AH66" t="s">
        <v>1207</v>
      </c>
      <c r="AI66" t="s">
        <v>1206</v>
      </c>
      <c r="AK66" t="s">
        <v>1205</v>
      </c>
      <c r="AL66">
        <v>0</v>
      </c>
      <c r="AM66" s="5">
        <f t="shared" ref="AM66:AM129" si="11">AL66/U66</f>
        <v>0</v>
      </c>
      <c r="AN66" s="4">
        <f t="shared" ref="AN66:AN129" si="12">(AM66-$AO$4)/($AO$3-$AO$4)</f>
        <v>0</v>
      </c>
      <c r="AO66" s="3"/>
      <c r="AP66">
        <v>0</v>
      </c>
      <c r="AR66" t="s">
        <v>1</v>
      </c>
      <c r="AT66" s="2" t="s">
        <v>0</v>
      </c>
      <c r="AU66" s="1" t="e">
        <f t="shared" ref="AU66:AU129" si="13">(Y66*0.7+AN66*0.3)*100</f>
        <v>#VALUE!</v>
      </c>
      <c r="AV66" s="1" t="e">
        <f t="shared" ref="AV66:AV129" si="14">(Y66*0.5+AN66*0.5)*100</f>
        <v>#VALUE!</v>
      </c>
      <c r="AW66" s="1" t="e">
        <f t="shared" ref="AW66:AW129" si="15">(Y66*0.3+AN66*0.7)*100</f>
        <v>#VALUE!</v>
      </c>
    </row>
    <row r="67" spans="1:49" x14ac:dyDescent="0.2">
      <c r="A67">
        <v>65</v>
      </c>
      <c r="B67" t="s">
        <v>1204</v>
      </c>
      <c r="F67" t="s">
        <v>1203</v>
      </c>
      <c r="G67" t="s">
        <v>4</v>
      </c>
      <c r="H67" t="s">
        <v>3</v>
      </c>
      <c r="I67" t="s">
        <v>1202</v>
      </c>
      <c r="N67">
        <v>1</v>
      </c>
      <c r="O67" t="s">
        <v>1201</v>
      </c>
      <c r="P67">
        <v>6602973201</v>
      </c>
      <c r="R67" s="7">
        <v>31747</v>
      </c>
      <c r="S67" s="8">
        <f t="shared" si="8"/>
        <v>1986</v>
      </c>
      <c r="T67" s="8">
        <v>1986</v>
      </c>
      <c r="U67" s="8">
        <f t="shared" si="9"/>
        <v>36</v>
      </c>
      <c r="V67" s="7">
        <v>1986</v>
      </c>
      <c r="W67" t="s">
        <v>1200</v>
      </c>
      <c r="X67" s="2" t="s">
        <v>0</v>
      </c>
      <c r="Y67" s="6" t="e">
        <f t="shared" si="10"/>
        <v>#VALUE!</v>
      </c>
      <c r="AA67">
        <v>2786419</v>
      </c>
      <c r="AB67">
        <v>12986</v>
      </c>
      <c r="AD67" t="s">
        <v>2</v>
      </c>
      <c r="AF67">
        <v>1</v>
      </c>
      <c r="AH67" t="s">
        <v>1199</v>
      </c>
      <c r="AI67" t="s">
        <v>1198</v>
      </c>
      <c r="AK67" t="s">
        <v>1197</v>
      </c>
      <c r="AL67">
        <v>0</v>
      </c>
      <c r="AM67" s="5">
        <f t="shared" si="11"/>
        <v>0</v>
      </c>
      <c r="AN67" s="4">
        <f t="shared" si="12"/>
        <v>0</v>
      </c>
      <c r="AO67" s="3"/>
      <c r="AP67">
        <v>0</v>
      </c>
      <c r="AR67" t="s">
        <v>1</v>
      </c>
      <c r="AT67" s="2" t="s">
        <v>0</v>
      </c>
      <c r="AU67" s="1" t="e">
        <f t="shared" si="13"/>
        <v>#VALUE!</v>
      </c>
      <c r="AV67" s="1" t="e">
        <f t="shared" si="14"/>
        <v>#VALUE!</v>
      </c>
      <c r="AW67" s="1" t="e">
        <f t="shared" si="15"/>
        <v>#VALUE!</v>
      </c>
    </row>
    <row r="68" spans="1:49" x14ac:dyDescent="0.2">
      <c r="A68">
        <v>66</v>
      </c>
      <c r="B68" t="s">
        <v>1196</v>
      </c>
      <c r="F68" t="s">
        <v>1195</v>
      </c>
      <c r="G68" t="s">
        <v>4</v>
      </c>
      <c r="H68" t="s">
        <v>3</v>
      </c>
      <c r="I68" t="s">
        <v>1194</v>
      </c>
      <c r="J68">
        <v>60013506</v>
      </c>
      <c r="K68" t="s">
        <v>1193</v>
      </c>
      <c r="L68" t="s">
        <v>1192</v>
      </c>
      <c r="M68" t="s">
        <v>35</v>
      </c>
      <c r="N68">
        <v>4</v>
      </c>
      <c r="O68" t="s">
        <v>1191</v>
      </c>
      <c r="P68" t="s">
        <v>1190</v>
      </c>
      <c r="Q68" t="s">
        <v>1189</v>
      </c>
      <c r="R68" s="7">
        <v>31747</v>
      </c>
      <c r="S68" s="8">
        <f t="shared" si="8"/>
        <v>1986</v>
      </c>
      <c r="T68" s="8">
        <v>1986</v>
      </c>
      <c r="U68" s="8">
        <f t="shared" si="9"/>
        <v>36</v>
      </c>
      <c r="V68" s="7">
        <v>1986</v>
      </c>
      <c r="W68" t="s">
        <v>1188</v>
      </c>
      <c r="X68" s="2" t="s">
        <v>0</v>
      </c>
      <c r="Y68" s="6" t="e">
        <f t="shared" si="10"/>
        <v>#VALUE!</v>
      </c>
      <c r="AA68">
        <v>2774488</v>
      </c>
      <c r="AB68">
        <v>34396</v>
      </c>
      <c r="AD68" t="s">
        <v>2</v>
      </c>
      <c r="AE68">
        <v>6</v>
      </c>
      <c r="AF68">
        <v>4</v>
      </c>
      <c r="AH68" t="s">
        <v>1187</v>
      </c>
      <c r="AI68" t="s">
        <v>1186</v>
      </c>
      <c r="AK68" t="s">
        <v>1185</v>
      </c>
      <c r="AL68">
        <v>0</v>
      </c>
      <c r="AM68" s="5">
        <f t="shared" si="11"/>
        <v>0</v>
      </c>
      <c r="AN68" s="4">
        <f t="shared" si="12"/>
        <v>0</v>
      </c>
      <c r="AO68" s="3"/>
      <c r="AP68">
        <v>0</v>
      </c>
      <c r="AR68" t="s">
        <v>1</v>
      </c>
      <c r="AT68" s="2" t="s">
        <v>0</v>
      </c>
      <c r="AU68" s="1" t="e">
        <f t="shared" si="13"/>
        <v>#VALUE!</v>
      </c>
      <c r="AV68" s="1" t="e">
        <f t="shared" si="14"/>
        <v>#VALUE!</v>
      </c>
      <c r="AW68" s="1" t="e">
        <f t="shared" si="15"/>
        <v>#VALUE!</v>
      </c>
    </row>
    <row r="69" spans="1:49" x14ac:dyDescent="0.2">
      <c r="A69">
        <v>67</v>
      </c>
      <c r="B69" t="s">
        <v>1184</v>
      </c>
      <c r="F69" t="s">
        <v>1183</v>
      </c>
      <c r="G69" t="s">
        <v>4</v>
      </c>
      <c r="H69" t="s">
        <v>3</v>
      </c>
      <c r="I69" t="s">
        <v>1182</v>
      </c>
      <c r="J69">
        <v>60092258</v>
      </c>
      <c r="K69" t="s">
        <v>51</v>
      </c>
      <c r="L69" t="s">
        <v>50</v>
      </c>
      <c r="M69" t="s">
        <v>6</v>
      </c>
      <c r="N69">
        <v>2</v>
      </c>
      <c r="O69" t="s">
        <v>1181</v>
      </c>
      <c r="P69" t="s">
        <v>1180</v>
      </c>
      <c r="Q69" t="s">
        <v>49</v>
      </c>
      <c r="R69" s="7">
        <v>31747</v>
      </c>
      <c r="S69" s="8">
        <f t="shared" si="8"/>
        <v>1986</v>
      </c>
      <c r="T69" s="8">
        <v>1986</v>
      </c>
      <c r="U69" s="8">
        <f t="shared" si="9"/>
        <v>36</v>
      </c>
      <c r="V69" s="7">
        <v>31747</v>
      </c>
      <c r="W69" t="s">
        <v>1153</v>
      </c>
      <c r="X69" s="2" t="s">
        <v>0</v>
      </c>
      <c r="Y69" s="6" t="e">
        <f t="shared" si="10"/>
        <v>#VALUE!</v>
      </c>
      <c r="AA69">
        <v>3865096</v>
      </c>
      <c r="AB69">
        <v>18584</v>
      </c>
      <c r="AD69" t="s">
        <v>2</v>
      </c>
      <c r="AE69">
        <v>37</v>
      </c>
      <c r="AH69" s="9">
        <v>44539</v>
      </c>
      <c r="AI69" t="s">
        <v>1179</v>
      </c>
      <c r="AK69" t="s">
        <v>1178</v>
      </c>
      <c r="AL69">
        <v>0</v>
      </c>
      <c r="AM69" s="5">
        <f t="shared" si="11"/>
        <v>0</v>
      </c>
      <c r="AN69" s="4">
        <f t="shared" si="12"/>
        <v>0</v>
      </c>
      <c r="AO69" s="3"/>
      <c r="AP69">
        <v>0</v>
      </c>
      <c r="AR69" t="s">
        <v>1</v>
      </c>
      <c r="AT69" s="2" t="s">
        <v>0</v>
      </c>
      <c r="AU69" s="1" t="e">
        <f t="shared" si="13"/>
        <v>#VALUE!</v>
      </c>
      <c r="AV69" s="1" t="e">
        <f t="shared" si="14"/>
        <v>#VALUE!</v>
      </c>
      <c r="AW69" s="1" t="e">
        <f t="shared" si="15"/>
        <v>#VALUE!</v>
      </c>
    </row>
    <row r="70" spans="1:49" x14ac:dyDescent="0.2">
      <c r="A70">
        <v>68</v>
      </c>
      <c r="B70" t="s">
        <v>1177</v>
      </c>
      <c r="F70" t="s">
        <v>1176</v>
      </c>
      <c r="G70" t="s">
        <v>4</v>
      </c>
      <c r="H70" t="s">
        <v>3</v>
      </c>
      <c r="I70" t="s">
        <v>1175</v>
      </c>
      <c r="J70">
        <v>60022195</v>
      </c>
      <c r="K70" t="s">
        <v>84</v>
      </c>
      <c r="L70" t="s">
        <v>83</v>
      </c>
      <c r="M70" t="s">
        <v>7</v>
      </c>
      <c r="N70">
        <v>6</v>
      </c>
      <c r="O70" t="s">
        <v>1174</v>
      </c>
      <c r="P70" t="s">
        <v>1173</v>
      </c>
      <c r="Q70" t="s">
        <v>1172</v>
      </c>
      <c r="R70" s="7">
        <v>31747</v>
      </c>
      <c r="S70" s="8">
        <f t="shared" si="8"/>
        <v>1986</v>
      </c>
      <c r="T70" s="8">
        <v>1986</v>
      </c>
      <c r="U70" s="8">
        <f t="shared" si="9"/>
        <v>36</v>
      </c>
      <c r="V70" s="7">
        <v>31747</v>
      </c>
      <c r="W70" t="s">
        <v>181</v>
      </c>
      <c r="X70" s="2" t="s">
        <v>0</v>
      </c>
      <c r="Y70" s="6" t="e">
        <f t="shared" si="10"/>
        <v>#VALUE!</v>
      </c>
      <c r="AA70">
        <v>262897</v>
      </c>
      <c r="AB70">
        <v>18580</v>
      </c>
      <c r="AD70" t="s">
        <v>2</v>
      </c>
      <c r="AE70">
        <v>29</v>
      </c>
      <c r="AF70">
        <v>12</v>
      </c>
      <c r="AI70" t="s">
        <v>1171</v>
      </c>
      <c r="AK70" t="s">
        <v>1170</v>
      </c>
      <c r="AL70">
        <v>0</v>
      </c>
      <c r="AM70" s="5">
        <f t="shared" si="11"/>
        <v>0</v>
      </c>
      <c r="AN70" s="4">
        <f t="shared" si="12"/>
        <v>0</v>
      </c>
      <c r="AO70" s="3"/>
      <c r="AP70">
        <v>0</v>
      </c>
      <c r="AR70" t="s">
        <v>1</v>
      </c>
      <c r="AT70" s="2">
        <v>0.30599999999999999</v>
      </c>
      <c r="AU70" s="1" t="e">
        <f t="shared" si="13"/>
        <v>#VALUE!</v>
      </c>
      <c r="AV70" s="1" t="e">
        <f t="shared" si="14"/>
        <v>#VALUE!</v>
      </c>
      <c r="AW70" s="1" t="e">
        <f t="shared" si="15"/>
        <v>#VALUE!</v>
      </c>
    </row>
    <row r="71" spans="1:49" x14ac:dyDescent="0.2">
      <c r="A71">
        <v>69</v>
      </c>
      <c r="B71" t="s">
        <v>1169</v>
      </c>
      <c r="F71" t="s">
        <v>1168</v>
      </c>
      <c r="G71" t="s">
        <v>4</v>
      </c>
      <c r="H71" t="s">
        <v>3</v>
      </c>
      <c r="I71" t="s">
        <v>1167</v>
      </c>
      <c r="J71">
        <v>60032430</v>
      </c>
      <c r="K71" t="s">
        <v>1166</v>
      </c>
      <c r="L71" t="s">
        <v>129</v>
      </c>
      <c r="M71" t="s">
        <v>7</v>
      </c>
      <c r="N71">
        <v>1</v>
      </c>
      <c r="O71" t="s">
        <v>1165</v>
      </c>
      <c r="P71">
        <v>6602391149</v>
      </c>
      <c r="Q71">
        <v>60032430</v>
      </c>
      <c r="R71" s="7">
        <v>31747</v>
      </c>
      <c r="S71" s="8">
        <f t="shared" si="8"/>
        <v>1986</v>
      </c>
      <c r="T71" s="8">
        <v>1986</v>
      </c>
      <c r="U71" s="8">
        <f t="shared" si="9"/>
        <v>36</v>
      </c>
      <c r="V71" s="7">
        <v>1986</v>
      </c>
      <c r="W71" t="s">
        <v>1164</v>
      </c>
      <c r="X71" s="2" t="s">
        <v>0</v>
      </c>
      <c r="Y71" s="6" t="e">
        <f t="shared" si="10"/>
        <v>#VALUE!</v>
      </c>
      <c r="AA71">
        <v>3620034</v>
      </c>
      <c r="AB71">
        <v>36848</v>
      </c>
      <c r="AD71" t="s">
        <v>2</v>
      </c>
      <c r="AE71">
        <v>15</v>
      </c>
      <c r="AH71" t="s">
        <v>1163</v>
      </c>
      <c r="AI71" t="s">
        <v>1162</v>
      </c>
      <c r="AK71" t="s">
        <v>1161</v>
      </c>
      <c r="AL71">
        <v>0</v>
      </c>
      <c r="AM71" s="5">
        <f t="shared" si="11"/>
        <v>0</v>
      </c>
      <c r="AN71" s="4">
        <f t="shared" si="12"/>
        <v>0</v>
      </c>
      <c r="AO71" s="3"/>
      <c r="AP71">
        <v>0</v>
      </c>
      <c r="AR71" t="s">
        <v>1</v>
      </c>
      <c r="AT71" s="2" t="s">
        <v>0</v>
      </c>
      <c r="AU71" s="1" t="e">
        <f t="shared" si="13"/>
        <v>#VALUE!</v>
      </c>
      <c r="AV71" s="1" t="e">
        <f t="shared" si="14"/>
        <v>#VALUE!</v>
      </c>
      <c r="AW71" s="1" t="e">
        <f t="shared" si="15"/>
        <v>#VALUE!</v>
      </c>
    </row>
    <row r="72" spans="1:49" x14ac:dyDescent="0.2">
      <c r="A72">
        <v>70</v>
      </c>
      <c r="B72" t="s">
        <v>1160</v>
      </c>
      <c r="F72" t="s">
        <v>1159</v>
      </c>
      <c r="G72" t="s">
        <v>4</v>
      </c>
      <c r="H72" t="s">
        <v>3</v>
      </c>
      <c r="I72" t="s">
        <v>1158</v>
      </c>
      <c r="J72">
        <v>60101699</v>
      </c>
      <c r="K72" t="s">
        <v>1157</v>
      </c>
      <c r="L72" t="s">
        <v>47</v>
      </c>
      <c r="M72" t="s">
        <v>6</v>
      </c>
      <c r="N72">
        <v>2</v>
      </c>
      <c r="O72" t="s">
        <v>1156</v>
      </c>
      <c r="P72" t="s">
        <v>1155</v>
      </c>
      <c r="Q72" t="s">
        <v>1154</v>
      </c>
      <c r="R72" s="7">
        <v>31747</v>
      </c>
      <c r="S72" s="8">
        <f t="shared" si="8"/>
        <v>1986</v>
      </c>
      <c r="T72" s="8">
        <v>1986</v>
      </c>
      <c r="U72" s="8">
        <f t="shared" si="9"/>
        <v>36</v>
      </c>
      <c r="V72" s="7">
        <v>31747</v>
      </c>
      <c r="W72" t="s">
        <v>1153</v>
      </c>
      <c r="X72" s="2" t="s">
        <v>0</v>
      </c>
      <c r="Y72" s="6" t="e">
        <f t="shared" si="10"/>
        <v>#VALUE!</v>
      </c>
      <c r="AA72">
        <v>3865096</v>
      </c>
      <c r="AB72">
        <v>18584</v>
      </c>
      <c r="AD72" t="s">
        <v>2</v>
      </c>
      <c r="AE72">
        <v>37</v>
      </c>
      <c r="AH72" t="s">
        <v>1152</v>
      </c>
      <c r="AI72" t="s">
        <v>1151</v>
      </c>
      <c r="AK72" t="s">
        <v>1150</v>
      </c>
      <c r="AL72">
        <v>0</v>
      </c>
      <c r="AM72" s="5">
        <f t="shared" si="11"/>
        <v>0</v>
      </c>
      <c r="AN72" s="4">
        <f t="shared" si="12"/>
        <v>0</v>
      </c>
      <c r="AO72" s="3"/>
      <c r="AP72">
        <v>0</v>
      </c>
      <c r="AR72" t="s">
        <v>1</v>
      </c>
      <c r="AT72" s="2" t="s">
        <v>0</v>
      </c>
      <c r="AU72" s="1" t="e">
        <f t="shared" si="13"/>
        <v>#VALUE!</v>
      </c>
      <c r="AV72" s="1" t="e">
        <f t="shared" si="14"/>
        <v>#VALUE!</v>
      </c>
      <c r="AW72" s="1" t="e">
        <f t="shared" si="15"/>
        <v>#VALUE!</v>
      </c>
    </row>
    <row r="73" spans="1:49" x14ac:dyDescent="0.2">
      <c r="A73">
        <v>71</v>
      </c>
      <c r="B73" t="s">
        <v>1149</v>
      </c>
      <c r="F73" t="s">
        <v>1148</v>
      </c>
      <c r="G73" t="s">
        <v>4</v>
      </c>
      <c r="H73" t="s">
        <v>3</v>
      </c>
      <c r="I73" t="s">
        <v>1147</v>
      </c>
      <c r="N73">
        <v>1</v>
      </c>
      <c r="O73" t="s">
        <v>1146</v>
      </c>
      <c r="P73">
        <v>57201507045</v>
      </c>
      <c r="R73" s="7">
        <v>31747</v>
      </c>
      <c r="S73" s="8">
        <f t="shared" si="8"/>
        <v>1986</v>
      </c>
      <c r="T73" s="8">
        <v>1986</v>
      </c>
      <c r="U73" s="8">
        <f t="shared" si="9"/>
        <v>36</v>
      </c>
      <c r="V73" s="7">
        <v>1986</v>
      </c>
      <c r="W73" t="s">
        <v>1145</v>
      </c>
      <c r="X73" s="2" t="s">
        <v>0</v>
      </c>
      <c r="Y73" s="6" t="e">
        <f t="shared" si="10"/>
        <v>#VALUE!</v>
      </c>
      <c r="AA73">
        <v>2421283</v>
      </c>
      <c r="AB73">
        <v>62329</v>
      </c>
      <c r="AD73" t="s">
        <v>2</v>
      </c>
      <c r="AF73">
        <v>4</v>
      </c>
      <c r="AH73" t="s">
        <v>1144</v>
      </c>
      <c r="AI73" t="s">
        <v>1143</v>
      </c>
      <c r="AK73" t="s">
        <v>1142</v>
      </c>
      <c r="AL73">
        <v>0</v>
      </c>
      <c r="AM73" s="5">
        <f t="shared" si="11"/>
        <v>0</v>
      </c>
      <c r="AN73" s="4">
        <f t="shared" si="12"/>
        <v>0</v>
      </c>
      <c r="AO73" s="3"/>
      <c r="AP73">
        <v>0</v>
      </c>
      <c r="AR73" t="s">
        <v>1</v>
      </c>
      <c r="AT73" s="2" t="s">
        <v>0</v>
      </c>
      <c r="AU73" s="1" t="e">
        <f t="shared" si="13"/>
        <v>#VALUE!</v>
      </c>
      <c r="AV73" s="1" t="e">
        <f t="shared" si="14"/>
        <v>#VALUE!</v>
      </c>
      <c r="AW73" s="1" t="e">
        <f t="shared" si="15"/>
        <v>#VALUE!</v>
      </c>
    </row>
    <row r="74" spans="1:49" x14ac:dyDescent="0.2">
      <c r="A74">
        <v>72</v>
      </c>
      <c r="B74" t="s">
        <v>1141</v>
      </c>
      <c r="F74" t="s">
        <v>1140</v>
      </c>
      <c r="G74" t="s">
        <v>4</v>
      </c>
      <c r="H74" t="s">
        <v>3</v>
      </c>
      <c r="I74" t="s">
        <v>1139</v>
      </c>
      <c r="J74">
        <v>100338587</v>
      </c>
      <c r="K74" t="s">
        <v>1138</v>
      </c>
      <c r="L74" t="s">
        <v>1137</v>
      </c>
      <c r="M74" t="s">
        <v>23</v>
      </c>
      <c r="N74">
        <v>1</v>
      </c>
      <c r="O74" t="s">
        <v>1136</v>
      </c>
      <c r="P74">
        <v>7006018096</v>
      </c>
      <c r="Q74">
        <v>100338587</v>
      </c>
      <c r="R74" s="7">
        <v>31747</v>
      </c>
      <c r="S74" s="8">
        <f t="shared" si="8"/>
        <v>1986</v>
      </c>
      <c r="T74" s="8">
        <v>1986</v>
      </c>
      <c r="U74" s="8">
        <f t="shared" si="9"/>
        <v>36</v>
      </c>
      <c r="V74" s="7">
        <v>1986</v>
      </c>
      <c r="W74" t="s">
        <v>1135</v>
      </c>
      <c r="X74" s="2" t="s">
        <v>0</v>
      </c>
      <c r="Y74" s="6" t="e">
        <f t="shared" si="10"/>
        <v>#VALUE!</v>
      </c>
      <c r="AB74">
        <v>34899</v>
      </c>
      <c r="AD74" t="s">
        <v>2</v>
      </c>
      <c r="AE74">
        <v>10</v>
      </c>
      <c r="AF74">
        <v>3</v>
      </c>
      <c r="AH74" t="s">
        <v>1134</v>
      </c>
      <c r="AI74" t="s">
        <v>1133</v>
      </c>
      <c r="AK74" t="s">
        <v>1132</v>
      </c>
      <c r="AL74">
        <v>1</v>
      </c>
      <c r="AM74" s="5">
        <f t="shared" si="11"/>
        <v>2.7777777777777776E-2</v>
      </c>
      <c r="AN74" s="4">
        <f t="shared" si="12"/>
        <v>4.2071605873196175E-5</v>
      </c>
      <c r="AO74" s="3"/>
      <c r="AP74">
        <v>0</v>
      </c>
      <c r="AR74" t="s">
        <v>1</v>
      </c>
      <c r="AT74" s="2" t="s">
        <v>0</v>
      </c>
      <c r="AU74" s="1" t="e">
        <f t="shared" si="13"/>
        <v>#VALUE!</v>
      </c>
      <c r="AV74" s="1" t="e">
        <f t="shared" si="14"/>
        <v>#VALUE!</v>
      </c>
      <c r="AW74" s="1" t="e">
        <f t="shared" si="15"/>
        <v>#VALUE!</v>
      </c>
    </row>
    <row r="75" spans="1:49" x14ac:dyDescent="0.2">
      <c r="A75">
        <v>73</v>
      </c>
      <c r="B75" t="s">
        <v>1131</v>
      </c>
      <c r="F75" t="s">
        <v>1130</v>
      </c>
      <c r="G75" t="s">
        <v>4</v>
      </c>
      <c r="H75" t="s">
        <v>3</v>
      </c>
      <c r="I75" t="s">
        <v>1129</v>
      </c>
      <c r="N75">
        <v>3</v>
      </c>
      <c r="O75" t="s">
        <v>1128</v>
      </c>
      <c r="P75" t="s">
        <v>1127</v>
      </c>
      <c r="Q75" t="s">
        <v>17</v>
      </c>
      <c r="R75" s="7">
        <v>31747</v>
      </c>
      <c r="S75" s="8">
        <f t="shared" si="8"/>
        <v>1986</v>
      </c>
      <c r="T75" s="8">
        <v>1986</v>
      </c>
      <c r="U75" s="8">
        <f t="shared" si="9"/>
        <v>36</v>
      </c>
      <c r="V75" s="7">
        <v>31747</v>
      </c>
      <c r="W75" t="s">
        <v>45</v>
      </c>
      <c r="X75" s="2" t="s">
        <v>0</v>
      </c>
      <c r="Y75" s="6" t="e">
        <f t="shared" si="10"/>
        <v>#VALUE!</v>
      </c>
      <c r="AA75">
        <v>87566648</v>
      </c>
      <c r="AB75">
        <v>74127</v>
      </c>
      <c r="AD75" t="s">
        <v>2</v>
      </c>
      <c r="AE75">
        <v>31</v>
      </c>
      <c r="AF75">
        <v>12</v>
      </c>
      <c r="AH75" t="s">
        <v>1126</v>
      </c>
      <c r="AI75" t="s">
        <v>1125</v>
      </c>
      <c r="AK75" t="s">
        <v>1124</v>
      </c>
      <c r="AL75">
        <v>0</v>
      </c>
      <c r="AM75" s="5">
        <f t="shared" si="11"/>
        <v>0</v>
      </c>
      <c r="AN75" s="4">
        <f t="shared" si="12"/>
        <v>0</v>
      </c>
      <c r="AO75" s="3"/>
      <c r="AP75">
        <v>0</v>
      </c>
      <c r="AR75" t="s">
        <v>1</v>
      </c>
      <c r="AT75" s="2" t="s">
        <v>0</v>
      </c>
      <c r="AU75" s="1" t="e">
        <f t="shared" si="13"/>
        <v>#VALUE!</v>
      </c>
      <c r="AV75" s="1" t="e">
        <f t="shared" si="14"/>
        <v>#VALUE!</v>
      </c>
      <c r="AW75" s="1" t="e">
        <f t="shared" si="15"/>
        <v>#VALUE!</v>
      </c>
    </row>
    <row r="76" spans="1:49" x14ac:dyDescent="0.2">
      <c r="A76">
        <v>74</v>
      </c>
      <c r="B76" t="s">
        <v>1123</v>
      </c>
      <c r="F76" t="s">
        <v>1122</v>
      </c>
      <c r="G76" t="s">
        <v>4</v>
      </c>
      <c r="H76" t="s">
        <v>3</v>
      </c>
      <c r="I76" t="s">
        <v>1121</v>
      </c>
      <c r="N76">
        <v>2</v>
      </c>
      <c r="O76" t="s">
        <v>1120</v>
      </c>
      <c r="P76" t="s">
        <v>1119</v>
      </c>
      <c r="Q76" t="s">
        <v>18</v>
      </c>
      <c r="R76" s="7">
        <v>31747</v>
      </c>
      <c r="S76" s="8">
        <f t="shared" si="8"/>
        <v>1986</v>
      </c>
      <c r="T76" s="8">
        <v>1986</v>
      </c>
      <c r="U76" s="8">
        <f t="shared" si="9"/>
        <v>36</v>
      </c>
      <c r="V76" s="7">
        <v>31747</v>
      </c>
      <c r="W76" t="s">
        <v>45</v>
      </c>
      <c r="X76" s="2" t="s">
        <v>0</v>
      </c>
      <c r="Y76" s="6" t="e">
        <f t="shared" si="10"/>
        <v>#VALUE!</v>
      </c>
      <c r="AA76">
        <v>87566648</v>
      </c>
      <c r="AB76">
        <v>74127</v>
      </c>
      <c r="AD76" t="s">
        <v>2</v>
      </c>
      <c r="AE76">
        <v>31</v>
      </c>
      <c r="AF76">
        <v>12</v>
      </c>
      <c r="AH76" t="s">
        <v>43</v>
      </c>
      <c r="AI76" t="s">
        <v>1118</v>
      </c>
      <c r="AK76" t="s">
        <v>1117</v>
      </c>
      <c r="AL76">
        <v>0</v>
      </c>
      <c r="AM76" s="5">
        <f t="shared" si="11"/>
        <v>0</v>
      </c>
      <c r="AN76" s="4">
        <f t="shared" si="12"/>
        <v>0</v>
      </c>
      <c r="AO76" s="3"/>
      <c r="AP76">
        <v>0</v>
      </c>
      <c r="AR76" t="s">
        <v>1</v>
      </c>
      <c r="AT76" s="2" t="s">
        <v>0</v>
      </c>
      <c r="AU76" s="1" t="e">
        <f t="shared" si="13"/>
        <v>#VALUE!</v>
      </c>
      <c r="AV76" s="1" t="e">
        <f t="shared" si="14"/>
        <v>#VALUE!</v>
      </c>
      <c r="AW76" s="1" t="e">
        <f t="shared" si="15"/>
        <v>#VALUE!</v>
      </c>
    </row>
    <row r="77" spans="1:49" x14ac:dyDescent="0.2">
      <c r="A77">
        <v>75</v>
      </c>
      <c r="B77" t="s">
        <v>1116</v>
      </c>
      <c r="F77" t="s">
        <v>1115</v>
      </c>
      <c r="G77" t="s">
        <v>4</v>
      </c>
      <c r="H77" t="s">
        <v>3</v>
      </c>
      <c r="I77" t="s">
        <v>1108</v>
      </c>
      <c r="N77">
        <v>1</v>
      </c>
      <c r="O77" t="s">
        <v>1114</v>
      </c>
      <c r="P77">
        <v>6602698017</v>
      </c>
      <c r="R77" s="7">
        <v>31747</v>
      </c>
      <c r="S77" s="8">
        <f t="shared" si="8"/>
        <v>1986</v>
      </c>
      <c r="T77" s="8">
        <v>1986</v>
      </c>
      <c r="U77" s="8">
        <f t="shared" si="9"/>
        <v>36</v>
      </c>
      <c r="V77" s="7">
        <v>31747</v>
      </c>
      <c r="W77" t="s">
        <v>45</v>
      </c>
      <c r="X77" s="2" t="s">
        <v>0</v>
      </c>
      <c r="Y77" s="6" t="e">
        <f t="shared" si="10"/>
        <v>#VALUE!</v>
      </c>
      <c r="AA77">
        <v>87566648</v>
      </c>
      <c r="AB77">
        <v>74127</v>
      </c>
      <c r="AD77" t="s">
        <v>2</v>
      </c>
      <c r="AE77">
        <v>31</v>
      </c>
      <c r="AF77">
        <v>12</v>
      </c>
      <c r="AH77" t="s">
        <v>1113</v>
      </c>
      <c r="AI77" t="s">
        <v>1112</v>
      </c>
      <c r="AK77" t="s">
        <v>1111</v>
      </c>
      <c r="AL77">
        <v>0</v>
      </c>
      <c r="AM77" s="5">
        <f t="shared" si="11"/>
        <v>0</v>
      </c>
      <c r="AN77" s="4">
        <f t="shared" si="12"/>
        <v>0</v>
      </c>
      <c r="AO77" s="3"/>
      <c r="AP77">
        <v>0</v>
      </c>
      <c r="AR77" t="s">
        <v>1</v>
      </c>
      <c r="AT77" s="2" t="s">
        <v>0</v>
      </c>
      <c r="AU77" s="1" t="e">
        <f t="shared" si="13"/>
        <v>#VALUE!</v>
      </c>
      <c r="AV77" s="1" t="e">
        <f t="shared" si="14"/>
        <v>#VALUE!</v>
      </c>
      <c r="AW77" s="1" t="e">
        <f t="shared" si="15"/>
        <v>#VALUE!</v>
      </c>
    </row>
    <row r="78" spans="1:49" x14ac:dyDescent="0.2">
      <c r="A78">
        <v>76</v>
      </c>
      <c r="B78" t="s">
        <v>1110</v>
      </c>
      <c r="F78" t="s">
        <v>1109</v>
      </c>
      <c r="G78" t="s">
        <v>4</v>
      </c>
      <c r="H78" t="s">
        <v>3</v>
      </c>
      <c r="I78" t="s">
        <v>1108</v>
      </c>
      <c r="N78">
        <v>2</v>
      </c>
      <c r="O78" t="s">
        <v>1107</v>
      </c>
      <c r="P78" t="s">
        <v>1106</v>
      </c>
      <c r="Q78" t="s">
        <v>18</v>
      </c>
      <c r="R78" s="7">
        <v>31747</v>
      </c>
      <c r="S78" s="8">
        <f t="shared" si="8"/>
        <v>1986</v>
      </c>
      <c r="T78" s="8">
        <v>1986</v>
      </c>
      <c r="U78" s="8">
        <f t="shared" si="9"/>
        <v>36</v>
      </c>
      <c r="V78" s="7">
        <v>31747</v>
      </c>
      <c r="W78" t="s">
        <v>45</v>
      </c>
      <c r="X78" s="2" t="s">
        <v>0</v>
      </c>
      <c r="Y78" s="6" t="e">
        <f t="shared" si="10"/>
        <v>#VALUE!</v>
      </c>
      <c r="AA78">
        <v>87566648</v>
      </c>
      <c r="AB78">
        <v>74127</v>
      </c>
      <c r="AD78" t="s">
        <v>2</v>
      </c>
      <c r="AE78">
        <v>31</v>
      </c>
      <c r="AF78">
        <v>12</v>
      </c>
      <c r="AH78" t="s">
        <v>1105</v>
      </c>
      <c r="AI78" t="s">
        <v>1104</v>
      </c>
      <c r="AK78" t="s">
        <v>1103</v>
      </c>
      <c r="AL78">
        <v>0</v>
      </c>
      <c r="AM78" s="5">
        <f t="shared" si="11"/>
        <v>0</v>
      </c>
      <c r="AN78" s="4">
        <f t="shared" si="12"/>
        <v>0</v>
      </c>
      <c r="AO78" s="3"/>
      <c r="AP78">
        <v>0</v>
      </c>
      <c r="AR78" t="s">
        <v>1</v>
      </c>
      <c r="AT78" s="2" t="s">
        <v>0</v>
      </c>
      <c r="AU78" s="1" t="e">
        <f t="shared" si="13"/>
        <v>#VALUE!</v>
      </c>
      <c r="AV78" s="1" t="e">
        <f t="shared" si="14"/>
        <v>#VALUE!</v>
      </c>
      <c r="AW78" s="1" t="e">
        <f t="shared" si="15"/>
        <v>#VALUE!</v>
      </c>
    </row>
    <row r="79" spans="1:49" x14ac:dyDescent="0.2">
      <c r="A79">
        <v>77</v>
      </c>
      <c r="B79" t="s">
        <v>1102</v>
      </c>
      <c r="F79" t="s">
        <v>1101</v>
      </c>
      <c r="G79" t="s">
        <v>4</v>
      </c>
      <c r="H79" t="s">
        <v>3</v>
      </c>
      <c r="I79" t="s">
        <v>1100</v>
      </c>
      <c r="N79">
        <v>1</v>
      </c>
      <c r="O79" t="s">
        <v>1099</v>
      </c>
      <c r="P79">
        <v>7003693169</v>
      </c>
      <c r="R79" s="7">
        <v>31747</v>
      </c>
      <c r="S79" s="8">
        <f t="shared" si="8"/>
        <v>1986</v>
      </c>
      <c r="T79" s="8">
        <v>1986</v>
      </c>
      <c r="U79" s="8">
        <f t="shared" si="9"/>
        <v>36</v>
      </c>
      <c r="V79" s="7">
        <v>31747</v>
      </c>
      <c r="W79" t="s">
        <v>1080</v>
      </c>
      <c r="X79" s="2" t="s">
        <v>0</v>
      </c>
      <c r="Y79" s="6" t="e">
        <f t="shared" si="10"/>
        <v>#VALUE!</v>
      </c>
      <c r="AA79">
        <v>5631823</v>
      </c>
      <c r="AB79">
        <v>34811</v>
      </c>
      <c r="AD79" t="s">
        <v>2</v>
      </c>
      <c r="AE79">
        <v>19</v>
      </c>
      <c r="AF79" s="9">
        <v>44289</v>
      </c>
      <c r="AH79" t="s">
        <v>1098</v>
      </c>
      <c r="AI79" t="s">
        <v>1097</v>
      </c>
      <c r="AK79" t="s">
        <v>1096</v>
      </c>
      <c r="AL79">
        <v>1</v>
      </c>
      <c r="AM79" s="5">
        <f t="shared" si="11"/>
        <v>2.7777777777777776E-2</v>
      </c>
      <c r="AN79" s="4">
        <f t="shared" si="12"/>
        <v>4.2071605873196175E-5</v>
      </c>
      <c r="AO79" s="3"/>
      <c r="AP79">
        <v>0</v>
      </c>
      <c r="AR79" t="s">
        <v>1</v>
      </c>
      <c r="AT79" s="2" t="s">
        <v>0</v>
      </c>
      <c r="AU79" s="1" t="e">
        <f t="shared" si="13"/>
        <v>#VALUE!</v>
      </c>
      <c r="AV79" s="1" t="e">
        <f t="shared" si="14"/>
        <v>#VALUE!</v>
      </c>
      <c r="AW79" s="1" t="e">
        <f t="shared" si="15"/>
        <v>#VALUE!</v>
      </c>
    </row>
    <row r="80" spans="1:49" x14ac:dyDescent="0.2">
      <c r="A80">
        <v>78</v>
      </c>
      <c r="B80" t="s">
        <v>1095</v>
      </c>
      <c r="F80" t="s">
        <v>1094</v>
      </c>
      <c r="G80" t="s">
        <v>4</v>
      </c>
      <c r="H80" t="s">
        <v>3</v>
      </c>
      <c r="I80" t="s">
        <v>1093</v>
      </c>
      <c r="J80">
        <v>100346170</v>
      </c>
      <c r="K80" t="s">
        <v>1092</v>
      </c>
      <c r="L80" t="s">
        <v>1091</v>
      </c>
      <c r="M80" t="s">
        <v>944</v>
      </c>
      <c r="N80">
        <v>3</v>
      </c>
      <c r="O80" t="s">
        <v>1090</v>
      </c>
      <c r="P80" t="s">
        <v>1089</v>
      </c>
      <c r="Q80" t="s">
        <v>1088</v>
      </c>
      <c r="R80" s="7">
        <v>31747</v>
      </c>
      <c r="S80" s="8">
        <f t="shared" si="8"/>
        <v>1986</v>
      </c>
      <c r="T80" s="8">
        <v>1986</v>
      </c>
      <c r="U80" s="8">
        <f t="shared" si="9"/>
        <v>36</v>
      </c>
      <c r="V80" s="7">
        <v>31747</v>
      </c>
      <c r="W80" t="s">
        <v>1080</v>
      </c>
      <c r="X80" s="2" t="s">
        <v>0</v>
      </c>
      <c r="Y80" s="6" t="e">
        <f t="shared" si="10"/>
        <v>#VALUE!</v>
      </c>
      <c r="AA80">
        <v>5631823</v>
      </c>
      <c r="AB80">
        <v>34811</v>
      </c>
      <c r="AD80" t="s">
        <v>2</v>
      </c>
      <c r="AE80">
        <v>19</v>
      </c>
      <c r="AF80" s="9">
        <v>44289</v>
      </c>
      <c r="AH80" t="s">
        <v>1087</v>
      </c>
      <c r="AI80" t="s">
        <v>1086</v>
      </c>
      <c r="AK80" t="s">
        <v>1085</v>
      </c>
      <c r="AL80">
        <v>1</v>
      </c>
      <c r="AM80" s="5">
        <f t="shared" si="11"/>
        <v>2.7777777777777776E-2</v>
      </c>
      <c r="AN80" s="4">
        <f t="shared" si="12"/>
        <v>4.2071605873196175E-5</v>
      </c>
      <c r="AO80" s="3"/>
      <c r="AP80">
        <v>0</v>
      </c>
      <c r="AR80" t="s">
        <v>1</v>
      </c>
      <c r="AT80" s="2" t="s">
        <v>0</v>
      </c>
      <c r="AU80" s="1" t="e">
        <f t="shared" si="13"/>
        <v>#VALUE!</v>
      </c>
      <c r="AV80" s="1" t="e">
        <f t="shared" si="14"/>
        <v>#VALUE!</v>
      </c>
      <c r="AW80" s="1" t="e">
        <f t="shared" si="15"/>
        <v>#VALUE!</v>
      </c>
    </row>
    <row r="81" spans="1:49" x14ac:dyDescent="0.2">
      <c r="A81">
        <v>79</v>
      </c>
      <c r="B81" t="s">
        <v>1084</v>
      </c>
      <c r="F81" t="s">
        <v>1083</v>
      </c>
      <c r="G81" t="s">
        <v>4</v>
      </c>
      <c r="H81" t="s">
        <v>3</v>
      </c>
      <c r="I81" t="s">
        <v>1082</v>
      </c>
      <c r="N81">
        <v>1</v>
      </c>
      <c r="O81" t="s">
        <v>1081</v>
      </c>
      <c r="P81">
        <v>6507300858</v>
      </c>
      <c r="R81" s="7">
        <v>31747</v>
      </c>
      <c r="S81" s="8">
        <f t="shared" si="8"/>
        <v>1986</v>
      </c>
      <c r="T81" s="8">
        <v>1986</v>
      </c>
      <c r="U81" s="8">
        <f t="shared" si="9"/>
        <v>36</v>
      </c>
      <c r="V81" s="7">
        <v>31747</v>
      </c>
      <c r="W81" t="s">
        <v>1080</v>
      </c>
      <c r="X81" s="2" t="s">
        <v>0</v>
      </c>
      <c r="Y81" s="6" t="e">
        <f t="shared" si="10"/>
        <v>#VALUE!</v>
      </c>
      <c r="AA81">
        <v>5631823</v>
      </c>
      <c r="AB81">
        <v>34811</v>
      </c>
      <c r="AD81" t="s">
        <v>2</v>
      </c>
      <c r="AE81">
        <v>19</v>
      </c>
      <c r="AF81" s="9">
        <v>44289</v>
      </c>
      <c r="AH81" t="s">
        <v>1079</v>
      </c>
      <c r="AI81" t="s">
        <v>1078</v>
      </c>
      <c r="AK81" t="s">
        <v>1077</v>
      </c>
      <c r="AL81">
        <v>0</v>
      </c>
      <c r="AM81" s="5">
        <f t="shared" si="11"/>
        <v>0</v>
      </c>
      <c r="AN81" s="4">
        <f t="shared" si="12"/>
        <v>0</v>
      </c>
      <c r="AO81" s="3"/>
      <c r="AP81">
        <v>0</v>
      </c>
      <c r="AR81" t="s">
        <v>1</v>
      </c>
      <c r="AT81" s="2" t="s">
        <v>0</v>
      </c>
      <c r="AU81" s="1" t="e">
        <f t="shared" si="13"/>
        <v>#VALUE!</v>
      </c>
      <c r="AV81" s="1" t="e">
        <f t="shared" si="14"/>
        <v>#VALUE!</v>
      </c>
      <c r="AW81" s="1" t="e">
        <f t="shared" si="15"/>
        <v>#VALUE!</v>
      </c>
    </row>
    <row r="82" spans="1:49" x14ac:dyDescent="0.2">
      <c r="A82">
        <v>80</v>
      </c>
      <c r="B82" t="s">
        <v>1076</v>
      </c>
      <c r="F82" t="s">
        <v>1075</v>
      </c>
      <c r="G82" t="s">
        <v>4</v>
      </c>
      <c r="H82" t="s">
        <v>3</v>
      </c>
      <c r="I82" t="s">
        <v>149</v>
      </c>
      <c r="N82">
        <v>1</v>
      </c>
      <c r="O82" t="s">
        <v>148</v>
      </c>
      <c r="P82">
        <v>1</v>
      </c>
      <c r="R82" s="7">
        <v>31747</v>
      </c>
      <c r="S82" s="8">
        <f t="shared" si="8"/>
        <v>1986</v>
      </c>
      <c r="T82" s="8">
        <v>1986</v>
      </c>
      <c r="U82" s="8">
        <f t="shared" si="9"/>
        <v>36</v>
      </c>
      <c r="V82" s="7">
        <v>1986</v>
      </c>
      <c r="W82" t="s">
        <v>1074</v>
      </c>
      <c r="X82" s="2">
        <v>0.128</v>
      </c>
      <c r="Y82" s="6">
        <f t="shared" si="10"/>
        <v>3.4168868957048667E-3</v>
      </c>
      <c r="AA82">
        <v>8834989</v>
      </c>
      <c r="AB82">
        <v>62520</v>
      </c>
      <c r="AD82" t="s">
        <v>2</v>
      </c>
      <c r="AE82">
        <v>59</v>
      </c>
      <c r="AF82">
        <v>27</v>
      </c>
      <c r="AH82" t="s">
        <v>1073</v>
      </c>
      <c r="AI82" t="s">
        <v>1072</v>
      </c>
      <c r="AK82" t="s">
        <v>1071</v>
      </c>
      <c r="AL82">
        <v>0</v>
      </c>
      <c r="AM82" s="5">
        <f t="shared" si="11"/>
        <v>0</v>
      </c>
      <c r="AN82" s="4">
        <f t="shared" si="12"/>
        <v>0</v>
      </c>
      <c r="AO82" s="3"/>
      <c r="AP82">
        <v>0</v>
      </c>
      <c r="AR82" t="s">
        <v>1</v>
      </c>
      <c r="AT82" s="2">
        <v>2.3969999999999998</v>
      </c>
      <c r="AU82" s="1">
        <f t="shared" si="13"/>
        <v>0.23918208269934066</v>
      </c>
      <c r="AV82" s="1">
        <f t="shared" si="14"/>
        <v>0.17084434478524332</v>
      </c>
      <c r="AW82" s="1">
        <f t="shared" si="15"/>
        <v>0.10250660687114599</v>
      </c>
    </row>
    <row r="83" spans="1:49" x14ac:dyDescent="0.2">
      <c r="A83">
        <v>81</v>
      </c>
      <c r="B83" t="s">
        <v>1070</v>
      </c>
      <c r="C83" t="s">
        <v>1069</v>
      </c>
      <c r="F83" t="s">
        <v>1068</v>
      </c>
      <c r="G83" t="s">
        <v>4</v>
      </c>
      <c r="H83" t="s">
        <v>3</v>
      </c>
      <c r="I83" t="s">
        <v>1067</v>
      </c>
      <c r="J83">
        <v>60030622</v>
      </c>
      <c r="K83" t="s">
        <v>1066</v>
      </c>
      <c r="L83" t="s">
        <v>1065</v>
      </c>
      <c r="M83" t="s">
        <v>22</v>
      </c>
      <c r="N83">
        <v>2</v>
      </c>
      <c r="O83" t="s">
        <v>1064</v>
      </c>
      <c r="P83" t="s">
        <v>1063</v>
      </c>
      <c r="Q83" t="s">
        <v>1062</v>
      </c>
      <c r="R83" s="7">
        <v>31747</v>
      </c>
      <c r="S83" s="8">
        <f t="shared" si="8"/>
        <v>1986</v>
      </c>
      <c r="T83" s="8">
        <v>1986</v>
      </c>
      <c r="U83" s="8">
        <f t="shared" si="9"/>
        <v>36</v>
      </c>
      <c r="V83" s="7">
        <v>1986</v>
      </c>
      <c r="W83" t="s">
        <v>1061</v>
      </c>
      <c r="X83" s="2">
        <v>1.3120000000000001</v>
      </c>
      <c r="Y83" s="6">
        <f t="shared" si="10"/>
        <v>3.502309068097488E-2</v>
      </c>
      <c r="AA83">
        <v>319155</v>
      </c>
      <c r="AB83">
        <v>29203</v>
      </c>
      <c r="AD83" t="s">
        <v>2</v>
      </c>
      <c r="AE83">
        <v>31</v>
      </c>
      <c r="AF83">
        <v>9</v>
      </c>
      <c r="AG83">
        <v>8</v>
      </c>
      <c r="AH83" t="s">
        <v>1060</v>
      </c>
      <c r="AI83" t="s">
        <v>1059</v>
      </c>
      <c r="AK83" t="s">
        <v>1058</v>
      </c>
      <c r="AL83">
        <v>9</v>
      </c>
      <c r="AM83" s="5">
        <f t="shared" si="11"/>
        <v>0.25</v>
      </c>
      <c r="AN83" s="4">
        <f t="shared" si="12"/>
        <v>3.786444528587656E-4</v>
      </c>
      <c r="AO83" s="3"/>
      <c r="AP83">
        <v>0</v>
      </c>
      <c r="AR83" t="s">
        <v>1</v>
      </c>
      <c r="AT83" s="2">
        <v>3.609</v>
      </c>
      <c r="AU83" s="1">
        <f t="shared" si="13"/>
        <v>2.4629756812540045</v>
      </c>
      <c r="AV83" s="1">
        <f t="shared" si="14"/>
        <v>1.7700867566916825</v>
      </c>
      <c r="AW83" s="1">
        <f t="shared" si="15"/>
        <v>1.07719783212936</v>
      </c>
    </row>
    <row r="84" spans="1:49" x14ac:dyDescent="0.2">
      <c r="A84">
        <v>82</v>
      </c>
      <c r="B84" t="s">
        <v>1057</v>
      </c>
      <c r="C84" t="s">
        <v>1056</v>
      </c>
      <c r="F84" t="s">
        <v>1055</v>
      </c>
      <c r="G84" t="s">
        <v>4</v>
      </c>
      <c r="H84" t="s">
        <v>3</v>
      </c>
      <c r="I84" t="s">
        <v>1054</v>
      </c>
      <c r="J84" t="s">
        <v>1053</v>
      </c>
      <c r="K84" t="s">
        <v>1052</v>
      </c>
      <c r="L84" t="s">
        <v>1051</v>
      </c>
      <c r="M84" t="s">
        <v>42</v>
      </c>
      <c r="N84">
        <v>5</v>
      </c>
      <c r="O84" t="s">
        <v>1050</v>
      </c>
      <c r="P84" t="s">
        <v>1049</v>
      </c>
      <c r="Q84" t="s">
        <v>1048</v>
      </c>
      <c r="R84" s="7">
        <v>31747</v>
      </c>
      <c r="S84" s="8">
        <f t="shared" si="8"/>
        <v>1986</v>
      </c>
      <c r="T84" s="8">
        <v>1986</v>
      </c>
      <c r="U84" s="8">
        <f t="shared" si="9"/>
        <v>36</v>
      </c>
      <c r="V84" s="7">
        <v>1986</v>
      </c>
      <c r="W84" t="s">
        <v>1047</v>
      </c>
      <c r="X84" s="2">
        <v>15.993</v>
      </c>
      <c r="Y84" s="6">
        <f t="shared" si="10"/>
        <v>0.42692400096099947</v>
      </c>
      <c r="AA84">
        <v>280836</v>
      </c>
      <c r="AB84">
        <v>21206</v>
      </c>
      <c r="AD84" t="s">
        <v>2</v>
      </c>
      <c r="AE84">
        <v>322</v>
      </c>
      <c r="AF84">
        <v>6079</v>
      </c>
      <c r="AH84" t="s">
        <v>1046</v>
      </c>
      <c r="AI84" t="s">
        <v>1045</v>
      </c>
      <c r="AK84" t="s">
        <v>1044</v>
      </c>
      <c r="AL84">
        <v>43</v>
      </c>
      <c r="AM84" s="5">
        <f t="shared" si="11"/>
        <v>1.1944444444444444</v>
      </c>
      <c r="AN84" s="4">
        <f t="shared" si="12"/>
        <v>1.8090790525474357E-3</v>
      </c>
      <c r="AO84" s="3"/>
      <c r="AP84">
        <v>0</v>
      </c>
      <c r="AR84" t="s">
        <v>1</v>
      </c>
      <c r="AT84" s="2">
        <v>49.962000000000003</v>
      </c>
      <c r="AU84" s="1">
        <f t="shared" si="13"/>
        <v>29.938952438846382</v>
      </c>
      <c r="AV84" s="1">
        <f t="shared" si="14"/>
        <v>21.436654000677347</v>
      </c>
      <c r="AW84" s="1">
        <f t="shared" si="15"/>
        <v>12.934355562508305</v>
      </c>
    </row>
    <row r="85" spans="1:49" x14ac:dyDescent="0.2">
      <c r="A85">
        <v>83</v>
      </c>
      <c r="B85" t="s">
        <v>1043</v>
      </c>
      <c r="C85" t="s">
        <v>1042</v>
      </c>
      <c r="F85" t="s">
        <v>1041</v>
      </c>
      <c r="G85" t="s">
        <v>4</v>
      </c>
      <c r="H85" t="s">
        <v>3</v>
      </c>
      <c r="I85" t="s">
        <v>1040</v>
      </c>
      <c r="J85">
        <v>60022195</v>
      </c>
      <c r="K85" t="s">
        <v>84</v>
      </c>
      <c r="L85" t="s">
        <v>83</v>
      </c>
      <c r="M85" t="s">
        <v>7</v>
      </c>
      <c r="N85">
        <v>2</v>
      </c>
      <c r="O85" t="s">
        <v>1039</v>
      </c>
      <c r="P85" t="s">
        <v>1038</v>
      </c>
      <c r="Q85" t="s">
        <v>174</v>
      </c>
      <c r="R85" s="7">
        <v>31747</v>
      </c>
      <c r="S85" s="8">
        <f t="shared" si="8"/>
        <v>1986</v>
      </c>
      <c r="T85" s="8">
        <v>1986</v>
      </c>
      <c r="U85" s="8">
        <f t="shared" si="9"/>
        <v>36</v>
      </c>
      <c r="V85" s="7">
        <v>1986</v>
      </c>
      <c r="W85" t="s">
        <v>1025</v>
      </c>
      <c r="X85" s="2">
        <v>0.60499999999999998</v>
      </c>
      <c r="Y85" s="6">
        <f t="shared" si="10"/>
        <v>1.6150129467980032E-2</v>
      </c>
      <c r="AA85">
        <v>346748</v>
      </c>
      <c r="AB85">
        <v>15563</v>
      </c>
      <c r="AD85" t="s">
        <v>2</v>
      </c>
      <c r="AE85">
        <v>57</v>
      </c>
      <c r="AF85">
        <v>10</v>
      </c>
      <c r="AH85" t="s">
        <v>1037</v>
      </c>
      <c r="AI85" t="s">
        <v>1036</v>
      </c>
      <c r="AK85" t="s">
        <v>1035</v>
      </c>
      <c r="AL85">
        <v>5</v>
      </c>
      <c r="AM85" s="5">
        <f t="shared" si="11"/>
        <v>0.1388888888888889</v>
      </c>
      <c r="AN85" s="4">
        <f t="shared" si="12"/>
        <v>2.103580293659809E-4</v>
      </c>
      <c r="AO85" s="3"/>
      <c r="AP85">
        <v>0</v>
      </c>
      <c r="AR85" t="s">
        <v>1</v>
      </c>
      <c r="AT85" s="2">
        <v>1.5229999999999999</v>
      </c>
      <c r="AU85" s="1">
        <f t="shared" si="13"/>
        <v>1.1368198036395816</v>
      </c>
      <c r="AV85" s="1">
        <f t="shared" si="14"/>
        <v>0.81802437486730062</v>
      </c>
      <c r="AW85" s="1">
        <f t="shared" si="15"/>
        <v>0.49922894609501967</v>
      </c>
    </row>
    <row r="86" spans="1:49" x14ac:dyDescent="0.2">
      <c r="A86">
        <v>84</v>
      </c>
      <c r="B86" t="s">
        <v>1034</v>
      </c>
      <c r="C86" t="s">
        <v>1033</v>
      </c>
      <c r="F86" t="s">
        <v>1032</v>
      </c>
      <c r="G86" t="s">
        <v>4</v>
      </c>
      <c r="H86" t="s">
        <v>3</v>
      </c>
      <c r="I86" t="s">
        <v>1031</v>
      </c>
      <c r="J86">
        <v>60028868</v>
      </c>
      <c r="K86" t="s">
        <v>1030</v>
      </c>
      <c r="L86" t="s">
        <v>1029</v>
      </c>
      <c r="M86" t="s">
        <v>61</v>
      </c>
      <c r="N86">
        <v>3</v>
      </c>
      <c r="O86" t="s">
        <v>1028</v>
      </c>
      <c r="P86" t="s">
        <v>1027</v>
      </c>
      <c r="Q86" t="s">
        <v>1026</v>
      </c>
      <c r="R86" s="7">
        <v>31747</v>
      </c>
      <c r="S86" s="8">
        <f t="shared" si="8"/>
        <v>1986</v>
      </c>
      <c r="T86" s="8">
        <v>1986</v>
      </c>
      <c r="U86" s="8">
        <f t="shared" si="9"/>
        <v>36</v>
      </c>
      <c r="V86" s="7">
        <v>1986</v>
      </c>
      <c r="W86" t="s">
        <v>1025</v>
      </c>
      <c r="X86" s="2">
        <v>0.60499999999999998</v>
      </c>
      <c r="Y86" s="6">
        <f t="shared" si="10"/>
        <v>1.6150129467980032E-2</v>
      </c>
      <c r="AA86">
        <v>346748</v>
      </c>
      <c r="AB86">
        <v>15563</v>
      </c>
      <c r="AD86" t="s">
        <v>2</v>
      </c>
      <c r="AE86">
        <v>57</v>
      </c>
      <c r="AF86">
        <v>6</v>
      </c>
      <c r="AH86" t="s">
        <v>1024</v>
      </c>
      <c r="AI86" t="s">
        <v>1023</v>
      </c>
      <c r="AK86" t="s">
        <v>1022</v>
      </c>
      <c r="AL86">
        <v>14</v>
      </c>
      <c r="AM86" s="5">
        <f t="shared" si="11"/>
        <v>0.3888888888888889</v>
      </c>
      <c r="AN86" s="4">
        <f t="shared" si="12"/>
        <v>5.890024822247465E-4</v>
      </c>
      <c r="AO86" s="3"/>
      <c r="AP86">
        <v>0</v>
      </c>
      <c r="AR86" t="s">
        <v>1</v>
      </c>
      <c r="AT86" s="2">
        <v>1.5229999999999999</v>
      </c>
      <c r="AU86" s="1">
        <f t="shared" si="13"/>
        <v>1.1481791372253445</v>
      </c>
      <c r="AV86" s="1">
        <f t="shared" si="14"/>
        <v>0.83695659751023899</v>
      </c>
      <c r="AW86" s="1">
        <f t="shared" si="15"/>
        <v>0.52573405779513327</v>
      </c>
    </row>
    <row r="87" spans="1:49" x14ac:dyDescent="0.2">
      <c r="A87">
        <v>85</v>
      </c>
      <c r="B87" t="s">
        <v>1021</v>
      </c>
      <c r="C87" t="s">
        <v>1020</v>
      </c>
      <c r="D87">
        <v>3986186900494</v>
      </c>
      <c r="E87">
        <v>3789744</v>
      </c>
      <c r="F87" t="s">
        <v>1019</v>
      </c>
      <c r="G87" t="s">
        <v>4</v>
      </c>
      <c r="H87" t="s">
        <v>3</v>
      </c>
      <c r="I87" t="s">
        <v>1018</v>
      </c>
      <c r="J87">
        <v>60002746</v>
      </c>
      <c r="K87" t="s">
        <v>1017</v>
      </c>
      <c r="L87" t="s">
        <v>683</v>
      </c>
      <c r="M87" t="s">
        <v>7</v>
      </c>
      <c r="N87">
        <v>4</v>
      </c>
      <c r="O87" t="s">
        <v>1016</v>
      </c>
      <c r="P87" t="s">
        <v>1015</v>
      </c>
      <c r="Q87" t="s">
        <v>1014</v>
      </c>
      <c r="R87" s="7">
        <v>31731</v>
      </c>
      <c r="S87" s="8">
        <f t="shared" si="8"/>
        <v>1986</v>
      </c>
      <c r="T87" s="8">
        <v>1986</v>
      </c>
      <c r="U87" s="8">
        <f t="shared" si="9"/>
        <v>36</v>
      </c>
      <c r="V87" s="7">
        <v>31731</v>
      </c>
      <c r="W87" t="s">
        <v>46</v>
      </c>
      <c r="X87" s="2">
        <v>1.097</v>
      </c>
      <c r="Y87" s="6">
        <f t="shared" si="10"/>
        <v>2.9283788473345614E-2</v>
      </c>
      <c r="AA87">
        <v>39861</v>
      </c>
      <c r="AB87">
        <v>16811</v>
      </c>
      <c r="AC87">
        <v>10960384</v>
      </c>
      <c r="AD87" t="s">
        <v>2</v>
      </c>
      <c r="AE87">
        <v>251</v>
      </c>
      <c r="AF87">
        <v>1</v>
      </c>
      <c r="AH87" t="s">
        <v>1013</v>
      </c>
      <c r="AI87" t="s">
        <v>1012</v>
      </c>
      <c r="AK87" t="s">
        <v>1011</v>
      </c>
      <c r="AL87">
        <v>4</v>
      </c>
      <c r="AM87" s="5">
        <f t="shared" si="11"/>
        <v>0.1111111111111111</v>
      </c>
      <c r="AN87" s="4">
        <f t="shared" si="12"/>
        <v>1.682864234927847E-4</v>
      </c>
      <c r="AO87" s="3"/>
      <c r="AP87">
        <v>0</v>
      </c>
      <c r="AQ87" t="s">
        <v>123</v>
      </c>
      <c r="AR87" t="s">
        <v>1010</v>
      </c>
      <c r="AS87" t="s">
        <v>122</v>
      </c>
      <c r="AT87" s="2" t="s">
        <v>0</v>
      </c>
      <c r="AU87" s="1">
        <f t="shared" si="13"/>
        <v>2.0549137858389765</v>
      </c>
      <c r="AV87" s="1">
        <f t="shared" si="14"/>
        <v>1.47260374484192</v>
      </c>
      <c r="AW87" s="1">
        <f t="shared" si="15"/>
        <v>0.89029370384486328</v>
      </c>
    </row>
    <row r="88" spans="1:49" x14ac:dyDescent="0.2">
      <c r="A88">
        <v>86</v>
      </c>
      <c r="B88" t="s">
        <v>1009</v>
      </c>
      <c r="C88" t="s">
        <v>1008</v>
      </c>
      <c r="D88" t="s">
        <v>1007</v>
      </c>
      <c r="F88" t="s">
        <v>1006</v>
      </c>
      <c r="G88" t="s">
        <v>4</v>
      </c>
      <c r="H88" t="s">
        <v>3</v>
      </c>
      <c r="I88" t="s">
        <v>166</v>
      </c>
      <c r="J88">
        <v>60002306</v>
      </c>
      <c r="K88" t="s">
        <v>160</v>
      </c>
      <c r="L88" t="s">
        <v>165</v>
      </c>
      <c r="M88" t="s">
        <v>35</v>
      </c>
      <c r="N88">
        <v>1</v>
      </c>
      <c r="O88" t="s">
        <v>164</v>
      </c>
      <c r="P88">
        <v>7006613193</v>
      </c>
      <c r="Q88">
        <v>60002306</v>
      </c>
      <c r="R88" s="7">
        <v>31724</v>
      </c>
      <c r="S88" s="8">
        <f t="shared" si="8"/>
        <v>1986</v>
      </c>
      <c r="T88" s="8">
        <v>1986</v>
      </c>
      <c r="U88" s="8">
        <f t="shared" si="9"/>
        <v>36</v>
      </c>
      <c r="V88" s="7">
        <v>31724</v>
      </c>
      <c r="W88" t="s">
        <v>163</v>
      </c>
      <c r="X88" s="2">
        <v>1.3149999999999999</v>
      </c>
      <c r="Y88" s="6">
        <f t="shared" si="10"/>
        <v>3.5103173967592965E-2</v>
      </c>
      <c r="AA88" t="s">
        <v>162</v>
      </c>
      <c r="AB88">
        <v>13030</v>
      </c>
      <c r="AC88">
        <v>10958568</v>
      </c>
      <c r="AD88" t="s">
        <v>2</v>
      </c>
      <c r="AE88">
        <v>110</v>
      </c>
      <c r="AF88">
        <v>3</v>
      </c>
      <c r="AH88" t="s">
        <v>1005</v>
      </c>
      <c r="AI88" t="s">
        <v>1004</v>
      </c>
      <c r="AK88" t="s">
        <v>1003</v>
      </c>
      <c r="AL88">
        <v>1</v>
      </c>
      <c r="AM88" s="5">
        <f t="shared" si="11"/>
        <v>2.7777777777777776E-2</v>
      </c>
      <c r="AN88" s="4">
        <f t="shared" si="12"/>
        <v>4.2071605873196175E-5</v>
      </c>
      <c r="AO88" s="3"/>
      <c r="AP88">
        <v>0</v>
      </c>
      <c r="AQ88" t="s">
        <v>140</v>
      </c>
      <c r="AR88" t="s">
        <v>1</v>
      </c>
      <c r="AS88" t="s">
        <v>139</v>
      </c>
      <c r="AT88" s="2">
        <v>3.6549999999999998</v>
      </c>
      <c r="AU88" s="1">
        <f t="shared" si="13"/>
        <v>2.4584843259077034</v>
      </c>
      <c r="AV88" s="1">
        <f t="shared" si="14"/>
        <v>1.7572622786733081</v>
      </c>
      <c r="AW88" s="1">
        <f t="shared" si="15"/>
        <v>1.0560402314389126</v>
      </c>
    </row>
    <row r="89" spans="1:49" x14ac:dyDescent="0.2">
      <c r="A89">
        <v>87</v>
      </c>
      <c r="B89" t="s">
        <v>1002</v>
      </c>
      <c r="C89" t="s">
        <v>1001</v>
      </c>
      <c r="D89">
        <v>5272886900587</v>
      </c>
      <c r="F89" t="s">
        <v>1000</v>
      </c>
      <c r="G89" t="s">
        <v>4</v>
      </c>
      <c r="H89" t="s">
        <v>3</v>
      </c>
      <c r="I89" t="s">
        <v>999</v>
      </c>
      <c r="J89">
        <v>60017563</v>
      </c>
      <c r="K89" t="s">
        <v>998</v>
      </c>
      <c r="L89" t="s">
        <v>997</v>
      </c>
      <c r="M89" t="s">
        <v>72</v>
      </c>
      <c r="N89">
        <v>1</v>
      </c>
      <c r="O89" t="s">
        <v>996</v>
      </c>
      <c r="P89">
        <v>6602112112</v>
      </c>
      <c r="Q89">
        <v>60017563</v>
      </c>
      <c r="R89" s="7">
        <v>31721</v>
      </c>
      <c r="S89" s="8">
        <f t="shared" si="8"/>
        <v>1986</v>
      </c>
      <c r="T89" s="8">
        <v>1986</v>
      </c>
      <c r="U89" s="8">
        <f t="shared" si="9"/>
        <v>36</v>
      </c>
      <c r="V89" s="7">
        <v>31721</v>
      </c>
      <c r="W89" t="s">
        <v>142</v>
      </c>
      <c r="X89" s="2">
        <v>1.59</v>
      </c>
      <c r="Y89" s="6">
        <f t="shared" si="10"/>
        <v>4.2444141907583888E-2</v>
      </c>
      <c r="AA89">
        <v>52728</v>
      </c>
      <c r="AB89">
        <v>16791</v>
      </c>
      <c r="AD89" t="s">
        <v>2</v>
      </c>
      <c r="AE89">
        <v>852</v>
      </c>
      <c r="AF89">
        <v>1</v>
      </c>
      <c r="AH89" t="s">
        <v>995</v>
      </c>
      <c r="AI89" t="s">
        <v>994</v>
      </c>
      <c r="AJ89" t="s">
        <v>993</v>
      </c>
      <c r="AK89" t="s">
        <v>992</v>
      </c>
      <c r="AL89">
        <v>33</v>
      </c>
      <c r="AM89" s="5">
        <f t="shared" si="11"/>
        <v>0.91666666666666663</v>
      </c>
      <c r="AN89" s="4">
        <f t="shared" si="12"/>
        <v>1.3883629938154739E-3</v>
      </c>
      <c r="AO89" s="3"/>
      <c r="AP89">
        <v>0</v>
      </c>
      <c r="AR89" t="s">
        <v>1</v>
      </c>
      <c r="AT89" s="2" t="s">
        <v>0</v>
      </c>
      <c r="AU89" s="1">
        <f t="shared" si="13"/>
        <v>3.0127408233453363</v>
      </c>
      <c r="AV89" s="1">
        <f t="shared" si="14"/>
        <v>2.191625245069968</v>
      </c>
      <c r="AW89" s="1">
        <f t="shared" si="15"/>
        <v>1.3705096667945997</v>
      </c>
    </row>
    <row r="90" spans="1:49" x14ac:dyDescent="0.2">
      <c r="A90">
        <v>88</v>
      </c>
      <c r="B90" t="s">
        <v>991</v>
      </c>
      <c r="C90" t="s">
        <v>990</v>
      </c>
      <c r="F90" t="s">
        <v>989</v>
      </c>
      <c r="G90" t="s">
        <v>4</v>
      </c>
      <c r="H90" t="s">
        <v>3</v>
      </c>
      <c r="I90" t="s">
        <v>988</v>
      </c>
      <c r="J90">
        <v>60012556</v>
      </c>
      <c r="K90" t="s">
        <v>987</v>
      </c>
      <c r="L90" t="s">
        <v>986</v>
      </c>
      <c r="M90" t="s">
        <v>23</v>
      </c>
      <c r="N90">
        <v>3</v>
      </c>
      <c r="O90" t="s">
        <v>985</v>
      </c>
      <c r="P90" t="s">
        <v>984</v>
      </c>
      <c r="Q90" t="s">
        <v>983</v>
      </c>
      <c r="R90" s="7">
        <v>31717</v>
      </c>
      <c r="S90" s="8">
        <f t="shared" si="8"/>
        <v>1986</v>
      </c>
      <c r="T90" s="8">
        <v>1986</v>
      </c>
      <c r="U90" s="8">
        <f t="shared" si="9"/>
        <v>36</v>
      </c>
      <c r="V90" s="7">
        <v>31717</v>
      </c>
      <c r="W90" t="s">
        <v>172</v>
      </c>
      <c r="X90" s="2">
        <v>1.2529999999999999</v>
      </c>
      <c r="Y90" s="6">
        <f t="shared" si="10"/>
        <v>3.3448119377485916E-2</v>
      </c>
      <c r="AA90">
        <v>320935</v>
      </c>
      <c r="AB90">
        <v>16646</v>
      </c>
      <c r="AC90">
        <v>14322048</v>
      </c>
      <c r="AD90" t="s">
        <v>2</v>
      </c>
      <c r="AE90">
        <v>169</v>
      </c>
      <c r="AF90">
        <v>3</v>
      </c>
      <c r="AH90" t="s">
        <v>982</v>
      </c>
      <c r="AI90" t="s">
        <v>981</v>
      </c>
      <c r="AJ90" t="s">
        <v>980</v>
      </c>
      <c r="AK90" t="s">
        <v>979</v>
      </c>
      <c r="AL90">
        <v>46</v>
      </c>
      <c r="AM90" s="5">
        <f t="shared" si="11"/>
        <v>1.2777777777777777</v>
      </c>
      <c r="AN90" s="4">
        <f t="shared" si="12"/>
        <v>1.9352938701670242E-3</v>
      </c>
      <c r="AO90" s="3"/>
      <c r="AP90">
        <v>0</v>
      </c>
      <c r="AR90" t="s">
        <v>1</v>
      </c>
      <c r="AT90" s="2">
        <v>4.1159999999999997</v>
      </c>
      <c r="AU90" s="1">
        <f t="shared" si="13"/>
        <v>2.3994271725290246</v>
      </c>
      <c r="AV90" s="1">
        <f t="shared" si="14"/>
        <v>1.7691706623826471</v>
      </c>
      <c r="AW90" s="1">
        <f t="shared" si="15"/>
        <v>1.1389141522362691</v>
      </c>
    </row>
    <row r="91" spans="1:49" x14ac:dyDescent="0.2">
      <c r="A91">
        <v>89</v>
      </c>
      <c r="B91" t="s">
        <v>978</v>
      </c>
      <c r="C91" t="s">
        <v>977</v>
      </c>
      <c r="E91">
        <v>3806441</v>
      </c>
      <c r="F91" t="s">
        <v>976</v>
      </c>
      <c r="G91" t="s">
        <v>4</v>
      </c>
      <c r="H91" t="s">
        <v>3</v>
      </c>
      <c r="I91" t="s">
        <v>975</v>
      </c>
      <c r="J91">
        <v>60023324</v>
      </c>
      <c r="K91" t="s">
        <v>974</v>
      </c>
      <c r="L91" t="s">
        <v>80</v>
      </c>
      <c r="M91" t="s">
        <v>7</v>
      </c>
      <c r="N91">
        <v>1</v>
      </c>
      <c r="O91" t="s">
        <v>973</v>
      </c>
      <c r="P91">
        <v>6602869627</v>
      </c>
      <c r="Q91">
        <v>60023324</v>
      </c>
      <c r="R91" s="7">
        <v>31717</v>
      </c>
      <c r="S91" s="8">
        <f t="shared" si="8"/>
        <v>1986</v>
      </c>
      <c r="T91" s="8">
        <v>1986</v>
      </c>
      <c r="U91" s="8">
        <f t="shared" si="9"/>
        <v>36</v>
      </c>
      <c r="V91" s="7">
        <v>31717</v>
      </c>
      <c r="W91" t="s">
        <v>57</v>
      </c>
      <c r="X91" s="2">
        <v>0.8</v>
      </c>
      <c r="Y91" s="6">
        <f t="shared" si="10"/>
        <v>2.1355543098155415E-2</v>
      </c>
      <c r="AA91">
        <v>3407594</v>
      </c>
      <c r="AB91">
        <v>23456</v>
      </c>
      <c r="AC91">
        <v>14321351</v>
      </c>
      <c r="AD91" t="s">
        <v>2</v>
      </c>
      <c r="AE91">
        <v>159</v>
      </c>
      <c r="AF91">
        <v>6</v>
      </c>
      <c r="AH91" t="s">
        <v>972</v>
      </c>
      <c r="AI91" t="s">
        <v>971</v>
      </c>
      <c r="AK91" t="s">
        <v>970</v>
      </c>
      <c r="AL91">
        <v>55</v>
      </c>
      <c r="AM91" s="5">
        <f t="shared" si="11"/>
        <v>1.5277777777777777</v>
      </c>
      <c r="AN91" s="4">
        <f t="shared" si="12"/>
        <v>2.3139383230257899E-3</v>
      </c>
      <c r="AO91" s="3"/>
      <c r="AP91">
        <v>0</v>
      </c>
      <c r="AQ91" t="s">
        <v>120</v>
      </c>
      <c r="AR91" t="s">
        <v>969</v>
      </c>
      <c r="AS91" t="s">
        <v>119</v>
      </c>
      <c r="AT91" s="2" t="s">
        <v>0</v>
      </c>
      <c r="AU91" s="1">
        <f t="shared" si="13"/>
        <v>1.5643061665616527</v>
      </c>
      <c r="AV91" s="1">
        <f t="shared" si="14"/>
        <v>1.1834740710590603</v>
      </c>
      <c r="AW91" s="1">
        <f t="shared" si="15"/>
        <v>0.80264197555646766</v>
      </c>
    </row>
    <row r="92" spans="1:49" x14ac:dyDescent="0.2">
      <c r="A92">
        <v>90</v>
      </c>
      <c r="B92" t="s">
        <v>968</v>
      </c>
      <c r="F92" t="s">
        <v>967</v>
      </c>
      <c r="G92" t="s">
        <v>4</v>
      </c>
      <c r="H92" t="s">
        <v>3</v>
      </c>
      <c r="I92" t="s">
        <v>966</v>
      </c>
      <c r="J92">
        <v>101099442</v>
      </c>
      <c r="K92" t="s">
        <v>965</v>
      </c>
      <c r="L92" t="s">
        <v>964</v>
      </c>
      <c r="M92" t="s">
        <v>8</v>
      </c>
      <c r="N92">
        <v>2</v>
      </c>
      <c r="O92" t="s">
        <v>963</v>
      </c>
      <c r="P92" t="s">
        <v>962</v>
      </c>
      <c r="Q92" t="s">
        <v>961</v>
      </c>
      <c r="R92" s="7">
        <v>31717</v>
      </c>
      <c r="S92" s="8">
        <f t="shared" si="8"/>
        <v>1986</v>
      </c>
      <c r="T92" s="8">
        <v>1986</v>
      </c>
      <c r="U92" s="8">
        <f t="shared" si="9"/>
        <v>36</v>
      </c>
      <c r="V92" s="7">
        <v>31717</v>
      </c>
      <c r="W92" t="s">
        <v>960</v>
      </c>
      <c r="X92" s="2" t="s">
        <v>0</v>
      </c>
      <c r="Y92" s="6" t="e">
        <f t="shared" si="10"/>
        <v>#VALUE!</v>
      </c>
      <c r="AA92">
        <v>385492</v>
      </c>
      <c r="AB92">
        <v>40903</v>
      </c>
      <c r="AD92" t="s">
        <v>2</v>
      </c>
      <c r="AE92">
        <v>22</v>
      </c>
      <c r="AF92">
        <v>11</v>
      </c>
      <c r="AH92" t="s">
        <v>959</v>
      </c>
      <c r="AI92" t="s">
        <v>958</v>
      </c>
      <c r="AK92" t="s">
        <v>957</v>
      </c>
      <c r="AL92">
        <v>0</v>
      </c>
      <c r="AM92" s="5">
        <f t="shared" si="11"/>
        <v>0</v>
      </c>
      <c r="AN92" s="4">
        <f t="shared" si="12"/>
        <v>0</v>
      </c>
      <c r="AO92" s="3"/>
      <c r="AP92">
        <v>0</v>
      </c>
      <c r="AR92" t="s">
        <v>1</v>
      </c>
      <c r="AT92" s="2" t="s">
        <v>0</v>
      </c>
      <c r="AU92" s="1" t="e">
        <f t="shared" si="13"/>
        <v>#VALUE!</v>
      </c>
      <c r="AV92" s="1" t="e">
        <f t="shared" si="14"/>
        <v>#VALUE!</v>
      </c>
      <c r="AW92" s="1" t="e">
        <f t="shared" si="15"/>
        <v>#VALUE!</v>
      </c>
    </row>
    <row r="93" spans="1:49" x14ac:dyDescent="0.2">
      <c r="A93">
        <v>91</v>
      </c>
      <c r="B93" t="s">
        <v>956</v>
      </c>
      <c r="F93" t="s">
        <v>955</v>
      </c>
      <c r="G93" t="s">
        <v>4</v>
      </c>
      <c r="H93" t="s">
        <v>3</v>
      </c>
      <c r="I93" t="s">
        <v>150</v>
      </c>
      <c r="N93">
        <v>2</v>
      </c>
      <c r="O93" t="s">
        <v>954</v>
      </c>
      <c r="P93" t="s">
        <v>953</v>
      </c>
      <c r="Q93" t="s">
        <v>18</v>
      </c>
      <c r="R93" s="7">
        <v>31717</v>
      </c>
      <c r="S93" s="8">
        <f t="shared" si="8"/>
        <v>1986</v>
      </c>
      <c r="T93" s="8">
        <v>1986</v>
      </c>
      <c r="U93" s="8">
        <f t="shared" si="9"/>
        <v>36</v>
      </c>
      <c r="V93" s="7">
        <v>31717</v>
      </c>
      <c r="W93" t="s">
        <v>45</v>
      </c>
      <c r="X93" s="2" t="s">
        <v>0</v>
      </c>
      <c r="Y93" s="6" t="e">
        <f t="shared" si="10"/>
        <v>#VALUE!</v>
      </c>
      <c r="AA93">
        <v>87566648</v>
      </c>
      <c r="AB93">
        <v>74127</v>
      </c>
      <c r="AD93" t="s">
        <v>2</v>
      </c>
      <c r="AE93">
        <v>31</v>
      </c>
      <c r="AF93">
        <v>11</v>
      </c>
      <c r="AH93" t="s">
        <v>952</v>
      </c>
      <c r="AI93" t="s">
        <v>951</v>
      </c>
      <c r="AK93" t="s">
        <v>950</v>
      </c>
      <c r="AL93">
        <v>0</v>
      </c>
      <c r="AM93" s="5">
        <f t="shared" si="11"/>
        <v>0</v>
      </c>
      <c r="AN93" s="4">
        <f t="shared" si="12"/>
        <v>0</v>
      </c>
      <c r="AO93" s="3"/>
      <c r="AP93">
        <v>0</v>
      </c>
      <c r="AR93" t="s">
        <v>1</v>
      </c>
      <c r="AT93" s="2" t="s">
        <v>0</v>
      </c>
      <c r="AU93" s="1" t="e">
        <f t="shared" si="13"/>
        <v>#VALUE!</v>
      </c>
      <c r="AV93" s="1" t="e">
        <f t="shared" si="14"/>
        <v>#VALUE!</v>
      </c>
      <c r="AW93" s="1" t="e">
        <f t="shared" si="15"/>
        <v>#VALUE!</v>
      </c>
    </row>
    <row r="94" spans="1:49" x14ac:dyDescent="0.2">
      <c r="A94">
        <v>92</v>
      </c>
      <c r="B94" t="s">
        <v>949</v>
      </c>
      <c r="F94" t="s">
        <v>948</v>
      </c>
      <c r="G94" t="s">
        <v>4</v>
      </c>
      <c r="H94" t="s">
        <v>3</v>
      </c>
      <c r="I94" t="s">
        <v>947</v>
      </c>
      <c r="J94">
        <v>100750947</v>
      </c>
      <c r="K94" t="s">
        <v>946</v>
      </c>
      <c r="L94" t="s">
        <v>945</v>
      </c>
      <c r="M94" t="s">
        <v>944</v>
      </c>
      <c r="N94">
        <v>2</v>
      </c>
      <c r="O94" t="s">
        <v>943</v>
      </c>
      <c r="P94" t="s">
        <v>942</v>
      </c>
      <c r="Q94" t="s">
        <v>941</v>
      </c>
      <c r="R94" s="7">
        <v>31717</v>
      </c>
      <c r="S94" s="8">
        <f t="shared" si="8"/>
        <v>1986</v>
      </c>
      <c r="T94" s="8">
        <v>1986</v>
      </c>
      <c r="U94" s="8">
        <f t="shared" si="9"/>
        <v>36</v>
      </c>
      <c r="V94" s="7">
        <v>31717</v>
      </c>
      <c r="W94" t="s">
        <v>914</v>
      </c>
      <c r="X94" s="2">
        <v>0.125</v>
      </c>
      <c r="Y94" s="6">
        <f t="shared" si="10"/>
        <v>3.3368036090867838E-3</v>
      </c>
      <c r="AA94">
        <v>26557</v>
      </c>
      <c r="AB94">
        <v>40401</v>
      </c>
      <c r="AD94" t="s">
        <v>2</v>
      </c>
      <c r="AE94">
        <v>55</v>
      </c>
      <c r="AF94">
        <v>6</v>
      </c>
      <c r="AH94" t="s">
        <v>940</v>
      </c>
      <c r="AI94" t="s">
        <v>939</v>
      </c>
      <c r="AK94" t="s">
        <v>938</v>
      </c>
      <c r="AL94">
        <v>0</v>
      </c>
      <c r="AM94" s="5">
        <f t="shared" si="11"/>
        <v>0</v>
      </c>
      <c r="AN94" s="4">
        <f t="shared" si="12"/>
        <v>0</v>
      </c>
      <c r="AO94" s="3"/>
      <c r="AP94">
        <v>0</v>
      </c>
      <c r="AR94" t="s">
        <v>1</v>
      </c>
      <c r="AT94" s="2" t="s">
        <v>0</v>
      </c>
      <c r="AU94" s="1">
        <f t="shared" si="13"/>
        <v>0.23357625263607484</v>
      </c>
      <c r="AV94" s="1">
        <f t="shared" si="14"/>
        <v>0.16684018045433918</v>
      </c>
      <c r="AW94" s="1">
        <f t="shared" si="15"/>
        <v>0.10010410827260351</v>
      </c>
    </row>
    <row r="95" spans="1:49" x14ac:dyDescent="0.2">
      <c r="A95">
        <v>93</v>
      </c>
      <c r="B95" t="s">
        <v>937</v>
      </c>
      <c r="F95" t="s">
        <v>936</v>
      </c>
      <c r="G95" t="s">
        <v>4</v>
      </c>
      <c r="H95" t="s">
        <v>3</v>
      </c>
      <c r="I95" t="s">
        <v>935</v>
      </c>
      <c r="N95">
        <v>2</v>
      </c>
      <c r="O95" t="s">
        <v>934</v>
      </c>
      <c r="P95" t="s">
        <v>933</v>
      </c>
      <c r="Q95" t="s">
        <v>18</v>
      </c>
      <c r="R95" s="7">
        <v>31717</v>
      </c>
      <c r="S95" s="8">
        <f t="shared" si="8"/>
        <v>1986</v>
      </c>
      <c r="T95" s="8">
        <v>1986</v>
      </c>
      <c r="U95" s="8">
        <f t="shared" si="9"/>
        <v>36</v>
      </c>
      <c r="V95" s="7">
        <v>31717</v>
      </c>
      <c r="W95" t="s">
        <v>45</v>
      </c>
      <c r="X95" s="2" t="s">
        <v>0</v>
      </c>
      <c r="Y95" s="6" t="e">
        <f t="shared" si="10"/>
        <v>#VALUE!</v>
      </c>
      <c r="AA95">
        <v>87566648</v>
      </c>
      <c r="AB95">
        <v>74127</v>
      </c>
      <c r="AD95" t="s">
        <v>2</v>
      </c>
      <c r="AE95">
        <v>31</v>
      </c>
      <c r="AF95">
        <v>11</v>
      </c>
      <c r="AH95" t="s">
        <v>932</v>
      </c>
      <c r="AI95" t="s">
        <v>931</v>
      </c>
      <c r="AK95" t="s">
        <v>930</v>
      </c>
      <c r="AL95">
        <v>0</v>
      </c>
      <c r="AM95" s="5">
        <f t="shared" si="11"/>
        <v>0</v>
      </c>
      <c r="AN95" s="4">
        <f t="shared" si="12"/>
        <v>0</v>
      </c>
      <c r="AO95" s="3"/>
      <c r="AP95">
        <v>0</v>
      </c>
      <c r="AR95" t="s">
        <v>1</v>
      </c>
      <c r="AT95" s="2" t="s">
        <v>0</v>
      </c>
      <c r="AU95" s="1" t="e">
        <f t="shared" si="13"/>
        <v>#VALUE!</v>
      </c>
      <c r="AV95" s="1" t="e">
        <f t="shared" si="14"/>
        <v>#VALUE!</v>
      </c>
      <c r="AW95" s="1" t="e">
        <f t="shared" si="15"/>
        <v>#VALUE!</v>
      </c>
    </row>
    <row r="96" spans="1:49" x14ac:dyDescent="0.2">
      <c r="A96">
        <v>94</v>
      </c>
      <c r="B96" t="s">
        <v>929</v>
      </c>
      <c r="F96" t="s">
        <v>928</v>
      </c>
      <c r="G96" t="s">
        <v>4</v>
      </c>
      <c r="H96" t="s">
        <v>3</v>
      </c>
      <c r="I96" t="s">
        <v>927</v>
      </c>
      <c r="J96">
        <v>60084299</v>
      </c>
      <c r="K96" t="s">
        <v>926</v>
      </c>
      <c r="L96" t="s">
        <v>97</v>
      </c>
      <c r="M96" t="s">
        <v>61</v>
      </c>
      <c r="N96">
        <v>3</v>
      </c>
      <c r="O96" t="s">
        <v>925</v>
      </c>
      <c r="P96" t="s">
        <v>924</v>
      </c>
      <c r="Q96" t="s">
        <v>923</v>
      </c>
      <c r="R96" s="7">
        <v>31717</v>
      </c>
      <c r="S96" s="8">
        <f t="shared" si="8"/>
        <v>1986</v>
      </c>
      <c r="T96" s="8">
        <v>1986</v>
      </c>
      <c r="U96" s="8">
        <f t="shared" si="9"/>
        <v>36</v>
      </c>
      <c r="V96" s="7">
        <v>31717</v>
      </c>
      <c r="W96" t="s">
        <v>914</v>
      </c>
      <c r="X96" s="2">
        <v>0.125</v>
      </c>
      <c r="Y96" s="6">
        <f t="shared" si="10"/>
        <v>3.3368036090867838E-3</v>
      </c>
      <c r="AA96">
        <v>26557</v>
      </c>
      <c r="AB96">
        <v>40401</v>
      </c>
      <c r="AD96" t="s">
        <v>2</v>
      </c>
      <c r="AE96">
        <v>55</v>
      </c>
      <c r="AF96">
        <v>6</v>
      </c>
      <c r="AH96" t="s">
        <v>922</v>
      </c>
      <c r="AI96" t="s">
        <v>921</v>
      </c>
      <c r="AK96" t="s">
        <v>920</v>
      </c>
      <c r="AL96">
        <v>1</v>
      </c>
      <c r="AM96" s="5">
        <f t="shared" si="11"/>
        <v>2.7777777777777776E-2</v>
      </c>
      <c r="AN96" s="4">
        <f t="shared" si="12"/>
        <v>4.2071605873196175E-5</v>
      </c>
      <c r="AO96" s="3"/>
      <c r="AP96">
        <v>0</v>
      </c>
      <c r="AR96" t="s">
        <v>1</v>
      </c>
      <c r="AT96" s="2" t="s">
        <v>0</v>
      </c>
      <c r="AU96" s="1">
        <f t="shared" si="13"/>
        <v>0.23483840081227073</v>
      </c>
      <c r="AV96" s="1">
        <f t="shared" si="14"/>
        <v>0.16894376074799899</v>
      </c>
      <c r="AW96" s="1">
        <f t="shared" si="15"/>
        <v>0.10304912068372722</v>
      </c>
    </row>
    <row r="97" spans="1:49" x14ac:dyDescent="0.2">
      <c r="A97">
        <v>95</v>
      </c>
      <c r="B97" t="s">
        <v>919</v>
      </c>
      <c r="F97" t="s">
        <v>918</v>
      </c>
      <c r="G97" t="s">
        <v>4</v>
      </c>
      <c r="H97" t="s">
        <v>3</v>
      </c>
      <c r="I97" t="s">
        <v>917</v>
      </c>
      <c r="J97">
        <v>60017293</v>
      </c>
      <c r="K97" t="s">
        <v>63</v>
      </c>
      <c r="L97" t="s">
        <v>62</v>
      </c>
      <c r="M97" t="s">
        <v>61</v>
      </c>
      <c r="N97">
        <v>2</v>
      </c>
      <c r="O97" t="s">
        <v>916</v>
      </c>
      <c r="P97" t="s">
        <v>915</v>
      </c>
      <c r="Q97" t="s">
        <v>60</v>
      </c>
      <c r="R97" s="7">
        <v>31717</v>
      </c>
      <c r="S97" s="8">
        <f t="shared" si="8"/>
        <v>1986</v>
      </c>
      <c r="T97" s="8">
        <v>1986</v>
      </c>
      <c r="U97" s="8">
        <f t="shared" si="9"/>
        <v>36</v>
      </c>
      <c r="V97" s="7">
        <v>31717</v>
      </c>
      <c r="W97" t="s">
        <v>914</v>
      </c>
      <c r="X97" s="2">
        <v>0.125</v>
      </c>
      <c r="Y97" s="6">
        <f t="shared" si="10"/>
        <v>3.3368036090867838E-3</v>
      </c>
      <c r="AA97">
        <v>26557</v>
      </c>
      <c r="AB97">
        <v>40401</v>
      </c>
      <c r="AD97" t="s">
        <v>2</v>
      </c>
      <c r="AE97">
        <v>55</v>
      </c>
      <c r="AF97">
        <v>6</v>
      </c>
      <c r="AH97" t="s">
        <v>913</v>
      </c>
      <c r="AI97" t="s">
        <v>912</v>
      </c>
      <c r="AK97" t="s">
        <v>911</v>
      </c>
      <c r="AL97">
        <v>7</v>
      </c>
      <c r="AM97" s="5">
        <f t="shared" si="11"/>
        <v>0.19444444444444445</v>
      </c>
      <c r="AN97" s="4">
        <f t="shared" si="12"/>
        <v>2.9450124111237325E-4</v>
      </c>
      <c r="AO97" s="3"/>
      <c r="AP97">
        <v>0</v>
      </c>
      <c r="AR97" t="s">
        <v>1</v>
      </c>
      <c r="AT97" s="2" t="s">
        <v>0</v>
      </c>
      <c r="AU97" s="1">
        <f t="shared" si="13"/>
        <v>0.24241128986944604</v>
      </c>
      <c r="AV97" s="1">
        <f t="shared" si="14"/>
        <v>0.18156524250995784</v>
      </c>
      <c r="AW97" s="1">
        <f t="shared" si="15"/>
        <v>0.12071919515046962</v>
      </c>
    </row>
    <row r="98" spans="1:49" x14ac:dyDescent="0.2">
      <c r="A98">
        <v>96</v>
      </c>
      <c r="B98" t="s">
        <v>910</v>
      </c>
      <c r="C98" t="s">
        <v>909</v>
      </c>
      <c r="F98" t="s">
        <v>908</v>
      </c>
      <c r="G98" t="s">
        <v>4</v>
      </c>
      <c r="H98" t="s">
        <v>3</v>
      </c>
      <c r="I98" t="s">
        <v>907</v>
      </c>
      <c r="N98">
        <v>1</v>
      </c>
      <c r="O98" t="s">
        <v>906</v>
      </c>
      <c r="P98">
        <v>57206445245</v>
      </c>
      <c r="R98" s="7">
        <v>31717</v>
      </c>
      <c r="S98" s="8">
        <f t="shared" si="8"/>
        <v>1986</v>
      </c>
      <c r="T98" s="8">
        <v>1986</v>
      </c>
      <c r="U98" s="8">
        <f t="shared" si="9"/>
        <v>36</v>
      </c>
      <c r="V98" s="7">
        <v>31717</v>
      </c>
      <c r="W98" t="s">
        <v>153</v>
      </c>
      <c r="X98" s="2">
        <v>0.14899999999999999</v>
      </c>
      <c r="Y98" s="6">
        <f t="shared" si="10"/>
        <v>3.977469902031446E-3</v>
      </c>
      <c r="AA98">
        <v>5431972</v>
      </c>
      <c r="AB98">
        <v>15425</v>
      </c>
      <c r="AC98">
        <v>15738906</v>
      </c>
      <c r="AD98" t="s">
        <v>2</v>
      </c>
      <c r="AE98">
        <v>29</v>
      </c>
      <c r="AF98">
        <v>11</v>
      </c>
      <c r="AH98" t="s">
        <v>905</v>
      </c>
      <c r="AL98">
        <v>1</v>
      </c>
      <c r="AM98" s="5">
        <f t="shared" si="11"/>
        <v>2.7777777777777776E-2</v>
      </c>
      <c r="AN98" s="4">
        <f t="shared" si="12"/>
        <v>4.2071605873196175E-5</v>
      </c>
      <c r="AO98" s="3"/>
      <c r="AP98">
        <v>0</v>
      </c>
      <c r="AR98" t="s">
        <v>1</v>
      </c>
      <c r="AT98" s="2" t="s">
        <v>0</v>
      </c>
      <c r="AU98" s="1">
        <f t="shared" si="13"/>
        <v>0.27968504131839711</v>
      </c>
      <c r="AV98" s="1">
        <f t="shared" si="14"/>
        <v>0.20097707539523213</v>
      </c>
      <c r="AW98" s="1">
        <f t="shared" si="15"/>
        <v>0.12226910947206709</v>
      </c>
    </row>
    <row r="99" spans="1:49" x14ac:dyDescent="0.2">
      <c r="A99">
        <v>97</v>
      </c>
      <c r="B99" t="s">
        <v>904</v>
      </c>
      <c r="F99" t="s">
        <v>903</v>
      </c>
      <c r="G99" t="s">
        <v>4</v>
      </c>
      <c r="H99" t="s">
        <v>3</v>
      </c>
      <c r="R99" s="7">
        <v>31717</v>
      </c>
      <c r="S99" s="8">
        <f t="shared" si="8"/>
        <v>1986</v>
      </c>
      <c r="T99" s="8">
        <v>1986</v>
      </c>
      <c r="U99" s="8">
        <f t="shared" si="9"/>
        <v>36</v>
      </c>
      <c r="V99" s="7">
        <v>31717</v>
      </c>
      <c r="W99" t="s">
        <v>524</v>
      </c>
      <c r="X99" s="2" t="s">
        <v>0</v>
      </c>
      <c r="Y99" s="6" t="e">
        <f t="shared" si="10"/>
        <v>#VALUE!</v>
      </c>
      <c r="AA99">
        <v>1679368</v>
      </c>
      <c r="AB99">
        <v>35103</v>
      </c>
      <c r="AD99" t="s">
        <v>2</v>
      </c>
      <c r="AE99">
        <v>4</v>
      </c>
      <c r="AF99">
        <v>4</v>
      </c>
      <c r="AH99" t="s">
        <v>902</v>
      </c>
      <c r="AI99" t="s">
        <v>901</v>
      </c>
      <c r="AK99" t="s">
        <v>900</v>
      </c>
      <c r="AL99">
        <v>0</v>
      </c>
      <c r="AM99" s="5">
        <f t="shared" si="11"/>
        <v>0</v>
      </c>
      <c r="AN99" s="4">
        <f t="shared" si="12"/>
        <v>0</v>
      </c>
      <c r="AO99" s="3"/>
      <c r="AP99">
        <v>0</v>
      </c>
      <c r="AR99" t="s">
        <v>1</v>
      </c>
      <c r="AT99" s="2" t="s">
        <v>0</v>
      </c>
      <c r="AU99" s="1" t="e">
        <f t="shared" si="13"/>
        <v>#VALUE!</v>
      </c>
      <c r="AV99" s="1" t="e">
        <f t="shared" si="14"/>
        <v>#VALUE!</v>
      </c>
      <c r="AW99" s="1" t="e">
        <f t="shared" si="15"/>
        <v>#VALUE!</v>
      </c>
    </row>
    <row r="100" spans="1:49" x14ac:dyDescent="0.2">
      <c r="A100">
        <v>98</v>
      </c>
      <c r="B100" t="s">
        <v>899</v>
      </c>
      <c r="F100" t="s">
        <v>898</v>
      </c>
      <c r="G100" t="s">
        <v>4</v>
      </c>
      <c r="H100" t="s">
        <v>3</v>
      </c>
      <c r="I100" t="s">
        <v>897</v>
      </c>
      <c r="J100">
        <v>60032882</v>
      </c>
      <c r="K100" t="s">
        <v>21</v>
      </c>
      <c r="L100" t="s">
        <v>20</v>
      </c>
      <c r="M100" t="s">
        <v>13</v>
      </c>
      <c r="N100">
        <v>1</v>
      </c>
      <c r="O100" t="s">
        <v>896</v>
      </c>
      <c r="P100">
        <v>35565231300</v>
      </c>
      <c r="Q100">
        <v>60032882</v>
      </c>
      <c r="R100" s="7">
        <v>31717</v>
      </c>
      <c r="S100" s="8">
        <f t="shared" si="8"/>
        <v>1986</v>
      </c>
      <c r="T100" s="8">
        <v>1986</v>
      </c>
      <c r="U100" s="8">
        <f t="shared" si="9"/>
        <v>36</v>
      </c>
      <c r="V100" s="7">
        <v>31717</v>
      </c>
      <c r="W100" t="s">
        <v>19</v>
      </c>
      <c r="X100" s="2">
        <v>0.54700000000000004</v>
      </c>
      <c r="Y100" s="6">
        <f t="shared" si="10"/>
        <v>1.4601852593363766E-2</v>
      </c>
      <c r="AA100">
        <v>11096</v>
      </c>
      <c r="AB100">
        <v>31211</v>
      </c>
      <c r="AD100" t="s">
        <v>2</v>
      </c>
      <c r="AE100">
        <v>40</v>
      </c>
      <c r="AF100">
        <v>6</v>
      </c>
      <c r="AH100" t="s">
        <v>895</v>
      </c>
      <c r="AI100" t="s">
        <v>894</v>
      </c>
      <c r="AK100" t="s">
        <v>893</v>
      </c>
      <c r="AL100">
        <v>2</v>
      </c>
      <c r="AM100" s="5">
        <f t="shared" si="11"/>
        <v>5.5555555555555552E-2</v>
      </c>
      <c r="AN100" s="4">
        <f t="shared" si="12"/>
        <v>8.4143211746392349E-5</v>
      </c>
      <c r="AO100" s="3"/>
      <c r="AP100">
        <v>0</v>
      </c>
      <c r="AR100" t="s">
        <v>1</v>
      </c>
      <c r="AT100" s="2" t="s">
        <v>0</v>
      </c>
      <c r="AU100" s="1">
        <f t="shared" si="13"/>
        <v>1.0246539778878552</v>
      </c>
      <c r="AV100" s="1">
        <f t="shared" si="14"/>
        <v>0.73429979025550796</v>
      </c>
      <c r="AW100" s="1">
        <f t="shared" si="15"/>
        <v>0.44394560262316041</v>
      </c>
    </row>
    <row r="101" spans="1:49" x14ac:dyDescent="0.2">
      <c r="A101">
        <v>99</v>
      </c>
      <c r="B101" t="s">
        <v>892</v>
      </c>
      <c r="F101" t="s">
        <v>891</v>
      </c>
      <c r="G101" t="s">
        <v>4</v>
      </c>
      <c r="H101" t="s">
        <v>3</v>
      </c>
      <c r="I101" t="s">
        <v>890</v>
      </c>
      <c r="J101">
        <v>60007716</v>
      </c>
      <c r="K101" t="s">
        <v>77</v>
      </c>
      <c r="L101" t="s">
        <v>76</v>
      </c>
      <c r="M101" t="s">
        <v>5</v>
      </c>
      <c r="N101">
        <v>2</v>
      </c>
      <c r="O101" t="s">
        <v>889</v>
      </c>
      <c r="P101" t="s">
        <v>888</v>
      </c>
      <c r="Q101" t="s">
        <v>887</v>
      </c>
      <c r="R101" s="7">
        <v>31717</v>
      </c>
      <c r="S101" s="8">
        <f t="shared" si="8"/>
        <v>1986</v>
      </c>
      <c r="T101" s="8">
        <v>1986</v>
      </c>
      <c r="U101" s="8">
        <f t="shared" si="9"/>
        <v>36</v>
      </c>
      <c r="V101" s="7">
        <v>31717</v>
      </c>
      <c r="W101" t="s">
        <v>10</v>
      </c>
      <c r="X101" s="2">
        <v>1.6519999999999999</v>
      </c>
      <c r="Y101" s="6">
        <f t="shared" si="10"/>
        <v>4.409919649769093E-2</v>
      </c>
      <c r="AA101" t="s">
        <v>9</v>
      </c>
      <c r="AB101">
        <v>17337</v>
      </c>
      <c r="AD101" t="s">
        <v>2</v>
      </c>
      <c r="AE101" t="s">
        <v>64</v>
      </c>
      <c r="AF101">
        <v>11</v>
      </c>
      <c r="AH101" t="s">
        <v>886</v>
      </c>
      <c r="AI101" t="s">
        <v>885</v>
      </c>
      <c r="AK101" t="s">
        <v>884</v>
      </c>
      <c r="AL101">
        <v>10</v>
      </c>
      <c r="AM101" s="5">
        <f t="shared" si="11"/>
        <v>0.27777777777777779</v>
      </c>
      <c r="AN101" s="4">
        <f t="shared" si="12"/>
        <v>4.207160587319618E-4</v>
      </c>
      <c r="AO101" s="3"/>
      <c r="AP101">
        <v>0</v>
      </c>
      <c r="AR101" t="s">
        <v>1</v>
      </c>
      <c r="AT101" s="2" t="s">
        <v>0</v>
      </c>
      <c r="AU101" s="1">
        <f t="shared" si="13"/>
        <v>3.0995652366003239</v>
      </c>
      <c r="AV101" s="1">
        <f t="shared" si="14"/>
        <v>2.2259956278211446</v>
      </c>
      <c r="AW101" s="1">
        <f t="shared" si="15"/>
        <v>1.3524260190419652</v>
      </c>
    </row>
    <row r="102" spans="1:49" x14ac:dyDescent="0.2">
      <c r="A102">
        <v>100</v>
      </c>
      <c r="B102" t="s">
        <v>883</v>
      </c>
      <c r="F102" t="s">
        <v>882</v>
      </c>
      <c r="G102" t="s">
        <v>4</v>
      </c>
      <c r="H102" t="s">
        <v>3</v>
      </c>
      <c r="I102" t="s">
        <v>881</v>
      </c>
      <c r="N102">
        <v>1</v>
      </c>
      <c r="O102" t="s">
        <v>880</v>
      </c>
      <c r="P102">
        <v>6602794348</v>
      </c>
      <c r="R102" s="7">
        <v>31717</v>
      </c>
      <c r="S102" s="8">
        <f t="shared" si="8"/>
        <v>1986</v>
      </c>
      <c r="T102" s="8">
        <v>1986</v>
      </c>
      <c r="U102" s="8">
        <f t="shared" si="9"/>
        <v>36</v>
      </c>
      <c r="V102" s="7">
        <v>31717</v>
      </c>
      <c r="W102" t="s">
        <v>394</v>
      </c>
      <c r="X102" s="2" t="s">
        <v>0</v>
      </c>
      <c r="Y102" s="6" t="e">
        <f t="shared" si="10"/>
        <v>#VALUE!</v>
      </c>
      <c r="AA102" t="s">
        <v>393</v>
      </c>
      <c r="AB102">
        <v>35968</v>
      </c>
      <c r="AD102" t="s">
        <v>2</v>
      </c>
      <c r="AE102">
        <v>53</v>
      </c>
      <c r="AF102">
        <v>11</v>
      </c>
      <c r="AH102" t="s">
        <v>879</v>
      </c>
      <c r="AI102" t="s">
        <v>878</v>
      </c>
      <c r="AK102" t="s">
        <v>877</v>
      </c>
      <c r="AL102">
        <v>0</v>
      </c>
      <c r="AM102" s="5">
        <f t="shared" si="11"/>
        <v>0</v>
      </c>
      <c r="AN102" s="4">
        <f t="shared" si="12"/>
        <v>0</v>
      </c>
      <c r="AO102" s="3"/>
      <c r="AP102">
        <v>0</v>
      </c>
      <c r="AR102" t="s">
        <v>1</v>
      </c>
      <c r="AT102" s="2" t="s">
        <v>0</v>
      </c>
      <c r="AU102" s="1" t="e">
        <f t="shared" si="13"/>
        <v>#VALUE!</v>
      </c>
      <c r="AV102" s="1" t="e">
        <f t="shared" si="14"/>
        <v>#VALUE!</v>
      </c>
      <c r="AW102" s="1" t="e">
        <f t="shared" si="15"/>
        <v>#VALUE!</v>
      </c>
    </row>
    <row r="103" spans="1:49" x14ac:dyDescent="0.2">
      <c r="A103">
        <v>101</v>
      </c>
      <c r="B103" t="s">
        <v>876</v>
      </c>
      <c r="F103" t="s">
        <v>875</v>
      </c>
      <c r="G103" t="s">
        <v>4</v>
      </c>
      <c r="H103" t="s">
        <v>3</v>
      </c>
      <c r="I103" t="s">
        <v>101</v>
      </c>
      <c r="J103">
        <v>60031126</v>
      </c>
      <c r="K103" t="s">
        <v>94</v>
      </c>
      <c r="L103" t="s">
        <v>47</v>
      </c>
      <c r="M103" t="s">
        <v>6</v>
      </c>
      <c r="N103">
        <v>2</v>
      </c>
      <c r="O103" t="s">
        <v>874</v>
      </c>
      <c r="P103" t="s">
        <v>873</v>
      </c>
      <c r="Q103" t="s">
        <v>872</v>
      </c>
      <c r="R103" s="7">
        <v>31717</v>
      </c>
      <c r="S103" s="8">
        <f t="shared" si="8"/>
        <v>1986</v>
      </c>
      <c r="T103" s="8">
        <v>1986</v>
      </c>
      <c r="U103" s="8">
        <f t="shared" si="9"/>
        <v>36</v>
      </c>
      <c r="V103" s="7">
        <v>31717</v>
      </c>
      <c r="W103" t="s">
        <v>146</v>
      </c>
      <c r="X103" s="2" t="s">
        <v>0</v>
      </c>
      <c r="Y103" s="6" t="e">
        <f t="shared" si="10"/>
        <v>#VALUE!</v>
      </c>
      <c r="AA103" t="s">
        <v>145</v>
      </c>
      <c r="AB103">
        <v>30906</v>
      </c>
      <c r="AD103" t="s">
        <v>2</v>
      </c>
      <c r="AE103" t="s">
        <v>144</v>
      </c>
      <c r="AF103">
        <v>11</v>
      </c>
      <c r="AH103" t="s">
        <v>871</v>
      </c>
      <c r="AI103" t="s">
        <v>870</v>
      </c>
      <c r="AK103" t="s">
        <v>869</v>
      </c>
      <c r="AL103">
        <v>15</v>
      </c>
      <c r="AM103" s="5">
        <f t="shared" si="11"/>
        <v>0.41666666666666669</v>
      </c>
      <c r="AN103" s="4">
        <f t="shared" si="12"/>
        <v>6.310740880979427E-4</v>
      </c>
      <c r="AO103" s="3"/>
      <c r="AP103">
        <v>0</v>
      </c>
      <c r="AR103" t="s">
        <v>1</v>
      </c>
      <c r="AT103" s="2" t="s">
        <v>0</v>
      </c>
      <c r="AU103" s="1" t="e">
        <f t="shared" si="13"/>
        <v>#VALUE!</v>
      </c>
      <c r="AV103" s="1" t="e">
        <f t="shared" si="14"/>
        <v>#VALUE!</v>
      </c>
      <c r="AW103" s="1" t="e">
        <f t="shared" si="15"/>
        <v>#VALUE!</v>
      </c>
    </row>
    <row r="104" spans="1:49" x14ac:dyDescent="0.2">
      <c r="A104">
        <v>102</v>
      </c>
      <c r="B104" t="s">
        <v>868</v>
      </c>
      <c r="F104" t="s">
        <v>867</v>
      </c>
      <c r="G104" t="s">
        <v>4</v>
      </c>
      <c r="H104" t="s">
        <v>3</v>
      </c>
      <c r="I104" t="s">
        <v>866</v>
      </c>
      <c r="J104">
        <v>60028263</v>
      </c>
      <c r="K104" t="s">
        <v>865</v>
      </c>
      <c r="L104" t="s">
        <v>864</v>
      </c>
      <c r="M104" t="s">
        <v>6</v>
      </c>
      <c r="N104">
        <v>3</v>
      </c>
      <c r="O104" t="s">
        <v>863</v>
      </c>
      <c r="P104" t="s">
        <v>862</v>
      </c>
      <c r="Q104" t="s">
        <v>861</v>
      </c>
      <c r="R104" s="7">
        <v>31717</v>
      </c>
      <c r="S104" s="8">
        <f t="shared" si="8"/>
        <v>1986</v>
      </c>
      <c r="T104" s="8">
        <v>1986</v>
      </c>
      <c r="U104" s="8">
        <f t="shared" si="9"/>
        <v>36</v>
      </c>
      <c r="V104" s="7">
        <v>31717</v>
      </c>
      <c r="W104" t="s">
        <v>146</v>
      </c>
      <c r="X104" s="2" t="s">
        <v>0</v>
      </c>
      <c r="Y104" s="6" t="e">
        <f t="shared" si="10"/>
        <v>#VALUE!</v>
      </c>
      <c r="AA104" t="s">
        <v>145</v>
      </c>
      <c r="AB104">
        <v>30906</v>
      </c>
      <c r="AD104" t="s">
        <v>2</v>
      </c>
      <c r="AE104" t="s">
        <v>144</v>
      </c>
      <c r="AF104">
        <v>11</v>
      </c>
      <c r="AH104" t="s">
        <v>860</v>
      </c>
      <c r="AI104" t="s">
        <v>859</v>
      </c>
      <c r="AK104" t="s">
        <v>858</v>
      </c>
      <c r="AL104">
        <v>0</v>
      </c>
      <c r="AM104" s="5">
        <f t="shared" si="11"/>
        <v>0</v>
      </c>
      <c r="AN104" s="4">
        <f t="shared" si="12"/>
        <v>0</v>
      </c>
      <c r="AO104" s="3"/>
      <c r="AP104">
        <v>0</v>
      </c>
      <c r="AR104" t="s">
        <v>1</v>
      </c>
      <c r="AT104" s="2" t="s">
        <v>0</v>
      </c>
      <c r="AU104" s="1" t="e">
        <f t="shared" si="13"/>
        <v>#VALUE!</v>
      </c>
      <c r="AV104" s="1" t="e">
        <f t="shared" si="14"/>
        <v>#VALUE!</v>
      </c>
      <c r="AW104" s="1" t="e">
        <f t="shared" si="15"/>
        <v>#VALUE!</v>
      </c>
    </row>
    <row r="105" spans="1:49" x14ac:dyDescent="0.2">
      <c r="A105">
        <v>103</v>
      </c>
      <c r="B105" t="s">
        <v>857</v>
      </c>
      <c r="F105" t="s">
        <v>856</v>
      </c>
      <c r="G105" t="s">
        <v>4</v>
      </c>
      <c r="H105" t="s">
        <v>3</v>
      </c>
      <c r="I105" t="s">
        <v>855</v>
      </c>
      <c r="J105">
        <v>60024592</v>
      </c>
      <c r="K105" t="s">
        <v>118</v>
      </c>
      <c r="L105" t="s">
        <v>117</v>
      </c>
      <c r="M105" t="s">
        <v>7</v>
      </c>
      <c r="N105">
        <v>1</v>
      </c>
      <c r="O105" t="s">
        <v>854</v>
      </c>
      <c r="P105">
        <v>6603799862</v>
      </c>
      <c r="Q105">
        <v>60024592</v>
      </c>
      <c r="R105" s="7">
        <v>31717</v>
      </c>
      <c r="S105" s="8">
        <f t="shared" si="8"/>
        <v>1986</v>
      </c>
      <c r="T105" s="8">
        <v>1986</v>
      </c>
      <c r="U105" s="8">
        <f t="shared" si="9"/>
        <v>36</v>
      </c>
      <c r="V105" s="7">
        <v>31717</v>
      </c>
      <c r="W105" t="s">
        <v>181</v>
      </c>
      <c r="X105" s="2" t="s">
        <v>0</v>
      </c>
      <c r="Y105" s="6" t="e">
        <f t="shared" si="10"/>
        <v>#VALUE!</v>
      </c>
      <c r="AA105">
        <v>262897</v>
      </c>
      <c r="AB105">
        <v>18580</v>
      </c>
      <c r="AD105" t="s">
        <v>2</v>
      </c>
      <c r="AE105">
        <v>29</v>
      </c>
      <c r="AF105">
        <v>11</v>
      </c>
      <c r="AI105" t="s">
        <v>853</v>
      </c>
      <c r="AK105" t="s">
        <v>852</v>
      </c>
      <c r="AL105">
        <v>1</v>
      </c>
      <c r="AM105" s="5">
        <f t="shared" si="11"/>
        <v>2.7777777777777776E-2</v>
      </c>
      <c r="AN105" s="4">
        <f t="shared" si="12"/>
        <v>4.2071605873196175E-5</v>
      </c>
      <c r="AO105" s="3"/>
      <c r="AP105">
        <v>0</v>
      </c>
      <c r="AR105" t="s">
        <v>1</v>
      </c>
      <c r="AT105" s="2">
        <v>0.30599999999999999</v>
      </c>
      <c r="AU105" s="1" t="e">
        <f t="shared" si="13"/>
        <v>#VALUE!</v>
      </c>
      <c r="AV105" s="1" t="e">
        <f t="shared" si="14"/>
        <v>#VALUE!</v>
      </c>
      <c r="AW105" s="1" t="e">
        <f t="shared" si="15"/>
        <v>#VALUE!</v>
      </c>
    </row>
    <row r="106" spans="1:49" x14ac:dyDescent="0.2">
      <c r="A106">
        <v>104</v>
      </c>
      <c r="B106" t="s">
        <v>851</v>
      </c>
      <c r="F106" t="s">
        <v>850</v>
      </c>
      <c r="G106" t="s">
        <v>4</v>
      </c>
      <c r="H106" t="s">
        <v>3</v>
      </c>
      <c r="I106" t="s">
        <v>849</v>
      </c>
      <c r="J106">
        <v>60014313</v>
      </c>
      <c r="K106" t="s">
        <v>33</v>
      </c>
      <c r="L106" t="s">
        <v>32</v>
      </c>
      <c r="M106" t="s">
        <v>7</v>
      </c>
      <c r="N106">
        <v>3</v>
      </c>
      <c r="O106" t="s">
        <v>848</v>
      </c>
      <c r="P106" t="s">
        <v>847</v>
      </c>
      <c r="Q106" t="s">
        <v>846</v>
      </c>
      <c r="R106" s="7">
        <v>31717</v>
      </c>
      <c r="S106" s="8">
        <f t="shared" si="8"/>
        <v>1986</v>
      </c>
      <c r="T106" s="8">
        <v>1986</v>
      </c>
      <c r="U106" s="8">
        <f t="shared" si="9"/>
        <v>36</v>
      </c>
      <c r="V106" s="7">
        <v>31717</v>
      </c>
      <c r="W106" t="s">
        <v>10</v>
      </c>
      <c r="X106" s="2">
        <v>1.6519999999999999</v>
      </c>
      <c r="Y106" s="6">
        <f t="shared" si="10"/>
        <v>4.409919649769093E-2</v>
      </c>
      <c r="AA106" t="s">
        <v>9</v>
      </c>
      <c r="AB106">
        <v>17337</v>
      </c>
      <c r="AD106" t="s">
        <v>2</v>
      </c>
      <c r="AE106" t="s">
        <v>64</v>
      </c>
      <c r="AF106">
        <v>11</v>
      </c>
      <c r="AH106" t="s">
        <v>845</v>
      </c>
      <c r="AI106" t="s">
        <v>844</v>
      </c>
      <c r="AK106" t="s">
        <v>843</v>
      </c>
      <c r="AL106">
        <v>11</v>
      </c>
      <c r="AM106" s="5">
        <f t="shared" si="11"/>
        <v>0.30555555555555558</v>
      </c>
      <c r="AN106" s="4">
        <f t="shared" si="12"/>
        <v>4.62787664605158E-4</v>
      </c>
      <c r="AO106" s="3"/>
      <c r="AP106">
        <v>0</v>
      </c>
      <c r="AR106" t="s">
        <v>1</v>
      </c>
      <c r="AT106" s="2" t="s">
        <v>0</v>
      </c>
      <c r="AU106" s="1">
        <f t="shared" si="13"/>
        <v>3.1008273847765198</v>
      </c>
      <c r="AV106" s="1">
        <f t="shared" si="14"/>
        <v>2.2280992081148043</v>
      </c>
      <c r="AW106" s="1">
        <f t="shared" si="15"/>
        <v>1.3553710314530889</v>
      </c>
    </row>
    <row r="107" spans="1:49" x14ac:dyDescent="0.2">
      <c r="A107">
        <v>105</v>
      </c>
      <c r="B107" t="s">
        <v>842</v>
      </c>
      <c r="F107" t="s">
        <v>841</v>
      </c>
      <c r="G107" t="s">
        <v>4</v>
      </c>
      <c r="H107" t="s">
        <v>3</v>
      </c>
      <c r="I107" t="s">
        <v>840</v>
      </c>
      <c r="J107">
        <v>60028673</v>
      </c>
      <c r="K107" t="s">
        <v>108</v>
      </c>
      <c r="L107" t="s">
        <v>107</v>
      </c>
      <c r="M107" t="s">
        <v>23</v>
      </c>
      <c r="N107">
        <v>2</v>
      </c>
      <c r="O107" t="s">
        <v>839</v>
      </c>
      <c r="P107" t="s">
        <v>838</v>
      </c>
      <c r="Q107" t="s">
        <v>106</v>
      </c>
      <c r="R107" s="7">
        <v>31717</v>
      </c>
      <c r="S107" s="8">
        <f t="shared" si="8"/>
        <v>1986</v>
      </c>
      <c r="T107" s="8">
        <v>1986</v>
      </c>
      <c r="U107" s="8">
        <f t="shared" si="9"/>
        <v>36</v>
      </c>
      <c r="V107" s="7">
        <v>31717</v>
      </c>
      <c r="W107" t="s">
        <v>154</v>
      </c>
      <c r="X107" s="2" t="s">
        <v>0</v>
      </c>
      <c r="Y107" s="6" t="e">
        <f t="shared" si="10"/>
        <v>#VALUE!</v>
      </c>
      <c r="AA107">
        <v>3444880</v>
      </c>
      <c r="AB107">
        <v>38773</v>
      </c>
      <c r="AD107" t="s">
        <v>2</v>
      </c>
      <c r="AE107">
        <v>9</v>
      </c>
      <c r="AF107">
        <v>6</v>
      </c>
      <c r="AH107" t="s">
        <v>837</v>
      </c>
      <c r="AI107" t="s">
        <v>836</v>
      </c>
      <c r="AK107" t="s">
        <v>835</v>
      </c>
      <c r="AL107">
        <v>0</v>
      </c>
      <c r="AM107" s="5">
        <f t="shared" si="11"/>
        <v>0</v>
      </c>
      <c r="AN107" s="4">
        <f t="shared" si="12"/>
        <v>0</v>
      </c>
      <c r="AO107" s="3"/>
      <c r="AP107">
        <v>0</v>
      </c>
      <c r="AR107" t="s">
        <v>1</v>
      </c>
      <c r="AT107" s="2" t="s">
        <v>0</v>
      </c>
      <c r="AU107" s="1" t="e">
        <f t="shared" si="13"/>
        <v>#VALUE!</v>
      </c>
      <c r="AV107" s="1" t="e">
        <f t="shared" si="14"/>
        <v>#VALUE!</v>
      </c>
      <c r="AW107" s="1" t="e">
        <f t="shared" si="15"/>
        <v>#VALUE!</v>
      </c>
    </row>
    <row r="108" spans="1:49" x14ac:dyDescent="0.2">
      <c r="A108">
        <v>106</v>
      </c>
      <c r="B108" t="s">
        <v>834</v>
      </c>
      <c r="C108" t="s">
        <v>833</v>
      </c>
      <c r="D108">
        <v>22098186900432</v>
      </c>
      <c r="F108" t="s">
        <v>832</v>
      </c>
      <c r="G108" t="s">
        <v>4</v>
      </c>
      <c r="H108" t="s">
        <v>3</v>
      </c>
      <c r="I108" t="s">
        <v>831</v>
      </c>
      <c r="J108">
        <v>60015356</v>
      </c>
      <c r="K108" t="s">
        <v>830</v>
      </c>
      <c r="L108" t="s">
        <v>829</v>
      </c>
      <c r="M108" t="s">
        <v>66</v>
      </c>
      <c r="N108">
        <v>2</v>
      </c>
      <c r="O108" t="s">
        <v>828</v>
      </c>
      <c r="P108" t="s">
        <v>827</v>
      </c>
      <c r="Q108" t="s">
        <v>826</v>
      </c>
      <c r="R108" s="7">
        <v>31706</v>
      </c>
      <c r="S108" s="8">
        <f t="shared" si="8"/>
        <v>1986</v>
      </c>
      <c r="T108" s="8">
        <v>1986</v>
      </c>
      <c r="U108" s="8">
        <f t="shared" si="9"/>
        <v>36</v>
      </c>
      <c r="V108" s="7">
        <v>31706</v>
      </c>
      <c r="W108" t="s">
        <v>825</v>
      </c>
      <c r="X108" s="2">
        <v>0.96499999999999997</v>
      </c>
      <c r="Y108" s="6">
        <f t="shared" si="10"/>
        <v>2.5760123862149969E-2</v>
      </c>
      <c r="AA108">
        <v>220981</v>
      </c>
      <c r="AB108">
        <v>29606</v>
      </c>
      <c r="AD108" t="s">
        <v>2</v>
      </c>
      <c r="AE108">
        <v>101</v>
      </c>
      <c r="AF108" s="9">
        <v>44228</v>
      </c>
      <c r="AH108" t="s">
        <v>824</v>
      </c>
      <c r="AI108" t="s">
        <v>823</v>
      </c>
      <c r="AJ108" t="s">
        <v>822</v>
      </c>
      <c r="AK108" t="s">
        <v>821</v>
      </c>
      <c r="AL108">
        <v>25</v>
      </c>
      <c r="AM108" s="5">
        <f t="shared" si="11"/>
        <v>0.69444444444444442</v>
      </c>
      <c r="AN108" s="4">
        <f t="shared" si="12"/>
        <v>1.0517901468299045E-3</v>
      </c>
      <c r="AO108" s="3"/>
      <c r="AP108">
        <v>0</v>
      </c>
      <c r="AR108" t="s">
        <v>1</v>
      </c>
      <c r="AT108" s="2" t="s">
        <v>0</v>
      </c>
      <c r="AU108" s="1">
        <f t="shared" si="13"/>
        <v>1.8347623747553947</v>
      </c>
      <c r="AV108" s="1">
        <f t="shared" si="14"/>
        <v>1.3405957004489937</v>
      </c>
      <c r="AW108" s="1">
        <f t="shared" si="15"/>
        <v>0.84642902614259241</v>
      </c>
    </row>
    <row r="109" spans="1:49" x14ac:dyDescent="0.2">
      <c r="A109">
        <v>107</v>
      </c>
      <c r="B109" t="s">
        <v>820</v>
      </c>
      <c r="C109" t="s">
        <v>819</v>
      </c>
      <c r="D109">
        <v>5272886900848</v>
      </c>
      <c r="F109" t="s">
        <v>818</v>
      </c>
      <c r="G109" t="s">
        <v>4</v>
      </c>
      <c r="H109" t="s">
        <v>3</v>
      </c>
      <c r="I109" t="s">
        <v>817</v>
      </c>
      <c r="J109">
        <v>60029170</v>
      </c>
      <c r="K109" t="s">
        <v>816</v>
      </c>
      <c r="L109" t="s">
        <v>815</v>
      </c>
      <c r="M109" t="s">
        <v>102</v>
      </c>
      <c r="N109">
        <v>4</v>
      </c>
      <c r="O109" t="s">
        <v>814</v>
      </c>
      <c r="P109" t="s">
        <v>813</v>
      </c>
      <c r="Q109" t="s">
        <v>812</v>
      </c>
      <c r="R109" s="7">
        <v>31693</v>
      </c>
      <c r="S109" s="8">
        <f t="shared" si="8"/>
        <v>1986</v>
      </c>
      <c r="T109" s="8">
        <v>1986</v>
      </c>
      <c r="U109" s="8">
        <f t="shared" si="9"/>
        <v>36</v>
      </c>
      <c r="V109" s="7">
        <v>31693</v>
      </c>
      <c r="W109" t="s">
        <v>142</v>
      </c>
      <c r="X109" s="2">
        <v>1.59</v>
      </c>
      <c r="Y109" s="6">
        <f t="shared" si="10"/>
        <v>4.2444141907583888E-2</v>
      </c>
      <c r="AA109">
        <v>52728</v>
      </c>
      <c r="AB109">
        <v>16791</v>
      </c>
      <c r="AD109" t="s">
        <v>2</v>
      </c>
      <c r="AE109">
        <v>851</v>
      </c>
      <c r="AF109">
        <v>3</v>
      </c>
      <c r="AH109" t="s">
        <v>811</v>
      </c>
      <c r="AI109" t="s">
        <v>810</v>
      </c>
      <c r="AJ109" t="s">
        <v>809</v>
      </c>
      <c r="AK109" t="s">
        <v>808</v>
      </c>
      <c r="AL109">
        <v>114</v>
      </c>
      <c r="AM109" s="5">
        <f t="shared" si="11"/>
        <v>3.1666666666666665</v>
      </c>
      <c r="AN109" s="4">
        <f t="shared" si="12"/>
        <v>4.7961630695443642E-3</v>
      </c>
      <c r="AO109" s="3"/>
      <c r="AP109">
        <v>0</v>
      </c>
      <c r="AQ109" t="s">
        <v>791</v>
      </c>
      <c r="AR109" t="s">
        <v>1</v>
      </c>
      <c r="AS109" t="s">
        <v>807</v>
      </c>
      <c r="AT109" s="2" t="s">
        <v>0</v>
      </c>
      <c r="AU109" s="1">
        <f t="shared" si="13"/>
        <v>3.1149748256172027</v>
      </c>
      <c r="AV109" s="1">
        <f t="shared" si="14"/>
        <v>2.3620152488564123</v>
      </c>
      <c r="AW109" s="1">
        <f t="shared" si="15"/>
        <v>1.6090556720956222</v>
      </c>
    </row>
    <row r="110" spans="1:49" x14ac:dyDescent="0.2">
      <c r="A110">
        <v>108</v>
      </c>
      <c r="B110" t="s">
        <v>806</v>
      </c>
      <c r="C110" t="s">
        <v>805</v>
      </c>
      <c r="D110">
        <v>5272886900800</v>
      </c>
      <c r="F110" t="s">
        <v>804</v>
      </c>
      <c r="G110" t="s">
        <v>4</v>
      </c>
      <c r="H110" t="s">
        <v>3</v>
      </c>
      <c r="I110" t="s">
        <v>803</v>
      </c>
      <c r="J110" t="s">
        <v>802</v>
      </c>
      <c r="K110" t="s">
        <v>801</v>
      </c>
      <c r="L110" t="s">
        <v>800</v>
      </c>
      <c r="M110" t="s">
        <v>799</v>
      </c>
      <c r="N110">
        <v>5</v>
      </c>
      <c r="O110" t="s">
        <v>798</v>
      </c>
      <c r="P110" t="s">
        <v>797</v>
      </c>
      <c r="Q110" t="s">
        <v>796</v>
      </c>
      <c r="R110" s="7">
        <v>31693</v>
      </c>
      <c r="S110" s="8">
        <f t="shared" si="8"/>
        <v>1986</v>
      </c>
      <c r="T110" s="8">
        <v>1986</v>
      </c>
      <c r="U110" s="8">
        <f t="shared" si="9"/>
        <v>36</v>
      </c>
      <c r="V110" s="7">
        <v>31693</v>
      </c>
      <c r="W110" t="s">
        <v>142</v>
      </c>
      <c r="X110" s="2">
        <v>1.59</v>
      </c>
      <c r="Y110" s="6">
        <f t="shared" si="10"/>
        <v>4.2444141907583888E-2</v>
      </c>
      <c r="AA110">
        <v>52728</v>
      </c>
      <c r="AB110">
        <v>16791</v>
      </c>
      <c r="AD110" t="s">
        <v>2</v>
      </c>
      <c r="AE110">
        <v>851</v>
      </c>
      <c r="AF110">
        <v>3</v>
      </c>
      <c r="AH110" t="s">
        <v>795</v>
      </c>
      <c r="AI110" t="s">
        <v>794</v>
      </c>
      <c r="AJ110" t="s">
        <v>793</v>
      </c>
      <c r="AK110" t="s">
        <v>792</v>
      </c>
      <c r="AL110">
        <v>123</v>
      </c>
      <c r="AM110" s="5">
        <f t="shared" si="11"/>
        <v>3.4166666666666665</v>
      </c>
      <c r="AN110" s="4">
        <f t="shared" si="12"/>
        <v>5.1748075224031303E-3</v>
      </c>
      <c r="AO110" s="3"/>
      <c r="AP110">
        <v>0</v>
      </c>
      <c r="AQ110" t="s">
        <v>791</v>
      </c>
      <c r="AR110" t="s">
        <v>1</v>
      </c>
      <c r="AS110" t="s">
        <v>790</v>
      </c>
      <c r="AT110" s="2" t="s">
        <v>0</v>
      </c>
      <c r="AU110" s="1">
        <f t="shared" si="13"/>
        <v>3.1263341592029663</v>
      </c>
      <c r="AV110" s="1">
        <f t="shared" si="14"/>
        <v>2.380947471499351</v>
      </c>
      <c r="AW110" s="1">
        <f t="shared" si="15"/>
        <v>1.6355607837957358</v>
      </c>
    </row>
    <row r="111" spans="1:49" x14ac:dyDescent="0.2">
      <c r="A111">
        <v>109</v>
      </c>
      <c r="B111" t="s">
        <v>789</v>
      </c>
      <c r="C111" t="s">
        <v>788</v>
      </c>
      <c r="D111">
        <v>5272886900769</v>
      </c>
      <c r="F111" t="s">
        <v>787</v>
      </c>
      <c r="G111" t="s">
        <v>4</v>
      </c>
      <c r="H111" t="s">
        <v>3</v>
      </c>
      <c r="I111" t="s">
        <v>786</v>
      </c>
      <c r="J111">
        <v>60008134</v>
      </c>
      <c r="K111" t="s">
        <v>12</v>
      </c>
      <c r="L111" t="s">
        <v>11</v>
      </c>
      <c r="M111" t="s">
        <v>5</v>
      </c>
      <c r="N111">
        <v>3</v>
      </c>
      <c r="O111" t="s">
        <v>785</v>
      </c>
      <c r="P111" t="s">
        <v>784</v>
      </c>
      <c r="Q111" t="s">
        <v>783</v>
      </c>
      <c r="R111" s="7">
        <v>31693</v>
      </c>
      <c r="S111" s="8">
        <f t="shared" si="8"/>
        <v>1986</v>
      </c>
      <c r="T111" s="8">
        <v>1986</v>
      </c>
      <c r="U111" s="8">
        <f t="shared" si="9"/>
        <v>36</v>
      </c>
      <c r="V111" s="7">
        <v>31693</v>
      </c>
      <c r="W111" t="s">
        <v>142</v>
      </c>
      <c r="X111" s="2">
        <v>1.59</v>
      </c>
      <c r="Y111" s="6">
        <f t="shared" si="10"/>
        <v>4.2444141907583888E-2</v>
      </c>
      <c r="AA111">
        <v>52728</v>
      </c>
      <c r="AB111">
        <v>16791</v>
      </c>
      <c r="AD111" t="s">
        <v>2</v>
      </c>
      <c r="AE111">
        <v>851</v>
      </c>
      <c r="AF111">
        <v>3</v>
      </c>
      <c r="AH111" t="s">
        <v>782</v>
      </c>
      <c r="AI111" t="s">
        <v>781</v>
      </c>
      <c r="AJ111" t="s">
        <v>780</v>
      </c>
      <c r="AK111" t="s">
        <v>779</v>
      </c>
      <c r="AL111">
        <v>24</v>
      </c>
      <c r="AM111" s="5">
        <f t="shared" si="11"/>
        <v>0.66666666666666663</v>
      </c>
      <c r="AN111" s="4">
        <f t="shared" si="12"/>
        <v>1.0097185409567082E-3</v>
      </c>
      <c r="AO111" s="3"/>
      <c r="AP111">
        <v>0</v>
      </c>
      <c r="AR111" t="s">
        <v>1</v>
      </c>
      <c r="AT111" s="2" t="s">
        <v>0</v>
      </c>
      <c r="AU111" s="1">
        <f t="shared" si="13"/>
        <v>3.0013814897595732</v>
      </c>
      <c r="AV111" s="1">
        <f t="shared" si="14"/>
        <v>2.1726930224270298</v>
      </c>
      <c r="AW111" s="1">
        <f t="shared" si="15"/>
        <v>1.3440045550944861</v>
      </c>
    </row>
    <row r="112" spans="1:49" x14ac:dyDescent="0.2">
      <c r="A112">
        <v>110</v>
      </c>
      <c r="B112" t="s">
        <v>778</v>
      </c>
      <c r="C112" t="s">
        <v>777</v>
      </c>
      <c r="D112">
        <v>5272886900691</v>
      </c>
      <c r="F112" t="s">
        <v>776</v>
      </c>
      <c r="G112" t="s">
        <v>4</v>
      </c>
      <c r="H112" t="s">
        <v>3</v>
      </c>
      <c r="I112" t="s">
        <v>775</v>
      </c>
      <c r="J112">
        <v>60025038</v>
      </c>
      <c r="K112" t="s">
        <v>115</v>
      </c>
      <c r="L112" t="s">
        <v>114</v>
      </c>
      <c r="M112" t="s">
        <v>7</v>
      </c>
      <c r="N112">
        <v>3</v>
      </c>
      <c r="O112" t="s">
        <v>774</v>
      </c>
      <c r="P112" t="s">
        <v>773</v>
      </c>
      <c r="Q112" t="s">
        <v>772</v>
      </c>
      <c r="R112" s="7">
        <v>31693</v>
      </c>
      <c r="S112" s="8">
        <f t="shared" si="8"/>
        <v>1986</v>
      </c>
      <c r="T112" s="8">
        <v>1986</v>
      </c>
      <c r="U112" s="8">
        <f t="shared" si="9"/>
        <v>36</v>
      </c>
      <c r="V112" s="7">
        <v>31693</v>
      </c>
      <c r="W112" t="s">
        <v>142</v>
      </c>
      <c r="X112" s="2">
        <v>1.59</v>
      </c>
      <c r="Y112" s="6">
        <f t="shared" si="10"/>
        <v>4.2444141907583888E-2</v>
      </c>
      <c r="AA112">
        <v>52728</v>
      </c>
      <c r="AB112">
        <v>16791</v>
      </c>
      <c r="AD112" t="s">
        <v>2</v>
      </c>
      <c r="AE112">
        <v>851</v>
      </c>
      <c r="AF112">
        <v>3</v>
      </c>
      <c r="AH112" t="s">
        <v>771</v>
      </c>
      <c r="AI112" t="s">
        <v>770</v>
      </c>
      <c r="AJ112" t="s">
        <v>769</v>
      </c>
      <c r="AK112" t="s">
        <v>768</v>
      </c>
      <c r="AL112">
        <v>69</v>
      </c>
      <c r="AM112" s="5">
        <f t="shared" si="11"/>
        <v>1.9166666666666667</v>
      </c>
      <c r="AN112" s="4">
        <f t="shared" si="12"/>
        <v>2.9029408052505365E-3</v>
      </c>
      <c r="AO112" s="3"/>
      <c r="AP112">
        <v>0</v>
      </c>
      <c r="AQ112" t="s">
        <v>767</v>
      </c>
      <c r="AR112" t="s">
        <v>1</v>
      </c>
      <c r="AS112" t="s">
        <v>766</v>
      </c>
      <c r="AT112" s="2" t="s">
        <v>0</v>
      </c>
      <c r="AU112" s="1">
        <f t="shared" si="13"/>
        <v>3.0581781576883884</v>
      </c>
      <c r="AV112" s="1">
        <f t="shared" si="14"/>
        <v>2.2673541356417215</v>
      </c>
      <c r="AW112" s="1">
        <f t="shared" si="15"/>
        <v>1.4765301135950542</v>
      </c>
    </row>
    <row r="113" spans="1:49" x14ac:dyDescent="0.2">
      <c r="A113">
        <v>111</v>
      </c>
      <c r="B113" t="s">
        <v>765</v>
      </c>
      <c r="C113" t="s">
        <v>764</v>
      </c>
      <c r="F113" t="s">
        <v>763</v>
      </c>
      <c r="G113" t="s">
        <v>4</v>
      </c>
      <c r="H113" t="s">
        <v>3</v>
      </c>
      <c r="I113" t="s">
        <v>184</v>
      </c>
      <c r="J113">
        <v>60028717</v>
      </c>
      <c r="K113" t="s">
        <v>135</v>
      </c>
      <c r="L113" t="s">
        <v>107</v>
      </c>
      <c r="M113" t="s">
        <v>23</v>
      </c>
      <c r="N113">
        <v>3</v>
      </c>
      <c r="O113" t="s">
        <v>762</v>
      </c>
      <c r="P113" t="s">
        <v>761</v>
      </c>
      <c r="Q113" t="s">
        <v>760</v>
      </c>
      <c r="R113" s="7">
        <v>31686</v>
      </c>
      <c r="S113" s="8">
        <f t="shared" si="8"/>
        <v>1986</v>
      </c>
      <c r="T113" s="8">
        <v>1986</v>
      </c>
      <c r="U113" s="8">
        <f t="shared" si="9"/>
        <v>36</v>
      </c>
      <c r="V113" s="7">
        <v>31686</v>
      </c>
      <c r="W113" t="s">
        <v>134</v>
      </c>
      <c r="X113" s="2">
        <v>0.30099999999999999</v>
      </c>
      <c r="Y113" s="6">
        <f t="shared" si="10"/>
        <v>8.0350230906809754E-3</v>
      </c>
      <c r="AA113">
        <v>9395075</v>
      </c>
      <c r="AB113">
        <v>14954</v>
      </c>
      <c r="AC113">
        <v>18657125</v>
      </c>
      <c r="AD113" t="s">
        <v>2</v>
      </c>
      <c r="AE113">
        <v>41</v>
      </c>
      <c r="AF113" s="9">
        <v>44478</v>
      </c>
      <c r="AH113" t="s">
        <v>759</v>
      </c>
      <c r="AI113" t="s">
        <v>758</v>
      </c>
      <c r="AJ113" t="s">
        <v>757</v>
      </c>
      <c r="AK113" t="s">
        <v>756</v>
      </c>
      <c r="AL113">
        <v>2</v>
      </c>
      <c r="AM113" s="5">
        <f t="shared" si="11"/>
        <v>5.5555555555555552E-2</v>
      </c>
      <c r="AN113" s="4">
        <f t="shared" si="12"/>
        <v>8.4143211746392349E-5</v>
      </c>
      <c r="AO113" s="3"/>
      <c r="AP113">
        <v>1</v>
      </c>
      <c r="AR113" t="s">
        <v>1</v>
      </c>
      <c r="AT113" s="2" t="s">
        <v>0</v>
      </c>
      <c r="AU113" s="1">
        <f t="shared" si="13"/>
        <v>0.56497591270005998</v>
      </c>
      <c r="AV113" s="1">
        <f t="shared" si="14"/>
        <v>0.40595831512136843</v>
      </c>
      <c r="AW113" s="1">
        <f t="shared" si="15"/>
        <v>0.24694071754267671</v>
      </c>
    </row>
    <row r="114" spans="1:49" x14ac:dyDescent="0.2">
      <c r="A114">
        <v>112</v>
      </c>
      <c r="B114" t="s">
        <v>755</v>
      </c>
      <c r="C114" t="s">
        <v>754</v>
      </c>
      <c r="F114" t="s">
        <v>753</v>
      </c>
      <c r="G114" t="s">
        <v>4</v>
      </c>
      <c r="H114" t="s">
        <v>3</v>
      </c>
      <c r="I114" t="s">
        <v>752</v>
      </c>
      <c r="J114">
        <v>60023050</v>
      </c>
      <c r="K114" t="s">
        <v>751</v>
      </c>
      <c r="L114" t="s">
        <v>750</v>
      </c>
      <c r="M114" t="s">
        <v>22</v>
      </c>
      <c r="N114">
        <v>1</v>
      </c>
      <c r="O114" t="s">
        <v>749</v>
      </c>
      <c r="P114">
        <v>55465753100</v>
      </c>
      <c r="Q114">
        <v>60023050</v>
      </c>
      <c r="R114" s="7">
        <v>31686</v>
      </c>
      <c r="S114" s="8">
        <f t="shared" si="8"/>
        <v>1986</v>
      </c>
      <c r="T114" s="8">
        <v>1986</v>
      </c>
      <c r="U114" s="8">
        <f t="shared" si="9"/>
        <v>36</v>
      </c>
      <c r="V114" s="7">
        <v>31686</v>
      </c>
      <c r="W114" t="s">
        <v>748</v>
      </c>
      <c r="X114" s="2" t="s">
        <v>0</v>
      </c>
      <c r="Y114" s="6" t="e">
        <f t="shared" si="10"/>
        <v>#VALUE!</v>
      </c>
      <c r="AA114">
        <v>2534118</v>
      </c>
      <c r="AB114">
        <v>19700180516</v>
      </c>
      <c r="AD114" t="s">
        <v>2</v>
      </c>
      <c r="AE114">
        <v>95</v>
      </c>
      <c r="AF114">
        <v>5</v>
      </c>
      <c r="AH114" t="s">
        <v>747</v>
      </c>
      <c r="AI114" t="s">
        <v>746</v>
      </c>
      <c r="AJ114" t="s">
        <v>745</v>
      </c>
      <c r="AK114" t="s">
        <v>744</v>
      </c>
      <c r="AL114">
        <v>3</v>
      </c>
      <c r="AM114" s="5">
        <f t="shared" si="11"/>
        <v>8.3333333333333329E-2</v>
      </c>
      <c r="AN114" s="4">
        <f t="shared" si="12"/>
        <v>1.2621481761958852E-4</v>
      </c>
      <c r="AO114" s="3"/>
      <c r="AP114">
        <v>0</v>
      </c>
      <c r="AR114" t="s">
        <v>1</v>
      </c>
      <c r="AT114" s="2" t="s">
        <v>0</v>
      </c>
      <c r="AU114" s="1" t="e">
        <f t="shared" si="13"/>
        <v>#VALUE!</v>
      </c>
      <c r="AV114" s="1" t="e">
        <f t="shared" si="14"/>
        <v>#VALUE!</v>
      </c>
      <c r="AW114" s="1" t="e">
        <f t="shared" si="15"/>
        <v>#VALUE!</v>
      </c>
    </row>
    <row r="115" spans="1:49" x14ac:dyDescent="0.2">
      <c r="A115">
        <v>113</v>
      </c>
      <c r="B115" t="s">
        <v>743</v>
      </c>
      <c r="C115" t="s">
        <v>742</v>
      </c>
      <c r="F115" t="s">
        <v>741</v>
      </c>
      <c r="G115" t="s">
        <v>4</v>
      </c>
      <c r="H115" t="s">
        <v>3</v>
      </c>
      <c r="I115" t="s">
        <v>740</v>
      </c>
      <c r="N115">
        <v>1</v>
      </c>
      <c r="O115" t="s">
        <v>739</v>
      </c>
      <c r="P115">
        <v>24789254900</v>
      </c>
      <c r="R115" s="7">
        <v>31686</v>
      </c>
      <c r="S115" s="8">
        <f t="shared" si="8"/>
        <v>1986</v>
      </c>
      <c r="T115" s="8">
        <v>1986</v>
      </c>
      <c r="U115" s="8">
        <f t="shared" si="9"/>
        <v>36</v>
      </c>
      <c r="V115" s="7">
        <v>31686</v>
      </c>
      <c r="W115" t="s">
        <v>266</v>
      </c>
      <c r="X115" s="2">
        <v>0.11700000000000001</v>
      </c>
      <c r="Y115" s="6">
        <f t="shared" si="10"/>
        <v>3.1232481781052297E-3</v>
      </c>
      <c r="AA115">
        <v>2179822</v>
      </c>
      <c r="AB115">
        <v>5300152612</v>
      </c>
      <c r="AC115">
        <v>19930615</v>
      </c>
      <c r="AD115" t="s">
        <v>2</v>
      </c>
      <c r="AE115">
        <v>3</v>
      </c>
      <c r="AF115">
        <v>4</v>
      </c>
      <c r="AH115" t="s">
        <v>738</v>
      </c>
      <c r="AI115" t="s">
        <v>737</v>
      </c>
      <c r="AK115" t="s">
        <v>736</v>
      </c>
      <c r="AL115">
        <v>0</v>
      </c>
      <c r="AM115" s="5">
        <f t="shared" si="11"/>
        <v>0</v>
      </c>
      <c r="AN115" s="4">
        <f t="shared" si="12"/>
        <v>0</v>
      </c>
      <c r="AO115" s="3"/>
      <c r="AP115">
        <v>0</v>
      </c>
      <c r="AR115" t="s">
        <v>1</v>
      </c>
      <c r="AT115" s="2" t="s">
        <v>0</v>
      </c>
      <c r="AU115" s="1">
        <f t="shared" si="13"/>
        <v>0.21862737246736608</v>
      </c>
      <c r="AV115" s="1">
        <f t="shared" si="14"/>
        <v>0.15616240890526148</v>
      </c>
      <c r="AW115" s="1">
        <f t="shared" si="15"/>
        <v>9.3697445343156896E-2</v>
      </c>
    </row>
    <row r="116" spans="1:49" x14ac:dyDescent="0.2">
      <c r="A116">
        <v>114</v>
      </c>
      <c r="B116" t="s">
        <v>735</v>
      </c>
      <c r="C116" t="s">
        <v>734</v>
      </c>
      <c r="F116" t="s">
        <v>733</v>
      </c>
      <c r="G116" t="s">
        <v>4</v>
      </c>
      <c r="H116" t="s">
        <v>3</v>
      </c>
      <c r="I116" t="s">
        <v>173</v>
      </c>
      <c r="N116">
        <v>3</v>
      </c>
      <c r="O116" t="s">
        <v>732</v>
      </c>
      <c r="P116" t="s">
        <v>731</v>
      </c>
      <c r="Q116" t="s">
        <v>17</v>
      </c>
      <c r="R116" s="7">
        <v>31686</v>
      </c>
      <c r="S116" s="8">
        <f t="shared" si="8"/>
        <v>1986</v>
      </c>
      <c r="T116" s="8">
        <v>1986</v>
      </c>
      <c r="U116" s="8">
        <f t="shared" si="9"/>
        <v>36</v>
      </c>
      <c r="V116" s="7">
        <v>31686</v>
      </c>
      <c r="W116" t="s">
        <v>37</v>
      </c>
      <c r="X116" s="2">
        <v>0.318</v>
      </c>
      <c r="Y116" s="6">
        <f t="shared" si="10"/>
        <v>8.4888283815167786E-3</v>
      </c>
      <c r="AA116">
        <v>338443</v>
      </c>
      <c r="AB116">
        <v>27160</v>
      </c>
      <c r="AC116">
        <v>15739120</v>
      </c>
      <c r="AD116" t="s">
        <v>2</v>
      </c>
      <c r="AE116">
        <v>29</v>
      </c>
      <c r="AF116">
        <v>10</v>
      </c>
      <c r="AH116" t="s">
        <v>103</v>
      </c>
      <c r="AL116">
        <v>0</v>
      </c>
      <c r="AM116" s="5">
        <f t="shared" si="11"/>
        <v>0</v>
      </c>
      <c r="AN116" s="4">
        <f t="shared" si="12"/>
        <v>0</v>
      </c>
      <c r="AO116" s="3"/>
      <c r="AP116">
        <v>0</v>
      </c>
      <c r="AR116" t="s">
        <v>1</v>
      </c>
      <c r="AT116" s="2">
        <v>0.77</v>
      </c>
      <c r="AU116" s="1">
        <f t="shared" si="13"/>
        <v>0.59421798670617454</v>
      </c>
      <c r="AV116" s="1">
        <f t="shared" si="14"/>
        <v>0.42444141907583893</v>
      </c>
      <c r="AW116" s="1">
        <f t="shared" si="15"/>
        <v>0.25466485144550338</v>
      </c>
    </row>
    <row r="117" spans="1:49" x14ac:dyDescent="0.2">
      <c r="A117">
        <v>115</v>
      </c>
      <c r="B117" t="s">
        <v>730</v>
      </c>
      <c r="F117" t="s">
        <v>729</v>
      </c>
      <c r="G117" t="s">
        <v>4</v>
      </c>
      <c r="H117" t="s">
        <v>3</v>
      </c>
      <c r="I117" t="s">
        <v>728</v>
      </c>
      <c r="N117">
        <v>2</v>
      </c>
      <c r="O117" t="s">
        <v>727</v>
      </c>
      <c r="P117" t="s">
        <v>726</v>
      </c>
      <c r="Q117" t="s">
        <v>18</v>
      </c>
      <c r="R117" s="7">
        <v>31686</v>
      </c>
      <c r="S117" s="8">
        <f t="shared" si="8"/>
        <v>1986</v>
      </c>
      <c r="T117" s="8">
        <v>1986</v>
      </c>
      <c r="U117" s="8">
        <f t="shared" si="9"/>
        <v>36</v>
      </c>
      <c r="V117" s="7">
        <v>31686</v>
      </c>
      <c r="W117" t="s">
        <v>45</v>
      </c>
      <c r="X117" s="2" t="s">
        <v>0</v>
      </c>
      <c r="Y117" s="6" t="e">
        <f t="shared" si="10"/>
        <v>#VALUE!</v>
      </c>
      <c r="AA117">
        <v>87566648</v>
      </c>
      <c r="AB117">
        <v>74127</v>
      </c>
      <c r="AD117" t="s">
        <v>2</v>
      </c>
      <c r="AE117">
        <v>31</v>
      </c>
      <c r="AF117">
        <v>10</v>
      </c>
      <c r="AH117" t="s">
        <v>725</v>
      </c>
      <c r="AI117" t="s">
        <v>724</v>
      </c>
      <c r="AK117" t="s">
        <v>723</v>
      </c>
      <c r="AL117">
        <v>0</v>
      </c>
      <c r="AM117" s="5">
        <f t="shared" si="11"/>
        <v>0</v>
      </c>
      <c r="AN117" s="4">
        <f t="shared" si="12"/>
        <v>0</v>
      </c>
      <c r="AO117" s="3"/>
      <c r="AP117">
        <v>0</v>
      </c>
      <c r="AR117" t="s">
        <v>1</v>
      </c>
      <c r="AT117" s="2" t="s">
        <v>0</v>
      </c>
      <c r="AU117" s="1" t="e">
        <f t="shared" si="13"/>
        <v>#VALUE!</v>
      </c>
      <c r="AV117" s="1" t="e">
        <f t="shared" si="14"/>
        <v>#VALUE!</v>
      </c>
      <c r="AW117" s="1" t="e">
        <f t="shared" si="15"/>
        <v>#VALUE!</v>
      </c>
    </row>
    <row r="118" spans="1:49" x14ac:dyDescent="0.2">
      <c r="A118">
        <v>116</v>
      </c>
      <c r="B118" t="s">
        <v>722</v>
      </c>
      <c r="F118" t="s">
        <v>721</v>
      </c>
      <c r="G118" t="s">
        <v>4</v>
      </c>
      <c r="H118" t="s">
        <v>3</v>
      </c>
      <c r="I118" t="s">
        <v>640</v>
      </c>
      <c r="N118">
        <v>2</v>
      </c>
      <c r="O118" t="s">
        <v>639</v>
      </c>
      <c r="P118" t="s">
        <v>638</v>
      </c>
      <c r="Q118" t="s">
        <v>18</v>
      </c>
      <c r="R118" s="7">
        <v>31686</v>
      </c>
      <c r="S118" s="8">
        <f t="shared" si="8"/>
        <v>1986</v>
      </c>
      <c r="T118" s="8">
        <v>1986</v>
      </c>
      <c r="U118" s="8">
        <f t="shared" si="9"/>
        <v>36</v>
      </c>
      <c r="V118" s="7">
        <v>31686</v>
      </c>
      <c r="W118" t="s">
        <v>45</v>
      </c>
      <c r="X118" s="2" t="s">
        <v>0</v>
      </c>
      <c r="Y118" s="6" t="e">
        <f t="shared" si="10"/>
        <v>#VALUE!</v>
      </c>
      <c r="AA118">
        <v>87566648</v>
      </c>
      <c r="AB118">
        <v>74127</v>
      </c>
      <c r="AD118" t="s">
        <v>2</v>
      </c>
      <c r="AE118">
        <v>31</v>
      </c>
      <c r="AF118">
        <v>10</v>
      </c>
      <c r="AH118" t="s">
        <v>720</v>
      </c>
      <c r="AI118" t="s">
        <v>719</v>
      </c>
      <c r="AK118" t="s">
        <v>718</v>
      </c>
      <c r="AL118">
        <v>0</v>
      </c>
      <c r="AM118" s="5">
        <f t="shared" si="11"/>
        <v>0</v>
      </c>
      <c r="AN118" s="4">
        <f t="shared" si="12"/>
        <v>0</v>
      </c>
      <c r="AO118" s="3"/>
      <c r="AP118">
        <v>0</v>
      </c>
      <c r="AR118" t="s">
        <v>1</v>
      </c>
      <c r="AT118" s="2" t="s">
        <v>0</v>
      </c>
      <c r="AU118" s="1" t="e">
        <f t="shared" si="13"/>
        <v>#VALUE!</v>
      </c>
      <c r="AV118" s="1" t="e">
        <f t="shared" si="14"/>
        <v>#VALUE!</v>
      </c>
      <c r="AW118" s="1" t="e">
        <f t="shared" si="15"/>
        <v>#VALUE!</v>
      </c>
    </row>
    <row r="119" spans="1:49" x14ac:dyDescent="0.2">
      <c r="A119">
        <v>117</v>
      </c>
      <c r="B119" t="s">
        <v>717</v>
      </c>
      <c r="F119" t="s">
        <v>716</v>
      </c>
      <c r="G119" t="s">
        <v>4</v>
      </c>
      <c r="H119" t="s">
        <v>3</v>
      </c>
      <c r="I119" t="s">
        <v>715</v>
      </c>
      <c r="N119">
        <v>1</v>
      </c>
      <c r="O119" t="s">
        <v>714</v>
      </c>
      <c r="P119">
        <v>6603346090</v>
      </c>
      <c r="R119" s="7">
        <v>31686</v>
      </c>
      <c r="S119" s="8">
        <f t="shared" si="8"/>
        <v>1986</v>
      </c>
      <c r="T119" s="8">
        <v>1986</v>
      </c>
      <c r="U119" s="8">
        <f t="shared" si="9"/>
        <v>36</v>
      </c>
      <c r="V119" s="7">
        <v>31686</v>
      </c>
      <c r="W119" t="s">
        <v>45</v>
      </c>
      <c r="X119" s="2" t="s">
        <v>0</v>
      </c>
      <c r="Y119" s="6" t="e">
        <f t="shared" si="10"/>
        <v>#VALUE!</v>
      </c>
      <c r="AA119">
        <v>87566648</v>
      </c>
      <c r="AB119">
        <v>74127</v>
      </c>
      <c r="AD119" t="s">
        <v>2</v>
      </c>
      <c r="AE119">
        <v>31</v>
      </c>
      <c r="AF119">
        <v>10</v>
      </c>
      <c r="AH119" t="s">
        <v>713</v>
      </c>
      <c r="AI119" t="s">
        <v>712</v>
      </c>
      <c r="AK119" t="s">
        <v>711</v>
      </c>
      <c r="AL119">
        <v>0</v>
      </c>
      <c r="AM119" s="5">
        <f t="shared" si="11"/>
        <v>0</v>
      </c>
      <c r="AN119" s="4">
        <f t="shared" si="12"/>
        <v>0</v>
      </c>
      <c r="AO119" s="3"/>
      <c r="AP119">
        <v>0</v>
      </c>
      <c r="AR119" t="s">
        <v>1</v>
      </c>
      <c r="AT119" s="2" t="s">
        <v>0</v>
      </c>
      <c r="AU119" s="1" t="e">
        <f t="shared" si="13"/>
        <v>#VALUE!</v>
      </c>
      <c r="AV119" s="1" t="e">
        <f t="shared" si="14"/>
        <v>#VALUE!</v>
      </c>
      <c r="AW119" s="1" t="e">
        <f t="shared" si="15"/>
        <v>#VALUE!</v>
      </c>
    </row>
    <row r="120" spans="1:49" x14ac:dyDescent="0.2">
      <c r="A120">
        <v>118</v>
      </c>
      <c r="B120" t="s">
        <v>710</v>
      </c>
      <c r="C120" t="s">
        <v>709</v>
      </c>
      <c r="F120" t="s">
        <v>708</v>
      </c>
      <c r="G120" t="s">
        <v>4</v>
      </c>
      <c r="H120" t="s">
        <v>3</v>
      </c>
      <c r="I120" t="s">
        <v>707</v>
      </c>
      <c r="J120">
        <v>60031581</v>
      </c>
      <c r="K120" t="s">
        <v>706</v>
      </c>
      <c r="L120" t="s">
        <v>78</v>
      </c>
      <c r="M120" t="s">
        <v>7</v>
      </c>
      <c r="N120">
        <v>2</v>
      </c>
      <c r="O120" t="s">
        <v>705</v>
      </c>
      <c r="P120" t="s">
        <v>704</v>
      </c>
      <c r="Q120" t="s">
        <v>703</v>
      </c>
      <c r="R120" s="7">
        <v>31686</v>
      </c>
      <c r="S120" s="8">
        <f t="shared" si="8"/>
        <v>1986</v>
      </c>
      <c r="T120" s="8">
        <v>1986</v>
      </c>
      <c r="U120" s="8">
        <f t="shared" si="9"/>
        <v>36</v>
      </c>
      <c r="V120" s="7">
        <v>31686</v>
      </c>
      <c r="W120" t="s">
        <v>36</v>
      </c>
      <c r="X120" s="2">
        <v>0.61499999999999999</v>
      </c>
      <c r="Y120" s="6">
        <f t="shared" si="10"/>
        <v>1.6417073756706976E-2</v>
      </c>
      <c r="AA120">
        <v>1959271</v>
      </c>
      <c r="AB120">
        <v>12141</v>
      </c>
      <c r="AC120">
        <v>15729559</v>
      </c>
      <c r="AD120" t="s">
        <v>2</v>
      </c>
      <c r="AE120">
        <v>7</v>
      </c>
      <c r="AF120">
        <v>10</v>
      </c>
      <c r="AH120" t="s">
        <v>702</v>
      </c>
      <c r="AI120" t="s">
        <v>701</v>
      </c>
      <c r="AK120" t="s">
        <v>700</v>
      </c>
      <c r="AL120">
        <v>18</v>
      </c>
      <c r="AM120" s="5">
        <f t="shared" si="11"/>
        <v>0.5</v>
      </c>
      <c r="AN120" s="4">
        <f t="shared" si="12"/>
        <v>7.572889057175312E-4</v>
      </c>
      <c r="AO120" s="3"/>
      <c r="AP120">
        <v>0</v>
      </c>
      <c r="AR120" t="s">
        <v>1</v>
      </c>
      <c r="AT120" s="2" t="s">
        <v>0</v>
      </c>
      <c r="AU120" s="1">
        <f t="shared" si="13"/>
        <v>1.1719138301410141</v>
      </c>
      <c r="AV120" s="1">
        <f t="shared" si="14"/>
        <v>0.85871813312122536</v>
      </c>
      <c r="AW120" s="1">
        <f t="shared" si="15"/>
        <v>0.54552243610143636</v>
      </c>
    </row>
    <row r="121" spans="1:49" x14ac:dyDescent="0.2">
      <c r="A121">
        <v>119</v>
      </c>
      <c r="B121" t="s">
        <v>699</v>
      </c>
      <c r="F121" t="s">
        <v>698</v>
      </c>
      <c r="G121" t="s">
        <v>4</v>
      </c>
      <c r="H121" t="s">
        <v>3</v>
      </c>
      <c r="I121" t="s">
        <v>697</v>
      </c>
      <c r="N121">
        <v>1</v>
      </c>
      <c r="O121" t="s">
        <v>696</v>
      </c>
      <c r="P121">
        <v>7003412125</v>
      </c>
      <c r="R121" s="7">
        <v>31686</v>
      </c>
      <c r="S121" s="8">
        <f t="shared" si="8"/>
        <v>1986</v>
      </c>
      <c r="T121" s="8">
        <v>1986</v>
      </c>
      <c r="U121" s="8">
        <f t="shared" si="9"/>
        <v>36</v>
      </c>
      <c r="V121" s="7">
        <v>31686</v>
      </c>
      <c r="W121" t="s">
        <v>183</v>
      </c>
      <c r="X121" s="2">
        <v>0.11600000000000001</v>
      </c>
      <c r="Y121" s="6">
        <f t="shared" si="10"/>
        <v>3.0965537492325355E-3</v>
      </c>
      <c r="AA121">
        <v>7311230</v>
      </c>
      <c r="AB121">
        <v>12865</v>
      </c>
      <c r="AD121" t="s">
        <v>2</v>
      </c>
      <c r="AE121">
        <v>20</v>
      </c>
      <c r="AF121">
        <v>10</v>
      </c>
      <c r="AH121" t="s">
        <v>695</v>
      </c>
      <c r="AI121" t="s">
        <v>694</v>
      </c>
      <c r="AK121" t="s">
        <v>693</v>
      </c>
      <c r="AL121">
        <v>0</v>
      </c>
      <c r="AM121" s="5">
        <f t="shared" si="11"/>
        <v>0</v>
      </c>
      <c r="AN121" s="4">
        <f t="shared" si="12"/>
        <v>0</v>
      </c>
      <c r="AO121" s="3"/>
      <c r="AP121">
        <v>0</v>
      </c>
      <c r="AR121" t="s">
        <v>1</v>
      </c>
      <c r="AT121" s="2" t="s">
        <v>0</v>
      </c>
      <c r="AU121" s="1">
        <f t="shared" si="13"/>
        <v>0.21675876244627748</v>
      </c>
      <c r="AV121" s="1">
        <f t="shared" si="14"/>
        <v>0.15482768746162678</v>
      </c>
      <c r="AW121" s="1">
        <f t="shared" si="15"/>
        <v>9.2896612476976059E-2</v>
      </c>
    </row>
    <row r="122" spans="1:49" x14ac:dyDescent="0.2">
      <c r="A122">
        <v>120</v>
      </c>
      <c r="B122" t="s">
        <v>692</v>
      </c>
      <c r="C122" t="s">
        <v>691</v>
      </c>
      <c r="F122" t="s">
        <v>690</v>
      </c>
      <c r="G122" t="s">
        <v>4</v>
      </c>
      <c r="H122" t="s">
        <v>3</v>
      </c>
      <c r="I122" t="s">
        <v>75</v>
      </c>
      <c r="J122">
        <v>60022109</v>
      </c>
      <c r="K122" t="s">
        <v>74</v>
      </c>
      <c r="L122" t="s">
        <v>73</v>
      </c>
      <c r="M122" t="s">
        <v>38</v>
      </c>
      <c r="N122">
        <v>1</v>
      </c>
      <c r="O122" t="s">
        <v>689</v>
      </c>
      <c r="P122">
        <v>7201524785</v>
      </c>
      <c r="Q122">
        <v>60022109</v>
      </c>
      <c r="R122" s="7">
        <v>31686</v>
      </c>
      <c r="S122" s="8">
        <f t="shared" si="8"/>
        <v>1986</v>
      </c>
      <c r="T122" s="8">
        <v>1986</v>
      </c>
      <c r="U122" s="8">
        <f t="shared" si="9"/>
        <v>36</v>
      </c>
      <c r="V122" s="7">
        <v>31686</v>
      </c>
      <c r="W122" t="s">
        <v>36</v>
      </c>
      <c r="X122" s="2">
        <v>0.61499999999999999</v>
      </c>
      <c r="Y122" s="6">
        <f t="shared" si="10"/>
        <v>1.6417073756706976E-2</v>
      </c>
      <c r="AA122">
        <v>1959271</v>
      </c>
      <c r="AB122">
        <v>12141</v>
      </c>
      <c r="AC122">
        <v>15729559</v>
      </c>
      <c r="AD122" t="s">
        <v>2</v>
      </c>
      <c r="AE122">
        <v>7</v>
      </c>
      <c r="AF122">
        <v>10</v>
      </c>
      <c r="AH122" t="s">
        <v>688</v>
      </c>
      <c r="AL122">
        <v>29</v>
      </c>
      <c r="AM122" s="5">
        <f t="shared" si="11"/>
        <v>0.80555555555555558</v>
      </c>
      <c r="AN122" s="4">
        <f t="shared" si="12"/>
        <v>1.2200765703226893E-3</v>
      </c>
      <c r="AO122" s="3"/>
      <c r="AP122">
        <v>0</v>
      </c>
      <c r="AR122" t="s">
        <v>1</v>
      </c>
      <c r="AT122" s="2" t="s">
        <v>0</v>
      </c>
      <c r="AU122" s="1">
        <f t="shared" si="13"/>
        <v>1.1857974600791688</v>
      </c>
      <c r="AV122" s="1">
        <f t="shared" si="14"/>
        <v>0.88185751635148324</v>
      </c>
      <c r="AW122" s="1">
        <f t="shared" si="15"/>
        <v>0.5779175726237975</v>
      </c>
    </row>
    <row r="123" spans="1:49" x14ac:dyDescent="0.2">
      <c r="A123">
        <v>121</v>
      </c>
      <c r="B123" t="s">
        <v>687</v>
      </c>
      <c r="F123" t="s">
        <v>686</v>
      </c>
      <c r="G123" t="s">
        <v>4</v>
      </c>
      <c r="H123" t="s">
        <v>3</v>
      </c>
      <c r="I123" t="s">
        <v>685</v>
      </c>
      <c r="J123">
        <v>60015623</v>
      </c>
      <c r="K123" t="s">
        <v>684</v>
      </c>
      <c r="L123" t="s">
        <v>683</v>
      </c>
      <c r="M123" t="s">
        <v>7</v>
      </c>
      <c r="N123">
        <v>3</v>
      </c>
      <c r="O123" t="s">
        <v>682</v>
      </c>
      <c r="P123" t="s">
        <v>681</v>
      </c>
      <c r="Q123" t="s">
        <v>680</v>
      </c>
      <c r="R123" s="7">
        <v>31656</v>
      </c>
      <c r="S123" s="8">
        <f t="shared" si="8"/>
        <v>1986</v>
      </c>
      <c r="T123" s="8">
        <v>1986</v>
      </c>
      <c r="U123" s="8">
        <f t="shared" si="9"/>
        <v>36</v>
      </c>
      <c r="V123" s="7">
        <v>31656</v>
      </c>
      <c r="W123" t="s">
        <v>181</v>
      </c>
      <c r="X123" s="2" t="s">
        <v>0</v>
      </c>
      <c r="Y123" s="6" t="e">
        <f t="shared" si="10"/>
        <v>#VALUE!</v>
      </c>
      <c r="AA123">
        <v>262897</v>
      </c>
      <c r="AB123">
        <v>18580</v>
      </c>
      <c r="AD123" t="s">
        <v>2</v>
      </c>
      <c r="AE123">
        <v>29</v>
      </c>
      <c r="AF123">
        <v>9</v>
      </c>
      <c r="AI123" t="s">
        <v>679</v>
      </c>
      <c r="AK123" t="s">
        <v>678</v>
      </c>
      <c r="AL123">
        <v>2</v>
      </c>
      <c r="AM123" s="5">
        <f t="shared" si="11"/>
        <v>5.5555555555555552E-2</v>
      </c>
      <c r="AN123" s="4">
        <f t="shared" si="12"/>
        <v>8.4143211746392349E-5</v>
      </c>
      <c r="AO123" s="3"/>
      <c r="AP123">
        <v>0</v>
      </c>
      <c r="AR123" t="s">
        <v>1</v>
      </c>
      <c r="AT123" s="2">
        <v>0.30599999999999999</v>
      </c>
      <c r="AU123" s="1" t="e">
        <f t="shared" si="13"/>
        <v>#VALUE!</v>
      </c>
      <c r="AV123" s="1" t="e">
        <f t="shared" si="14"/>
        <v>#VALUE!</v>
      </c>
      <c r="AW123" s="1" t="e">
        <f t="shared" si="15"/>
        <v>#VALUE!</v>
      </c>
    </row>
    <row r="124" spans="1:49" x14ac:dyDescent="0.2">
      <c r="A124">
        <v>122</v>
      </c>
      <c r="B124" t="s">
        <v>677</v>
      </c>
      <c r="C124" t="s">
        <v>676</v>
      </c>
      <c r="F124" t="s">
        <v>675</v>
      </c>
      <c r="G124" t="s">
        <v>4</v>
      </c>
      <c r="H124" t="s">
        <v>3</v>
      </c>
      <c r="I124" t="s">
        <v>674</v>
      </c>
      <c r="J124">
        <v>60015457</v>
      </c>
      <c r="K124" t="s">
        <v>673</v>
      </c>
      <c r="L124" t="s">
        <v>672</v>
      </c>
      <c r="M124" t="s">
        <v>7</v>
      </c>
      <c r="N124">
        <v>2</v>
      </c>
      <c r="O124" t="s">
        <v>671</v>
      </c>
      <c r="P124" t="s">
        <v>670</v>
      </c>
      <c r="Q124" t="s">
        <v>669</v>
      </c>
      <c r="R124" s="7">
        <v>31656</v>
      </c>
      <c r="S124" s="8">
        <f t="shared" si="8"/>
        <v>1986</v>
      </c>
      <c r="T124" s="8">
        <v>1986</v>
      </c>
      <c r="U124" s="8">
        <f t="shared" si="9"/>
        <v>36</v>
      </c>
      <c r="V124" s="7">
        <v>31656</v>
      </c>
      <c r="W124" t="s">
        <v>57</v>
      </c>
      <c r="X124" s="2">
        <v>0.8</v>
      </c>
      <c r="Y124" s="6">
        <f t="shared" si="10"/>
        <v>2.1355543098155415E-2</v>
      </c>
      <c r="AA124">
        <v>3407594</v>
      </c>
      <c r="AB124">
        <v>23456</v>
      </c>
      <c r="AC124">
        <v>14321351</v>
      </c>
      <c r="AD124" t="s">
        <v>2</v>
      </c>
      <c r="AE124">
        <v>158</v>
      </c>
      <c r="AF124">
        <v>5</v>
      </c>
      <c r="AH124" t="s">
        <v>668</v>
      </c>
      <c r="AI124" t="s">
        <v>667</v>
      </c>
      <c r="AK124" t="s">
        <v>666</v>
      </c>
      <c r="AL124">
        <v>14</v>
      </c>
      <c r="AM124" s="5">
        <f t="shared" si="11"/>
        <v>0.3888888888888889</v>
      </c>
      <c r="AN124" s="4">
        <f t="shared" si="12"/>
        <v>5.890024822247465E-4</v>
      </c>
      <c r="AO124" s="3"/>
      <c r="AP124">
        <v>0</v>
      </c>
      <c r="AR124" t="s">
        <v>1</v>
      </c>
      <c r="AT124" s="2" t="s">
        <v>0</v>
      </c>
      <c r="AU124" s="1">
        <f t="shared" si="13"/>
        <v>1.5125580913376213</v>
      </c>
      <c r="AV124" s="1">
        <f t="shared" si="14"/>
        <v>1.0972272790190081</v>
      </c>
      <c r="AW124" s="1">
        <f t="shared" si="15"/>
        <v>0.68189646670039472</v>
      </c>
    </row>
    <row r="125" spans="1:49" x14ac:dyDescent="0.2">
      <c r="A125">
        <v>123</v>
      </c>
      <c r="B125" t="s">
        <v>665</v>
      </c>
      <c r="F125" t="s">
        <v>664</v>
      </c>
      <c r="G125" t="s">
        <v>4</v>
      </c>
      <c r="H125" t="s">
        <v>3</v>
      </c>
      <c r="I125" t="s">
        <v>663</v>
      </c>
      <c r="N125">
        <v>5</v>
      </c>
      <c r="O125" t="s">
        <v>662</v>
      </c>
      <c r="P125" t="s">
        <v>661</v>
      </c>
      <c r="Q125" t="s">
        <v>24</v>
      </c>
      <c r="R125" s="7">
        <v>31656</v>
      </c>
      <c r="S125" s="8">
        <f t="shared" si="8"/>
        <v>1986</v>
      </c>
      <c r="T125" s="8">
        <v>1986</v>
      </c>
      <c r="U125" s="8">
        <f t="shared" si="9"/>
        <v>36</v>
      </c>
      <c r="V125" s="7">
        <v>31656</v>
      </c>
      <c r="W125" t="s">
        <v>646</v>
      </c>
      <c r="X125" s="2" t="s">
        <v>0</v>
      </c>
      <c r="Y125" s="6" t="e">
        <f t="shared" si="10"/>
        <v>#VALUE!</v>
      </c>
      <c r="AA125">
        <v>959669</v>
      </c>
      <c r="AB125">
        <v>94658</v>
      </c>
      <c r="AD125" t="s">
        <v>2</v>
      </c>
      <c r="AE125">
        <v>16</v>
      </c>
      <c r="AF125">
        <v>2</v>
      </c>
      <c r="AH125" t="s">
        <v>660</v>
      </c>
      <c r="AI125" t="s">
        <v>659</v>
      </c>
      <c r="AK125" t="s">
        <v>658</v>
      </c>
      <c r="AL125">
        <v>3</v>
      </c>
      <c r="AM125" s="5">
        <f t="shared" si="11"/>
        <v>8.3333333333333329E-2</v>
      </c>
      <c r="AN125" s="4">
        <f t="shared" si="12"/>
        <v>1.2621481761958852E-4</v>
      </c>
      <c r="AO125" s="3"/>
      <c r="AP125">
        <v>0</v>
      </c>
      <c r="AR125" t="s">
        <v>1</v>
      </c>
      <c r="AT125" s="2" t="s">
        <v>0</v>
      </c>
      <c r="AU125" s="1" t="e">
        <f t="shared" si="13"/>
        <v>#VALUE!</v>
      </c>
      <c r="AV125" s="1" t="e">
        <f t="shared" si="14"/>
        <v>#VALUE!</v>
      </c>
      <c r="AW125" s="1" t="e">
        <f t="shared" si="15"/>
        <v>#VALUE!</v>
      </c>
    </row>
    <row r="126" spans="1:49" x14ac:dyDescent="0.2">
      <c r="A126">
        <v>124</v>
      </c>
      <c r="B126" t="s">
        <v>657</v>
      </c>
      <c r="F126" t="s">
        <v>656</v>
      </c>
      <c r="G126" t="s">
        <v>4</v>
      </c>
      <c r="H126" t="s">
        <v>3</v>
      </c>
      <c r="I126" t="s">
        <v>655</v>
      </c>
      <c r="N126">
        <v>1</v>
      </c>
      <c r="O126" t="s">
        <v>654</v>
      </c>
      <c r="P126">
        <v>6701488061</v>
      </c>
      <c r="R126" s="7">
        <v>31656</v>
      </c>
      <c r="S126" s="8">
        <f t="shared" si="8"/>
        <v>1986</v>
      </c>
      <c r="T126" s="8">
        <v>1986</v>
      </c>
      <c r="U126" s="8">
        <f t="shared" si="9"/>
        <v>36</v>
      </c>
      <c r="V126" s="7">
        <v>31656</v>
      </c>
      <c r="W126" t="s">
        <v>45</v>
      </c>
      <c r="X126" s="2" t="s">
        <v>0</v>
      </c>
      <c r="Y126" s="6" t="e">
        <f t="shared" si="10"/>
        <v>#VALUE!</v>
      </c>
      <c r="AA126">
        <v>87566648</v>
      </c>
      <c r="AB126">
        <v>74127</v>
      </c>
      <c r="AD126" t="s">
        <v>2</v>
      </c>
      <c r="AE126" t="s">
        <v>637</v>
      </c>
      <c r="AF126">
        <v>9</v>
      </c>
      <c r="AI126" t="s">
        <v>653</v>
      </c>
      <c r="AK126" t="s">
        <v>652</v>
      </c>
      <c r="AL126">
        <v>0</v>
      </c>
      <c r="AM126" s="5">
        <f t="shared" si="11"/>
        <v>0</v>
      </c>
      <c r="AN126" s="4">
        <f t="shared" si="12"/>
        <v>0</v>
      </c>
      <c r="AO126" s="3"/>
      <c r="AP126">
        <v>0</v>
      </c>
      <c r="AR126" t="s">
        <v>1</v>
      </c>
      <c r="AT126" s="2" t="s">
        <v>0</v>
      </c>
      <c r="AU126" s="1" t="e">
        <f t="shared" si="13"/>
        <v>#VALUE!</v>
      </c>
      <c r="AV126" s="1" t="e">
        <f t="shared" si="14"/>
        <v>#VALUE!</v>
      </c>
      <c r="AW126" s="1" t="e">
        <f t="shared" si="15"/>
        <v>#VALUE!</v>
      </c>
    </row>
    <row r="127" spans="1:49" x14ac:dyDescent="0.2">
      <c r="A127">
        <v>125</v>
      </c>
      <c r="B127" t="s">
        <v>651</v>
      </c>
      <c r="F127" t="s">
        <v>650</v>
      </c>
      <c r="G127" t="s">
        <v>4</v>
      </c>
      <c r="H127" t="s">
        <v>3</v>
      </c>
      <c r="I127" t="s">
        <v>649</v>
      </c>
      <c r="N127">
        <v>2</v>
      </c>
      <c r="O127" t="s">
        <v>648</v>
      </c>
      <c r="P127" t="s">
        <v>647</v>
      </c>
      <c r="Q127" t="s">
        <v>18</v>
      </c>
      <c r="R127" s="7">
        <v>31656</v>
      </c>
      <c r="S127" s="8">
        <f t="shared" si="8"/>
        <v>1986</v>
      </c>
      <c r="T127" s="8">
        <v>1986</v>
      </c>
      <c r="U127" s="8">
        <f t="shared" si="9"/>
        <v>36</v>
      </c>
      <c r="V127" s="7">
        <v>31656</v>
      </c>
      <c r="W127" t="s">
        <v>646</v>
      </c>
      <c r="X127" s="2" t="s">
        <v>0</v>
      </c>
      <c r="Y127" s="6" t="e">
        <f t="shared" si="10"/>
        <v>#VALUE!</v>
      </c>
      <c r="AA127">
        <v>959669</v>
      </c>
      <c r="AB127">
        <v>94658</v>
      </c>
      <c r="AD127" t="s">
        <v>2</v>
      </c>
      <c r="AE127">
        <v>16</v>
      </c>
      <c r="AF127">
        <v>2</v>
      </c>
      <c r="AH127" t="s">
        <v>645</v>
      </c>
      <c r="AI127" t="s">
        <v>644</v>
      </c>
      <c r="AK127" t="s">
        <v>643</v>
      </c>
      <c r="AL127">
        <v>6</v>
      </c>
      <c r="AM127" s="5">
        <f t="shared" si="11"/>
        <v>0.16666666666666666</v>
      </c>
      <c r="AN127" s="4">
        <f t="shared" si="12"/>
        <v>2.5242963523917705E-4</v>
      </c>
      <c r="AO127" s="3"/>
      <c r="AP127">
        <v>0</v>
      </c>
      <c r="AR127" t="s">
        <v>1</v>
      </c>
      <c r="AT127" s="2" t="s">
        <v>0</v>
      </c>
      <c r="AU127" s="1" t="e">
        <f t="shared" si="13"/>
        <v>#VALUE!</v>
      </c>
      <c r="AV127" s="1" t="e">
        <f t="shared" si="14"/>
        <v>#VALUE!</v>
      </c>
      <c r="AW127" s="1" t="e">
        <f t="shared" si="15"/>
        <v>#VALUE!</v>
      </c>
    </row>
    <row r="128" spans="1:49" x14ac:dyDescent="0.2">
      <c r="A128">
        <v>126</v>
      </c>
      <c r="B128" t="s">
        <v>642</v>
      </c>
      <c r="F128" t="s">
        <v>641</v>
      </c>
      <c r="G128" t="s">
        <v>4</v>
      </c>
      <c r="H128" t="s">
        <v>3</v>
      </c>
      <c r="I128" t="s">
        <v>640</v>
      </c>
      <c r="N128">
        <v>2</v>
      </c>
      <c r="O128" t="s">
        <v>639</v>
      </c>
      <c r="P128" t="s">
        <v>638</v>
      </c>
      <c r="Q128" t="s">
        <v>18</v>
      </c>
      <c r="R128" s="7">
        <v>31656</v>
      </c>
      <c r="S128" s="8">
        <f t="shared" si="8"/>
        <v>1986</v>
      </c>
      <c r="T128" s="8">
        <v>1986</v>
      </c>
      <c r="U128" s="8">
        <f t="shared" si="9"/>
        <v>36</v>
      </c>
      <c r="V128" s="7">
        <v>31656</v>
      </c>
      <c r="W128" t="s">
        <v>45</v>
      </c>
      <c r="X128" s="2" t="s">
        <v>0</v>
      </c>
      <c r="Y128" s="6" t="e">
        <f t="shared" si="10"/>
        <v>#VALUE!</v>
      </c>
      <c r="AA128">
        <v>87566648</v>
      </c>
      <c r="AB128">
        <v>74127</v>
      </c>
      <c r="AD128" t="s">
        <v>2</v>
      </c>
      <c r="AE128" t="s">
        <v>637</v>
      </c>
      <c r="AF128">
        <v>9</v>
      </c>
      <c r="AH128" t="s">
        <v>636</v>
      </c>
      <c r="AI128" t="s">
        <v>635</v>
      </c>
      <c r="AK128" t="s">
        <v>634</v>
      </c>
      <c r="AL128">
        <v>0</v>
      </c>
      <c r="AM128" s="5">
        <f t="shared" si="11"/>
        <v>0</v>
      </c>
      <c r="AN128" s="4">
        <f t="shared" si="12"/>
        <v>0</v>
      </c>
      <c r="AO128" s="3"/>
      <c r="AP128">
        <v>0</v>
      </c>
      <c r="AR128" t="s">
        <v>1</v>
      </c>
      <c r="AT128" s="2" t="s">
        <v>0</v>
      </c>
      <c r="AU128" s="1" t="e">
        <f t="shared" si="13"/>
        <v>#VALUE!</v>
      </c>
      <c r="AV128" s="1" t="e">
        <f t="shared" si="14"/>
        <v>#VALUE!</v>
      </c>
      <c r="AW128" s="1" t="e">
        <f t="shared" si="15"/>
        <v>#VALUE!</v>
      </c>
    </row>
    <row r="129" spans="1:49" x14ac:dyDescent="0.2">
      <c r="A129">
        <v>127</v>
      </c>
      <c r="B129" t="s">
        <v>633</v>
      </c>
      <c r="E129">
        <v>3537649</v>
      </c>
      <c r="F129" t="s">
        <v>632</v>
      </c>
      <c r="G129" t="s">
        <v>4</v>
      </c>
      <c r="H129" t="s">
        <v>3</v>
      </c>
      <c r="I129" t="s">
        <v>631</v>
      </c>
      <c r="J129">
        <v>60005247</v>
      </c>
      <c r="K129" t="s">
        <v>630</v>
      </c>
      <c r="L129" t="s">
        <v>44</v>
      </c>
      <c r="M129" t="s">
        <v>7</v>
      </c>
      <c r="N129">
        <v>2</v>
      </c>
      <c r="O129" t="s">
        <v>629</v>
      </c>
      <c r="P129" t="s">
        <v>628</v>
      </c>
      <c r="Q129" t="s">
        <v>627</v>
      </c>
      <c r="R129" s="7">
        <v>31656</v>
      </c>
      <c r="S129" s="8">
        <f t="shared" si="8"/>
        <v>1986</v>
      </c>
      <c r="T129" s="8">
        <v>1986</v>
      </c>
      <c r="U129" s="8">
        <f t="shared" si="9"/>
        <v>36</v>
      </c>
      <c r="V129" s="7">
        <v>31656</v>
      </c>
      <c r="W129" t="s">
        <v>626</v>
      </c>
      <c r="X129" s="2" t="s">
        <v>0</v>
      </c>
      <c r="Y129" s="6" t="e">
        <f t="shared" si="10"/>
        <v>#VALUE!</v>
      </c>
      <c r="AA129">
        <v>906689</v>
      </c>
      <c r="AB129">
        <v>35640</v>
      </c>
      <c r="AD129" t="s">
        <v>2</v>
      </c>
      <c r="AE129">
        <v>20</v>
      </c>
      <c r="AF129">
        <v>5</v>
      </c>
      <c r="AH129" t="s">
        <v>625</v>
      </c>
      <c r="AI129" t="s">
        <v>624</v>
      </c>
      <c r="AK129" t="s">
        <v>623</v>
      </c>
      <c r="AL129">
        <v>0</v>
      </c>
      <c r="AM129" s="5">
        <f t="shared" si="11"/>
        <v>0</v>
      </c>
      <c r="AN129" s="4">
        <f t="shared" si="12"/>
        <v>0</v>
      </c>
      <c r="AO129" s="3"/>
      <c r="AP129">
        <v>0</v>
      </c>
      <c r="AR129" t="s">
        <v>1</v>
      </c>
      <c r="AT129" s="2" t="s">
        <v>0</v>
      </c>
      <c r="AU129" s="1" t="e">
        <f t="shared" si="13"/>
        <v>#VALUE!</v>
      </c>
      <c r="AV129" s="1" t="e">
        <f t="shared" si="14"/>
        <v>#VALUE!</v>
      </c>
      <c r="AW129" s="1" t="e">
        <f t="shared" si="15"/>
        <v>#VALUE!</v>
      </c>
    </row>
    <row r="130" spans="1:49" x14ac:dyDescent="0.2">
      <c r="A130">
        <v>128</v>
      </c>
      <c r="B130" t="s">
        <v>622</v>
      </c>
      <c r="F130" t="s">
        <v>621</v>
      </c>
      <c r="G130" t="s">
        <v>4</v>
      </c>
      <c r="H130" t="s">
        <v>3</v>
      </c>
      <c r="I130" t="s">
        <v>620</v>
      </c>
      <c r="J130">
        <v>100334183</v>
      </c>
      <c r="K130" t="s">
        <v>619</v>
      </c>
      <c r="L130" t="s">
        <v>82</v>
      </c>
      <c r="M130" t="s">
        <v>66</v>
      </c>
      <c r="N130">
        <v>2</v>
      </c>
      <c r="O130" t="s">
        <v>618</v>
      </c>
      <c r="P130" t="s">
        <v>617</v>
      </c>
      <c r="Q130" t="s">
        <v>616</v>
      </c>
      <c r="R130" s="7">
        <v>31656</v>
      </c>
      <c r="S130" s="8">
        <f t="shared" ref="S130:S176" si="16">YEAR(R130)</f>
        <v>1986</v>
      </c>
      <c r="T130" s="8">
        <v>1986</v>
      </c>
      <c r="U130" s="8">
        <f t="shared" ref="U130:U176" si="17">2022-T130</f>
        <v>36</v>
      </c>
      <c r="V130" s="7">
        <v>31656</v>
      </c>
      <c r="W130" t="s">
        <v>155</v>
      </c>
      <c r="X130" s="2">
        <v>0.14099999999999999</v>
      </c>
      <c r="Y130" s="6">
        <f t="shared" ref="Y130:Y176" si="18">(X130-$Z$4)/($Z$3-$Z$4)</f>
        <v>3.7639144710498915E-3</v>
      </c>
      <c r="AA130">
        <v>7252986</v>
      </c>
      <c r="AB130">
        <v>18037</v>
      </c>
      <c r="AD130" t="s">
        <v>2</v>
      </c>
      <c r="AE130">
        <v>6</v>
      </c>
      <c r="AF130">
        <v>3</v>
      </c>
      <c r="AH130" t="s">
        <v>615</v>
      </c>
      <c r="AI130" t="s">
        <v>614</v>
      </c>
      <c r="AK130" t="s">
        <v>613</v>
      </c>
      <c r="AL130">
        <v>0</v>
      </c>
      <c r="AM130" s="5">
        <f t="shared" ref="AM130:AM176" si="19">AL130/U130</f>
        <v>0</v>
      </c>
      <c r="AN130" s="4">
        <f t="shared" ref="AN130:AN176" si="20">(AM130-$AO$4)/($AO$3-$AO$4)</f>
        <v>0</v>
      </c>
      <c r="AO130" s="3"/>
      <c r="AP130">
        <v>0</v>
      </c>
      <c r="AR130" t="s">
        <v>1</v>
      </c>
      <c r="AT130" s="2" t="s">
        <v>0</v>
      </c>
      <c r="AU130" s="1">
        <f t="shared" ref="AU130:AU176" si="21">(Y130*0.7+AN130*0.3)*100</f>
        <v>0.26347401297349238</v>
      </c>
      <c r="AV130" s="1">
        <f t="shared" ref="AV130:AV176" si="22">(Y130*0.5+AN130*0.5)*100</f>
        <v>0.18819572355249459</v>
      </c>
      <c r="AW130" s="1">
        <f t="shared" ref="AW130:AW176" si="23">(Y130*0.3+AN130*0.7)*100</f>
        <v>0.11291743413149673</v>
      </c>
    </row>
    <row r="131" spans="1:49" x14ac:dyDescent="0.2">
      <c r="A131">
        <v>129</v>
      </c>
      <c r="B131" t="s">
        <v>612</v>
      </c>
      <c r="F131" t="s">
        <v>611</v>
      </c>
      <c r="G131" t="s">
        <v>4</v>
      </c>
      <c r="H131" t="s">
        <v>3</v>
      </c>
      <c r="I131" t="s">
        <v>610</v>
      </c>
      <c r="J131">
        <v>60004541</v>
      </c>
      <c r="K131" t="s">
        <v>141</v>
      </c>
      <c r="L131" t="s">
        <v>30</v>
      </c>
      <c r="M131" t="s">
        <v>7</v>
      </c>
      <c r="N131">
        <v>1</v>
      </c>
      <c r="O131" t="s">
        <v>609</v>
      </c>
      <c r="P131">
        <v>6602860970</v>
      </c>
      <c r="Q131">
        <v>60004541</v>
      </c>
      <c r="R131" s="7">
        <v>31656</v>
      </c>
      <c r="S131" s="8">
        <f t="shared" si="16"/>
        <v>1986</v>
      </c>
      <c r="T131" s="8">
        <v>1986</v>
      </c>
      <c r="U131" s="8">
        <f t="shared" si="17"/>
        <v>36</v>
      </c>
      <c r="V131" s="7">
        <v>31656</v>
      </c>
      <c r="W131" t="s">
        <v>535</v>
      </c>
      <c r="X131" s="2" t="s">
        <v>0</v>
      </c>
      <c r="Y131" s="6" t="e">
        <f t="shared" si="18"/>
        <v>#VALUE!</v>
      </c>
      <c r="AA131">
        <v>3053601</v>
      </c>
      <c r="AB131">
        <v>34646</v>
      </c>
      <c r="AD131" t="s">
        <v>2</v>
      </c>
      <c r="AF131">
        <v>27</v>
      </c>
      <c r="AH131" t="s">
        <v>608</v>
      </c>
      <c r="AI131" t="s">
        <v>607</v>
      </c>
      <c r="AK131" t="s">
        <v>606</v>
      </c>
      <c r="AL131">
        <v>0</v>
      </c>
      <c r="AM131" s="5">
        <f t="shared" si="19"/>
        <v>0</v>
      </c>
      <c r="AN131" s="4">
        <f t="shared" si="20"/>
        <v>0</v>
      </c>
      <c r="AO131" s="3"/>
      <c r="AP131">
        <v>0</v>
      </c>
      <c r="AR131" t="s">
        <v>1</v>
      </c>
      <c r="AT131" s="2" t="s">
        <v>0</v>
      </c>
      <c r="AU131" s="1" t="e">
        <f t="shared" si="21"/>
        <v>#VALUE!</v>
      </c>
      <c r="AV131" s="1" t="e">
        <f t="shared" si="22"/>
        <v>#VALUE!</v>
      </c>
      <c r="AW131" s="1" t="e">
        <f t="shared" si="23"/>
        <v>#VALUE!</v>
      </c>
    </row>
    <row r="132" spans="1:49" x14ac:dyDescent="0.2">
      <c r="A132">
        <v>130</v>
      </c>
      <c r="B132" t="s">
        <v>605</v>
      </c>
      <c r="F132" t="s">
        <v>604</v>
      </c>
      <c r="G132" t="s">
        <v>4</v>
      </c>
      <c r="H132" t="s">
        <v>3</v>
      </c>
      <c r="I132" t="s">
        <v>603</v>
      </c>
      <c r="N132">
        <v>3</v>
      </c>
      <c r="O132" t="s">
        <v>602</v>
      </c>
      <c r="P132" t="s">
        <v>601</v>
      </c>
      <c r="Q132" t="s">
        <v>17</v>
      </c>
      <c r="R132" s="7">
        <v>31656</v>
      </c>
      <c r="S132" s="8">
        <f t="shared" si="16"/>
        <v>1986</v>
      </c>
      <c r="T132" s="8">
        <v>1986</v>
      </c>
      <c r="U132" s="8">
        <f t="shared" si="17"/>
        <v>36</v>
      </c>
      <c r="V132" s="7">
        <v>31656</v>
      </c>
      <c r="W132" t="s">
        <v>600</v>
      </c>
      <c r="X132" s="2">
        <v>0.161</v>
      </c>
      <c r="Y132" s="6">
        <f t="shared" si="18"/>
        <v>4.2978030485037776E-3</v>
      </c>
      <c r="AA132">
        <v>162523</v>
      </c>
      <c r="AB132">
        <v>16740</v>
      </c>
      <c r="AD132" t="s">
        <v>2</v>
      </c>
      <c r="AE132">
        <v>22</v>
      </c>
      <c r="AF132">
        <v>4</v>
      </c>
      <c r="AH132" t="s">
        <v>599</v>
      </c>
      <c r="AI132" t="s">
        <v>598</v>
      </c>
      <c r="AK132" t="s">
        <v>597</v>
      </c>
      <c r="AL132">
        <v>0</v>
      </c>
      <c r="AM132" s="5">
        <f t="shared" si="19"/>
        <v>0</v>
      </c>
      <c r="AN132" s="4">
        <f t="shared" si="20"/>
        <v>0</v>
      </c>
      <c r="AO132" s="3"/>
      <c r="AP132">
        <v>0</v>
      </c>
      <c r="AR132" t="s">
        <v>1</v>
      </c>
      <c r="AT132" s="2" t="s">
        <v>0</v>
      </c>
      <c r="AU132" s="1">
        <f t="shared" si="21"/>
        <v>0.30084621339526441</v>
      </c>
      <c r="AV132" s="1">
        <f t="shared" si="22"/>
        <v>0.21489015242518889</v>
      </c>
      <c r="AW132" s="1">
        <f t="shared" si="23"/>
        <v>0.12893409145511334</v>
      </c>
    </row>
    <row r="133" spans="1:49" x14ac:dyDescent="0.2">
      <c r="A133">
        <v>131</v>
      </c>
      <c r="B133" t="s">
        <v>596</v>
      </c>
      <c r="F133" t="s">
        <v>595</v>
      </c>
      <c r="G133" t="s">
        <v>4</v>
      </c>
      <c r="H133" t="s">
        <v>3</v>
      </c>
      <c r="I133" t="s">
        <v>594</v>
      </c>
      <c r="J133">
        <v>60025225</v>
      </c>
      <c r="K133" t="s">
        <v>59</v>
      </c>
      <c r="L133" t="s">
        <v>58</v>
      </c>
      <c r="M133" t="s">
        <v>38</v>
      </c>
      <c r="N133">
        <v>1</v>
      </c>
      <c r="O133" t="s">
        <v>593</v>
      </c>
      <c r="P133">
        <v>6603611053</v>
      </c>
      <c r="Q133">
        <v>60025225</v>
      </c>
      <c r="R133" s="7">
        <v>31656</v>
      </c>
      <c r="S133" s="8">
        <f t="shared" si="16"/>
        <v>1986</v>
      </c>
      <c r="T133" s="8">
        <v>1986</v>
      </c>
      <c r="U133" s="8">
        <f t="shared" si="17"/>
        <v>36</v>
      </c>
      <c r="V133" s="7">
        <v>31656</v>
      </c>
      <c r="W133" t="s">
        <v>524</v>
      </c>
      <c r="X133" s="2" t="s">
        <v>0</v>
      </c>
      <c r="Y133" s="6" t="e">
        <f t="shared" si="18"/>
        <v>#VALUE!</v>
      </c>
      <c r="AA133">
        <v>1679368</v>
      </c>
      <c r="AB133">
        <v>35103</v>
      </c>
      <c r="AD133" t="s">
        <v>2</v>
      </c>
      <c r="AE133">
        <v>4</v>
      </c>
      <c r="AF133">
        <v>3</v>
      </c>
      <c r="AH133" t="s">
        <v>592</v>
      </c>
      <c r="AI133" t="s">
        <v>591</v>
      </c>
      <c r="AK133" t="s">
        <v>590</v>
      </c>
      <c r="AL133">
        <v>2</v>
      </c>
      <c r="AM133" s="5">
        <f t="shared" si="19"/>
        <v>5.5555555555555552E-2</v>
      </c>
      <c r="AN133" s="4">
        <f t="shared" si="20"/>
        <v>8.4143211746392349E-5</v>
      </c>
      <c r="AO133" s="3"/>
      <c r="AP133">
        <v>0</v>
      </c>
      <c r="AR133" t="s">
        <v>1</v>
      </c>
      <c r="AT133" s="2" t="s">
        <v>0</v>
      </c>
      <c r="AU133" s="1" t="e">
        <f t="shared" si="21"/>
        <v>#VALUE!</v>
      </c>
      <c r="AV133" s="1" t="e">
        <f t="shared" si="22"/>
        <v>#VALUE!</v>
      </c>
      <c r="AW133" s="1" t="e">
        <f t="shared" si="23"/>
        <v>#VALUE!</v>
      </c>
    </row>
    <row r="134" spans="1:49" x14ac:dyDescent="0.2">
      <c r="A134">
        <v>132</v>
      </c>
      <c r="B134" t="s">
        <v>589</v>
      </c>
      <c r="F134" t="s">
        <v>588</v>
      </c>
      <c r="G134" t="s">
        <v>4</v>
      </c>
      <c r="H134" t="s">
        <v>3</v>
      </c>
      <c r="I134" t="s">
        <v>587</v>
      </c>
      <c r="N134">
        <v>1</v>
      </c>
      <c r="O134" t="s">
        <v>586</v>
      </c>
      <c r="P134">
        <v>6506532866</v>
      </c>
      <c r="R134" s="7">
        <v>31656</v>
      </c>
      <c r="S134" s="8">
        <f t="shared" si="16"/>
        <v>1986</v>
      </c>
      <c r="T134" s="8">
        <v>1986</v>
      </c>
      <c r="U134" s="8">
        <f t="shared" si="17"/>
        <v>36</v>
      </c>
      <c r="V134" s="7">
        <v>31656</v>
      </c>
      <c r="W134" t="s">
        <v>535</v>
      </c>
      <c r="X134" s="2" t="s">
        <v>0</v>
      </c>
      <c r="Y134" s="6" t="e">
        <f t="shared" si="18"/>
        <v>#VALUE!</v>
      </c>
      <c r="AA134">
        <v>3053601</v>
      </c>
      <c r="AB134">
        <v>34646</v>
      </c>
      <c r="AD134" t="s">
        <v>2</v>
      </c>
      <c r="AF134">
        <v>27</v>
      </c>
      <c r="AH134" t="s">
        <v>585</v>
      </c>
      <c r="AI134" t="s">
        <v>584</v>
      </c>
      <c r="AK134" t="s">
        <v>583</v>
      </c>
      <c r="AL134">
        <v>0</v>
      </c>
      <c r="AM134" s="5">
        <f t="shared" si="19"/>
        <v>0</v>
      </c>
      <c r="AN134" s="4">
        <f t="shared" si="20"/>
        <v>0</v>
      </c>
      <c r="AO134" s="3"/>
      <c r="AP134">
        <v>0</v>
      </c>
      <c r="AR134" t="s">
        <v>1</v>
      </c>
      <c r="AT134" s="2" t="s">
        <v>0</v>
      </c>
      <c r="AU134" s="1" t="e">
        <f t="shared" si="21"/>
        <v>#VALUE!</v>
      </c>
      <c r="AV134" s="1" t="e">
        <f t="shared" si="22"/>
        <v>#VALUE!</v>
      </c>
      <c r="AW134" s="1" t="e">
        <f t="shared" si="23"/>
        <v>#VALUE!</v>
      </c>
    </row>
    <row r="135" spans="1:49" x14ac:dyDescent="0.2">
      <c r="A135">
        <v>133</v>
      </c>
      <c r="B135" t="s">
        <v>582</v>
      </c>
      <c r="F135" t="s">
        <v>581</v>
      </c>
      <c r="G135" t="s">
        <v>4</v>
      </c>
      <c r="H135" t="s">
        <v>3</v>
      </c>
      <c r="I135" t="s">
        <v>158</v>
      </c>
      <c r="J135">
        <v>100340969</v>
      </c>
      <c r="K135" t="s">
        <v>580</v>
      </c>
      <c r="L135" t="s">
        <v>137</v>
      </c>
      <c r="M135" t="s">
        <v>66</v>
      </c>
      <c r="N135">
        <v>2</v>
      </c>
      <c r="O135" t="s">
        <v>157</v>
      </c>
      <c r="P135" t="s">
        <v>156</v>
      </c>
      <c r="Q135" t="s">
        <v>579</v>
      </c>
      <c r="R135" s="7">
        <v>31656</v>
      </c>
      <c r="S135" s="8">
        <f t="shared" si="16"/>
        <v>1986</v>
      </c>
      <c r="T135" s="8">
        <v>1986</v>
      </c>
      <c r="U135" s="8">
        <f t="shared" si="17"/>
        <v>36</v>
      </c>
      <c r="V135" s="7">
        <v>31656</v>
      </c>
      <c r="W135" t="s">
        <v>155</v>
      </c>
      <c r="X135" s="2">
        <v>0.14099999999999999</v>
      </c>
      <c r="Y135" s="6">
        <f t="shared" si="18"/>
        <v>3.7639144710498915E-3</v>
      </c>
      <c r="AA135">
        <v>7252986</v>
      </c>
      <c r="AB135">
        <v>18037</v>
      </c>
      <c r="AD135" t="s">
        <v>2</v>
      </c>
      <c r="AE135">
        <v>6</v>
      </c>
      <c r="AF135">
        <v>3</v>
      </c>
      <c r="AH135" t="s">
        <v>578</v>
      </c>
      <c r="AI135" t="s">
        <v>577</v>
      </c>
      <c r="AK135" t="s">
        <v>576</v>
      </c>
      <c r="AL135">
        <v>0</v>
      </c>
      <c r="AM135" s="5">
        <f t="shared" si="19"/>
        <v>0</v>
      </c>
      <c r="AN135" s="4">
        <f t="shared" si="20"/>
        <v>0</v>
      </c>
      <c r="AO135" s="3"/>
      <c r="AP135">
        <v>0</v>
      </c>
      <c r="AR135" t="s">
        <v>1</v>
      </c>
      <c r="AT135" s="2" t="s">
        <v>0</v>
      </c>
      <c r="AU135" s="1">
        <f t="shared" si="21"/>
        <v>0.26347401297349238</v>
      </c>
      <c r="AV135" s="1">
        <f t="shared" si="22"/>
        <v>0.18819572355249459</v>
      </c>
      <c r="AW135" s="1">
        <f t="shared" si="23"/>
        <v>0.11291743413149673</v>
      </c>
    </row>
    <row r="136" spans="1:49" x14ac:dyDescent="0.2">
      <c r="A136">
        <v>134</v>
      </c>
      <c r="B136" t="s">
        <v>575</v>
      </c>
      <c r="F136" t="s">
        <v>574</v>
      </c>
      <c r="G136" t="s">
        <v>4</v>
      </c>
      <c r="H136" t="s">
        <v>3</v>
      </c>
      <c r="I136" t="s">
        <v>69</v>
      </c>
      <c r="J136">
        <v>60028333</v>
      </c>
      <c r="K136" t="s">
        <v>68</v>
      </c>
      <c r="L136" t="s">
        <v>67</v>
      </c>
      <c r="M136" t="s">
        <v>66</v>
      </c>
      <c r="N136">
        <v>1</v>
      </c>
      <c r="O136" t="s">
        <v>65</v>
      </c>
      <c r="P136">
        <v>7102344747</v>
      </c>
      <c r="Q136">
        <v>60028333</v>
      </c>
      <c r="R136" s="7">
        <v>31656</v>
      </c>
      <c r="S136" s="8">
        <f t="shared" si="16"/>
        <v>1986</v>
      </c>
      <c r="T136" s="8">
        <v>1986</v>
      </c>
      <c r="U136" s="8">
        <f t="shared" si="17"/>
        <v>36</v>
      </c>
      <c r="V136" s="7">
        <v>31656</v>
      </c>
      <c r="W136" t="s">
        <v>155</v>
      </c>
      <c r="X136" s="2">
        <v>0.14099999999999999</v>
      </c>
      <c r="Y136" s="6">
        <f t="shared" si="18"/>
        <v>3.7639144710498915E-3</v>
      </c>
      <c r="AA136">
        <v>7252986</v>
      </c>
      <c r="AB136">
        <v>18037</v>
      </c>
      <c r="AD136" t="s">
        <v>2</v>
      </c>
      <c r="AE136">
        <v>6</v>
      </c>
      <c r="AF136">
        <v>3</v>
      </c>
      <c r="AH136" t="s">
        <v>573</v>
      </c>
      <c r="AI136" t="s">
        <v>572</v>
      </c>
      <c r="AK136" t="s">
        <v>571</v>
      </c>
      <c r="AL136">
        <v>0</v>
      </c>
      <c r="AM136" s="5">
        <f t="shared" si="19"/>
        <v>0</v>
      </c>
      <c r="AN136" s="4">
        <f t="shared" si="20"/>
        <v>0</v>
      </c>
      <c r="AO136" s="3"/>
      <c r="AP136">
        <v>0</v>
      </c>
      <c r="AR136" t="s">
        <v>1</v>
      </c>
      <c r="AT136" s="2" t="s">
        <v>0</v>
      </c>
      <c r="AU136" s="1">
        <f t="shared" si="21"/>
        <v>0.26347401297349238</v>
      </c>
      <c r="AV136" s="1">
        <f t="shared" si="22"/>
        <v>0.18819572355249459</v>
      </c>
      <c r="AW136" s="1">
        <f t="shared" si="23"/>
        <v>0.11291743413149673</v>
      </c>
    </row>
    <row r="137" spans="1:49" x14ac:dyDescent="0.2">
      <c r="A137">
        <v>135</v>
      </c>
      <c r="B137" t="s">
        <v>570</v>
      </c>
      <c r="F137" t="s">
        <v>569</v>
      </c>
      <c r="G137" t="s">
        <v>4</v>
      </c>
      <c r="H137" t="s">
        <v>3</v>
      </c>
      <c r="I137" t="s">
        <v>568</v>
      </c>
      <c r="J137">
        <v>100499534</v>
      </c>
      <c r="K137" t="s">
        <v>567</v>
      </c>
      <c r="N137">
        <v>1</v>
      </c>
      <c r="O137" t="s">
        <v>566</v>
      </c>
      <c r="P137">
        <v>7006691839</v>
      </c>
      <c r="Q137">
        <v>100499534</v>
      </c>
      <c r="R137" s="7">
        <v>31656</v>
      </c>
      <c r="S137" s="8">
        <f t="shared" si="16"/>
        <v>1986</v>
      </c>
      <c r="T137" s="8">
        <v>1986</v>
      </c>
      <c r="U137" s="8">
        <f t="shared" si="17"/>
        <v>36</v>
      </c>
      <c r="V137" s="7">
        <v>31656</v>
      </c>
      <c r="W137" t="s">
        <v>535</v>
      </c>
      <c r="X137" s="2" t="s">
        <v>0</v>
      </c>
      <c r="Y137" s="6" t="e">
        <f t="shared" si="18"/>
        <v>#VALUE!</v>
      </c>
      <c r="AA137">
        <v>3053601</v>
      </c>
      <c r="AB137">
        <v>34646</v>
      </c>
      <c r="AD137" t="s">
        <v>2</v>
      </c>
      <c r="AF137">
        <v>27</v>
      </c>
      <c r="AH137" t="s">
        <v>565</v>
      </c>
      <c r="AI137" t="s">
        <v>564</v>
      </c>
      <c r="AK137" t="s">
        <v>563</v>
      </c>
      <c r="AL137">
        <v>0</v>
      </c>
      <c r="AM137" s="5">
        <f t="shared" si="19"/>
        <v>0</v>
      </c>
      <c r="AN137" s="4">
        <f t="shared" si="20"/>
        <v>0</v>
      </c>
      <c r="AO137" s="3"/>
      <c r="AP137">
        <v>0</v>
      </c>
      <c r="AR137" t="s">
        <v>1</v>
      </c>
      <c r="AT137" s="2" t="s">
        <v>0</v>
      </c>
      <c r="AU137" s="1" t="e">
        <f t="shared" si="21"/>
        <v>#VALUE!</v>
      </c>
      <c r="AV137" s="1" t="e">
        <f t="shared" si="22"/>
        <v>#VALUE!</v>
      </c>
      <c r="AW137" s="1" t="e">
        <f t="shared" si="23"/>
        <v>#VALUE!</v>
      </c>
    </row>
    <row r="138" spans="1:49" x14ac:dyDescent="0.2">
      <c r="A138">
        <v>136</v>
      </c>
      <c r="B138" t="s">
        <v>562</v>
      </c>
      <c r="F138" t="s">
        <v>561</v>
      </c>
      <c r="G138" t="s">
        <v>4</v>
      </c>
      <c r="H138" t="s">
        <v>3</v>
      </c>
      <c r="I138" t="s">
        <v>560</v>
      </c>
      <c r="N138">
        <v>1</v>
      </c>
      <c r="O138" t="s">
        <v>559</v>
      </c>
      <c r="P138">
        <v>6507857191</v>
      </c>
      <c r="R138" s="7">
        <v>31656</v>
      </c>
      <c r="S138" s="8">
        <f t="shared" si="16"/>
        <v>1986</v>
      </c>
      <c r="T138" s="8">
        <v>1986</v>
      </c>
      <c r="U138" s="8">
        <f t="shared" si="17"/>
        <v>36</v>
      </c>
      <c r="V138" s="7">
        <v>31656</v>
      </c>
      <c r="W138" t="s">
        <v>200</v>
      </c>
      <c r="X138" s="2" t="s">
        <v>0</v>
      </c>
      <c r="Y138" s="6" t="e">
        <f t="shared" si="18"/>
        <v>#VALUE!</v>
      </c>
      <c r="AA138">
        <v>486574</v>
      </c>
      <c r="AB138">
        <v>36602</v>
      </c>
      <c r="AD138" t="s">
        <v>2</v>
      </c>
      <c r="AE138">
        <v>31</v>
      </c>
      <c r="AF138">
        <v>5</v>
      </c>
      <c r="AI138" t="s">
        <v>558</v>
      </c>
      <c r="AK138" t="s">
        <v>557</v>
      </c>
      <c r="AL138">
        <v>0</v>
      </c>
      <c r="AM138" s="5">
        <f t="shared" si="19"/>
        <v>0</v>
      </c>
      <c r="AN138" s="4">
        <f t="shared" si="20"/>
        <v>0</v>
      </c>
      <c r="AO138" s="3"/>
      <c r="AP138">
        <v>0</v>
      </c>
      <c r="AR138" t="s">
        <v>1</v>
      </c>
      <c r="AT138" s="2" t="s">
        <v>0</v>
      </c>
      <c r="AU138" s="1" t="e">
        <f t="shared" si="21"/>
        <v>#VALUE!</v>
      </c>
      <c r="AV138" s="1" t="e">
        <f t="shared" si="22"/>
        <v>#VALUE!</v>
      </c>
      <c r="AW138" s="1" t="e">
        <f t="shared" si="23"/>
        <v>#VALUE!</v>
      </c>
    </row>
    <row r="139" spans="1:49" x14ac:dyDescent="0.2">
      <c r="A139">
        <v>137</v>
      </c>
      <c r="B139" t="s">
        <v>556</v>
      </c>
      <c r="F139" t="s">
        <v>555</v>
      </c>
      <c r="G139" t="s">
        <v>4</v>
      </c>
      <c r="H139" t="s">
        <v>3</v>
      </c>
      <c r="I139" t="s">
        <v>88</v>
      </c>
      <c r="J139">
        <v>100321467</v>
      </c>
      <c r="K139" t="s">
        <v>87</v>
      </c>
      <c r="L139" t="s">
        <v>86</v>
      </c>
      <c r="M139" t="s">
        <v>7</v>
      </c>
      <c r="N139">
        <v>2</v>
      </c>
      <c r="O139" t="s">
        <v>554</v>
      </c>
      <c r="P139" t="s">
        <v>553</v>
      </c>
      <c r="Q139" t="s">
        <v>552</v>
      </c>
      <c r="R139" s="7">
        <v>31656</v>
      </c>
      <c r="S139" s="8">
        <f t="shared" si="16"/>
        <v>1986</v>
      </c>
      <c r="T139" s="8">
        <v>1986</v>
      </c>
      <c r="U139" s="8">
        <f t="shared" si="17"/>
        <v>36</v>
      </c>
      <c r="V139" s="7">
        <v>31656</v>
      </c>
      <c r="W139" t="s">
        <v>181</v>
      </c>
      <c r="X139" s="2" t="s">
        <v>0</v>
      </c>
      <c r="Y139" s="6" t="e">
        <f t="shared" si="18"/>
        <v>#VALUE!</v>
      </c>
      <c r="AA139">
        <v>262897</v>
      </c>
      <c r="AB139">
        <v>18580</v>
      </c>
      <c r="AD139" t="s">
        <v>2</v>
      </c>
      <c r="AE139">
        <v>29</v>
      </c>
      <c r="AF139">
        <v>9</v>
      </c>
      <c r="AH139" t="s">
        <v>551</v>
      </c>
      <c r="AI139" t="s">
        <v>550</v>
      </c>
      <c r="AK139" t="s">
        <v>549</v>
      </c>
      <c r="AL139">
        <v>5</v>
      </c>
      <c r="AM139" s="5">
        <f t="shared" si="19"/>
        <v>0.1388888888888889</v>
      </c>
      <c r="AN139" s="4">
        <f t="shared" si="20"/>
        <v>2.103580293659809E-4</v>
      </c>
      <c r="AO139" s="3"/>
      <c r="AP139">
        <v>0</v>
      </c>
      <c r="AR139" t="s">
        <v>1</v>
      </c>
      <c r="AT139" s="2">
        <v>0.30599999999999999</v>
      </c>
      <c r="AU139" s="1" t="e">
        <f t="shared" si="21"/>
        <v>#VALUE!</v>
      </c>
      <c r="AV139" s="1" t="e">
        <f t="shared" si="22"/>
        <v>#VALUE!</v>
      </c>
      <c r="AW139" s="1" t="e">
        <f t="shared" si="23"/>
        <v>#VALUE!</v>
      </c>
    </row>
    <row r="140" spans="1:49" x14ac:dyDescent="0.2">
      <c r="A140">
        <v>138</v>
      </c>
      <c r="B140" t="s">
        <v>548</v>
      </c>
      <c r="F140" t="s">
        <v>547</v>
      </c>
      <c r="G140" t="s">
        <v>4</v>
      </c>
      <c r="H140" t="s">
        <v>3</v>
      </c>
      <c r="I140" t="s">
        <v>546</v>
      </c>
      <c r="J140">
        <v>60012564</v>
      </c>
      <c r="K140" t="s">
        <v>545</v>
      </c>
      <c r="L140" t="s">
        <v>544</v>
      </c>
      <c r="M140" t="s">
        <v>7</v>
      </c>
      <c r="N140">
        <v>1</v>
      </c>
      <c r="O140" t="s">
        <v>543</v>
      </c>
      <c r="P140">
        <v>7201769834</v>
      </c>
      <c r="Q140">
        <v>60012564</v>
      </c>
      <c r="R140" s="7">
        <v>31656</v>
      </c>
      <c r="S140" s="8">
        <f t="shared" si="16"/>
        <v>1986</v>
      </c>
      <c r="T140" s="8">
        <v>1986</v>
      </c>
      <c r="U140" s="8">
        <f t="shared" si="17"/>
        <v>36</v>
      </c>
      <c r="V140" s="7">
        <v>31656</v>
      </c>
      <c r="W140" t="s">
        <v>181</v>
      </c>
      <c r="X140" s="2" t="s">
        <v>0</v>
      </c>
      <c r="Y140" s="6" t="e">
        <f t="shared" si="18"/>
        <v>#VALUE!</v>
      </c>
      <c r="AA140">
        <v>262897</v>
      </c>
      <c r="AB140">
        <v>18580</v>
      </c>
      <c r="AD140" t="s">
        <v>2</v>
      </c>
      <c r="AE140">
        <v>29</v>
      </c>
      <c r="AF140">
        <v>9</v>
      </c>
      <c r="AH140" t="s">
        <v>542</v>
      </c>
      <c r="AI140" t="s">
        <v>541</v>
      </c>
      <c r="AK140" t="s">
        <v>540</v>
      </c>
      <c r="AL140">
        <v>1</v>
      </c>
      <c r="AM140" s="5">
        <f t="shared" si="19"/>
        <v>2.7777777777777776E-2</v>
      </c>
      <c r="AN140" s="4">
        <f t="shared" si="20"/>
        <v>4.2071605873196175E-5</v>
      </c>
      <c r="AO140" s="3"/>
      <c r="AP140">
        <v>0</v>
      </c>
      <c r="AR140" t="s">
        <v>1</v>
      </c>
      <c r="AT140" s="2">
        <v>0.30599999999999999</v>
      </c>
      <c r="AU140" s="1" t="e">
        <f t="shared" si="21"/>
        <v>#VALUE!</v>
      </c>
      <c r="AV140" s="1" t="e">
        <f t="shared" si="22"/>
        <v>#VALUE!</v>
      </c>
      <c r="AW140" s="1" t="e">
        <f t="shared" si="23"/>
        <v>#VALUE!</v>
      </c>
    </row>
    <row r="141" spans="1:49" x14ac:dyDescent="0.2">
      <c r="A141">
        <v>139</v>
      </c>
      <c r="B141" t="s">
        <v>539</v>
      </c>
      <c r="F141" t="s">
        <v>538</v>
      </c>
      <c r="G141" t="s">
        <v>4</v>
      </c>
      <c r="H141" t="s">
        <v>3</v>
      </c>
      <c r="I141" t="s">
        <v>537</v>
      </c>
      <c r="N141">
        <v>1</v>
      </c>
      <c r="O141" t="s">
        <v>536</v>
      </c>
      <c r="P141">
        <v>7801473254</v>
      </c>
      <c r="R141" s="7">
        <v>31656</v>
      </c>
      <c r="S141" s="8">
        <f t="shared" si="16"/>
        <v>1986</v>
      </c>
      <c r="T141" s="8">
        <v>1986</v>
      </c>
      <c r="U141" s="8">
        <f t="shared" si="17"/>
        <v>36</v>
      </c>
      <c r="V141" s="7">
        <v>31656</v>
      </c>
      <c r="W141" t="s">
        <v>535</v>
      </c>
      <c r="X141" s="2" t="s">
        <v>0</v>
      </c>
      <c r="Y141" s="6" t="e">
        <f t="shared" si="18"/>
        <v>#VALUE!</v>
      </c>
      <c r="AA141">
        <v>3053601</v>
      </c>
      <c r="AB141">
        <v>34646</v>
      </c>
      <c r="AD141" t="s">
        <v>2</v>
      </c>
      <c r="AF141">
        <v>27</v>
      </c>
      <c r="AH141" s="10">
        <v>43405</v>
      </c>
      <c r="AI141" t="s">
        <v>534</v>
      </c>
      <c r="AK141" t="s">
        <v>533</v>
      </c>
      <c r="AL141">
        <v>0</v>
      </c>
      <c r="AM141" s="5">
        <f t="shared" si="19"/>
        <v>0</v>
      </c>
      <c r="AN141" s="4">
        <f t="shared" si="20"/>
        <v>0</v>
      </c>
      <c r="AO141" s="3"/>
      <c r="AP141">
        <v>0</v>
      </c>
      <c r="AR141" t="s">
        <v>1</v>
      </c>
      <c r="AT141" s="2" t="s">
        <v>0</v>
      </c>
      <c r="AU141" s="1" t="e">
        <f t="shared" si="21"/>
        <v>#VALUE!</v>
      </c>
      <c r="AV141" s="1" t="e">
        <f t="shared" si="22"/>
        <v>#VALUE!</v>
      </c>
      <c r="AW141" s="1" t="e">
        <f t="shared" si="23"/>
        <v>#VALUE!</v>
      </c>
    </row>
    <row r="142" spans="1:49" x14ac:dyDescent="0.2">
      <c r="A142">
        <v>140</v>
      </c>
      <c r="B142" t="s">
        <v>532</v>
      </c>
      <c r="F142" t="s">
        <v>531</v>
      </c>
      <c r="G142" t="s">
        <v>4</v>
      </c>
      <c r="H142" t="s">
        <v>3</v>
      </c>
      <c r="I142" t="s">
        <v>530</v>
      </c>
      <c r="J142">
        <v>101442374</v>
      </c>
      <c r="K142" t="s">
        <v>529</v>
      </c>
      <c r="L142" t="s">
        <v>528</v>
      </c>
      <c r="M142" t="s">
        <v>7</v>
      </c>
      <c r="N142">
        <v>2</v>
      </c>
      <c r="O142" t="s">
        <v>527</v>
      </c>
      <c r="P142" t="s">
        <v>526</v>
      </c>
      <c r="Q142" t="s">
        <v>525</v>
      </c>
      <c r="R142" s="7">
        <v>31656</v>
      </c>
      <c r="S142" s="8">
        <f t="shared" si="16"/>
        <v>1986</v>
      </c>
      <c r="T142" s="8">
        <v>1986</v>
      </c>
      <c r="U142" s="8">
        <f t="shared" si="17"/>
        <v>36</v>
      </c>
      <c r="V142" s="7">
        <v>31656</v>
      </c>
      <c r="W142" t="s">
        <v>524</v>
      </c>
      <c r="X142" s="2" t="s">
        <v>0</v>
      </c>
      <c r="Y142" s="6" t="e">
        <f t="shared" si="18"/>
        <v>#VALUE!</v>
      </c>
      <c r="AA142">
        <v>1679368</v>
      </c>
      <c r="AB142">
        <v>35103</v>
      </c>
      <c r="AD142" t="s">
        <v>2</v>
      </c>
      <c r="AE142">
        <v>4</v>
      </c>
      <c r="AF142">
        <v>3</v>
      </c>
      <c r="AH142" t="s">
        <v>523</v>
      </c>
      <c r="AI142" t="s">
        <v>522</v>
      </c>
      <c r="AK142" t="s">
        <v>521</v>
      </c>
      <c r="AL142">
        <v>2</v>
      </c>
      <c r="AM142" s="5">
        <f t="shared" si="19"/>
        <v>5.5555555555555552E-2</v>
      </c>
      <c r="AN142" s="4">
        <f t="shared" si="20"/>
        <v>8.4143211746392349E-5</v>
      </c>
      <c r="AO142" s="3"/>
      <c r="AP142">
        <v>0</v>
      </c>
      <c r="AR142" t="s">
        <v>1</v>
      </c>
      <c r="AT142" s="2" t="s">
        <v>0</v>
      </c>
      <c r="AU142" s="1" t="e">
        <f t="shared" si="21"/>
        <v>#VALUE!</v>
      </c>
      <c r="AV142" s="1" t="e">
        <f t="shared" si="22"/>
        <v>#VALUE!</v>
      </c>
      <c r="AW142" s="1" t="e">
        <f t="shared" si="23"/>
        <v>#VALUE!</v>
      </c>
    </row>
    <row r="143" spans="1:49" x14ac:dyDescent="0.2">
      <c r="A143">
        <v>141</v>
      </c>
      <c r="B143" t="s">
        <v>520</v>
      </c>
      <c r="C143" t="s">
        <v>519</v>
      </c>
      <c r="F143" t="s">
        <v>518</v>
      </c>
      <c r="G143" t="s">
        <v>4</v>
      </c>
      <c r="H143" t="s">
        <v>3</v>
      </c>
      <c r="I143" t="s">
        <v>517</v>
      </c>
      <c r="J143" t="s">
        <v>516</v>
      </c>
      <c r="K143" t="s">
        <v>515</v>
      </c>
      <c r="L143" t="s">
        <v>514</v>
      </c>
      <c r="M143" t="s">
        <v>16</v>
      </c>
      <c r="N143">
        <v>2</v>
      </c>
      <c r="O143" t="s">
        <v>513</v>
      </c>
      <c r="P143" t="s">
        <v>512</v>
      </c>
      <c r="Q143" t="s">
        <v>511</v>
      </c>
      <c r="R143" s="7">
        <v>31656</v>
      </c>
      <c r="S143" s="8">
        <f t="shared" si="16"/>
        <v>1986</v>
      </c>
      <c r="T143" s="8">
        <v>1986</v>
      </c>
      <c r="U143" s="8">
        <f t="shared" si="17"/>
        <v>36</v>
      </c>
      <c r="V143" s="7">
        <v>31656</v>
      </c>
      <c r="W143" t="s">
        <v>510</v>
      </c>
      <c r="X143" s="2" t="s">
        <v>0</v>
      </c>
      <c r="Y143" s="6" t="e">
        <f t="shared" si="18"/>
        <v>#VALUE!</v>
      </c>
      <c r="AA143">
        <v>138959</v>
      </c>
      <c r="AB143">
        <v>75714</v>
      </c>
      <c r="AC143">
        <v>15738248</v>
      </c>
      <c r="AD143" t="s">
        <v>2</v>
      </c>
      <c r="AE143">
        <v>31</v>
      </c>
      <c r="AF143">
        <v>3</v>
      </c>
      <c r="AH143" t="s">
        <v>509</v>
      </c>
      <c r="AI143" t="s">
        <v>508</v>
      </c>
      <c r="AJ143" t="s">
        <v>507</v>
      </c>
      <c r="AK143" t="s">
        <v>506</v>
      </c>
      <c r="AL143">
        <v>30</v>
      </c>
      <c r="AM143" s="5">
        <f t="shared" si="19"/>
        <v>0.83333333333333337</v>
      </c>
      <c r="AN143" s="4">
        <f t="shared" si="20"/>
        <v>1.2621481761958854E-3</v>
      </c>
      <c r="AO143" s="3"/>
      <c r="AP143">
        <v>0</v>
      </c>
      <c r="AR143" t="s">
        <v>1</v>
      </c>
      <c r="AT143" s="2" t="s">
        <v>0</v>
      </c>
      <c r="AU143" s="1" t="e">
        <f t="shared" si="21"/>
        <v>#VALUE!</v>
      </c>
      <c r="AV143" s="1" t="e">
        <f t="shared" si="22"/>
        <v>#VALUE!</v>
      </c>
      <c r="AW143" s="1" t="e">
        <f t="shared" si="23"/>
        <v>#VALUE!</v>
      </c>
    </row>
    <row r="144" spans="1:49" x14ac:dyDescent="0.2">
      <c r="A144">
        <v>142</v>
      </c>
      <c r="B144" t="s">
        <v>505</v>
      </c>
      <c r="C144" t="s">
        <v>504</v>
      </c>
      <c r="F144" t="s">
        <v>503</v>
      </c>
      <c r="G144" t="s">
        <v>4</v>
      </c>
      <c r="H144" t="s">
        <v>3</v>
      </c>
      <c r="I144" t="s">
        <v>502</v>
      </c>
      <c r="J144" t="s">
        <v>501</v>
      </c>
      <c r="K144" t="s">
        <v>500</v>
      </c>
      <c r="L144" t="s">
        <v>499</v>
      </c>
      <c r="M144" t="s">
        <v>42</v>
      </c>
      <c r="N144">
        <v>3</v>
      </c>
      <c r="O144" t="s">
        <v>498</v>
      </c>
      <c r="P144" t="s">
        <v>497</v>
      </c>
      <c r="Q144" t="s">
        <v>496</v>
      </c>
      <c r="R144" s="7">
        <v>31656</v>
      </c>
      <c r="S144" s="8">
        <f t="shared" si="16"/>
        <v>1986</v>
      </c>
      <c r="T144" s="8">
        <v>1986</v>
      </c>
      <c r="U144" s="8">
        <f t="shared" si="17"/>
        <v>36</v>
      </c>
      <c r="V144" s="7">
        <v>31656</v>
      </c>
      <c r="W144" t="s">
        <v>128</v>
      </c>
      <c r="X144" s="2">
        <v>7.1150000000000002</v>
      </c>
      <c r="Y144" s="6">
        <f t="shared" si="18"/>
        <v>0.18993086142921972</v>
      </c>
      <c r="AA144">
        <v>27863</v>
      </c>
      <c r="AB144">
        <v>22680</v>
      </c>
      <c r="AC144">
        <v>15205126</v>
      </c>
      <c r="AD144" t="s">
        <v>2</v>
      </c>
      <c r="AE144">
        <v>108</v>
      </c>
      <c r="AF144">
        <v>19</v>
      </c>
      <c r="AH144" t="s">
        <v>495</v>
      </c>
      <c r="AI144" t="s">
        <v>494</v>
      </c>
      <c r="AK144" t="s">
        <v>493</v>
      </c>
      <c r="AL144">
        <v>58</v>
      </c>
      <c r="AM144" s="5">
        <f t="shared" si="19"/>
        <v>1.6111111111111112</v>
      </c>
      <c r="AN144" s="4">
        <f t="shared" si="20"/>
        <v>2.4401531406453786E-3</v>
      </c>
      <c r="AO144" s="3"/>
      <c r="AP144">
        <v>0</v>
      </c>
      <c r="AR144" t="s">
        <v>1</v>
      </c>
      <c r="AT144" s="2" t="s">
        <v>0</v>
      </c>
      <c r="AU144" s="1">
        <f t="shared" si="21"/>
        <v>13.368364894264742</v>
      </c>
      <c r="AV144" s="1">
        <f t="shared" si="22"/>
        <v>9.6185507284932559</v>
      </c>
      <c r="AW144" s="1">
        <f t="shared" si="23"/>
        <v>5.868736562721768</v>
      </c>
    </row>
    <row r="145" spans="1:49" x14ac:dyDescent="0.2">
      <c r="A145">
        <v>143</v>
      </c>
      <c r="B145" t="s">
        <v>492</v>
      </c>
      <c r="C145" t="s">
        <v>491</v>
      </c>
      <c r="D145">
        <v>5272886902422</v>
      </c>
      <c r="F145" t="s">
        <v>490</v>
      </c>
      <c r="G145" t="s">
        <v>4</v>
      </c>
      <c r="H145" t="s">
        <v>3</v>
      </c>
      <c r="I145" t="s">
        <v>489</v>
      </c>
      <c r="J145">
        <v>60003878</v>
      </c>
      <c r="K145" t="s">
        <v>15</v>
      </c>
      <c r="L145" t="s">
        <v>14</v>
      </c>
      <c r="M145" t="s">
        <v>13</v>
      </c>
      <c r="N145">
        <v>3</v>
      </c>
      <c r="O145" t="s">
        <v>488</v>
      </c>
      <c r="P145" t="s">
        <v>487</v>
      </c>
      <c r="Q145" t="s">
        <v>124</v>
      </c>
      <c r="R145" s="7">
        <v>31637</v>
      </c>
      <c r="S145" s="8">
        <f t="shared" si="16"/>
        <v>1986</v>
      </c>
      <c r="T145" s="8">
        <v>1986</v>
      </c>
      <c r="U145" s="8">
        <f t="shared" si="17"/>
        <v>36</v>
      </c>
      <c r="V145" s="7">
        <v>31637</v>
      </c>
      <c r="W145" t="s">
        <v>142</v>
      </c>
      <c r="X145" s="2">
        <v>1.59</v>
      </c>
      <c r="Y145" s="6">
        <f t="shared" si="18"/>
        <v>4.2444141907583888E-2</v>
      </c>
      <c r="AA145">
        <v>52728</v>
      </c>
      <c r="AB145">
        <v>16791</v>
      </c>
      <c r="AD145" t="s">
        <v>2</v>
      </c>
      <c r="AE145">
        <v>851</v>
      </c>
      <c r="AF145">
        <v>1</v>
      </c>
      <c r="AH145" s="9">
        <v>44317</v>
      </c>
      <c r="AI145" t="s">
        <v>486</v>
      </c>
      <c r="AJ145" t="s">
        <v>485</v>
      </c>
      <c r="AK145" t="s">
        <v>484</v>
      </c>
      <c r="AL145">
        <v>17</v>
      </c>
      <c r="AM145" s="5">
        <f t="shared" si="19"/>
        <v>0.47222222222222221</v>
      </c>
      <c r="AN145" s="4">
        <f t="shared" si="20"/>
        <v>7.15217299844335E-4</v>
      </c>
      <c r="AO145" s="3"/>
      <c r="AP145">
        <v>0</v>
      </c>
      <c r="AR145" t="s">
        <v>1</v>
      </c>
      <c r="AT145" s="2" t="s">
        <v>0</v>
      </c>
      <c r="AU145" s="1">
        <f t="shared" si="21"/>
        <v>2.9925464525262022</v>
      </c>
      <c r="AV145" s="1">
        <f t="shared" si="22"/>
        <v>2.157967960371411</v>
      </c>
      <c r="AW145" s="1">
        <f t="shared" si="23"/>
        <v>1.3233894682166201</v>
      </c>
    </row>
    <row r="146" spans="1:49" x14ac:dyDescent="0.2">
      <c r="A146">
        <v>144</v>
      </c>
      <c r="B146" t="s">
        <v>483</v>
      </c>
      <c r="F146" t="s">
        <v>482</v>
      </c>
      <c r="G146" t="s">
        <v>4</v>
      </c>
      <c r="H146" t="s">
        <v>3</v>
      </c>
      <c r="I146" t="s">
        <v>481</v>
      </c>
      <c r="J146">
        <v>60022476</v>
      </c>
      <c r="K146" t="s">
        <v>168</v>
      </c>
      <c r="L146" t="s">
        <v>40</v>
      </c>
      <c r="M146" t="s">
        <v>7</v>
      </c>
      <c r="N146">
        <v>1</v>
      </c>
      <c r="O146" t="s">
        <v>480</v>
      </c>
      <c r="P146">
        <v>57198337215</v>
      </c>
      <c r="Q146">
        <v>60022476</v>
      </c>
      <c r="R146" s="7">
        <v>31625</v>
      </c>
      <c r="S146" s="8">
        <f t="shared" si="16"/>
        <v>1986</v>
      </c>
      <c r="T146" s="8">
        <v>1986</v>
      </c>
      <c r="U146" s="8">
        <f t="shared" si="17"/>
        <v>36</v>
      </c>
      <c r="V146" s="7">
        <v>31625</v>
      </c>
      <c r="W146" t="s">
        <v>41</v>
      </c>
      <c r="X146" s="2">
        <v>0.10100000000000001</v>
      </c>
      <c r="Y146" s="6">
        <f t="shared" si="18"/>
        <v>2.6961373161421215E-3</v>
      </c>
      <c r="AA146">
        <v>7452993</v>
      </c>
      <c r="AB146">
        <v>18563</v>
      </c>
      <c r="AD146" t="s">
        <v>2</v>
      </c>
      <c r="AE146">
        <v>25</v>
      </c>
      <c r="AF146">
        <v>8</v>
      </c>
      <c r="AI146" t="s">
        <v>479</v>
      </c>
      <c r="AK146" t="s">
        <v>478</v>
      </c>
      <c r="AL146">
        <v>0</v>
      </c>
      <c r="AM146" s="5">
        <f t="shared" si="19"/>
        <v>0</v>
      </c>
      <c r="AN146" s="4">
        <f t="shared" si="20"/>
        <v>0</v>
      </c>
      <c r="AO146" s="3"/>
      <c r="AP146">
        <v>0</v>
      </c>
      <c r="AR146" t="s">
        <v>1</v>
      </c>
      <c r="AT146" s="2" t="s">
        <v>0</v>
      </c>
      <c r="AU146" s="1">
        <f t="shared" si="21"/>
        <v>0.18872961212994849</v>
      </c>
      <c r="AV146" s="1">
        <f t="shared" si="22"/>
        <v>0.13480686580710607</v>
      </c>
      <c r="AW146" s="1">
        <f t="shared" si="23"/>
        <v>8.0884119484263647E-2</v>
      </c>
    </row>
    <row r="147" spans="1:49" x14ac:dyDescent="0.2">
      <c r="A147">
        <v>145</v>
      </c>
      <c r="B147" t="s">
        <v>477</v>
      </c>
      <c r="F147" t="s">
        <v>476</v>
      </c>
      <c r="G147" t="s">
        <v>4</v>
      </c>
      <c r="H147" t="s">
        <v>3</v>
      </c>
      <c r="I147" t="s">
        <v>475</v>
      </c>
      <c r="N147">
        <v>1</v>
      </c>
      <c r="O147" t="s">
        <v>474</v>
      </c>
      <c r="P147">
        <v>6507645588</v>
      </c>
      <c r="R147" s="7">
        <v>31625</v>
      </c>
      <c r="S147" s="8">
        <f t="shared" si="16"/>
        <v>1986</v>
      </c>
      <c r="T147" s="8">
        <v>1986</v>
      </c>
      <c r="U147" s="8">
        <f t="shared" si="17"/>
        <v>36</v>
      </c>
      <c r="V147" s="7">
        <v>31625</v>
      </c>
      <c r="W147" t="s">
        <v>45</v>
      </c>
      <c r="X147" s="2" t="s">
        <v>0</v>
      </c>
      <c r="Y147" s="6" t="e">
        <f t="shared" si="18"/>
        <v>#VALUE!</v>
      </c>
      <c r="AA147">
        <v>87566648</v>
      </c>
      <c r="AB147">
        <v>74127</v>
      </c>
      <c r="AD147" t="s">
        <v>2</v>
      </c>
      <c r="AE147">
        <v>31</v>
      </c>
      <c r="AF147">
        <v>8</v>
      </c>
      <c r="AH147" t="s">
        <v>473</v>
      </c>
      <c r="AI147" t="s">
        <v>472</v>
      </c>
      <c r="AK147" t="s">
        <v>471</v>
      </c>
      <c r="AL147">
        <v>0</v>
      </c>
      <c r="AM147" s="5">
        <f t="shared" si="19"/>
        <v>0</v>
      </c>
      <c r="AN147" s="4">
        <f t="shared" si="20"/>
        <v>0</v>
      </c>
      <c r="AO147" s="3"/>
      <c r="AP147">
        <v>0</v>
      </c>
      <c r="AR147" t="s">
        <v>1</v>
      </c>
      <c r="AT147" s="2" t="s">
        <v>0</v>
      </c>
      <c r="AU147" s="1" t="e">
        <f t="shared" si="21"/>
        <v>#VALUE!</v>
      </c>
      <c r="AV147" s="1" t="e">
        <f t="shared" si="22"/>
        <v>#VALUE!</v>
      </c>
      <c r="AW147" s="1" t="e">
        <f t="shared" si="23"/>
        <v>#VALUE!</v>
      </c>
    </row>
    <row r="148" spans="1:49" x14ac:dyDescent="0.2">
      <c r="A148">
        <v>146</v>
      </c>
      <c r="B148" t="s">
        <v>470</v>
      </c>
      <c r="C148" t="s">
        <v>469</v>
      </c>
      <c r="F148" t="s">
        <v>468</v>
      </c>
      <c r="G148" t="s">
        <v>4</v>
      </c>
      <c r="H148" t="s">
        <v>3</v>
      </c>
      <c r="I148" t="s">
        <v>467</v>
      </c>
      <c r="N148">
        <v>2</v>
      </c>
      <c r="O148" t="s">
        <v>466</v>
      </c>
      <c r="P148" t="s">
        <v>465</v>
      </c>
      <c r="Q148" t="s">
        <v>18</v>
      </c>
      <c r="R148" s="7">
        <v>31625</v>
      </c>
      <c r="S148" s="8">
        <f t="shared" si="16"/>
        <v>1986</v>
      </c>
      <c r="T148" s="8">
        <v>1986</v>
      </c>
      <c r="U148" s="8">
        <f t="shared" si="17"/>
        <v>36</v>
      </c>
      <c r="V148" s="7">
        <v>31625</v>
      </c>
      <c r="W148" t="s">
        <v>37</v>
      </c>
      <c r="X148" s="2">
        <v>0.318</v>
      </c>
      <c r="Y148" s="6">
        <f t="shared" si="18"/>
        <v>8.4888283815167786E-3</v>
      </c>
      <c r="AA148">
        <v>338443</v>
      </c>
      <c r="AB148">
        <v>27160</v>
      </c>
      <c r="AC148">
        <v>15739120</v>
      </c>
      <c r="AD148" t="s">
        <v>2</v>
      </c>
      <c r="AE148">
        <v>29</v>
      </c>
      <c r="AF148">
        <v>8</v>
      </c>
      <c r="AH148" t="s">
        <v>464</v>
      </c>
      <c r="AL148">
        <v>0</v>
      </c>
      <c r="AM148" s="5">
        <f t="shared" si="19"/>
        <v>0</v>
      </c>
      <c r="AN148" s="4">
        <f t="shared" si="20"/>
        <v>0</v>
      </c>
      <c r="AO148" s="3"/>
      <c r="AP148">
        <v>0</v>
      </c>
      <c r="AR148" t="s">
        <v>1</v>
      </c>
      <c r="AT148" s="2">
        <v>0.77</v>
      </c>
      <c r="AU148" s="1">
        <f t="shared" si="21"/>
        <v>0.59421798670617454</v>
      </c>
      <c r="AV148" s="1">
        <f t="shared" si="22"/>
        <v>0.42444141907583893</v>
      </c>
      <c r="AW148" s="1">
        <f t="shared" si="23"/>
        <v>0.25466485144550338</v>
      </c>
    </row>
    <row r="149" spans="1:49" x14ac:dyDescent="0.2">
      <c r="A149">
        <v>147</v>
      </c>
      <c r="B149" t="s">
        <v>463</v>
      </c>
      <c r="F149" t="s">
        <v>462</v>
      </c>
      <c r="G149" t="s">
        <v>4</v>
      </c>
      <c r="H149" t="s">
        <v>3</v>
      </c>
      <c r="I149" t="s">
        <v>461</v>
      </c>
      <c r="J149">
        <v>60091909</v>
      </c>
      <c r="K149" t="s">
        <v>171</v>
      </c>
      <c r="L149" t="s">
        <v>73</v>
      </c>
      <c r="M149" t="s">
        <v>38</v>
      </c>
      <c r="N149">
        <v>1</v>
      </c>
      <c r="O149" t="s">
        <v>460</v>
      </c>
      <c r="P149">
        <v>55447895100</v>
      </c>
      <c r="Q149">
        <v>60091909</v>
      </c>
      <c r="R149" s="7">
        <v>31625</v>
      </c>
      <c r="S149" s="8">
        <f t="shared" si="16"/>
        <v>1986</v>
      </c>
      <c r="T149" s="8">
        <v>1986</v>
      </c>
      <c r="U149" s="8">
        <f t="shared" si="17"/>
        <v>36</v>
      </c>
      <c r="V149" s="7">
        <v>31625</v>
      </c>
      <c r="W149" t="s">
        <v>170</v>
      </c>
      <c r="X149" s="2" t="s">
        <v>0</v>
      </c>
      <c r="Y149" s="6" t="e">
        <f t="shared" si="18"/>
        <v>#VALUE!</v>
      </c>
      <c r="AA149">
        <v>10196587</v>
      </c>
      <c r="AB149">
        <v>18354</v>
      </c>
      <c r="AD149" t="s">
        <v>2</v>
      </c>
      <c r="AF149">
        <v>218</v>
      </c>
      <c r="AH149" t="s">
        <v>459</v>
      </c>
      <c r="AI149" t="s">
        <v>458</v>
      </c>
      <c r="AK149" t="s">
        <v>457</v>
      </c>
      <c r="AL149">
        <v>0</v>
      </c>
      <c r="AM149" s="5">
        <f t="shared" si="19"/>
        <v>0</v>
      </c>
      <c r="AN149" s="4">
        <f t="shared" si="20"/>
        <v>0</v>
      </c>
      <c r="AO149" s="3"/>
      <c r="AP149">
        <v>0</v>
      </c>
      <c r="AR149" t="s">
        <v>1</v>
      </c>
      <c r="AT149" s="2" t="s">
        <v>0</v>
      </c>
      <c r="AU149" s="1" t="e">
        <f t="shared" si="21"/>
        <v>#VALUE!</v>
      </c>
      <c r="AV149" s="1" t="e">
        <f t="shared" si="22"/>
        <v>#VALUE!</v>
      </c>
      <c r="AW149" s="1" t="e">
        <f t="shared" si="23"/>
        <v>#VALUE!</v>
      </c>
    </row>
    <row r="150" spans="1:49" x14ac:dyDescent="0.2">
      <c r="A150">
        <v>148</v>
      </c>
      <c r="B150" t="s">
        <v>456</v>
      </c>
      <c r="F150" t="s">
        <v>455</v>
      </c>
      <c r="G150" t="s">
        <v>4</v>
      </c>
      <c r="H150" t="s">
        <v>3</v>
      </c>
      <c r="I150" t="s">
        <v>454</v>
      </c>
      <c r="N150">
        <v>2</v>
      </c>
      <c r="O150" t="s">
        <v>453</v>
      </c>
      <c r="P150" t="s">
        <v>452</v>
      </c>
      <c r="Q150" t="s">
        <v>18</v>
      </c>
      <c r="R150" s="7">
        <v>31625</v>
      </c>
      <c r="S150" s="8">
        <f t="shared" si="16"/>
        <v>1986</v>
      </c>
      <c r="T150" s="8">
        <v>1986</v>
      </c>
      <c r="U150" s="8">
        <f t="shared" si="17"/>
        <v>36</v>
      </c>
      <c r="V150" s="7">
        <v>31625</v>
      </c>
      <c r="W150" t="s">
        <v>45</v>
      </c>
      <c r="X150" s="2" t="s">
        <v>0</v>
      </c>
      <c r="Y150" s="6" t="e">
        <f t="shared" si="18"/>
        <v>#VALUE!</v>
      </c>
      <c r="AA150">
        <v>87566648</v>
      </c>
      <c r="AB150">
        <v>74127</v>
      </c>
      <c r="AD150" t="s">
        <v>2</v>
      </c>
      <c r="AE150">
        <v>31</v>
      </c>
      <c r="AF150">
        <v>8</v>
      </c>
      <c r="AH150" t="s">
        <v>451</v>
      </c>
      <c r="AI150" t="s">
        <v>450</v>
      </c>
      <c r="AK150" t="s">
        <v>449</v>
      </c>
      <c r="AL150">
        <v>0</v>
      </c>
      <c r="AM150" s="5">
        <f t="shared" si="19"/>
        <v>0</v>
      </c>
      <c r="AN150" s="4">
        <f t="shared" si="20"/>
        <v>0</v>
      </c>
      <c r="AO150" s="3"/>
      <c r="AP150">
        <v>0</v>
      </c>
      <c r="AR150" t="s">
        <v>1</v>
      </c>
      <c r="AT150" s="2" t="s">
        <v>0</v>
      </c>
      <c r="AU150" s="1" t="e">
        <f t="shared" si="21"/>
        <v>#VALUE!</v>
      </c>
      <c r="AV150" s="1" t="e">
        <f t="shared" si="22"/>
        <v>#VALUE!</v>
      </c>
      <c r="AW150" s="1" t="e">
        <f t="shared" si="23"/>
        <v>#VALUE!</v>
      </c>
    </row>
    <row r="151" spans="1:49" x14ac:dyDescent="0.2">
      <c r="A151">
        <v>149</v>
      </c>
      <c r="B151" t="s">
        <v>448</v>
      </c>
      <c r="F151" t="s">
        <v>447</v>
      </c>
      <c r="G151" t="s">
        <v>4</v>
      </c>
      <c r="H151" t="s">
        <v>3</v>
      </c>
      <c r="I151" t="s">
        <v>446</v>
      </c>
      <c r="N151">
        <v>1</v>
      </c>
      <c r="O151" t="s">
        <v>445</v>
      </c>
      <c r="P151">
        <v>7202239603</v>
      </c>
      <c r="R151" s="7">
        <v>31625</v>
      </c>
      <c r="S151" s="8">
        <f t="shared" si="16"/>
        <v>1986</v>
      </c>
      <c r="T151" s="8">
        <v>1986</v>
      </c>
      <c r="U151" s="8">
        <f t="shared" si="17"/>
        <v>36</v>
      </c>
      <c r="V151" s="7">
        <v>31625</v>
      </c>
      <c r="W151" t="s">
        <v>444</v>
      </c>
      <c r="X151" s="2" t="s">
        <v>0</v>
      </c>
      <c r="Y151" s="6" t="e">
        <f t="shared" si="18"/>
        <v>#VALUE!</v>
      </c>
      <c r="AA151">
        <v>1781928</v>
      </c>
      <c r="AB151">
        <v>32667</v>
      </c>
      <c r="AD151" t="s">
        <v>2</v>
      </c>
      <c r="AE151">
        <v>17</v>
      </c>
      <c r="AF151">
        <v>3</v>
      </c>
      <c r="AH151" t="s">
        <v>443</v>
      </c>
      <c r="AI151" t="s">
        <v>442</v>
      </c>
      <c r="AK151" t="s">
        <v>441</v>
      </c>
      <c r="AL151">
        <v>0</v>
      </c>
      <c r="AM151" s="5">
        <f t="shared" si="19"/>
        <v>0</v>
      </c>
      <c r="AN151" s="4">
        <f t="shared" si="20"/>
        <v>0</v>
      </c>
      <c r="AO151" s="3"/>
      <c r="AP151">
        <v>0</v>
      </c>
      <c r="AR151" t="s">
        <v>1</v>
      </c>
      <c r="AT151" s="2" t="s">
        <v>0</v>
      </c>
      <c r="AU151" s="1" t="e">
        <f t="shared" si="21"/>
        <v>#VALUE!</v>
      </c>
      <c r="AV151" s="1" t="e">
        <f t="shared" si="22"/>
        <v>#VALUE!</v>
      </c>
      <c r="AW151" s="1" t="e">
        <f t="shared" si="23"/>
        <v>#VALUE!</v>
      </c>
    </row>
    <row r="152" spans="1:49" x14ac:dyDescent="0.2">
      <c r="A152">
        <v>150</v>
      </c>
      <c r="B152" t="s">
        <v>440</v>
      </c>
      <c r="F152" t="s">
        <v>439</v>
      </c>
      <c r="G152" t="s">
        <v>4</v>
      </c>
      <c r="H152" t="s">
        <v>3</v>
      </c>
      <c r="I152" t="s">
        <v>438</v>
      </c>
      <c r="J152">
        <v>101152517</v>
      </c>
      <c r="K152" t="s">
        <v>437</v>
      </c>
      <c r="L152" t="s">
        <v>436</v>
      </c>
      <c r="M152" t="s">
        <v>7</v>
      </c>
      <c r="N152">
        <v>1</v>
      </c>
      <c r="O152" t="s">
        <v>435</v>
      </c>
      <c r="P152">
        <v>7102228756</v>
      </c>
      <c r="Q152">
        <v>101152517</v>
      </c>
      <c r="R152" s="7">
        <v>31625</v>
      </c>
      <c r="S152" s="8">
        <f t="shared" si="16"/>
        <v>1986</v>
      </c>
      <c r="T152" s="8">
        <v>1986</v>
      </c>
      <c r="U152" s="8">
        <f t="shared" si="17"/>
        <v>36</v>
      </c>
      <c r="V152" s="7">
        <v>31625</v>
      </c>
      <c r="W152" t="s">
        <v>181</v>
      </c>
      <c r="X152" s="2" t="s">
        <v>0</v>
      </c>
      <c r="Y152" s="6" t="e">
        <f t="shared" si="18"/>
        <v>#VALUE!</v>
      </c>
      <c r="AA152">
        <v>262897</v>
      </c>
      <c r="AB152">
        <v>18580</v>
      </c>
      <c r="AD152" t="s">
        <v>2</v>
      </c>
      <c r="AE152">
        <v>29</v>
      </c>
      <c r="AF152">
        <v>8</v>
      </c>
      <c r="AH152" t="s">
        <v>434</v>
      </c>
      <c r="AI152" t="s">
        <v>433</v>
      </c>
      <c r="AK152" t="s">
        <v>432</v>
      </c>
      <c r="AL152">
        <v>0</v>
      </c>
      <c r="AM152" s="5">
        <f t="shared" si="19"/>
        <v>0</v>
      </c>
      <c r="AN152" s="4">
        <f t="shared" si="20"/>
        <v>0</v>
      </c>
      <c r="AO152" s="3"/>
      <c r="AP152">
        <v>0</v>
      </c>
      <c r="AR152" t="s">
        <v>1</v>
      </c>
      <c r="AT152" s="2">
        <v>0.30599999999999999</v>
      </c>
      <c r="AU152" s="1" t="e">
        <f t="shared" si="21"/>
        <v>#VALUE!</v>
      </c>
      <c r="AV152" s="1" t="e">
        <f t="shared" si="22"/>
        <v>#VALUE!</v>
      </c>
      <c r="AW152" s="1" t="e">
        <f t="shared" si="23"/>
        <v>#VALUE!</v>
      </c>
    </row>
    <row r="153" spans="1:49" x14ac:dyDescent="0.2">
      <c r="A153">
        <v>151</v>
      </c>
      <c r="B153" t="s">
        <v>431</v>
      </c>
      <c r="F153" t="s">
        <v>430</v>
      </c>
      <c r="G153" t="s">
        <v>4</v>
      </c>
      <c r="H153" t="s">
        <v>3</v>
      </c>
      <c r="I153" t="s">
        <v>429</v>
      </c>
      <c r="J153">
        <v>100328573</v>
      </c>
      <c r="K153" t="s">
        <v>428</v>
      </c>
      <c r="N153">
        <v>2</v>
      </c>
      <c r="O153" t="s">
        <v>427</v>
      </c>
      <c r="P153" t="s">
        <v>426</v>
      </c>
      <c r="Q153" t="s">
        <v>425</v>
      </c>
      <c r="R153" s="7">
        <v>31625</v>
      </c>
      <c r="S153" s="8">
        <f t="shared" si="16"/>
        <v>1986</v>
      </c>
      <c r="T153" s="8">
        <v>1986</v>
      </c>
      <c r="U153" s="8">
        <f t="shared" si="17"/>
        <v>36</v>
      </c>
      <c r="V153" s="7">
        <v>31625</v>
      </c>
      <c r="W153" t="s">
        <v>41</v>
      </c>
      <c r="X153" s="2">
        <v>0.10100000000000001</v>
      </c>
      <c r="Y153" s="6">
        <f t="shared" si="18"/>
        <v>2.6961373161421215E-3</v>
      </c>
      <c r="AA153">
        <v>7452993</v>
      </c>
      <c r="AB153">
        <v>18563</v>
      </c>
      <c r="AD153" t="s">
        <v>2</v>
      </c>
      <c r="AE153">
        <v>25</v>
      </c>
      <c r="AF153">
        <v>8</v>
      </c>
      <c r="AH153" t="s">
        <v>424</v>
      </c>
      <c r="AI153" t="s">
        <v>423</v>
      </c>
      <c r="AK153" t="s">
        <v>422</v>
      </c>
      <c r="AL153">
        <v>5</v>
      </c>
      <c r="AM153" s="5">
        <f t="shared" si="19"/>
        <v>0.1388888888888889</v>
      </c>
      <c r="AN153" s="4">
        <f t="shared" si="20"/>
        <v>2.103580293659809E-4</v>
      </c>
      <c r="AO153" s="3"/>
      <c r="AP153">
        <v>0</v>
      </c>
      <c r="AR153" t="s">
        <v>1</v>
      </c>
      <c r="AT153" s="2" t="s">
        <v>0</v>
      </c>
      <c r="AU153" s="1">
        <f t="shared" si="21"/>
        <v>0.19504035301092792</v>
      </c>
      <c r="AV153" s="1">
        <f t="shared" si="22"/>
        <v>0.14532476727540511</v>
      </c>
      <c r="AW153" s="1">
        <f t="shared" si="23"/>
        <v>9.5609181539882307E-2</v>
      </c>
    </row>
    <row r="154" spans="1:49" x14ac:dyDescent="0.2">
      <c r="A154">
        <v>152</v>
      </c>
      <c r="B154" t="s">
        <v>421</v>
      </c>
      <c r="C154" t="s">
        <v>420</v>
      </c>
      <c r="E154">
        <v>3091588</v>
      </c>
      <c r="F154" t="s">
        <v>419</v>
      </c>
      <c r="G154" t="s">
        <v>4</v>
      </c>
      <c r="H154" t="s">
        <v>3</v>
      </c>
      <c r="I154" t="s">
        <v>418</v>
      </c>
      <c r="J154">
        <v>60006173</v>
      </c>
      <c r="K154" t="s">
        <v>417</v>
      </c>
      <c r="L154" t="s">
        <v>147</v>
      </c>
      <c r="M154" t="s">
        <v>7</v>
      </c>
      <c r="N154">
        <v>2</v>
      </c>
      <c r="O154" t="s">
        <v>416</v>
      </c>
      <c r="P154" t="s">
        <v>415</v>
      </c>
      <c r="Q154" t="s">
        <v>414</v>
      </c>
      <c r="R154" s="7">
        <v>31625</v>
      </c>
      <c r="S154" s="8">
        <f t="shared" si="16"/>
        <v>1986</v>
      </c>
      <c r="T154" s="8">
        <v>1986</v>
      </c>
      <c r="U154" s="8">
        <f t="shared" si="17"/>
        <v>36</v>
      </c>
      <c r="V154" s="7">
        <v>31625</v>
      </c>
      <c r="W154" t="s">
        <v>413</v>
      </c>
      <c r="X154" s="2">
        <v>1.0900000000000001</v>
      </c>
      <c r="Y154" s="6">
        <f t="shared" si="18"/>
        <v>2.9096927471236756E-2</v>
      </c>
      <c r="AA154" t="s">
        <v>412</v>
      </c>
      <c r="AB154">
        <v>17590</v>
      </c>
      <c r="AC154">
        <v>15736881</v>
      </c>
      <c r="AD154" t="s">
        <v>2</v>
      </c>
      <c r="AE154">
        <v>18</v>
      </c>
      <c r="AF154">
        <v>4</v>
      </c>
      <c r="AH154" t="s">
        <v>411</v>
      </c>
      <c r="AI154" t="s">
        <v>410</v>
      </c>
      <c r="AJ154" t="s">
        <v>409</v>
      </c>
      <c r="AK154" t="s">
        <v>408</v>
      </c>
      <c r="AL154">
        <v>2</v>
      </c>
      <c r="AM154" s="5">
        <f t="shared" si="19"/>
        <v>5.5555555555555552E-2</v>
      </c>
      <c r="AN154" s="4">
        <f t="shared" si="20"/>
        <v>8.4143211746392349E-5</v>
      </c>
      <c r="AO154" s="3"/>
      <c r="AP154">
        <v>0</v>
      </c>
      <c r="AQ154" t="s">
        <v>120</v>
      </c>
      <c r="AR154" t="s">
        <v>407</v>
      </c>
      <c r="AS154" t="s">
        <v>119</v>
      </c>
      <c r="AT154" s="2" t="s">
        <v>0</v>
      </c>
      <c r="AU154" s="1">
        <f t="shared" si="21"/>
        <v>2.0393092193389646</v>
      </c>
      <c r="AV154" s="1">
        <f t="shared" si="22"/>
        <v>1.4590535341491575</v>
      </c>
      <c r="AW154" s="1">
        <f t="shared" si="23"/>
        <v>0.87879784895935009</v>
      </c>
    </row>
    <row r="155" spans="1:49" x14ac:dyDescent="0.2">
      <c r="A155">
        <v>153</v>
      </c>
      <c r="B155" t="s">
        <v>406</v>
      </c>
      <c r="F155" t="s">
        <v>405</v>
      </c>
      <c r="G155" t="s">
        <v>4</v>
      </c>
      <c r="H155" t="s">
        <v>3</v>
      </c>
      <c r="I155" t="s">
        <v>404</v>
      </c>
      <c r="J155">
        <v>60012132</v>
      </c>
      <c r="K155" t="s">
        <v>403</v>
      </c>
      <c r="L155" t="s">
        <v>25</v>
      </c>
      <c r="M155" t="s">
        <v>7</v>
      </c>
      <c r="N155">
        <v>1</v>
      </c>
      <c r="O155" t="s">
        <v>402</v>
      </c>
      <c r="P155">
        <v>55478859100</v>
      </c>
      <c r="Q155">
        <v>60012132</v>
      </c>
      <c r="R155" s="7">
        <v>31625</v>
      </c>
      <c r="S155" s="8">
        <f t="shared" si="16"/>
        <v>1986</v>
      </c>
      <c r="T155" s="8">
        <v>1986</v>
      </c>
      <c r="U155" s="8">
        <f t="shared" si="17"/>
        <v>36</v>
      </c>
      <c r="V155" s="7">
        <v>31625</v>
      </c>
      <c r="W155" t="s">
        <v>41</v>
      </c>
      <c r="X155" s="2">
        <v>0.10100000000000001</v>
      </c>
      <c r="Y155" s="6">
        <f t="shared" si="18"/>
        <v>2.6961373161421215E-3</v>
      </c>
      <c r="AA155">
        <v>7452993</v>
      </c>
      <c r="AB155">
        <v>18563</v>
      </c>
      <c r="AD155" t="s">
        <v>2</v>
      </c>
      <c r="AE155">
        <v>25</v>
      </c>
      <c r="AF155">
        <v>8</v>
      </c>
      <c r="AH155" t="s">
        <v>401</v>
      </c>
      <c r="AI155" t="s">
        <v>400</v>
      </c>
      <c r="AK155" t="s">
        <v>399</v>
      </c>
      <c r="AL155">
        <v>0</v>
      </c>
      <c r="AM155" s="5">
        <f t="shared" si="19"/>
        <v>0</v>
      </c>
      <c r="AN155" s="4">
        <f t="shared" si="20"/>
        <v>0</v>
      </c>
      <c r="AO155" s="3"/>
      <c r="AP155">
        <v>0</v>
      </c>
      <c r="AR155" t="s">
        <v>1</v>
      </c>
      <c r="AT155" s="2" t="s">
        <v>0</v>
      </c>
      <c r="AU155" s="1">
        <f t="shared" si="21"/>
        <v>0.18872961212994849</v>
      </c>
      <c r="AV155" s="1">
        <f t="shared" si="22"/>
        <v>0.13480686580710607</v>
      </c>
      <c r="AW155" s="1">
        <f t="shared" si="23"/>
        <v>8.0884119484263647E-2</v>
      </c>
    </row>
    <row r="156" spans="1:49" x14ac:dyDescent="0.2">
      <c r="A156">
        <v>154</v>
      </c>
      <c r="B156" t="s">
        <v>398</v>
      </c>
      <c r="F156" t="s">
        <v>397</v>
      </c>
      <c r="G156" t="s">
        <v>4</v>
      </c>
      <c r="H156" t="s">
        <v>3</v>
      </c>
      <c r="I156" t="s">
        <v>396</v>
      </c>
      <c r="N156">
        <v>1</v>
      </c>
      <c r="O156" t="s">
        <v>395</v>
      </c>
      <c r="P156">
        <v>7403112865</v>
      </c>
      <c r="R156" s="7">
        <v>31625</v>
      </c>
      <c r="S156" s="8">
        <f t="shared" si="16"/>
        <v>1986</v>
      </c>
      <c r="T156" s="8">
        <v>1986</v>
      </c>
      <c r="U156" s="8">
        <f t="shared" si="17"/>
        <v>36</v>
      </c>
      <c r="V156" s="7">
        <v>31625</v>
      </c>
      <c r="W156" t="s">
        <v>394</v>
      </c>
      <c r="X156" s="2" t="s">
        <v>0</v>
      </c>
      <c r="Y156" s="6" t="e">
        <f t="shared" si="18"/>
        <v>#VALUE!</v>
      </c>
      <c r="AA156" t="s">
        <v>393</v>
      </c>
      <c r="AB156">
        <v>35968</v>
      </c>
      <c r="AD156" t="s">
        <v>2</v>
      </c>
      <c r="AE156">
        <v>53</v>
      </c>
      <c r="AF156">
        <v>8</v>
      </c>
      <c r="AH156" t="s">
        <v>127</v>
      </c>
      <c r="AI156" t="s">
        <v>392</v>
      </c>
      <c r="AK156" t="s">
        <v>391</v>
      </c>
      <c r="AL156">
        <v>0</v>
      </c>
      <c r="AM156" s="5">
        <f t="shared" si="19"/>
        <v>0</v>
      </c>
      <c r="AN156" s="4">
        <f t="shared" si="20"/>
        <v>0</v>
      </c>
      <c r="AO156" s="3"/>
      <c r="AP156">
        <v>0</v>
      </c>
      <c r="AR156" t="s">
        <v>1</v>
      </c>
      <c r="AT156" s="2" t="s">
        <v>0</v>
      </c>
      <c r="AU156" s="1" t="e">
        <f t="shared" si="21"/>
        <v>#VALUE!</v>
      </c>
      <c r="AV156" s="1" t="e">
        <f t="shared" si="22"/>
        <v>#VALUE!</v>
      </c>
      <c r="AW156" s="1" t="e">
        <f t="shared" si="23"/>
        <v>#VALUE!</v>
      </c>
    </row>
    <row r="157" spans="1:49" x14ac:dyDescent="0.2">
      <c r="A157">
        <v>155</v>
      </c>
      <c r="B157" t="s">
        <v>390</v>
      </c>
      <c r="C157" t="s">
        <v>389</v>
      </c>
      <c r="F157" t="s">
        <v>388</v>
      </c>
      <c r="G157" t="s">
        <v>4</v>
      </c>
      <c r="H157" t="s">
        <v>3</v>
      </c>
      <c r="I157" t="s">
        <v>387</v>
      </c>
      <c r="J157">
        <v>60025988</v>
      </c>
      <c r="K157" t="s">
        <v>386</v>
      </c>
      <c r="L157" t="s">
        <v>385</v>
      </c>
      <c r="M157" t="s">
        <v>384</v>
      </c>
      <c r="N157">
        <v>1</v>
      </c>
      <c r="O157" t="s">
        <v>383</v>
      </c>
      <c r="P157">
        <v>7003923573</v>
      </c>
      <c r="Q157">
        <v>60025988</v>
      </c>
      <c r="R157" s="7">
        <v>31623</v>
      </c>
      <c r="S157" s="8">
        <f t="shared" si="16"/>
        <v>1986</v>
      </c>
      <c r="T157" s="8">
        <v>1986</v>
      </c>
      <c r="U157" s="8">
        <f t="shared" si="17"/>
        <v>36</v>
      </c>
      <c r="V157" s="7">
        <v>31623</v>
      </c>
      <c r="W157" t="s">
        <v>382</v>
      </c>
      <c r="X157" s="2" t="s">
        <v>0</v>
      </c>
      <c r="Y157" s="6" t="e">
        <f t="shared" si="18"/>
        <v>#VALUE!</v>
      </c>
      <c r="AA157">
        <v>364827</v>
      </c>
      <c r="AB157">
        <v>13626</v>
      </c>
      <c r="AD157" t="s">
        <v>2</v>
      </c>
      <c r="AE157">
        <v>71</v>
      </c>
      <c r="AF157">
        <v>2</v>
      </c>
      <c r="AH157" t="s">
        <v>381</v>
      </c>
      <c r="AI157" t="s">
        <v>380</v>
      </c>
      <c r="AK157" t="s">
        <v>379</v>
      </c>
      <c r="AL157">
        <v>4</v>
      </c>
      <c r="AM157" s="5">
        <f t="shared" si="19"/>
        <v>0.1111111111111111</v>
      </c>
      <c r="AN157" s="4">
        <f t="shared" si="20"/>
        <v>1.682864234927847E-4</v>
      </c>
      <c r="AO157" s="3"/>
      <c r="AP157">
        <v>0</v>
      </c>
      <c r="AR157" t="s">
        <v>1</v>
      </c>
      <c r="AT157" s="2" t="s">
        <v>0</v>
      </c>
      <c r="AU157" s="1" t="e">
        <f t="shared" si="21"/>
        <v>#VALUE!</v>
      </c>
      <c r="AV157" s="1" t="e">
        <f t="shared" si="22"/>
        <v>#VALUE!</v>
      </c>
      <c r="AW157" s="1" t="e">
        <f t="shared" si="23"/>
        <v>#VALUE!</v>
      </c>
    </row>
    <row r="158" spans="1:49" x14ac:dyDescent="0.2">
      <c r="A158">
        <v>156</v>
      </c>
      <c r="B158" t="s">
        <v>378</v>
      </c>
      <c r="C158" t="s">
        <v>377</v>
      </c>
      <c r="D158" t="s">
        <v>376</v>
      </c>
      <c r="F158" t="s">
        <v>375</v>
      </c>
      <c r="G158" t="s">
        <v>4</v>
      </c>
      <c r="H158" t="s">
        <v>3</v>
      </c>
      <c r="I158" t="s">
        <v>374</v>
      </c>
      <c r="J158">
        <v>60022020</v>
      </c>
      <c r="K158" t="s">
        <v>373</v>
      </c>
      <c r="L158" t="s">
        <v>372</v>
      </c>
      <c r="M158" t="s">
        <v>38</v>
      </c>
      <c r="N158">
        <v>2</v>
      </c>
      <c r="O158" t="s">
        <v>371</v>
      </c>
      <c r="P158" t="s">
        <v>370</v>
      </c>
      <c r="Q158" t="s">
        <v>369</v>
      </c>
      <c r="R158" s="7">
        <v>31621</v>
      </c>
      <c r="S158" s="8">
        <f t="shared" si="16"/>
        <v>1986</v>
      </c>
      <c r="T158" s="8">
        <v>1986</v>
      </c>
      <c r="U158" s="8">
        <f t="shared" si="17"/>
        <v>36</v>
      </c>
      <c r="V158" s="7">
        <v>31621</v>
      </c>
      <c r="W158" t="s">
        <v>159</v>
      </c>
      <c r="X158" s="2">
        <v>1.593</v>
      </c>
      <c r="Y158" s="6">
        <f t="shared" si="18"/>
        <v>4.2524225194201973E-2</v>
      </c>
      <c r="AA158">
        <v>145793</v>
      </c>
      <c r="AB158">
        <v>17481</v>
      </c>
      <c r="AD158" t="s">
        <v>2</v>
      </c>
      <c r="AE158">
        <v>203</v>
      </c>
      <c r="AF158">
        <v>2</v>
      </c>
      <c r="AH158" t="s">
        <v>368</v>
      </c>
      <c r="AI158" t="s">
        <v>367</v>
      </c>
      <c r="AJ158" t="s">
        <v>366</v>
      </c>
      <c r="AK158" t="s">
        <v>365</v>
      </c>
      <c r="AL158">
        <v>15</v>
      </c>
      <c r="AM158" s="5">
        <f t="shared" si="19"/>
        <v>0.41666666666666669</v>
      </c>
      <c r="AN158" s="4">
        <f t="shared" si="20"/>
        <v>6.310740880979427E-4</v>
      </c>
      <c r="AO158" s="3"/>
      <c r="AP158">
        <v>1</v>
      </c>
      <c r="AQ158" t="s">
        <v>167</v>
      </c>
      <c r="AR158" t="s">
        <v>1</v>
      </c>
      <c r="AS158" t="s">
        <v>364</v>
      </c>
      <c r="AT158" s="2">
        <v>4.1239999999999997</v>
      </c>
      <c r="AU158" s="1">
        <f t="shared" si="21"/>
        <v>2.9956279862370763</v>
      </c>
      <c r="AV158" s="1">
        <f t="shared" si="22"/>
        <v>2.1577649641149956</v>
      </c>
      <c r="AW158" s="1">
        <f t="shared" si="23"/>
        <v>1.3199019419929152</v>
      </c>
    </row>
    <row r="159" spans="1:49" x14ac:dyDescent="0.2">
      <c r="A159">
        <v>157</v>
      </c>
      <c r="B159" t="s">
        <v>363</v>
      </c>
      <c r="C159" t="s">
        <v>362</v>
      </c>
      <c r="D159" t="s">
        <v>361</v>
      </c>
      <c r="F159" t="s">
        <v>360</v>
      </c>
      <c r="G159" t="s">
        <v>4</v>
      </c>
      <c r="H159" t="s">
        <v>3</v>
      </c>
      <c r="I159" t="s">
        <v>359</v>
      </c>
      <c r="J159">
        <v>60014036</v>
      </c>
      <c r="K159" t="s">
        <v>358</v>
      </c>
      <c r="L159" t="s">
        <v>357</v>
      </c>
      <c r="M159" t="s">
        <v>89</v>
      </c>
      <c r="N159">
        <v>1</v>
      </c>
      <c r="O159" t="s">
        <v>356</v>
      </c>
      <c r="P159">
        <v>7004976431</v>
      </c>
      <c r="Q159">
        <v>60014036</v>
      </c>
      <c r="R159" s="7">
        <v>31621</v>
      </c>
      <c r="S159" s="8">
        <f t="shared" si="16"/>
        <v>1986</v>
      </c>
      <c r="T159" s="8">
        <v>1986</v>
      </c>
      <c r="U159" s="8">
        <f t="shared" si="17"/>
        <v>36</v>
      </c>
      <c r="V159" s="7">
        <v>31621</v>
      </c>
      <c r="W159" t="s">
        <v>355</v>
      </c>
      <c r="X159" s="2">
        <v>0.499</v>
      </c>
      <c r="Y159" s="6">
        <f t="shared" si="18"/>
        <v>1.332052000747444E-2</v>
      </c>
      <c r="AA159">
        <v>3759601</v>
      </c>
      <c r="AB159">
        <v>29464</v>
      </c>
      <c r="AD159" t="s">
        <v>2</v>
      </c>
      <c r="AE159">
        <v>117</v>
      </c>
      <c r="AF159">
        <v>2</v>
      </c>
      <c r="AH159" t="s">
        <v>354</v>
      </c>
      <c r="AI159" t="s">
        <v>353</v>
      </c>
      <c r="AK159" t="s">
        <v>352</v>
      </c>
      <c r="AL159">
        <v>4</v>
      </c>
      <c r="AM159" s="5">
        <f t="shared" si="19"/>
        <v>0.1111111111111111</v>
      </c>
      <c r="AN159" s="4">
        <f t="shared" si="20"/>
        <v>1.682864234927847E-4</v>
      </c>
      <c r="AO159" s="3"/>
      <c r="AP159">
        <v>0</v>
      </c>
      <c r="AR159" t="s">
        <v>1</v>
      </c>
      <c r="AT159" s="2">
        <v>2.6539999999999999</v>
      </c>
      <c r="AU159" s="1">
        <f t="shared" si="21"/>
        <v>0.93748499322799439</v>
      </c>
      <c r="AV159" s="1">
        <f t="shared" si="22"/>
        <v>0.6744403215483612</v>
      </c>
      <c r="AW159" s="1">
        <f t="shared" si="23"/>
        <v>0.41139564986872812</v>
      </c>
    </row>
    <row r="160" spans="1:49" x14ac:dyDescent="0.2">
      <c r="A160">
        <v>158</v>
      </c>
      <c r="B160" t="s">
        <v>351</v>
      </c>
      <c r="C160" t="s">
        <v>350</v>
      </c>
      <c r="D160">
        <v>5272886901179</v>
      </c>
      <c r="F160" t="s">
        <v>349</v>
      </c>
      <c r="G160" t="s">
        <v>4</v>
      </c>
      <c r="H160" t="s">
        <v>3</v>
      </c>
      <c r="I160" t="s">
        <v>92</v>
      </c>
      <c r="J160">
        <v>60030318</v>
      </c>
      <c r="K160" t="s">
        <v>91</v>
      </c>
      <c r="L160" t="s">
        <v>90</v>
      </c>
      <c r="M160" t="s">
        <v>61</v>
      </c>
      <c r="N160">
        <v>3</v>
      </c>
      <c r="O160" t="s">
        <v>348</v>
      </c>
      <c r="P160" t="s">
        <v>347</v>
      </c>
      <c r="Q160" t="s">
        <v>346</v>
      </c>
      <c r="R160" s="7">
        <v>31616</v>
      </c>
      <c r="S160" s="8">
        <f t="shared" si="16"/>
        <v>1986</v>
      </c>
      <c r="T160" s="8">
        <v>1986</v>
      </c>
      <c r="U160" s="8">
        <f t="shared" si="17"/>
        <v>36</v>
      </c>
      <c r="V160" s="7">
        <v>31616</v>
      </c>
      <c r="W160" t="s">
        <v>142</v>
      </c>
      <c r="X160" s="2">
        <v>1.59</v>
      </c>
      <c r="Y160" s="6">
        <f t="shared" si="18"/>
        <v>4.2444141907583888E-2</v>
      </c>
      <c r="AA160">
        <v>52728</v>
      </c>
      <c r="AB160">
        <v>16791</v>
      </c>
      <c r="AD160" t="s">
        <v>2</v>
      </c>
      <c r="AE160">
        <v>850</v>
      </c>
      <c r="AF160">
        <v>3</v>
      </c>
      <c r="AH160" t="s">
        <v>85</v>
      </c>
      <c r="AI160" t="s">
        <v>345</v>
      </c>
      <c r="AJ160" t="s">
        <v>344</v>
      </c>
      <c r="AK160" t="s">
        <v>343</v>
      </c>
      <c r="AL160">
        <v>21</v>
      </c>
      <c r="AM160" s="5">
        <f t="shared" si="19"/>
        <v>0.58333333333333337</v>
      </c>
      <c r="AN160" s="4">
        <f t="shared" si="20"/>
        <v>8.835037233371198E-4</v>
      </c>
      <c r="AO160" s="3"/>
      <c r="AP160">
        <v>0</v>
      </c>
      <c r="AQ160" t="s">
        <v>342</v>
      </c>
      <c r="AR160" t="s">
        <v>1</v>
      </c>
      <c r="AS160" t="s">
        <v>341</v>
      </c>
      <c r="AT160" s="2" t="s">
        <v>0</v>
      </c>
      <c r="AU160" s="1">
        <f t="shared" si="21"/>
        <v>2.9975950452309856</v>
      </c>
      <c r="AV160" s="1">
        <f t="shared" si="22"/>
        <v>2.1663822815460505</v>
      </c>
      <c r="AW160" s="1">
        <f t="shared" si="23"/>
        <v>1.3351695178611149</v>
      </c>
    </row>
    <row r="161" spans="1:49" x14ac:dyDescent="0.2">
      <c r="A161">
        <v>159</v>
      </c>
      <c r="B161" t="s">
        <v>340</v>
      </c>
      <c r="C161" t="s">
        <v>339</v>
      </c>
      <c r="D161">
        <v>5272886901192</v>
      </c>
      <c r="F161" t="s">
        <v>338</v>
      </c>
      <c r="G161" t="s">
        <v>4</v>
      </c>
      <c r="H161" t="s">
        <v>3</v>
      </c>
      <c r="I161" t="s">
        <v>337</v>
      </c>
      <c r="J161" t="s">
        <v>319</v>
      </c>
      <c r="K161" t="s">
        <v>318</v>
      </c>
      <c r="L161" t="s">
        <v>56</v>
      </c>
      <c r="M161" t="s">
        <v>55</v>
      </c>
      <c r="N161">
        <v>6</v>
      </c>
      <c r="O161" t="s">
        <v>336</v>
      </c>
      <c r="P161" t="s">
        <v>335</v>
      </c>
      <c r="Q161" t="s">
        <v>334</v>
      </c>
      <c r="R161" s="7">
        <v>31616</v>
      </c>
      <c r="S161" s="8">
        <f t="shared" si="16"/>
        <v>1986</v>
      </c>
      <c r="T161" s="8">
        <v>1986</v>
      </c>
      <c r="U161" s="8">
        <f t="shared" si="17"/>
        <v>36</v>
      </c>
      <c r="V161" s="7">
        <v>31616</v>
      </c>
      <c r="W161" t="s">
        <v>142</v>
      </c>
      <c r="X161" s="2">
        <v>1.59</v>
      </c>
      <c r="Y161" s="6">
        <f t="shared" si="18"/>
        <v>4.2444141907583888E-2</v>
      </c>
      <c r="AA161">
        <v>52728</v>
      </c>
      <c r="AB161">
        <v>16791</v>
      </c>
      <c r="AD161" t="s">
        <v>2</v>
      </c>
      <c r="AE161">
        <v>850</v>
      </c>
      <c r="AF161">
        <v>3</v>
      </c>
      <c r="AH161" t="s">
        <v>333</v>
      </c>
      <c r="AI161" t="s">
        <v>332</v>
      </c>
      <c r="AJ161" t="s">
        <v>331</v>
      </c>
      <c r="AK161" t="s">
        <v>330</v>
      </c>
      <c r="AL161">
        <v>54</v>
      </c>
      <c r="AM161" s="5">
        <f t="shared" si="19"/>
        <v>1.5</v>
      </c>
      <c r="AN161" s="4">
        <f t="shared" si="20"/>
        <v>2.2718667171525938E-3</v>
      </c>
      <c r="AO161" s="3"/>
      <c r="AP161">
        <v>0</v>
      </c>
      <c r="AR161" t="s">
        <v>1</v>
      </c>
      <c r="AT161" s="2" t="s">
        <v>0</v>
      </c>
      <c r="AU161" s="1">
        <f t="shared" si="21"/>
        <v>3.0392459350454497</v>
      </c>
      <c r="AV161" s="1">
        <f t="shared" si="22"/>
        <v>2.2358004312368238</v>
      </c>
      <c r="AW161" s="1">
        <f t="shared" si="23"/>
        <v>1.4323549274281981</v>
      </c>
    </row>
    <row r="162" spans="1:49" x14ac:dyDescent="0.2">
      <c r="A162">
        <v>160</v>
      </c>
      <c r="B162" t="s">
        <v>329</v>
      </c>
      <c r="C162" t="s">
        <v>328</v>
      </c>
      <c r="D162" t="s">
        <v>327</v>
      </c>
      <c r="F162" t="s">
        <v>326</v>
      </c>
      <c r="G162" t="s">
        <v>4</v>
      </c>
      <c r="H162" t="s">
        <v>3</v>
      </c>
      <c r="I162" t="s">
        <v>166</v>
      </c>
      <c r="J162">
        <v>60002306</v>
      </c>
      <c r="K162" t="s">
        <v>160</v>
      </c>
      <c r="L162" t="s">
        <v>165</v>
      </c>
      <c r="M162" t="s">
        <v>35</v>
      </c>
      <c r="N162">
        <v>1</v>
      </c>
      <c r="O162" t="s">
        <v>164</v>
      </c>
      <c r="P162">
        <v>7006613193</v>
      </c>
      <c r="Q162">
        <v>60002306</v>
      </c>
      <c r="R162" s="7">
        <v>31601</v>
      </c>
      <c r="S162" s="8">
        <f t="shared" si="16"/>
        <v>1986</v>
      </c>
      <c r="T162" s="8">
        <v>1986</v>
      </c>
      <c r="U162" s="8">
        <f t="shared" si="17"/>
        <v>36</v>
      </c>
      <c r="V162" s="7">
        <v>31601</v>
      </c>
      <c r="W162" t="s">
        <v>163</v>
      </c>
      <c r="X162" s="2">
        <v>1.3149999999999999</v>
      </c>
      <c r="Y162" s="6">
        <f t="shared" si="18"/>
        <v>3.5103173967592965E-2</v>
      </c>
      <c r="AA162" t="s">
        <v>162</v>
      </c>
      <c r="AB162">
        <v>13030</v>
      </c>
      <c r="AC162">
        <v>10958568</v>
      </c>
      <c r="AD162" t="s">
        <v>2</v>
      </c>
      <c r="AE162">
        <v>108</v>
      </c>
      <c r="AF162">
        <v>1</v>
      </c>
      <c r="AH162" s="10">
        <v>45231</v>
      </c>
      <c r="AI162" t="s">
        <v>325</v>
      </c>
      <c r="AK162" t="s">
        <v>324</v>
      </c>
      <c r="AL162">
        <v>4</v>
      </c>
      <c r="AM162" s="5">
        <f t="shared" si="19"/>
        <v>0.1111111111111111</v>
      </c>
      <c r="AN162" s="4">
        <f t="shared" si="20"/>
        <v>1.682864234927847E-4</v>
      </c>
      <c r="AO162" s="3"/>
      <c r="AP162">
        <v>0</v>
      </c>
      <c r="AQ162" t="s">
        <v>161</v>
      </c>
      <c r="AR162" t="s">
        <v>1</v>
      </c>
      <c r="AS162" t="s">
        <v>160</v>
      </c>
      <c r="AT162" s="2">
        <v>3.6549999999999998</v>
      </c>
      <c r="AU162" s="1">
        <f t="shared" si="21"/>
        <v>2.4622707704362909</v>
      </c>
      <c r="AV162" s="1">
        <f t="shared" si="22"/>
        <v>1.7635730195542876</v>
      </c>
      <c r="AW162" s="1">
        <f t="shared" si="23"/>
        <v>1.0648752686722838</v>
      </c>
    </row>
    <row r="163" spans="1:49" x14ac:dyDescent="0.2">
      <c r="A163">
        <v>161</v>
      </c>
      <c r="B163" t="s">
        <v>323</v>
      </c>
      <c r="C163" t="s">
        <v>322</v>
      </c>
      <c r="D163" t="s">
        <v>321</v>
      </c>
      <c r="F163" t="s">
        <v>320</v>
      </c>
      <c r="G163" t="s">
        <v>4</v>
      </c>
      <c r="H163" t="s">
        <v>3</v>
      </c>
      <c r="I163" t="s">
        <v>151</v>
      </c>
      <c r="J163" t="s">
        <v>319</v>
      </c>
      <c r="K163" t="s">
        <v>318</v>
      </c>
      <c r="L163" t="s">
        <v>56</v>
      </c>
      <c r="M163" t="s">
        <v>55</v>
      </c>
      <c r="N163">
        <v>5</v>
      </c>
      <c r="O163" t="s">
        <v>317</v>
      </c>
      <c r="P163" t="s">
        <v>316</v>
      </c>
      <c r="Q163" t="s">
        <v>315</v>
      </c>
      <c r="R163" s="7">
        <v>31595</v>
      </c>
      <c r="S163" s="8">
        <f t="shared" si="16"/>
        <v>1986</v>
      </c>
      <c r="T163" s="8">
        <v>1986</v>
      </c>
      <c r="U163" s="8">
        <f t="shared" si="17"/>
        <v>36</v>
      </c>
      <c r="V163" s="7">
        <v>31595</v>
      </c>
      <c r="W163" t="s">
        <v>142</v>
      </c>
      <c r="X163" s="2">
        <v>1.59</v>
      </c>
      <c r="Y163" s="6">
        <f t="shared" si="18"/>
        <v>4.2444141907583888E-2</v>
      </c>
      <c r="AA163">
        <v>52728</v>
      </c>
      <c r="AB163">
        <v>16791</v>
      </c>
      <c r="AD163" t="s">
        <v>2</v>
      </c>
      <c r="AE163">
        <v>850</v>
      </c>
      <c r="AF163">
        <v>2</v>
      </c>
      <c r="AH163" t="s">
        <v>314</v>
      </c>
      <c r="AI163" t="s">
        <v>313</v>
      </c>
      <c r="AJ163" t="s">
        <v>312</v>
      </c>
      <c r="AK163" t="s">
        <v>311</v>
      </c>
      <c r="AL163">
        <v>12</v>
      </c>
      <c r="AM163" s="5">
        <f t="shared" si="19"/>
        <v>0.33333333333333331</v>
      </c>
      <c r="AN163" s="4">
        <f t="shared" si="20"/>
        <v>5.048592704783541E-4</v>
      </c>
      <c r="AO163" s="3"/>
      <c r="AP163">
        <v>0</v>
      </c>
      <c r="AR163" t="s">
        <v>1</v>
      </c>
      <c r="AT163" s="2" t="s">
        <v>0</v>
      </c>
      <c r="AU163" s="1">
        <f t="shared" si="21"/>
        <v>2.9862357116452225</v>
      </c>
      <c r="AV163" s="1">
        <f t="shared" si="22"/>
        <v>2.1474500589031118</v>
      </c>
      <c r="AW163" s="1">
        <f t="shared" si="23"/>
        <v>1.3086644061610013</v>
      </c>
    </row>
    <row r="164" spans="1:49" x14ac:dyDescent="0.2">
      <c r="A164">
        <v>162</v>
      </c>
      <c r="B164" t="s">
        <v>310</v>
      </c>
      <c r="C164" t="s">
        <v>309</v>
      </c>
      <c r="D164" t="s">
        <v>308</v>
      </c>
      <c r="E164">
        <v>3087422</v>
      </c>
      <c r="F164" t="s">
        <v>307</v>
      </c>
      <c r="G164" t="s">
        <v>4</v>
      </c>
      <c r="H164" t="s">
        <v>3</v>
      </c>
      <c r="I164" t="s">
        <v>306</v>
      </c>
      <c r="J164">
        <v>60015481</v>
      </c>
      <c r="K164" t="s">
        <v>305</v>
      </c>
      <c r="L164" t="s">
        <v>304</v>
      </c>
      <c r="M164" t="s">
        <v>7</v>
      </c>
      <c r="N164">
        <v>2</v>
      </c>
      <c r="O164" t="s">
        <v>303</v>
      </c>
      <c r="P164" t="s">
        <v>302</v>
      </c>
      <c r="Q164" t="s">
        <v>301</v>
      </c>
      <c r="R164" s="7">
        <v>31595</v>
      </c>
      <c r="S164" s="8">
        <f t="shared" si="16"/>
        <v>1986</v>
      </c>
      <c r="T164" s="8">
        <v>1986</v>
      </c>
      <c r="U164" s="8">
        <f t="shared" si="17"/>
        <v>36</v>
      </c>
      <c r="V164" s="7">
        <v>31595</v>
      </c>
      <c r="W164" t="s">
        <v>142</v>
      </c>
      <c r="X164" s="2">
        <v>1.59</v>
      </c>
      <c r="Y164" s="6">
        <f t="shared" si="18"/>
        <v>4.2444141907583888E-2</v>
      </c>
      <c r="AA164">
        <v>52728</v>
      </c>
      <c r="AB164">
        <v>16791</v>
      </c>
      <c r="AD164" t="s">
        <v>2</v>
      </c>
      <c r="AE164">
        <v>850</v>
      </c>
      <c r="AF164">
        <v>2</v>
      </c>
      <c r="AH164" t="s">
        <v>300</v>
      </c>
      <c r="AI164" t="s">
        <v>299</v>
      </c>
      <c r="AJ164" t="s">
        <v>298</v>
      </c>
      <c r="AK164" t="s">
        <v>297</v>
      </c>
      <c r="AL164">
        <v>45</v>
      </c>
      <c r="AM164" s="5">
        <f t="shared" si="19"/>
        <v>1.25</v>
      </c>
      <c r="AN164" s="4">
        <f t="shared" si="20"/>
        <v>1.8932222642938281E-3</v>
      </c>
      <c r="AO164" s="3"/>
      <c r="AP164">
        <v>0</v>
      </c>
      <c r="AQ164" t="s">
        <v>120</v>
      </c>
      <c r="AR164" t="s">
        <v>296</v>
      </c>
      <c r="AS164" t="s">
        <v>119</v>
      </c>
      <c r="AT164" s="2" t="s">
        <v>0</v>
      </c>
      <c r="AU164" s="1">
        <f t="shared" si="21"/>
        <v>3.027886601459687</v>
      </c>
      <c r="AV164" s="1">
        <f t="shared" si="22"/>
        <v>2.216868208593886</v>
      </c>
      <c r="AW164" s="1">
        <f t="shared" si="23"/>
        <v>1.4058498157280845</v>
      </c>
    </row>
    <row r="165" spans="1:49" x14ac:dyDescent="0.2">
      <c r="A165">
        <v>163</v>
      </c>
      <c r="B165" t="s">
        <v>295</v>
      </c>
      <c r="C165" t="s">
        <v>294</v>
      </c>
      <c r="D165">
        <v>5272886901787</v>
      </c>
      <c r="F165" t="s">
        <v>293</v>
      </c>
      <c r="G165" t="s">
        <v>4</v>
      </c>
      <c r="H165" t="s">
        <v>3</v>
      </c>
      <c r="I165" t="s">
        <v>125</v>
      </c>
      <c r="J165">
        <v>60026827</v>
      </c>
      <c r="K165" t="s">
        <v>292</v>
      </c>
      <c r="L165" t="s">
        <v>31</v>
      </c>
      <c r="M165" t="s">
        <v>7</v>
      </c>
      <c r="N165">
        <v>2</v>
      </c>
      <c r="O165" t="s">
        <v>291</v>
      </c>
      <c r="P165" t="s">
        <v>290</v>
      </c>
      <c r="Q165" t="s">
        <v>289</v>
      </c>
      <c r="R165" s="7">
        <v>31595</v>
      </c>
      <c r="S165" s="8">
        <f t="shared" si="16"/>
        <v>1986</v>
      </c>
      <c r="T165" s="8">
        <v>1986</v>
      </c>
      <c r="U165" s="8">
        <f t="shared" si="17"/>
        <v>36</v>
      </c>
      <c r="V165" s="7">
        <v>31595</v>
      </c>
      <c r="W165" t="s">
        <v>142</v>
      </c>
      <c r="X165" s="2">
        <v>1.59</v>
      </c>
      <c r="Y165" s="6">
        <f t="shared" si="18"/>
        <v>4.2444141907583888E-2</v>
      </c>
      <c r="AA165">
        <v>52728</v>
      </c>
      <c r="AB165">
        <v>16791</v>
      </c>
      <c r="AD165" t="s">
        <v>2</v>
      </c>
      <c r="AE165">
        <v>850</v>
      </c>
      <c r="AF165">
        <v>2</v>
      </c>
      <c r="AH165" t="s">
        <v>288</v>
      </c>
      <c r="AI165" t="s">
        <v>287</v>
      </c>
      <c r="AJ165" t="s">
        <v>286</v>
      </c>
      <c r="AK165" t="s">
        <v>285</v>
      </c>
      <c r="AL165">
        <v>29</v>
      </c>
      <c r="AM165" s="5">
        <f t="shared" si="19"/>
        <v>0.80555555555555558</v>
      </c>
      <c r="AN165" s="4">
        <f t="shared" si="20"/>
        <v>1.2200765703226893E-3</v>
      </c>
      <c r="AO165" s="3"/>
      <c r="AP165">
        <v>0</v>
      </c>
      <c r="AR165" t="s">
        <v>284</v>
      </c>
      <c r="AT165" s="2" t="s">
        <v>0</v>
      </c>
      <c r="AU165" s="1">
        <f t="shared" si="21"/>
        <v>3.0076922306405529</v>
      </c>
      <c r="AV165" s="1">
        <f t="shared" si="22"/>
        <v>2.183210923895329</v>
      </c>
      <c r="AW165" s="1">
        <f t="shared" si="23"/>
        <v>1.3587296171501049</v>
      </c>
    </row>
    <row r="166" spans="1:49" x14ac:dyDescent="0.2">
      <c r="A166">
        <v>164</v>
      </c>
      <c r="B166" t="s">
        <v>283</v>
      </c>
      <c r="C166" t="s">
        <v>282</v>
      </c>
      <c r="D166">
        <v>5272886901866</v>
      </c>
      <c r="F166" t="s">
        <v>281</v>
      </c>
      <c r="G166" t="s">
        <v>4</v>
      </c>
      <c r="H166" t="s">
        <v>3</v>
      </c>
      <c r="I166" t="s">
        <v>151</v>
      </c>
      <c r="J166">
        <v>60003878</v>
      </c>
      <c r="K166" t="s">
        <v>15</v>
      </c>
      <c r="L166" t="s">
        <v>14</v>
      </c>
      <c r="M166" t="s">
        <v>13</v>
      </c>
      <c r="N166">
        <v>5</v>
      </c>
      <c r="O166" t="s">
        <v>280</v>
      </c>
      <c r="P166" t="s">
        <v>279</v>
      </c>
      <c r="Q166" t="s">
        <v>278</v>
      </c>
      <c r="R166" s="7">
        <v>31595</v>
      </c>
      <c r="S166" s="8">
        <f t="shared" si="16"/>
        <v>1986</v>
      </c>
      <c r="T166" s="8">
        <v>1986</v>
      </c>
      <c r="U166" s="8">
        <f t="shared" si="17"/>
        <v>36</v>
      </c>
      <c r="V166" s="7">
        <v>31595</v>
      </c>
      <c r="W166" t="s">
        <v>142</v>
      </c>
      <c r="X166" s="2">
        <v>1.59</v>
      </c>
      <c r="Y166" s="6">
        <f t="shared" si="18"/>
        <v>4.2444141907583888E-2</v>
      </c>
      <c r="AA166">
        <v>52728</v>
      </c>
      <c r="AB166">
        <v>16791</v>
      </c>
      <c r="AD166" t="s">
        <v>2</v>
      </c>
      <c r="AE166">
        <v>850</v>
      </c>
      <c r="AF166">
        <v>2</v>
      </c>
      <c r="AH166" t="s">
        <v>277</v>
      </c>
      <c r="AI166" t="s">
        <v>276</v>
      </c>
      <c r="AJ166" t="s">
        <v>275</v>
      </c>
      <c r="AK166" t="s">
        <v>274</v>
      </c>
      <c r="AL166">
        <v>110</v>
      </c>
      <c r="AM166" s="5">
        <f t="shared" si="19"/>
        <v>3.0555555555555554</v>
      </c>
      <c r="AN166" s="4">
        <f t="shared" si="20"/>
        <v>4.6278766460515798E-3</v>
      </c>
      <c r="AO166" s="3"/>
      <c r="AP166">
        <v>0</v>
      </c>
      <c r="AR166" t="s">
        <v>1</v>
      </c>
      <c r="AT166" s="2" t="s">
        <v>0</v>
      </c>
      <c r="AU166" s="1">
        <f t="shared" si="21"/>
        <v>3.1099262329124198</v>
      </c>
      <c r="AV166" s="1">
        <f t="shared" si="22"/>
        <v>2.3536009276817733</v>
      </c>
      <c r="AW166" s="1">
        <f t="shared" si="23"/>
        <v>1.5972756224511271</v>
      </c>
    </row>
    <row r="167" spans="1:49" x14ac:dyDescent="0.2">
      <c r="A167">
        <v>165</v>
      </c>
      <c r="B167" t="s">
        <v>273</v>
      </c>
      <c r="C167" t="s">
        <v>272</v>
      </c>
      <c r="F167" t="s">
        <v>271</v>
      </c>
      <c r="G167" t="s">
        <v>4</v>
      </c>
      <c r="H167" t="s">
        <v>3</v>
      </c>
      <c r="I167" t="s">
        <v>270</v>
      </c>
      <c r="J167">
        <v>100996413</v>
      </c>
      <c r="K167" t="s">
        <v>269</v>
      </c>
      <c r="L167" t="s">
        <v>268</v>
      </c>
      <c r="M167" t="s">
        <v>26</v>
      </c>
      <c r="N167">
        <v>1</v>
      </c>
      <c r="O167" t="s">
        <v>267</v>
      </c>
      <c r="P167">
        <v>24787172500</v>
      </c>
      <c r="Q167">
        <v>100996413</v>
      </c>
      <c r="R167" s="7">
        <v>31594</v>
      </c>
      <c r="S167" s="8">
        <f t="shared" si="16"/>
        <v>1986</v>
      </c>
      <c r="T167" s="8">
        <v>1986</v>
      </c>
      <c r="U167" s="8">
        <f t="shared" si="17"/>
        <v>36</v>
      </c>
      <c r="V167" s="7">
        <v>31594</v>
      </c>
      <c r="W167" t="s">
        <v>266</v>
      </c>
      <c r="X167" s="2">
        <v>0.11700000000000001</v>
      </c>
      <c r="Y167" s="6">
        <f t="shared" si="18"/>
        <v>3.1232481781052297E-3</v>
      </c>
      <c r="AA167">
        <v>2179822</v>
      </c>
      <c r="AB167">
        <v>5300152612</v>
      </c>
      <c r="AC167">
        <v>19930615</v>
      </c>
      <c r="AD167" t="s">
        <v>2</v>
      </c>
      <c r="AE167">
        <v>3</v>
      </c>
      <c r="AF167">
        <v>3</v>
      </c>
      <c r="AH167" t="s">
        <v>265</v>
      </c>
      <c r="AI167" t="s">
        <v>264</v>
      </c>
      <c r="AK167" t="s">
        <v>263</v>
      </c>
      <c r="AL167">
        <v>0</v>
      </c>
      <c r="AM167" s="5">
        <f t="shared" si="19"/>
        <v>0</v>
      </c>
      <c r="AN167" s="4">
        <f t="shared" si="20"/>
        <v>0</v>
      </c>
      <c r="AO167" s="3"/>
      <c r="AP167">
        <v>0</v>
      </c>
      <c r="AR167" t="s">
        <v>1</v>
      </c>
      <c r="AT167" s="2" t="s">
        <v>0</v>
      </c>
      <c r="AU167" s="1">
        <f t="shared" si="21"/>
        <v>0.21862737246736608</v>
      </c>
      <c r="AV167" s="1">
        <f t="shared" si="22"/>
        <v>0.15616240890526148</v>
      </c>
      <c r="AW167" s="1">
        <f t="shared" si="23"/>
        <v>9.3697445343156896E-2</v>
      </c>
    </row>
    <row r="168" spans="1:49" x14ac:dyDescent="0.2">
      <c r="A168">
        <v>166</v>
      </c>
      <c r="B168" t="s">
        <v>262</v>
      </c>
      <c r="C168" t="s">
        <v>261</v>
      </c>
      <c r="F168" t="s">
        <v>260</v>
      </c>
      <c r="G168" t="s">
        <v>4</v>
      </c>
      <c r="H168" t="s">
        <v>3</v>
      </c>
      <c r="I168" t="s">
        <v>133</v>
      </c>
      <c r="J168" t="s">
        <v>259</v>
      </c>
      <c r="K168" t="s">
        <v>258</v>
      </c>
      <c r="L168" t="s">
        <v>257</v>
      </c>
      <c r="M168" t="s">
        <v>256</v>
      </c>
      <c r="N168">
        <v>14</v>
      </c>
      <c r="O168" t="s">
        <v>255</v>
      </c>
      <c r="P168" t="s">
        <v>254</v>
      </c>
      <c r="Q168" t="s">
        <v>253</v>
      </c>
      <c r="R168" s="7">
        <v>31594</v>
      </c>
      <c r="S168" s="8">
        <f t="shared" si="16"/>
        <v>1986</v>
      </c>
      <c r="T168" s="8">
        <v>1986</v>
      </c>
      <c r="U168" s="8">
        <f t="shared" si="17"/>
        <v>36</v>
      </c>
      <c r="V168" s="7">
        <v>31594</v>
      </c>
      <c r="W168" t="s">
        <v>132</v>
      </c>
      <c r="X168" s="2" t="s">
        <v>0</v>
      </c>
      <c r="Y168" s="6" t="e">
        <f t="shared" si="18"/>
        <v>#VALUE!</v>
      </c>
      <c r="AA168">
        <v>3905551</v>
      </c>
      <c r="AB168">
        <v>15400155600</v>
      </c>
      <c r="AD168" t="s">
        <v>2</v>
      </c>
      <c r="AE168">
        <v>9</v>
      </c>
      <c r="AF168">
        <v>4</v>
      </c>
      <c r="AH168" t="s">
        <v>252</v>
      </c>
      <c r="AI168" t="s">
        <v>251</v>
      </c>
      <c r="AJ168" t="s">
        <v>131</v>
      </c>
      <c r="AK168" t="s">
        <v>250</v>
      </c>
      <c r="AL168">
        <v>27</v>
      </c>
      <c r="AM168" s="5">
        <f t="shared" si="19"/>
        <v>0.75</v>
      </c>
      <c r="AN168" s="4">
        <f t="shared" si="20"/>
        <v>1.1359333585762969E-3</v>
      </c>
      <c r="AO168" s="3"/>
      <c r="AP168">
        <v>0</v>
      </c>
      <c r="AR168" t="s">
        <v>1</v>
      </c>
      <c r="AT168" s="2" t="s">
        <v>0</v>
      </c>
      <c r="AU168" s="1" t="e">
        <f t="shared" si="21"/>
        <v>#VALUE!</v>
      </c>
      <c r="AV168" s="1" t="e">
        <f t="shared" si="22"/>
        <v>#VALUE!</v>
      </c>
      <c r="AW168" s="1" t="e">
        <f t="shared" si="23"/>
        <v>#VALUE!</v>
      </c>
    </row>
    <row r="169" spans="1:49" x14ac:dyDescent="0.2">
      <c r="A169">
        <v>167</v>
      </c>
      <c r="B169" t="s">
        <v>249</v>
      </c>
      <c r="F169" t="s">
        <v>248</v>
      </c>
      <c r="G169" t="s">
        <v>4</v>
      </c>
      <c r="H169" t="s">
        <v>3</v>
      </c>
      <c r="I169" t="s">
        <v>247</v>
      </c>
      <c r="N169">
        <v>1</v>
      </c>
      <c r="O169" t="s">
        <v>246</v>
      </c>
      <c r="P169">
        <v>57199526591</v>
      </c>
      <c r="R169" s="7">
        <v>31594</v>
      </c>
      <c r="S169" s="8">
        <f t="shared" si="16"/>
        <v>1986</v>
      </c>
      <c r="T169" s="8">
        <v>1986</v>
      </c>
      <c r="U169" s="8">
        <f t="shared" si="17"/>
        <v>36</v>
      </c>
      <c r="V169" s="7">
        <v>31594</v>
      </c>
      <c r="W169" t="s">
        <v>245</v>
      </c>
      <c r="X169" s="2" t="s">
        <v>0</v>
      </c>
      <c r="Y169" s="6" t="e">
        <f t="shared" si="18"/>
        <v>#VALUE!</v>
      </c>
      <c r="AA169">
        <v>1954091</v>
      </c>
      <c r="AB169">
        <v>31441</v>
      </c>
      <c r="AD169" t="s">
        <v>2</v>
      </c>
      <c r="AE169">
        <v>6</v>
      </c>
      <c r="AF169">
        <v>7</v>
      </c>
      <c r="AH169" t="s">
        <v>244</v>
      </c>
      <c r="AI169" t="s">
        <v>243</v>
      </c>
      <c r="AK169" t="s">
        <v>242</v>
      </c>
      <c r="AL169">
        <v>0</v>
      </c>
      <c r="AM169" s="5">
        <f t="shared" si="19"/>
        <v>0</v>
      </c>
      <c r="AN169" s="4">
        <f t="shared" si="20"/>
        <v>0</v>
      </c>
      <c r="AO169" s="3"/>
      <c r="AP169">
        <v>0</v>
      </c>
      <c r="AR169" t="s">
        <v>1</v>
      </c>
      <c r="AT169" s="2" t="s">
        <v>0</v>
      </c>
      <c r="AU169" s="1" t="e">
        <f t="shared" si="21"/>
        <v>#VALUE!</v>
      </c>
      <c r="AV169" s="1" t="e">
        <f t="shared" si="22"/>
        <v>#VALUE!</v>
      </c>
      <c r="AW169" s="1" t="e">
        <f t="shared" si="23"/>
        <v>#VALUE!</v>
      </c>
    </row>
    <row r="170" spans="1:49" x14ac:dyDescent="0.2">
      <c r="A170">
        <v>168</v>
      </c>
      <c r="B170" t="s">
        <v>241</v>
      </c>
      <c r="F170" t="s">
        <v>240</v>
      </c>
      <c r="G170" t="s">
        <v>4</v>
      </c>
      <c r="H170" t="s">
        <v>3</v>
      </c>
      <c r="I170" t="s">
        <v>239</v>
      </c>
      <c r="N170">
        <v>4</v>
      </c>
      <c r="O170" t="s">
        <v>238</v>
      </c>
      <c r="P170" t="s">
        <v>237</v>
      </c>
      <c r="Q170" t="s">
        <v>54</v>
      </c>
      <c r="R170" s="7">
        <v>31594</v>
      </c>
      <c r="S170" s="8">
        <f t="shared" si="16"/>
        <v>1986</v>
      </c>
      <c r="T170" s="8">
        <v>1986</v>
      </c>
      <c r="U170" s="8">
        <f t="shared" si="17"/>
        <v>36</v>
      </c>
      <c r="V170" s="7">
        <v>31594</v>
      </c>
      <c r="W170" t="s">
        <v>45</v>
      </c>
      <c r="X170" s="2" t="s">
        <v>0</v>
      </c>
      <c r="Y170" s="6" t="e">
        <f t="shared" si="18"/>
        <v>#VALUE!</v>
      </c>
      <c r="AA170">
        <v>87566648</v>
      </c>
      <c r="AB170">
        <v>74127</v>
      </c>
      <c r="AD170" t="s">
        <v>2</v>
      </c>
      <c r="AE170">
        <v>31</v>
      </c>
      <c r="AF170">
        <v>7</v>
      </c>
      <c r="AH170" t="s">
        <v>182</v>
      </c>
      <c r="AI170" t="s">
        <v>236</v>
      </c>
      <c r="AK170" t="s">
        <v>235</v>
      </c>
      <c r="AL170">
        <v>0</v>
      </c>
      <c r="AM170" s="5">
        <f t="shared" si="19"/>
        <v>0</v>
      </c>
      <c r="AN170" s="4">
        <f t="shared" si="20"/>
        <v>0</v>
      </c>
      <c r="AO170" s="3"/>
      <c r="AP170">
        <v>0</v>
      </c>
      <c r="AR170" t="s">
        <v>1</v>
      </c>
      <c r="AT170" s="2" t="s">
        <v>0</v>
      </c>
      <c r="AU170" s="1" t="e">
        <f t="shared" si="21"/>
        <v>#VALUE!</v>
      </c>
      <c r="AV170" s="1" t="e">
        <f t="shared" si="22"/>
        <v>#VALUE!</v>
      </c>
      <c r="AW170" s="1" t="e">
        <f t="shared" si="23"/>
        <v>#VALUE!</v>
      </c>
    </row>
    <row r="171" spans="1:49" x14ac:dyDescent="0.2">
      <c r="A171">
        <v>169</v>
      </c>
      <c r="B171" t="s">
        <v>234</v>
      </c>
      <c r="C171" t="s">
        <v>233</v>
      </c>
      <c r="F171" t="s">
        <v>232</v>
      </c>
      <c r="G171" t="s">
        <v>4</v>
      </c>
      <c r="H171" t="s">
        <v>3</v>
      </c>
      <c r="I171" t="s">
        <v>231</v>
      </c>
      <c r="N171">
        <v>2</v>
      </c>
      <c r="O171" t="s">
        <v>230</v>
      </c>
      <c r="P171" t="s">
        <v>229</v>
      </c>
      <c r="Q171" t="s">
        <v>18</v>
      </c>
      <c r="R171" s="7">
        <v>31594</v>
      </c>
      <c r="S171" s="8">
        <f t="shared" si="16"/>
        <v>1986</v>
      </c>
      <c r="T171" s="8">
        <v>1986</v>
      </c>
      <c r="U171" s="8">
        <f t="shared" si="17"/>
        <v>36</v>
      </c>
      <c r="V171" s="7">
        <v>31594</v>
      </c>
      <c r="W171" t="s">
        <v>37</v>
      </c>
      <c r="X171" s="2">
        <v>0.318</v>
      </c>
      <c r="Y171" s="6">
        <f t="shared" si="18"/>
        <v>8.4888283815167786E-3</v>
      </c>
      <c r="AA171">
        <v>338443</v>
      </c>
      <c r="AB171">
        <v>27160</v>
      </c>
      <c r="AC171">
        <v>15739120</v>
      </c>
      <c r="AD171" t="s">
        <v>2</v>
      </c>
      <c r="AE171">
        <v>29</v>
      </c>
      <c r="AF171">
        <v>7</v>
      </c>
      <c r="AH171" t="s">
        <v>228</v>
      </c>
      <c r="AL171">
        <v>0</v>
      </c>
      <c r="AM171" s="5">
        <f t="shared" si="19"/>
        <v>0</v>
      </c>
      <c r="AN171" s="4">
        <f t="shared" si="20"/>
        <v>0</v>
      </c>
      <c r="AO171" s="3"/>
      <c r="AP171">
        <v>0</v>
      </c>
      <c r="AR171" t="s">
        <v>1</v>
      </c>
      <c r="AT171" s="2">
        <v>0.77</v>
      </c>
      <c r="AU171" s="1">
        <f t="shared" si="21"/>
        <v>0.59421798670617454</v>
      </c>
      <c r="AV171" s="1">
        <f t="shared" si="22"/>
        <v>0.42444141907583893</v>
      </c>
      <c r="AW171" s="1">
        <f t="shared" si="23"/>
        <v>0.25466485144550338</v>
      </c>
    </row>
    <row r="172" spans="1:49" x14ac:dyDescent="0.2">
      <c r="A172">
        <v>170</v>
      </c>
      <c r="B172" t="s">
        <v>227</v>
      </c>
      <c r="F172" t="s">
        <v>226</v>
      </c>
      <c r="G172" t="s">
        <v>4</v>
      </c>
      <c r="H172" t="s">
        <v>3</v>
      </c>
      <c r="I172" t="s">
        <v>225</v>
      </c>
      <c r="N172">
        <v>2</v>
      </c>
      <c r="O172" t="s">
        <v>224</v>
      </c>
      <c r="P172" t="s">
        <v>223</v>
      </c>
      <c r="Q172" t="s">
        <v>18</v>
      </c>
      <c r="R172" s="7">
        <v>31594</v>
      </c>
      <c r="S172" s="8">
        <f t="shared" si="16"/>
        <v>1986</v>
      </c>
      <c r="T172" s="8">
        <v>1986</v>
      </c>
      <c r="U172" s="8">
        <f t="shared" si="17"/>
        <v>36</v>
      </c>
      <c r="V172" s="7">
        <v>31594</v>
      </c>
      <c r="W172" t="s">
        <v>45</v>
      </c>
      <c r="X172" s="2" t="s">
        <v>0</v>
      </c>
      <c r="Y172" s="6" t="e">
        <f t="shared" si="18"/>
        <v>#VALUE!</v>
      </c>
      <c r="AA172">
        <v>87566648</v>
      </c>
      <c r="AB172">
        <v>74127</v>
      </c>
      <c r="AD172" t="s">
        <v>2</v>
      </c>
      <c r="AE172">
        <v>31</v>
      </c>
      <c r="AF172">
        <v>7</v>
      </c>
      <c r="AH172" t="s">
        <v>222</v>
      </c>
      <c r="AI172" t="s">
        <v>221</v>
      </c>
      <c r="AK172" t="s">
        <v>220</v>
      </c>
      <c r="AL172">
        <v>0</v>
      </c>
      <c r="AM172" s="5">
        <f t="shared" si="19"/>
        <v>0</v>
      </c>
      <c r="AN172" s="4">
        <f t="shared" si="20"/>
        <v>0</v>
      </c>
      <c r="AO172" s="3"/>
      <c r="AP172">
        <v>0</v>
      </c>
      <c r="AR172" t="s">
        <v>1</v>
      </c>
      <c r="AT172" s="2" t="s">
        <v>0</v>
      </c>
      <c r="AU172" s="1" t="e">
        <f t="shared" si="21"/>
        <v>#VALUE!</v>
      </c>
      <c r="AV172" s="1" t="e">
        <f t="shared" si="22"/>
        <v>#VALUE!</v>
      </c>
      <c r="AW172" s="1" t="e">
        <f t="shared" si="23"/>
        <v>#VALUE!</v>
      </c>
    </row>
    <row r="173" spans="1:49" x14ac:dyDescent="0.2">
      <c r="A173">
        <v>171</v>
      </c>
      <c r="B173" t="s">
        <v>219</v>
      </c>
      <c r="F173" t="s">
        <v>218</v>
      </c>
      <c r="G173" t="s">
        <v>4</v>
      </c>
      <c r="H173" t="s">
        <v>3</v>
      </c>
      <c r="I173" t="s">
        <v>217</v>
      </c>
      <c r="N173">
        <v>3</v>
      </c>
      <c r="O173" t="s">
        <v>216</v>
      </c>
      <c r="P173" t="s">
        <v>215</v>
      </c>
      <c r="Q173" t="s">
        <v>17</v>
      </c>
      <c r="R173" s="7">
        <v>31594</v>
      </c>
      <c r="S173" s="8">
        <f t="shared" si="16"/>
        <v>1986</v>
      </c>
      <c r="T173" s="8">
        <v>1986</v>
      </c>
      <c r="U173" s="8">
        <f t="shared" si="17"/>
        <v>36</v>
      </c>
      <c r="V173" s="7">
        <v>31594</v>
      </c>
      <c r="W173" t="s">
        <v>45</v>
      </c>
      <c r="X173" s="2" t="s">
        <v>0</v>
      </c>
      <c r="Y173" s="6" t="e">
        <f t="shared" si="18"/>
        <v>#VALUE!</v>
      </c>
      <c r="AA173">
        <v>87566648</v>
      </c>
      <c r="AB173">
        <v>74127</v>
      </c>
      <c r="AD173" t="s">
        <v>2</v>
      </c>
      <c r="AE173">
        <v>31</v>
      </c>
      <c r="AF173">
        <v>7</v>
      </c>
      <c r="AH173" t="s">
        <v>214</v>
      </c>
      <c r="AI173" t="s">
        <v>213</v>
      </c>
      <c r="AK173" t="s">
        <v>212</v>
      </c>
      <c r="AL173">
        <v>0</v>
      </c>
      <c r="AM173" s="5">
        <f t="shared" si="19"/>
        <v>0</v>
      </c>
      <c r="AN173" s="4">
        <f t="shared" si="20"/>
        <v>0</v>
      </c>
      <c r="AO173" s="3"/>
      <c r="AP173">
        <v>0</v>
      </c>
      <c r="AR173" t="s">
        <v>1</v>
      </c>
      <c r="AT173" s="2" t="s">
        <v>0</v>
      </c>
      <c r="AU173" s="1" t="e">
        <f t="shared" si="21"/>
        <v>#VALUE!</v>
      </c>
      <c r="AV173" s="1" t="e">
        <f t="shared" si="22"/>
        <v>#VALUE!</v>
      </c>
      <c r="AW173" s="1" t="e">
        <f t="shared" si="23"/>
        <v>#VALUE!</v>
      </c>
    </row>
    <row r="174" spans="1:49" x14ac:dyDescent="0.2">
      <c r="A174">
        <v>172</v>
      </c>
      <c r="B174" t="s">
        <v>211</v>
      </c>
      <c r="F174" t="s">
        <v>210</v>
      </c>
      <c r="G174" t="s">
        <v>4</v>
      </c>
      <c r="H174" t="s">
        <v>3</v>
      </c>
      <c r="I174" t="s">
        <v>209</v>
      </c>
      <c r="N174">
        <v>1</v>
      </c>
      <c r="O174" t="s">
        <v>208</v>
      </c>
      <c r="P174">
        <v>7003286886</v>
      </c>
      <c r="R174" s="7">
        <v>31594</v>
      </c>
      <c r="S174" s="8">
        <f t="shared" si="16"/>
        <v>1986</v>
      </c>
      <c r="T174" s="8">
        <v>1986</v>
      </c>
      <c r="U174" s="8">
        <f t="shared" si="17"/>
        <v>36</v>
      </c>
      <c r="V174" s="7">
        <v>31594</v>
      </c>
      <c r="W174" t="s">
        <v>45</v>
      </c>
      <c r="X174" s="2" t="s">
        <v>0</v>
      </c>
      <c r="Y174" s="6" t="e">
        <f t="shared" si="18"/>
        <v>#VALUE!</v>
      </c>
      <c r="AA174">
        <v>87566648</v>
      </c>
      <c r="AB174">
        <v>74127</v>
      </c>
      <c r="AD174" t="s">
        <v>2</v>
      </c>
      <c r="AE174">
        <v>31</v>
      </c>
      <c r="AF174">
        <v>7</v>
      </c>
      <c r="AH174" t="s">
        <v>207</v>
      </c>
      <c r="AI174" t="s">
        <v>206</v>
      </c>
      <c r="AK174" t="s">
        <v>205</v>
      </c>
      <c r="AL174">
        <v>0</v>
      </c>
      <c r="AM174" s="5">
        <f t="shared" si="19"/>
        <v>0</v>
      </c>
      <c r="AN174" s="4">
        <f t="shared" si="20"/>
        <v>0</v>
      </c>
      <c r="AO174" s="3"/>
      <c r="AP174">
        <v>0</v>
      </c>
      <c r="AR174" t="s">
        <v>1</v>
      </c>
      <c r="AT174" s="2" t="s">
        <v>0</v>
      </c>
      <c r="AU174" s="1" t="e">
        <f t="shared" si="21"/>
        <v>#VALUE!</v>
      </c>
      <c r="AV174" s="1" t="e">
        <f t="shared" si="22"/>
        <v>#VALUE!</v>
      </c>
      <c r="AW174" s="1" t="e">
        <f t="shared" si="23"/>
        <v>#VALUE!</v>
      </c>
    </row>
    <row r="175" spans="1:49" x14ac:dyDescent="0.2">
      <c r="A175">
        <v>173</v>
      </c>
      <c r="B175" t="s">
        <v>204</v>
      </c>
      <c r="F175" t="s">
        <v>203</v>
      </c>
      <c r="G175" t="s">
        <v>4</v>
      </c>
      <c r="H175" t="s">
        <v>3</v>
      </c>
      <c r="I175" t="s">
        <v>202</v>
      </c>
      <c r="N175">
        <v>1</v>
      </c>
      <c r="O175" t="s">
        <v>201</v>
      </c>
      <c r="P175">
        <v>7501584022</v>
      </c>
      <c r="R175" s="7">
        <v>31594</v>
      </c>
      <c r="S175" s="8">
        <f t="shared" si="16"/>
        <v>1986</v>
      </c>
      <c r="T175" s="8">
        <v>1986</v>
      </c>
      <c r="U175" s="8">
        <f t="shared" si="17"/>
        <v>36</v>
      </c>
      <c r="V175" s="7">
        <v>31594</v>
      </c>
      <c r="W175" t="s">
        <v>200</v>
      </c>
      <c r="X175" s="2" t="s">
        <v>0</v>
      </c>
      <c r="Y175" s="6" t="e">
        <f t="shared" si="18"/>
        <v>#VALUE!</v>
      </c>
      <c r="AA175">
        <v>486574</v>
      </c>
      <c r="AB175">
        <v>36602</v>
      </c>
      <c r="AD175" t="s">
        <v>2</v>
      </c>
      <c r="AE175">
        <v>31</v>
      </c>
      <c r="AF175">
        <v>4</v>
      </c>
      <c r="AH175" s="9">
        <v>44381</v>
      </c>
      <c r="AI175" t="s">
        <v>199</v>
      </c>
      <c r="AK175" t="s">
        <v>198</v>
      </c>
      <c r="AL175">
        <v>1</v>
      </c>
      <c r="AM175" s="5">
        <f t="shared" si="19"/>
        <v>2.7777777777777776E-2</v>
      </c>
      <c r="AN175" s="4">
        <f t="shared" si="20"/>
        <v>4.2071605873196175E-5</v>
      </c>
      <c r="AO175" s="3"/>
      <c r="AP175">
        <v>0</v>
      </c>
      <c r="AR175" t="s">
        <v>1</v>
      </c>
      <c r="AT175" s="2" t="s">
        <v>0</v>
      </c>
      <c r="AU175" s="1" t="e">
        <f t="shared" si="21"/>
        <v>#VALUE!</v>
      </c>
      <c r="AV175" s="1" t="e">
        <f t="shared" si="22"/>
        <v>#VALUE!</v>
      </c>
      <c r="AW175" s="1" t="e">
        <f t="shared" si="23"/>
        <v>#VALUE!</v>
      </c>
    </row>
    <row r="176" spans="1:49" x14ac:dyDescent="0.2">
      <c r="A176">
        <v>174</v>
      </c>
      <c r="B176" t="s">
        <v>197</v>
      </c>
      <c r="C176" t="s">
        <v>196</v>
      </c>
      <c r="F176" t="s">
        <v>195</v>
      </c>
      <c r="G176" t="s">
        <v>4</v>
      </c>
      <c r="H176" t="s">
        <v>3</v>
      </c>
      <c r="I176" t="s">
        <v>194</v>
      </c>
      <c r="J176" t="s">
        <v>188</v>
      </c>
      <c r="K176" t="s">
        <v>193</v>
      </c>
      <c r="L176" t="s">
        <v>192</v>
      </c>
      <c r="M176" t="s">
        <v>191</v>
      </c>
      <c r="N176">
        <v>2</v>
      </c>
      <c r="O176" t="s">
        <v>190</v>
      </c>
      <c r="P176" t="s">
        <v>189</v>
      </c>
      <c r="Q176" t="s">
        <v>188</v>
      </c>
      <c r="R176" s="7">
        <v>31594</v>
      </c>
      <c r="S176" s="8">
        <f t="shared" si="16"/>
        <v>1986</v>
      </c>
      <c r="T176" s="8">
        <v>1986</v>
      </c>
      <c r="U176" s="8">
        <f t="shared" si="17"/>
        <v>36</v>
      </c>
      <c r="V176" s="7">
        <v>31594</v>
      </c>
      <c r="W176" t="s">
        <v>57</v>
      </c>
      <c r="X176" s="2">
        <v>0.8</v>
      </c>
      <c r="Y176" s="6">
        <f t="shared" si="18"/>
        <v>2.1355543098155415E-2</v>
      </c>
      <c r="AA176">
        <v>3407594</v>
      </c>
      <c r="AB176">
        <v>23456</v>
      </c>
      <c r="AC176">
        <v>14321351</v>
      </c>
      <c r="AD176" t="s">
        <v>2</v>
      </c>
      <c r="AE176">
        <v>158</v>
      </c>
      <c r="AF176">
        <v>4</v>
      </c>
      <c r="AH176" t="s">
        <v>187</v>
      </c>
      <c r="AI176" t="s">
        <v>186</v>
      </c>
      <c r="AK176" t="s">
        <v>185</v>
      </c>
      <c r="AL176">
        <v>79</v>
      </c>
      <c r="AM176" s="5">
        <f t="shared" si="19"/>
        <v>2.1944444444444446</v>
      </c>
      <c r="AN176" s="4">
        <f t="shared" si="20"/>
        <v>3.3236568639824983E-3</v>
      </c>
      <c r="AO176" s="3"/>
      <c r="AP176">
        <v>0</v>
      </c>
      <c r="AR176" t="s">
        <v>1</v>
      </c>
      <c r="AT176" s="2" t="s">
        <v>0</v>
      </c>
      <c r="AU176" s="1">
        <f t="shared" si="21"/>
        <v>1.5945977227903541</v>
      </c>
      <c r="AV176" s="1">
        <f t="shared" si="22"/>
        <v>1.2339599981068956</v>
      </c>
      <c r="AW176" s="1">
        <f t="shared" si="23"/>
        <v>0.87332227342343738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2021-11-11T11:38:04Z</dcterms:created>
  <dcterms:modified xsi:type="dcterms:W3CDTF">2022-01-19T19:32:43Z</dcterms:modified>
</cp:coreProperties>
</file>