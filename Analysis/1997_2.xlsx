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CC1F0236-0D4B-AC46-A74B-DAA1962E732A}" xr6:coauthVersionLast="47" xr6:coauthVersionMax="47" xr10:uidLastSave="{18E432E8-5D67-AB45-B9B3-B1F55AC20D97}"/>
  <bookViews>
    <workbookView xWindow="15040" yWindow="9840" windowWidth="27640" windowHeight="16940" xr2:uid="{CAC11B76-FB4D-4140-A7D6-E103285604AF}"/>
  </bookViews>
  <sheets>
    <sheet name="199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AW2" i="1" s="1"/>
  <c r="Y2" i="1"/>
  <c r="S3" i="1"/>
  <c r="U3" i="1"/>
  <c r="AM3" i="1" s="1"/>
  <c r="AN3" i="1" s="1"/>
  <c r="Y3" i="1"/>
  <c r="S4" i="1"/>
  <c r="U4" i="1"/>
  <c r="AM4" i="1" s="1"/>
  <c r="AN4" i="1" s="1"/>
  <c r="Y4" i="1"/>
  <c r="AU4" i="1" s="1"/>
  <c r="S5" i="1"/>
  <c r="U5" i="1"/>
  <c r="AM5" i="1" s="1"/>
  <c r="AN5" i="1" s="1"/>
  <c r="Y5" i="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Y11" i="1"/>
  <c r="AM11" i="1"/>
  <c r="AN11" i="1" s="1"/>
  <c r="AV11" i="1" s="1"/>
  <c r="S12" i="1"/>
  <c r="U12" i="1"/>
  <c r="AM12" i="1" s="1"/>
  <c r="AN12" i="1" s="1"/>
  <c r="Y12" i="1"/>
  <c r="S13" i="1"/>
  <c r="U13" i="1"/>
  <c r="AM13" i="1" s="1"/>
  <c r="AN13" i="1" s="1"/>
  <c r="Y13" i="1"/>
  <c r="S14" i="1"/>
  <c r="U14" i="1"/>
  <c r="AM14" i="1" s="1"/>
  <c r="AN14" i="1" s="1"/>
  <c r="Y14" i="1"/>
  <c r="S15" i="1"/>
  <c r="U15" i="1"/>
  <c r="AM15" i="1" s="1"/>
  <c r="AN15" i="1" s="1"/>
  <c r="Y15" i="1"/>
  <c r="S16" i="1"/>
  <c r="U16" i="1"/>
  <c r="Y16" i="1"/>
  <c r="AM16" i="1"/>
  <c r="AN16" i="1" s="1"/>
  <c r="S17" i="1"/>
  <c r="U17" i="1"/>
  <c r="AM17" i="1" s="1"/>
  <c r="AN17" i="1" s="1"/>
  <c r="Y17" i="1"/>
  <c r="S18" i="1"/>
  <c r="U18" i="1"/>
  <c r="AM18" i="1" s="1"/>
  <c r="AN18" i="1" s="1"/>
  <c r="Y18" i="1"/>
  <c r="S19" i="1"/>
  <c r="U19" i="1"/>
  <c r="AM19" i="1" s="1"/>
  <c r="AN19" i="1" s="1"/>
  <c r="Y19" i="1"/>
  <c r="S20" i="1"/>
  <c r="U20" i="1"/>
  <c r="AM20" i="1" s="1"/>
  <c r="AN20" i="1" s="1"/>
  <c r="Y20" i="1"/>
  <c r="S21" i="1"/>
  <c r="U21" i="1"/>
  <c r="Y21" i="1"/>
  <c r="AM21" i="1"/>
  <c r="AN21" i="1" s="1"/>
  <c r="S22" i="1"/>
  <c r="U22" i="1"/>
  <c r="AM22" i="1" s="1"/>
  <c r="AN22" i="1" s="1"/>
  <c r="Y22" i="1"/>
  <c r="S23" i="1"/>
  <c r="U23" i="1"/>
  <c r="AM23" i="1" s="1"/>
  <c r="AN23" i="1" s="1"/>
  <c r="Y23" i="1"/>
  <c r="S24" i="1"/>
  <c r="U24" i="1"/>
  <c r="AM24" i="1" s="1"/>
  <c r="AN24" i="1" s="1"/>
  <c r="Y24" i="1"/>
  <c r="S25" i="1"/>
  <c r="U25" i="1"/>
  <c r="Y25" i="1"/>
  <c r="AM25" i="1"/>
  <c r="AN25" i="1" s="1"/>
  <c r="S26" i="1"/>
  <c r="U26" i="1"/>
  <c r="AM26" i="1" s="1"/>
  <c r="AN26" i="1" s="1"/>
  <c r="Y26" i="1"/>
  <c r="S27" i="1"/>
  <c r="U27" i="1"/>
  <c r="AM27" i="1" s="1"/>
  <c r="AN27" i="1" s="1"/>
  <c r="Y27" i="1"/>
  <c r="S28" i="1"/>
  <c r="U28" i="1"/>
  <c r="AM28" i="1" s="1"/>
  <c r="AN28" i="1" s="1"/>
  <c r="Y28" i="1"/>
  <c r="S29" i="1"/>
  <c r="U29" i="1"/>
  <c r="AM29" i="1" s="1"/>
  <c r="AN29" i="1" s="1"/>
  <c r="Y29" i="1"/>
  <c r="AU29" i="1" s="1"/>
  <c r="S30" i="1"/>
  <c r="U30" i="1"/>
  <c r="AM30" i="1" s="1"/>
  <c r="AN30" i="1" s="1"/>
  <c r="Y30" i="1"/>
  <c r="S31" i="1"/>
  <c r="U31" i="1"/>
  <c r="Y31" i="1"/>
  <c r="AM31" i="1"/>
  <c r="AN31" i="1" s="1"/>
  <c r="S32" i="1"/>
  <c r="U32" i="1"/>
  <c r="Y32" i="1"/>
  <c r="AM32" i="1"/>
  <c r="AN32" i="1" s="1"/>
  <c r="S33" i="1"/>
  <c r="U33" i="1"/>
  <c r="AM33" i="1" s="1"/>
  <c r="AN33" i="1" s="1"/>
  <c r="Y33" i="1"/>
  <c r="S34" i="1"/>
  <c r="U34" i="1"/>
  <c r="AM34" i="1" s="1"/>
  <c r="AN34" i="1" s="1"/>
  <c r="Y34" i="1"/>
  <c r="AU34" i="1" s="1"/>
  <c r="S35" i="1"/>
  <c r="U35" i="1"/>
  <c r="AM35" i="1" s="1"/>
  <c r="AN35" i="1" s="1"/>
  <c r="Y35" i="1"/>
  <c r="S36" i="1"/>
  <c r="U36" i="1"/>
  <c r="Y36" i="1"/>
  <c r="AM36" i="1"/>
  <c r="AN36" i="1" s="1"/>
  <c r="S37" i="1"/>
  <c r="U37" i="1"/>
  <c r="Y37" i="1"/>
  <c r="AM37" i="1"/>
  <c r="AN37" i="1" s="1"/>
  <c r="S38" i="1"/>
  <c r="U38" i="1"/>
  <c r="AM38" i="1" s="1"/>
  <c r="AN38" i="1" s="1"/>
  <c r="Y38" i="1"/>
  <c r="S39" i="1"/>
  <c r="U39" i="1"/>
  <c r="AM39" i="1" s="1"/>
  <c r="AN39" i="1" s="1"/>
  <c r="Y39" i="1"/>
  <c r="AU39" i="1" s="1"/>
  <c r="S40" i="1"/>
  <c r="U40" i="1"/>
  <c r="AM40" i="1" s="1"/>
  <c r="AN40" i="1" s="1"/>
  <c r="Y40" i="1"/>
  <c r="S41" i="1"/>
  <c r="U41" i="1"/>
  <c r="Y41" i="1"/>
  <c r="AM41" i="1"/>
  <c r="AN41" i="1" s="1"/>
  <c r="S42" i="1"/>
  <c r="U42" i="1"/>
  <c r="AM42" i="1" s="1"/>
  <c r="AN42" i="1" s="1"/>
  <c r="Y42" i="1"/>
  <c r="AU42" i="1" s="1"/>
  <c r="S43" i="1"/>
  <c r="U43" i="1"/>
  <c r="AM43" i="1" s="1"/>
  <c r="AN43" i="1" s="1"/>
  <c r="Y43" i="1"/>
  <c r="S44" i="1"/>
  <c r="U44" i="1"/>
  <c r="AM44" i="1" s="1"/>
  <c r="AN44" i="1" s="1"/>
  <c r="Y44" i="1"/>
  <c r="S45" i="1"/>
  <c r="U45" i="1"/>
  <c r="Y45" i="1"/>
  <c r="AM45" i="1"/>
  <c r="AN45" i="1" s="1"/>
  <c r="S46" i="1"/>
  <c r="U46" i="1"/>
  <c r="AM46" i="1" s="1"/>
  <c r="AN46" i="1" s="1"/>
  <c r="Y46" i="1"/>
  <c r="AU46" i="1" s="1"/>
  <c r="S47" i="1"/>
  <c r="U47" i="1"/>
  <c r="AM47" i="1" s="1"/>
  <c r="AN47" i="1" s="1"/>
  <c r="Y47" i="1"/>
  <c r="AU47" i="1" s="1"/>
  <c r="S48" i="1"/>
  <c r="U48" i="1"/>
  <c r="AM48" i="1" s="1"/>
  <c r="AN48" i="1" s="1"/>
  <c r="Y48" i="1"/>
  <c r="S49" i="1"/>
  <c r="U49" i="1"/>
  <c r="AM49" i="1" s="1"/>
  <c r="AN49" i="1" s="1"/>
  <c r="Y49" i="1"/>
  <c r="S50" i="1"/>
  <c r="U50" i="1"/>
  <c r="Y50" i="1"/>
  <c r="AM50" i="1"/>
  <c r="AN50" i="1" s="1"/>
  <c r="S51" i="1"/>
  <c r="U51" i="1"/>
  <c r="AM51" i="1" s="1"/>
  <c r="AN51" i="1" s="1"/>
  <c r="Y51" i="1"/>
  <c r="S52" i="1"/>
  <c r="U52" i="1"/>
  <c r="AM52" i="1" s="1"/>
  <c r="AN52" i="1" s="1"/>
  <c r="Y52" i="1"/>
  <c r="S53" i="1"/>
  <c r="U53" i="1"/>
  <c r="AM53" i="1" s="1"/>
  <c r="AN53" i="1" s="1"/>
  <c r="AV53" i="1" s="1"/>
  <c r="Y53" i="1"/>
  <c r="S54" i="1"/>
  <c r="U54" i="1"/>
  <c r="AM54" i="1" s="1"/>
  <c r="AN54" i="1" s="1"/>
  <c r="Y54" i="1"/>
  <c r="S55" i="1"/>
  <c r="U55" i="1"/>
  <c r="AM55" i="1" s="1"/>
  <c r="AN55" i="1" s="1"/>
  <c r="Y55" i="1"/>
  <c r="S56" i="1"/>
  <c r="U56" i="1"/>
  <c r="Y56" i="1"/>
  <c r="AM56" i="1"/>
  <c r="AN56" i="1" s="1"/>
  <c r="S57" i="1"/>
  <c r="U57" i="1"/>
  <c r="AM57" i="1" s="1"/>
  <c r="AN57" i="1" s="1"/>
  <c r="Y57" i="1"/>
  <c r="S58" i="1"/>
  <c r="U58" i="1"/>
  <c r="AM58" i="1" s="1"/>
  <c r="AN58" i="1" s="1"/>
  <c r="AV58" i="1" s="1"/>
  <c r="Y58" i="1"/>
  <c r="S59" i="1"/>
  <c r="U59" i="1"/>
  <c r="AM59" i="1" s="1"/>
  <c r="AN59" i="1" s="1"/>
  <c r="Y59" i="1"/>
  <c r="AU59" i="1" s="1"/>
  <c r="S60" i="1"/>
  <c r="U60" i="1"/>
  <c r="AM60" i="1" s="1"/>
  <c r="AN60" i="1" s="1"/>
  <c r="Y60" i="1"/>
  <c r="S61" i="1"/>
  <c r="U61" i="1"/>
  <c r="Y61" i="1"/>
  <c r="AM61" i="1"/>
  <c r="AN61" i="1"/>
  <c r="S62" i="1"/>
  <c r="U62" i="1"/>
  <c r="AM62" i="1" s="1"/>
  <c r="AN62" i="1" s="1"/>
  <c r="Y62" i="1"/>
  <c r="S63" i="1"/>
  <c r="U63" i="1"/>
  <c r="AM63" i="1" s="1"/>
  <c r="AN63" i="1" s="1"/>
  <c r="Y63" i="1"/>
  <c r="S64" i="1"/>
  <c r="U64" i="1"/>
  <c r="AM64" i="1" s="1"/>
  <c r="AN64" i="1" s="1"/>
  <c r="Y64" i="1"/>
  <c r="S65" i="1"/>
  <c r="U65" i="1"/>
  <c r="Y65" i="1"/>
  <c r="AM65" i="1"/>
  <c r="AN65" i="1" s="1"/>
  <c r="S66" i="1"/>
  <c r="U66" i="1"/>
  <c r="AM66" i="1" s="1"/>
  <c r="AN66" i="1" s="1"/>
  <c r="Y66" i="1"/>
  <c r="S67" i="1"/>
  <c r="U67" i="1"/>
  <c r="AM67" i="1" s="1"/>
  <c r="AN67" i="1" s="1"/>
  <c r="Y67" i="1"/>
  <c r="S68" i="1"/>
  <c r="U68" i="1"/>
  <c r="AM68" i="1" s="1"/>
  <c r="AN68" i="1" s="1"/>
  <c r="Y68" i="1"/>
  <c r="S69" i="1"/>
  <c r="U69" i="1"/>
  <c r="AM69" i="1" s="1"/>
  <c r="AN69" i="1" s="1"/>
  <c r="Y69" i="1"/>
  <c r="S70" i="1"/>
  <c r="U70" i="1"/>
  <c r="AM70" i="1" s="1"/>
  <c r="AN70" i="1" s="1"/>
  <c r="Y70" i="1"/>
  <c r="S71" i="1"/>
  <c r="U71" i="1"/>
  <c r="AM71" i="1" s="1"/>
  <c r="AN71" i="1" s="1"/>
  <c r="Y71" i="1"/>
  <c r="S72" i="1"/>
  <c r="U72" i="1"/>
  <c r="AM72" i="1" s="1"/>
  <c r="AN72" i="1" s="1"/>
  <c r="Y72" i="1"/>
  <c r="AU72" i="1" s="1"/>
  <c r="S73" i="1"/>
  <c r="U73" i="1"/>
  <c r="AM73" i="1" s="1"/>
  <c r="AN73" i="1" s="1"/>
  <c r="Y73" i="1"/>
  <c r="S74" i="1"/>
  <c r="U74" i="1"/>
  <c r="AM74" i="1" s="1"/>
  <c r="AN74" i="1" s="1"/>
  <c r="Y74" i="1"/>
  <c r="S75" i="1"/>
  <c r="U75" i="1"/>
  <c r="Y75" i="1"/>
  <c r="AM75" i="1"/>
  <c r="AN75" i="1" s="1"/>
  <c r="S76" i="1"/>
  <c r="U76" i="1"/>
  <c r="Y76" i="1"/>
  <c r="AM76" i="1"/>
  <c r="AN76" i="1" s="1"/>
  <c r="S77" i="1"/>
  <c r="U77" i="1"/>
  <c r="AM77" i="1" s="1"/>
  <c r="AN77" i="1" s="1"/>
  <c r="Y77" i="1"/>
  <c r="S78" i="1"/>
  <c r="U78" i="1"/>
  <c r="AM78" i="1" s="1"/>
  <c r="AN78" i="1" s="1"/>
  <c r="Y78" i="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S85" i="1"/>
  <c r="U85" i="1"/>
  <c r="AM85" i="1" s="1"/>
  <c r="AN85" i="1" s="1"/>
  <c r="Y85" i="1"/>
  <c r="S86" i="1"/>
  <c r="U86" i="1"/>
  <c r="AM86" i="1" s="1"/>
  <c r="AN86" i="1" s="1"/>
  <c r="Y86" i="1"/>
  <c r="S87" i="1"/>
  <c r="U87" i="1"/>
  <c r="AM87" i="1" s="1"/>
  <c r="AN87" i="1" s="1"/>
  <c r="Y87" i="1"/>
  <c r="S88" i="1"/>
  <c r="U88" i="1"/>
  <c r="AM88" i="1" s="1"/>
  <c r="AN88" i="1" s="1"/>
  <c r="Y88" i="1"/>
  <c r="S89" i="1"/>
  <c r="U89" i="1"/>
  <c r="AM89" i="1" s="1"/>
  <c r="AN89" i="1" s="1"/>
  <c r="Y89" i="1"/>
  <c r="S90" i="1"/>
  <c r="U90" i="1"/>
  <c r="AM90" i="1" s="1"/>
  <c r="AN90" i="1" s="1"/>
  <c r="Y90" i="1"/>
  <c r="S91" i="1"/>
  <c r="U91" i="1"/>
  <c r="AM91" i="1" s="1"/>
  <c r="AN91" i="1" s="1"/>
  <c r="Y91" i="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Y98" i="1"/>
  <c r="AM98" i="1"/>
  <c r="AN98" i="1" s="1"/>
  <c r="AV98" i="1" s="1"/>
  <c r="S99" i="1"/>
  <c r="U99" i="1"/>
  <c r="AM99" i="1" s="1"/>
  <c r="AN99" i="1" s="1"/>
  <c r="Y99" i="1"/>
  <c r="AU99" i="1" s="1"/>
  <c r="S100" i="1"/>
  <c r="U100" i="1"/>
  <c r="Y100" i="1"/>
  <c r="AM100" i="1"/>
  <c r="AN100" i="1" s="1"/>
  <c r="S101" i="1"/>
  <c r="U101" i="1"/>
  <c r="AM101" i="1" s="1"/>
  <c r="AN101" i="1" s="1"/>
  <c r="Y101" i="1"/>
  <c r="S102" i="1"/>
  <c r="U102" i="1"/>
  <c r="AM102" i="1" s="1"/>
  <c r="AN102" i="1" s="1"/>
  <c r="Y102" i="1"/>
  <c r="AU102" i="1" s="1"/>
  <c r="S103" i="1"/>
  <c r="U103" i="1"/>
  <c r="Y103" i="1"/>
  <c r="AM103" i="1"/>
  <c r="AN103" i="1" s="1"/>
  <c r="AV103" i="1"/>
  <c r="S104" i="1"/>
  <c r="U104" i="1"/>
  <c r="AM104" i="1" s="1"/>
  <c r="AN104" i="1" s="1"/>
  <c r="Y104" i="1"/>
  <c r="S105" i="1"/>
  <c r="U105" i="1"/>
  <c r="AM105" i="1" s="1"/>
  <c r="AN105" i="1" s="1"/>
  <c r="Y105" i="1"/>
  <c r="S106" i="1"/>
  <c r="U106" i="1"/>
  <c r="AM106" i="1" s="1"/>
  <c r="AN106" i="1" s="1"/>
  <c r="Y106" i="1"/>
  <c r="S107" i="1"/>
  <c r="U107" i="1"/>
  <c r="AM107" i="1" s="1"/>
  <c r="AN107" i="1" s="1"/>
  <c r="Y107" i="1"/>
  <c r="AU107" i="1" s="1"/>
  <c r="S108" i="1"/>
  <c r="U108" i="1"/>
  <c r="AM108" i="1" s="1"/>
  <c r="AN108" i="1" s="1"/>
  <c r="Y108" i="1"/>
  <c r="S109" i="1"/>
  <c r="U109" i="1"/>
  <c r="AM109" i="1" s="1"/>
  <c r="AN109" i="1" s="1"/>
  <c r="Y109" i="1"/>
  <c r="S110" i="1"/>
  <c r="U110" i="1"/>
  <c r="Y110" i="1"/>
  <c r="AM110" i="1"/>
  <c r="AN110" i="1" s="1"/>
  <c r="AV110" i="1" s="1"/>
  <c r="S111" i="1"/>
  <c r="U111" i="1"/>
  <c r="Y111" i="1"/>
  <c r="AM111" i="1"/>
  <c r="AN111" i="1"/>
  <c r="S112" i="1"/>
  <c r="U112" i="1"/>
  <c r="AM112" i="1" s="1"/>
  <c r="AN112" i="1" s="1"/>
  <c r="Y112" i="1"/>
  <c r="S113" i="1"/>
  <c r="U113" i="1"/>
  <c r="AM113" i="1" s="1"/>
  <c r="AN113" i="1" s="1"/>
  <c r="Y113" i="1"/>
  <c r="S114" i="1"/>
  <c r="U114" i="1"/>
  <c r="AM114" i="1" s="1"/>
  <c r="AN114" i="1" s="1"/>
  <c r="Y114" i="1"/>
  <c r="S115" i="1"/>
  <c r="U115" i="1"/>
  <c r="Y115" i="1"/>
  <c r="AM115" i="1"/>
  <c r="AN115" i="1" s="1"/>
  <c r="S116" i="1"/>
  <c r="U116" i="1"/>
  <c r="AM116" i="1" s="1"/>
  <c r="AN116" i="1" s="1"/>
  <c r="Y116" i="1"/>
  <c r="S117" i="1"/>
  <c r="U117" i="1"/>
  <c r="AM117" i="1" s="1"/>
  <c r="AN117" i="1" s="1"/>
  <c r="Y117" i="1"/>
  <c r="S118" i="1"/>
  <c r="U118" i="1"/>
  <c r="AM118" i="1" s="1"/>
  <c r="AN118" i="1" s="1"/>
  <c r="Y118" i="1"/>
  <c r="AU118" i="1" s="1"/>
  <c r="S119" i="1"/>
  <c r="U119" i="1"/>
  <c r="AM119" i="1" s="1"/>
  <c r="AN119" i="1" s="1"/>
  <c r="Y119" i="1"/>
  <c r="AU119" i="1" s="1"/>
  <c r="S120" i="1"/>
  <c r="U120" i="1"/>
  <c r="AM120" i="1" s="1"/>
  <c r="AN120" i="1" s="1"/>
  <c r="Y120" i="1"/>
  <c r="S121" i="1"/>
  <c r="U121" i="1"/>
  <c r="Y121" i="1"/>
  <c r="AM121" i="1"/>
  <c r="AN121" i="1" s="1"/>
  <c r="S122" i="1"/>
  <c r="U122" i="1"/>
  <c r="Y122" i="1"/>
  <c r="AM122" i="1"/>
  <c r="AN122" i="1" s="1"/>
  <c r="S123" i="1"/>
  <c r="U123" i="1"/>
  <c r="AM123" i="1" s="1"/>
  <c r="AN123" i="1" s="1"/>
  <c r="Y123" i="1"/>
  <c r="S124" i="1"/>
  <c r="U124" i="1"/>
  <c r="AM124" i="1" s="1"/>
  <c r="AN124" i="1" s="1"/>
  <c r="Y124" i="1"/>
  <c r="AU124" i="1" s="1"/>
  <c r="S125" i="1"/>
  <c r="U125" i="1"/>
  <c r="AM125" i="1" s="1"/>
  <c r="AN125" i="1" s="1"/>
  <c r="Y125" i="1"/>
  <c r="S126" i="1"/>
  <c r="U126" i="1"/>
  <c r="Y126" i="1"/>
  <c r="AM126" i="1"/>
  <c r="AN126" i="1" s="1"/>
  <c r="S127" i="1"/>
  <c r="U127" i="1"/>
  <c r="AM127" i="1" s="1"/>
  <c r="AN127" i="1" s="1"/>
  <c r="Y127" i="1"/>
  <c r="S128" i="1"/>
  <c r="U128" i="1"/>
  <c r="AM128" i="1" s="1"/>
  <c r="AN128" i="1" s="1"/>
  <c r="Y128" i="1"/>
  <c r="S129" i="1"/>
  <c r="U129" i="1"/>
  <c r="AM129" i="1" s="1"/>
  <c r="AN129" i="1" s="1"/>
  <c r="Y129" i="1"/>
  <c r="AU129" i="1" s="1"/>
  <c r="S130" i="1"/>
  <c r="U130" i="1"/>
  <c r="AM130" i="1" s="1"/>
  <c r="AN130" i="1" s="1"/>
  <c r="Y130" i="1"/>
  <c r="S131" i="1"/>
  <c r="U131" i="1"/>
  <c r="AM131" i="1" s="1"/>
  <c r="AN131" i="1" s="1"/>
  <c r="Y131" i="1"/>
  <c r="S132" i="1"/>
  <c r="U132" i="1"/>
  <c r="AM132" i="1" s="1"/>
  <c r="AN132" i="1" s="1"/>
  <c r="Y132" i="1"/>
  <c r="S133" i="1"/>
  <c r="U133" i="1"/>
  <c r="AM133" i="1" s="1"/>
  <c r="AN133" i="1" s="1"/>
  <c r="Y133" i="1"/>
  <c r="S134" i="1"/>
  <c r="U134" i="1"/>
  <c r="AM134" i="1" s="1"/>
  <c r="AN134" i="1" s="1"/>
  <c r="Y134" i="1"/>
  <c r="S135" i="1"/>
  <c r="U135" i="1"/>
  <c r="Y135" i="1"/>
  <c r="AM135" i="1"/>
  <c r="AN135" i="1" s="1"/>
  <c r="AV135" i="1" s="1"/>
  <c r="S136" i="1"/>
  <c r="U136" i="1"/>
  <c r="AM136" i="1" s="1"/>
  <c r="AN136" i="1" s="1"/>
  <c r="Y136" i="1"/>
  <c r="AU136" i="1" s="1"/>
  <c r="S137" i="1"/>
  <c r="U137" i="1"/>
  <c r="AM137" i="1" s="1"/>
  <c r="AN137" i="1" s="1"/>
  <c r="Y137" i="1"/>
  <c r="S138" i="1"/>
  <c r="U138" i="1"/>
  <c r="AM138" i="1" s="1"/>
  <c r="AN138" i="1" s="1"/>
  <c r="Y138" i="1"/>
  <c r="S139" i="1"/>
  <c r="U139" i="1"/>
  <c r="AM139" i="1" s="1"/>
  <c r="AN139" i="1" s="1"/>
  <c r="Y139" i="1"/>
  <c r="S140" i="1"/>
  <c r="U140" i="1"/>
  <c r="Y140" i="1"/>
  <c r="AM140" i="1"/>
  <c r="AN140" i="1" s="1"/>
  <c r="AV140" i="1" s="1"/>
  <c r="S141" i="1"/>
  <c r="U141" i="1"/>
  <c r="AM141" i="1" s="1"/>
  <c r="Y141" i="1"/>
  <c r="AN141" i="1"/>
  <c r="S142" i="1"/>
  <c r="U142" i="1"/>
  <c r="AM142" i="1" s="1"/>
  <c r="AN142" i="1" s="1"/>
  <c r="Y142" i="1"/>
  <c r="S143" i="1"/>
  <c r="U143" i="1"/>
  <c r="AM143" i="1" s="1"/>
  <c r="AN143" i="1" s="1"/>
  <c r="AV143" i="1" s="1"/>
  <c r="Y143" i="1"/>
  <c r="S144" i="1"/>
  <c r="U144" i="1"/>
  <c r="AM144" i="1" s="1"/>
  <c r="AN144" i="1" s="1"/>
  <c r="Y144" i="1"/>
  <c r="S145" i="1"/>
  <c r="U145" i="1"/>
  <c r="Y145" i="1"/>
  <c r="AM145" i="1"/>
  <c r="AN145" i="1" s="1"/>
  <c r="S146" i="1"/>
  <c r="U146" i="1"/>
  <c r="Y146" i="1"/>
  <c r="AM146" i="1"/>
  <c r="AN146" i="1" s="1"/>
  <c r="S147" i="1"/>
  <c r="U147" i="1"/>
  <c r="AM147" i="1" s="1"/>
  <c r="AN147" i="1" s="1"/>
  <c r="Y147" i="1"/>
  <c r="S148" i="1"/>
  <c r="U148" i="1"/>
  <c r="AM148" i="1" s="1"/>
  <c r="AN148" i="1" s="1"/>
  <c r="Y148" i="1"/>
  <c r="S149" i="1"/>
  <c r="U149" i="1"/>
  <c r="AM149" i="1" s="1"/>
  <c r="AN149" i="1" s="1"/>
  <c r="Y149" i="1"/>
  <c r="S150" i="1"/>
  <c r="U150" i="1"/>
  <c r="AM150" i="1" s="1"/>
  <c r="AN150" i="1" s="1"/>
  <c r="Y150" i="1"/>
  <c r="S151" i="1"/>
  <c r="U151" i="1"/>
  <c r="Y151" i="1"/>
  <c r="AM151" i="1"/>
  <c r="AN151" i="1" s="1"/>
  <c r="S152" i="1"/>
  <c r="U152" i="1"/>
  <c r="AM152" i="1" s="1"/>
  <c r="AN152" i="1" s="1"/>
  <c r="Y152" i="1"/>
  <c r="S153" i="1"/>
  <c r="U153" i="1"/>
  <c r="AM153" i="1" s="1"/>
  <c r="AN153" i="1" s="1"/>
  <c r="Y153" i="1"/>
  <c r="AV153" i="1"/>
  <c r="S154" i="1"/>
  <c r="U154" i="1"/>
  <c r="AM154" i="1" s="1"/>
  <c r="AN154" i="1" s="1"/>
  <c r="Y154" i="1"/>
  <c r="AU154" i="1" s="1"/>
  <c r="S155" i="1"/>
  <c r="U155" i="1"/>
  <c r="AM155" i="1" s="1"/>
  <c r="AN155" i="1" s="1"/>
  <c r="Y155" i="1"/>
  <c r="S156" i="1"/>
  <c r="U156" i="1"/>
  <c r="Y156" i="1"/>
  <c r="AM156" i="1"/>
  <c r="AN156" i="1"/>
  <c r="S157" i="1"/>
  <c r="U157" i="1"/>
  <c r="AM157" i="1" s="1"/>
  <c r="AN157" i="1" s="1"/>
  <c r="Y157" i="1"/>
  <c r="AU157" i="1" s="1"/>
  <c r="S158" i="1"/>
  <c r="U158" i="1"/>
  <c r="AM158" i="1" s="1"/>
  <c r="AN158" i="1" s="1"/>
  <c r="Y158" i="1"/>
  <c r="S159" i="1"/>
  <c r="U159" i="1"/>
  <c r="AM159" i="1" s="1"/>
  <c r="AN159" i="1" s="1"/>
  <c r="Y159" i="1"/>
  <c r="S160" i="1"/>
  <c r="U160" i="1"/>
  <c r="AM160" i="1" s="1"/>
  <c r="AN160" i="1" s="1"/>
  <c r="Y160" i="1"/>
  <c r="S161" i="1"/>
  <c r="U161" i="1"/>
  <c r="Y161" i="1"/>
  <c r="AV161" i="1" s="1"/>
  <c r="AM161" i="1"/>
  <c r="AN161" i="1" s="1"/>
  <c r="S162" i="1"/>
  <c r="U162" i="1"/>
  <c r="AM162" i="1" s="1"/>
  <c r="AN162" i="1" s="1"/>
  <c r="Y162" i="1"/>
  <c r="S163" i="1"/>
  <c r="U163" i="1"/>
  <c r="AM163" i="1" s="1"/>
  <c r="AN163" i="1" s="1"/>
  <c r="Y163" i="1"/>
  <c r="S164" i="1"/>
  <c r="U164" i="1"/>
  <c r="AM164" i="1" s="1"/>
  <c r="AN164" i="1" s="1"/>
  <c r="Y164" i="1"/>
  <c r="S165" i="1"/>
  <c r="U165" i="1"/>
  <c r="Y165" i="1"/>
  <c r="AM165" i="1"/>
  <c r="AN165" i="1"/>
  <c r="AV165" i="1"/>
  <c r="S166" i="1"/>
  <c r="U166" i="1"/>
  <c r="AM166" i="1" s="1"/>
  <c r="AN166" i="1" s="1"/>
  <c r="Y166" i="1"/>
  <c r="AV166" i="1" s="1"/>
  <c r="S167" i="1"/>
  <c r="U167" i="1"/>
  <c r="AM167" i="1" s="1"/>
  <c r="AN167" i="1" s="1"/>
  <c r="Y167" i="1"/>
  <c r="S168" i="1"/>
  <c r="U168" i="1"/>
  <c r="AM168" i="1" s="1"/>
  <c r="AN168" i="1" s="1"/>
  <c r="Y168" i="1"/>
  <c r="S169" i="1"/>
  <c r="U169" i="1"/>
  <c r="AM169" i="1" s="1"/>
  <c r="AN169" i="1" s="1"/>
  <c r="Y169" i="1"/>
  <c r="S170" i="1"/>
  <c r="U170" i="1"/>
  <c r="AM170" i="1" s="1"/>
  <c r="Y170" i="1"/>
  <c r="AN170" i="1"/>
  <c r="S171" i="1"/>
  <c r="U171" i="1"/>
  <c r="Y171" i="1"/>
  <c r="AM171" i="1"/>
  <c r="AN171" i="1" s="1"/>
  <c r="AV171" i="1" s="1"/>
  <c r="S172" i="1"/>
  <c r="U172" i="1"/>
  <c r="AM172" i="1" s="1"/>
  <c r="AN172" i="1" s="1"/>
  <c r="Y172" i="1"/>
  <c r="AU172" i="1" s="1"/>
  <c r="S173" i="1"/>
  <c r="U173" i="1"/>
  <c r="AM173" i="1" s="1"/>
  <c r="AN173" i="1" s="1"/>
  <c r="Y173" i="1"/>
  <c r="S174" i="1"/>
  <c r="U174" i="1"/>
  <c r="AM174" i="1" s="1"/>
  <c r="AN174" i="1" s="1"/>
  <c r="Y174" i="1"/>
  <c r="AV174" i="1"/>
  <c r="S175" i="1"/>
  <c r="U175" i="1"/>
  <c r="AM175" i="1" s="1"/>
  <c r="AN175" i="1" s="1"/>
  <c r="Y175" i="1"/>
  <c r="AU175" i="1" s="1"/>
  <c r="S176" i="1"/>
  <c r="U176" i="1"/>
  <c r="AM176" i="1" s="1"/>
  <c r="AN176" i="1" s="1"/>
  <c r="Y176" i="1"/>
  <c r="S177" i="1"/>
  <c r="U177" i="1"/>
  <c r="AM177" i="1" s="1"/>
  <c r="AN177" i="1" s="1"/>
  <c r="Y177" i="1"/>
  <c r="S178" i="1"/>
  <c r="U178" i="1"/>
  <c r="AM178" i="1" s="1"/>
  <c r="AN178" i="1" s="1"/>
  <c r="AV178" i="1" s="1"/>
  <c r="Y178" i="1"/>
  <c r="S179" i="1"/>
  <c r="U179" i="1"/>
  <c r="AM179" i="1" s="1"/>
  <c r="AN179" i="1" s="1"/>
  <c r="AV179" i="1" s="1"/>
  <c r="Y179" i="1"/>
  <c r="S180" i="1"/>
  <c r="U180" i="1"/>
  <c r="AM180" i="1" s="1"/>
  <c r="Y180" i="1"/>
  <c r="AN180" i="1"/>
  <c r="S181" i="1"/>
  <c r="U181" i="1"/>
  <c r="Y181" i="1"/>
  <c r="AM181" i="1"/>
  <c r="AN181" i="1" s="1"/>
  <c r="S182" i="1"/>
  <c r="U182" i="1"/>
  <c r="AM182" i="1" s="1"/>
  <c r="AN182" i="1" s="1"/>
  <c r="Y182" i="1"/>
  <c r="S183" i="1"/>
  <c r="U183" i="1"/>
  <c r="AM183" i="1" s="1"/>
  <c r="AN183" i="1" s="1"/>
  <c r="Y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AM188" i="1" s="1"/>
  <c r="AN188" i="1" s="1"/>
  <c r="Y188" i="1"/>
  <c r="AV188" i="1"/>
  <c r="S189" i="1"/>
  <c r="U189" i="1"/>
  <c r="AM189" i="1" s="1"/>
  <c r="AN189" i="1" s="1"/>
  <c r="Y189" i="1"/>
  <c r="AV189" i="1" s="1"/>
  <c r="S190" i="1"/>
  <c r="U190" i="1"/>
  <c r="AM190" i="1" s="1"/>
  <c r="AN190" i="1" s="1"/>
  <c r="AV190" i="1" s="1"/>
  <c r="Y190" i="1"/>
  <c r="S191" i="1"/>
  <c r="U191" i="1"/>
  <c r="AM191" i="1" s="1"/>
  <c r="AN191" i="1" s="1"/>
  <c r="Y191" i="1"/>
  <c r="S192" i="1"/>
  <c r="U192" i="1"/>
  <c r="AM192" i="1" s="1"/>
  <c r="AN192" i="1" s="1"/>
  <c r="Y192" i="1"/>
  <c r="AV192" i="1"/>
  <c r="S193" i="1"/>
  <c r="U193" i="1"/>
  <c r="AM193" i="1" s="1"/>
  <c r="AN193" i="1" s="1"/>
  <c r="Y193" i="1"/>
  <c r="AV193" i="1" s="1"/>
  <c r="S194" i="1"/>
  <c r="U194" i="1"/>
  <c r="AM194" i="1" s="1"/>
  <c r="AN194" i="1" s="1"/>
  <c r="Y194" i="1"/>
  <c r="AV194" i="1" s="1"/>
  <c r="S195" i="1"/>
  <c r="U195" i="1"/>
  <c r="AM195" i="1" s="1"/>
  <c r="AN195" i="1" s="1"/>
  <c r="Y195" i="1"/>
  <c r="AV195" i="1" s="1"/>
  <c r="S196" i="1"/>
  <c r="U196" i="1"/>
  <c r="AM196" i="1" s="1"/>
  <c r="AN196" i="1" s="1"/>
  <c r="Y196" i="1"/>
  <c r="S197" i="1"/>
  <c r="U197" i="1"/>
  <c r="AM197" i="1" s="1"/>
  <c r="AN197" i="1" s="1"/>
  <c r="Y197" i="1"/>
  <c r="S198" i="1"/>
  <c r="U198" i="1"/>
  <c r="AM198" i="1" s="1"/>
  <c r="AN198" i="1" s="1"/>
  <c r="Y198" i="1"/>
  <c r="S199" i="1"/>
  <c r="U199" i="1"/>
  <c r="AM199" i="1" s="1"/>
  <c r="AN199" i="1" s="1"/>
  <c r="Y199" i="1"/>
  <c r="AV199" i="1" s="1"/>
  <c r="S200" i="1"/>
  <c r="U200" i="1"/>
  <c r="AM200" i="1" s="1"/>
  <c r="AN200" i="1" s="1"/>
  <c r="Y200" i="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Y206" i="1"/>
  <c r="AM206" i="1"/>
  <c r="AN206" i="1" s="1"/>
  <c r="AV206" i="1" s="1"/>
  <c r="S207" i="1"/>
  <c r="U207" i="1"/>
  <c r="AM207" i="1" s="1"/>
  <c r="AN207" i="1" s="1"/>
  <c r="Y207" i="1"/>
  <c r="S208" i="1"/>
  <c r="U208" i="1"/>
  <c r="AM208" i="1" s="1"/>
  <c r="AN208" i="1" s="1"/>
  <c r="Y208" i="1"/>
  <c r="AV208" i="1" s="1"/>
  <c r="S209" i="1"/>
  <c r="U209" i="1"/>
  <c r="AM209" i="1" s="1"/>
  <c r="AN209" i="1" s="1"/>
  <c r="Y209" i="1"/>
  <c r="S210" i="1"/>
  <c r="U210" i="1"/>
  <c r="Y210" i="1"/>
  <c r="AM210" i="1"/>
  <c r="AN210" i="1" s="1"/>
  <c r="AV210" i="1" s="1"/>
  <c r="S211" i="1"/>
  <c r="U211" i="1"/>
  <c r="Y211" i="1"/>
  <c r="AM211" i="1"/>
  <c r="AN211" i="1" s="1"/>
  <c r="S212" i="1"/>
  <c r="U212" i="1"/>
  <c r="AM212" i="1" s="1"/>
  <c r="Y212" i="1"/>
  <c r="AN212" i="1"/>
  <c r="AV212" i="1" s="1"/>
  <c r="S213" i="1"/>
  <c r="U213" i="1"/>
  <c r="AM213" i="1" s="1"/>
  <c r="AN213" i="1" s="1"/>
  <c r="Y213" i="1"/>
  <c r="S214" i="1"/>
  <c r="U214" i="1"/>
  <c r="AM214" i="1" s="1"/>
  <c r="AN214" i="1" s="1"/>
  <c r="Y214" i="1"/>
  <c r="S215" i="1"/>
  <c r="U215" i="1"/>
  <c r="Y215" i="1"/>
  <c r="AM215" i="1"/>
  <c r="AN215" i="1" s="1"/>
  <c r="S216" i="1"/>
  <c r="U216" i="1"/>
  <c r="Y216" i="1"/>
  <c r="AM216" i="1"/>
  <c r="AN216" i="1" s="1"/>
  <c r="S217" i="1"/>
  <c r="U217" i="1"/>
  <c r="AM217" i="1" s="1"/>
  <c r="AN217" i="1" s="1"/>
  <c r="Y217" i="1"/>
  <c r="AW217" i="1" s="1"/>
  <c r="S218" i="1"/>
  <c r="U218" i="1"/>
  <c r="AM218" i="1" s="1"/>
  <c r="AN218" i="1" s="1"/>
  <c r="Y218" i="1"/>
  <c r="S219" i="1"/>
  <c r="U219" i="1"/>
  <c r="AM219" i="1" s="1"/>
  <c r="AN219" i="1" s="1"/>
  <c r="Y219" i="1"/>
  <c r="S220" i="1"/>
  <c r="U220" i="1"/>
  <c r="AM220" i="1" s="1"/>
  <c r="AN220" i="1" s="1"/>
  <c r="Y220" i="1"/>
  <c r="S221" i="1"/>
  <c r="U221" i="1"/>
  <c r="AM221" i="1" s="1"/>
  <c r="AN221" i="1" s="1"/>
  <c r="Y221" i="1"/>
  <c r="S222" i="1"/>
  <c r="U222" i="1"/>
  <c r="AM222" i="1" s="1"/>
  <c r="AN222" i="1" s="1"/>
  <c r="Y222" i="1"/>
  <c r="S223" i="1"/>
  <c r="U223" i="1"/>
  <c r="AM223" i="1" s="1"/>
  <c r="AN223" i="1" s="1"/>
  <c r="Y223" i="1"/>
  <c r="S224" i="1"/>
  <c r="U224" i="1"/>
  <c r="AM224" i="1" s="1"/>
  <c r="AN224" i="1" s="1"/>
  <c r="Y224" i="1"/>
  <c r="AU224" i="1" s="1"/>
  <c r="S225" i="1"/>
  <c r="U225" i="1"/>
  <c r="AM225" i="1" s="1"/>
  <c r="AN225" i="1" s="1"/>
  <c r="Y225" i="1"/>
  <c r="S226" i="1"/>
  <c r="U226" i="1"/>
  <c r="AM226" i="1" s="1"/>
  <c r="AN226" i="1" s="1"/>
  <c r="Y226" i="1"/>
  <c r="S227" i="1"/>
  <c r="U227" i="1"/>
  <c r="AM227" i="1" s="1"/>
  <c r="AN227" i="1" s="1"/>
  <c r="Y227" i="1"/>
  <c r="S228" i="1"/>
  <c r="U228" i="1"/>
  <c r="Y228" i="1"/>
  <c r="AM228" i="1"/>
  <c r="AN228" i="1" s="1"/>
  <c r="S229" i="1"/>
  <c r="U229" i="1"/>
  <c r="AM229" i="1" s="1"/>
  <c r="AN229" i="1" s="1"/>
  <c r="Y229" i="1"/>
  <c r="S230" i="1"/>
  <c r="U230" i="1"/>
  <c r="AM230" i="1" s="1"/>
  <c r="AN230" i="1" s="1"/>
  <c r="Y230" i="1"/>
  <c r="S231" i="1"/>
  <c r="U231" i="1"/>
  <c r="AM231" i="1" s="1"/>
  <c r="AN231" i="1" s="1"/>
  <c r="Y231" i="1"/>
  <c r="S232" i="1"/>
  <c r="U232" i="1"/>
  <c r="AM232" i="1" s="1"/>
  <c r="AN232" i="1" s="1"/>
  <c r="Y232" i="1"/>
  <c r="S233" i="1"/>
  <c r="U233" i="1"/>
  <c r="AM233" i="1" s="1"/>
  <c r="AN233" i="1" s="1"/>
  <c r="Y233" i="1"/>
  <c r="S234" i="1"/>
  <c r="U234" i="1"/>
  <c r="AM234" i="1" s="1"/>
  <c r="AN234" i="1" s="1"/>
  <c r="Y234" i="1"/>
  <c r="S235" i="1"/>
  <c r="U235" i="1"/>
  <c r="AM235" i="1" s="1"/>
  <c r="AN235" i="1" s="1"/>
  <c r="Y235" i="1"/>
  <c r="AU235" i="1" s="1"/>
  <c r="S236" i="1"/>
  <c r="U236" i="1"/>
  <c r="AM236" i="1" s="1"/>
  <c r="AN236" i="1" s="1"/>
  <c r="Y236" i="1"/>
  <c r="S237" i="1"/>
  <c r="U237" i="1"/>
  <c r="AM237" i="1" s="1"/>
  <c r="AN237" i="1" s="1"/>
  <c r="Y237" i="1"/>
  <c r="S238" i="1"/>
  <c r="U238" i="1"/>
  <c r="Y238" i="1"/>
  <c r="AM238" i="1"/>
  <c r="AN238" i="1" s="1"/>
  <c r="S239" i="1"/>
  <c r="U239" i="1"/>
  <c r="AM239" i="1" s="1"/>
  <c r="AN239" i="1" s="1"/>
  <c r="AV239" i="1" s="1"/>
  <c r="Y239" i="1"/>
  <c r="S240" i="1"/>
  <c r="U240" i="1"/>
  <c r="AM240" i="1" s="1"/>
  <c r="AN240" i="1" s="1"/>
  <c r="Y240" i="1"/>
  <c r="S241" i="1"/>
  <c r="U241" i="1"/>
  <c r="AM241" i="1" s="1"/>
  <c r="AN241" i="1" s="1"/>
  <c r="Y241" i="1"/>
  <c r="S242" i="1"/>
  <c r="U242" i="1"/>
  <c r="AM242" i="1" s="1"/>
  <c r="AN242" i="1" s="1"/>
  <c r="Y242" i="1"/>
  <c r="S243" i="1"/>
  <c r="U243" i="1"/>
  <c r="AM243" i="1" s="1"/>
  <c r="AN243" i="1" s="1"/>
  <c r="Y243" i="1"/>
  <c r="S244" i="1"/>
  <c r="U244" i="1"/>
  <c r="AM244" i="1" s="1"/>
  <c r="AN244" i="1" s="1"/>
  <c r="Y244" i="1"/>
  <c r="S245" i="1"/>
  <c r="U245" i="1"/>
  <c r="AM245" i="1" s="1"/>
  <c r="AN245" i="1" s="1"/>
  <c r="Y245" i="1"/>
  <c r="AU245" i="1" s="1"/>
  <c r="S246" i="1"/>
  <c r="U246" i="1"/>
  <c r="AM246" i="1" s="1"/>
  <c r="AN246" i="1" s="1"/>
  <c r="Y246" i="1"/>
  <c r="S247" i="1"/>
  <c r="U247" i="1"/>
  <c r="AM247" i="1" s="1"/>
  <c r="AN247" i="1" s="1"/>
  <c r="Y247" i="1"/>
  <c r="S248" i="1"/>
  <c r="U248" i="1"/>
  <c r="AM248" i="1" s="1"/>
  <c r="AN248" i="1" s="1"/>
  <c r="Y248" i="1"/>
  <c r="S249" i="1"/>
  <c r="U249" i="1"/>
  <c r="AM249" i="1" s="1"/>
  <c r="AN249" i="1" s="1"/>
  <c r="Y249" i="1"/>
  <c r="S250" i="1"/>
  <c r="U250" i="1"/>
  <c r="AM250" i="1" s="1"/>
  <c r="AN250" i="1" s="1"/>
  <c r="Y250" i="1"/>
  <c r="S251" i="1"/>
  <c r="U251" i="1"/>
  <c r="AM251" i="1" s="1"/>
  <c r="AN251" i="1" s="1"/>
  <c r="Y251" i="1"/>
  <c r="S252" i="1"/>
  <c r="U252" i="1"/>
  <c r="AM252" i="1" s="1"/>
  <c r="AN252" i="1" s="1"/>
  <c r="Y252" i="1"/>
  <c r="S253" i="1"/>
  <c r="U253" i="1"/>
  <c r="AM253" i="1" s="1"/>
  <c r="AN253" i="1" s="1"/>
  <c r="Y253" i="1"/>
  <c r="S254" i="1"/>
  <c r="U254" i="1"/>
  <c r="AM254" i="1" s="1"/>
  <c r="AN254" i="1" s="1"/>
  <c r="Y254" i="1"/>
  <c r="S255" i="1"/>
  <c r="U255" i="1"/>
  <c r="AM255" i="1" s="1"/>
  <c r="AN255" i="1" s="1"/>
  <c r="Y255" i="1"/>
  <c r="S256" i="1"/>
  <c r="U256" i="1"/>
  <c r="AM256" i="1" s="1"/>
  <c r="AN256" i="1" s="1"/>
  <c r="Y256" i="1"/>
  <c r="S257" i="1"/>
  <c r="U257" i="1"/>
  <c r="Y257" i="1"/>
  <c r="AM257" i="1"/>
  <c r="AN257" i="1" s="1"/>
  <c r="S258" i="1"/>
  <c r="U258" i="1"/>
  <c r="AM258" i="1" s="1"/>
  <c r="AN258" i="1" s="1"/>
  <c r="Y258" i="1"/>
  <c r="S259" i="1"/>
  <c r="U259" i="1"/>
  <c r="AM259" i="1" s="1"/>
  <c r="AN259" i="1" s="1"/>
  <c r="Y259" i="1"/>
  <c r="S260" i="1"/>
  <c r="U260" i="1"/>
  <c r="AM260" i="1" s="1"/>
  <c r="AN260" i="1" s="1"/>
  <c r="Y260" i="1"/>
  <c r="S261" i="1"/>
  <c r="U261" i="1"/>
  <c r="AM261" i="1" s="1"/>
  <c r="AN261" i="1" s="1"/>
  <c r="Y261" i="1"/>
  <c r="S262" i="1"/>
  <c r="U262" i="1"/>
  <c r="Y262" i="1"/>
  <c r="AM262" i="1"/>
  <c r="AN262" i="1"/>
  <c r="S263" i="1"/>
  <c r="U263" i="1"/>
  <c r="AM263" i="1" s="1"/>
  <c r="AN263" i="1" s="1"/>
  <c r="Y263" i="1"/>
  <c r="S264" i="1"/>
  <c r="U264" i="1"/>
  <c r="AM264" i="1" s="1"/>
  <c r="AN264" i="1" s="1"/>
  <c r="Y264" i="1"/>
  <c r="S265" i="1"/>
  <c r="U265" i="1"/>
  <c r="AM265" i="1" s="1"/>
  <c r="AN265" i="1" s="1"/>
  <c r="Y265" i="1"/>
  <c r="S266" i="1"/>
  <c r="U266" i="1"/>
  <c r="AM266" i="1" s="1"/>
  <c r="AN266" i="1" s="1"/>
  <c r="Y266" i="1"/>
  <c r="S267" i="1"/>
  <c r="U267" i="1"/>
  <c r="Y267" i="1"/>
  <c r="AM267" i="1"/>
  <c r="AN267" i="1"/>
  <c r="S268" i="1"/>
  <c r="U268" i="1"/>
  <c r="AM268" i="1" s="1"/>
  <c r="AN268" i="1" s="1"/>
  <c r="Y268" i="1"/>
  <c r="S269" i="1"/>
  <c r="U269" i="1"/>
  <c r="AM269" i="1" s="1"/>
  <c r="AN269" i="1" s="1"/>
  <c r="Y269" i="1"/>
  <c r="AU269" i="1" s="1"/>
  <c r="S270" i="1"/>
  <c r="U270" i="1"/>
  <c r="AM270" i="1" s="1"/>
  <c r="AN270" i="1" s="1"/>
  <c r="Y270" i="1"/>
  <c r="S271" i="1"/>
  <c r="U271" i="1"/>
  <c r="AM271" i="1" s="1"/>
  <c r="AN271" i="1" s="1"/>
  <c r="Y271" i="1"/>
  <c r="S272" i="1"/>
  <c r="U272" i="1"/>
  <c r="Y272" i="1"/>
  <c r="AM272" i="1"/>
  <c r="AN272" i="1"/>
  <c r="S273" i="1"/>
  <c r="U273" i="1"/>
  <c r="Y273" i="1"/>
  <c r="AM273" i="1"/>
  <c r="AN273" i="1" s="1"/>
  <c r="AU273" i="1" s="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Y278" i="1"/>
  <c r="AN278" i="1"/>
  <c r="AV278" i="1" s="1"/>
  <c r="S279" i="1"/>
  <c r="U279" i="1"/>
  <c r="AM279" i="1" s="1"/>
  <c r="AN279" i="1" s="1"/>
  <c r="Y279" i="1"/>
  <c r="S280" i="1"/>
  <c r="U280" i="1"/>
  <c r="AM280" i="1" s="1"/>
  <c r="AN280" i="1" s="1"/>
  <c r="Y280" i="1"/>
  <c r="S281" i="1"/>
  <c r="U281" i="1"/>
  <c r="AM281" i="1" s="1"/>
  <c r="AN281" i="1" s="1"/>
  <c r="Y281" i="1"/>
  <c r="S282" i="1"/>
  <c r="U282" i="1"/>
  <c r="AM282" i="1" s="1"/>
  <c r="AN282" i="1" s="1"/>
  <c r="Y282" i="1"/>
  <c r="S283" i="1"/>
  <c r="U283" i="1"/>
  <c r="Y283" i="1"/>
  <c r="AM283" i="1"/>
  <c r="AN283" i="1" s="1"/>
  <c r="AV283" i="1" s="1"/>
  <c r="S284" i="1"/>
  <c r="U284" i="1"/>
  <c r="AM284" i="1" s="1"/>
  <c r="AN284" i="1" s="1"/>
  <c r="Y284" i="1"/>
  <c r="AU284" i="1" s="1"/>
  <c r="S285" i="1"/>
  <c r="U285" i="1"/>
  <c r="AM285" i="1" s="1"/>
  <c r="AN285" i="1" s="1"/>
  <c r="Y285" i="1"/>
  <c r="AU285" i="1" s="1"/>
  <c r="S286" i="1"/>
  <c r="U286" i="1"/>
  <c r="AM286" i="1" s="1"/>
  <c r="AN286" i="1" s="1"/>
  <c r="Y286" i="1"/>
  <c r="S287" i="1"/>
  <c r="U287" i="1"/>
  <c r="AM287" i="1" s="1"/>
  <c r="AN287" i="1" s="1"/>
  <c r="Y287" i="1"/>
  <c r="S288" i="1"/>
  <c r="U288" i="1"/>
  <c r="AM288" i="1" s="1"/>
  <c r="AN288" i="1" s="1"/>
  <c r="AV288" i="1" s="1"/>
  <c r="Y288" i="1"/>
  <c r="S289" i="1"/>
  <c r="U289" i="1"/>
  <c r="AM289" i="1" s="1"/>
  <c r="AN289" i="1" s="1"/>
  <c r="Y289" i="1"/>
  <c r="S290" i="1"/>
  <c r="U290" i="1"/>
  <c r="AM290" i="1" s="1"/>
  <c r="AN290" i="1" s="1"/>
  <c r="Y290" i="1"/>
  <c r="AU290" i="1" s="1"/>
  <c r="S291" i="1"/>
  <c r="U291" i="1"/>
  <c r="AM291" i="1" s="1"/>
  <c r="AN291" i="1" s="1"/>
  <c r="Y291" i="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Y297" i="1"/>
  <c r="AM297" i="1"/>
  <c r="AN297" i="1"/>
  <c r="S298" i="1"/>
  <c r="U298" i="1"/>
  <c r="AM298" i="1" s="1"/>
  <c r="AN298" i="1" s="1"/>
  <c r="Y298" i="1"/>
  <c r="S299" i="1"/>
  <c r="U299" i="1"/>
  <c r="AM299" i="1" s="1"/>
  <c r="AN299" i="1" s="1"/>
  <c r="Y299" i="1"/>
  <c r="AU299" i="1" s="1"/>
  <c r="S300" i="1"/>
  <c r="U300" i="1"/>
  <c r="AM300" i="1" s="1"/>
  <c r="AN300" i="1" s="1"/>
  <c r="Y300" i="1"/>
  <c r="S301" i="1"/>
  <c r="U301" i="1"/>
  <c r="AM301" i="1" s="1"/>
  <c r="AN301" i="1" s="1"/>
  <c r="Y301" i="1"/>
  <c r="S302" i="1"/>
  <c r="U302" i="1"/>
  <c r="Y302" i="1"/>
  <c r="AM302" i="1"/>
  <c r="AN302" i="1" s="1"/>
  <c r="AV302" i="1" s="1"/>
  <c r="S303" i="1"/>
  <c r="U303" i="1"/>
  <c r="AM303" i="1" s="1"/>
  <c r="AN303" i="1" s="1"/>
  <c r="Y303" i="1"/>
  <c r="S304" i="1"/>
  <c r="U304" i="1"/>
  <c r="AM304" i="1" s="1"/>
  <c r="AN304" i="1" s="1"/>
  <c r="Y304" i="1"/>
  <c r="AU304" i="1" s="1"/>
  <c r="S305" i="1"/>
  <c r="U305" i="1"/>
  <c r="AM305" i="1" s="1"/>
  <c r="AN305" i="1" s="1"/>
  <c r="Y305" i="1"/>
  <c r="S306" i="1"/>
  <c r="U306" i="1"/>
  <c r="AM306" i="1" s="1"/>
  <c r="AN306" i="1" s="1"/>
  <c r="Y306" i="1"/>
  <c r="S307" i="1"/>
  <c r="U307" i="1"/>
  <c r="AM307" i="1" s="1"/>
  <c r="AN307" i="1" s="1"/>
  <c r="AV307" i="1" s="1"/>
  <c r="Y307" i="1"/>
  <c r="S308" i="1"/>
  <c r="U308" i="1"/>
  <c r="AM308" i="1" s="1"/>
  <c r="AN308" i="1" s="1"/>
  <c r="Y308" i="1"/>
  <c r="S309" i="1"/>
  <c r="U309" i="1"/>
  <c r="Y309" i="1"/>
  <c r="AM309" i="1"/>
  <c r="AN309" i="1" s="1"/>
  <c r="S310" i="1"/>
  <c r="U310" i="1"/>
  <c r="AM310" i="1" s="1"/>
  <c r="AN310" i="1" s="1"/>
  <c r="Y310" i="1"/>
  <c r="S311" i="1"/>
  <c r="U311" i="1"/>
  <c r="AM311" i="1" s="1"/>
  <c r="AN311" i="1" s="1"/>
  <c r="Y311" i="1"/>
  <c r="S312" i="1"/>
  <c r="U312" i="1"/>
  <c r="AM312" i="1" s="1"/>
  <c r="AN312" i="1" s="1"/>
  <c r="Y312" i="1"/>
  <c r="S313" i="1"/>
  <c r="U313" i="1"/>
  <c r="AM313" i="1" s="1"/>
  <c r="AN313" i="1" s="1"/>
  <c r="AV313" i="1" s="1"/>
  <c r="Y313" i="1"/>
  <c r="S314" i="1"/>
  <c r="U314" i="1"/>
  <c r="AM314" i="1" s="1"/>
  <c r="AN314" i="1" s="1"/>
  <c r="Y314" i="1"/>
  <c r="S315" i="1"/>
  <c r="U315" i="1"/>
  <c r="AM315" i="1" s="1"/>
  <c r="AN315" i="1" s="1"/>
  <c r="Y315" i="1"/>
  <c r="S316" i="1"/>
  <c r="U316" i="1"/>
  <c r="AM316" i="1" s="1"/>
  <c r="AN316" i="1" s="1"/>
  <c r="Y316" i="1"/>
  <c r="S317" i="1"/>
  <c r="U317" i="1"/>
  <c r="Y317" i="1"/>
  <c r="AM317" i="1"/>
  <c r="AN317" i="1"/>
  <c r="S318" i="1"/>
  <c r="U318" i="1"/>
  <c r="AM318" i="1" s="1"/>
  <c r="AN318" i="1" s="1"/>
  <c r="AV318" i="1" s="1"/>
  <c r="Y318" i="1"/>
  <c r="S319" i="1"/>
  <c r="U319" i="1"/>
  <c r="AM319" i="1" s="1"/>
  <c r="AN319" i="1" s="1"/>
  <c r="Y319" i="1"/>
  <c r="S320" i="1"/>
  <c r="U320" i="1"/>
  <c r="AM320" i="1" s="1"/>
  <c r="AN320" i="1" s="1"/>
  <c r="Y320" i="1"/>
  <c r="S321" i="1"/>
  <c r="U321" i="1"/>
  <c r="AM321" i="1" s="1"/>
  <c r="AN321" i="1" s="1"/>
  <c r="Y321" i="1"/>
  <c r="S322" i="1"/>
  <c r="U322" i="1"/>
  <c r="AM322" i="1" s="1"/>
  <c r="AN322" i="1" s="1"/>
  <c r="Y322" i="1"/>
  <c r="AW322" i="1" s="1"/>
  <c r="S323" i="1"/>
  <c r="U323" i="1"/>
  <c r="AM323" i="1" s="1"/>
  <c r="AN323" i="1" s="1"/>
  <c r="Y323" i="1"/>
  <c r="S324" i="1"/>
  <c r="U324" i="1"/>
  <c r="AM324" i="1" s="1"/>
  <c r="AN324" i="1" s="1"/>
  <c r="Y324" i="1"/>
  <c r="S325" i="1"/>
  <c r="U325" i="1"/>
  <c r="AM325" i="1" s="1"/>
  <c r="AN325" i="1" s="1"/>
  <c r="Y325" i="1"/>
  <c r="S326" i="1"/>
  <c r="U326" i="1"/>
  <c r="Y326" i="1"/>
  <c r="AM326" i="1"/>
  <c r="AN326" i="1" s="1"/>
  <c r="S327" i="1"/>
  <c r="U327" i="1"/>
  <c r="AM327" i="1" s="1"/>
  <c r="AN327" i="1" s="1"/>
  <c r="Y327" i="1"/>
  <c r="AW327" i="1" s="1"/>
  <c r="S328" i="1"/>
  <c r="U328" i="1"/>
  <c r="AM328" i="1" s="1"/>
  <c r="AN328" i="1" s="1"/>
  <c r="Y328" i="1"/>
  <c r="S329" i="1"/>
  <c r="U329" i="1"/>
  <c r="AM329" i="1" s="1"/>
  <c r="AN329" i="1" s="1"/>
  <c r="Y329" i="1"/>
  <c r="AU329" i="1" s="1"/>
  <c r="S330" i="1"/>
  <c r="U330" i="1"/>
  <c r="AM330" i="1" s="1"/>
  <c r="AN330" i="1" s="1"/>
  <c r="Y330" i="1"/>
  <c r="S331" i="1"/>
  <c r="U331" i="1"/>
  <c r="AM331" i="1" s="1"/>
  <c r="AN331" i="1" s="1"/>
  <c r="Y331" i="1"/>
  <c r="S332" i="1"/>
  <c r="U332" i="1"/>
  <c r="AM332" i="1" s="1"/>
  <c r="AN332" i="1" s="1"/>
  <c r="AV332" i="1" s="1"/>
  <c r="Y332" i="1"/>
  <c r="S333" i="1"/>
  <c r="U333" i="1"/>
  <c r="Y333" i="1"/>
  <c r="AM333" i="1"/>
  <c r="AN333" i="1" s="1"/>
  <c r="AV333" i="1" s="1"/>
  <c r="S334" i="1"/>
  <c r="U334" i="1"/>
  <c r="AM334" i="1" s="1"/>
  <c r="AN334" i="1" s="1"/>
  <c r="Y334" i="1"/>
  <c r="S335" i="1"/>
  <c r="U335" i="1"/>
  <c r="AM335" i="1" s="1"/>
  <c r="AN335" i="1" s="1"/>
  <c r="Y335" i="1"/>
  <c r="AU335" i="1" s="1"/>
  <c r="S336" i="1"/>
  <c r="U336" i="1"/>
  <c r="AM336" i="1" s="1"/>
  <c r="AN336" i="1" s="1"/>
  <c r="Y336" i="1"/>
  <c r="S337" i="1"/>
  <c r="U337" i="1"/>
  <c r="AM337" i="1" s="1"/>
  <c r="AN337" i="1" s="1"/>
  <c r="AV337" i="1" s="1"/>
  <c r="Y337" i="1"/>
  <c r="S338" i="1"/>
  <c r="U338" i="1"/>
  <c r="AM338" i="1" s="1"/>
  <c r="AN338" i="1" s="1"/>
  <c r="AV338" i="1" s="1"/>
  <c r="Y338" i="1"/>
  <c r="S339" i="1"/>
  <c r="U339" i="1"/>
  <c r="AM339" i="1" s="1"/>
  <c r="AN339" i="1" s="1"/>
  <c r="Y339" i="1"/>
  <c r="S340" i="1"/>
  <c r="U340" i="1"/>
  <c r="AM340" i="1" s="1"/>
  <c r="AN340" i="1" s="1"/>
  <c r="Y340" i="1"/>
  <c r="AU340" i="1" s="1"/>
  <c r="S341" i="1"/>
  <c r="U341" i="1"/>
  <c r="AM341" i="1" s="1"/>
  <c r="AN341" i="1" s="1"/>
  <c r="Y341" i="1"/>
  <c r="S342" i="1"/>
  <c r="U342" i="1"/>
  <c r="AM342" i="1" s="1"/>
  <c r="AN342" i="1" s="1"/>
  <c r="Y342" i="1"/>
  <c r="S343" i="1"/>
  <c r="U343" i="1"/>
  <c r="AM343" i="1" s="1"/>
  <c r="AN343" i="1" s="1"/>
  <c r="AV343" i="1" s="1"/>
  <c r="Y343" i="1"/>
  <c r="S344" i="1"/>
  <c r="U344" i="1"/>
  <c r="AM344" i="1" s="1"/>
  <c r="AN344" i="1" s="1"/>
  <c r="Y344" i="1"/>
  <c r="S345" i="1"/>
  <c r="U345" i="1"/>
  <c r="AM345" i="1" s="1"/>
  <c r="AN345" i="1" s="1"/>
  <c r="Y345" i="1"/>
  <c r="AU345" i="1" s="1"/>
  <c r="S346" i="1"/>
  <c r="U346" i="1"/>
  <c r="AM346" i="1" s="1"/>
  <c r="AN346" i="1" s="1"/>
  <c r="Y346" i="1"/>
  <c r="S347" i="1"/>
  <c r="U347" i="1"/>
  <c r="AM347" i="1" s="1"/>
  <c r="AN347" i="1" s="1"/>
  <c r="Y347" i="1"/>
  <c r="AV347" i="1" s="1"/>
  <c r="S348" i="1"/>
  <c r="U348" i="1"/>
  <c r="Y348" i="1"/>
  <c r="AM348" i="1"/>
  <c r="AN348" i="1" s="1"/>
  <c r="AV348" i="1" s="1"/>
  <c r="S349" i="1"/>
  <c r="U349" i="1"/>
  <c r="AM349" i="1" s="1"/>
  <c r="AN349" i="1" s="1"/>
  <c r="Y349" i="1"/>
  <c r="S350" i="1"/>
  <c r="U350" i="1"/>
  <c r="AM350" i="1" s="1"/>
  <c r="AN350" i="1" s="1"/>
  <c r="Y350" i="1"/>
  <c r="S351" i="1"/>
  <c r="U351" i="1"/>
  <c r="AM351" i="1" s="1"/>
  <c r="AN351" i="1" s="1"/>
  <c r="Y351" i="1"/>
  <c r="S352" i="1"/>
  <c r="U352" i="1"/>
  <c r="AM352" i="1" s="1"/>
  <c r="AN352" i="1" s="1"/>
  <c r="Y352" i="1"/>
  <c r="S353" i="1"/>
  <c r="U353" i="1"/>
  <c r="Y353" i="1"/>
  <c r="AM353" i="1"/>
  <c r="AN353" i="1" s="1"/>
  <c r="AV353" i="1" s="1"/>
  <c r="S354" i="1"/>
  <c r="U354" i="1"/>
  <c r="AM354" i="1" s="1"/>
  <c r="AN354" i="1" s="1"/>
  <c r="Y354" i="1"/>
  <c r="S355" i="1"/>
  <c r="U355" i="1"/>
  <c r="AM355" i="1" s="1"/>
  <c r="AN355" i="1" s="1"/>
  <c r="Y355" i="1"/>
  <c r="S356" i="1"/>
  <c r="U356" i="1"/>
  <c r="AM356" i="1" s="1"/>
  <c r="AN356" i="1" s="1"/>
  <c r="Y356" i="1"/>
  <c r="AV356" i="1" s="1"/>
  <c r="S357" i="1"/>
  <c r="U357" i="1"/>
  <c r="AM357" i="1" s="1"/>
  <c r="AN357" i="1" s="1"/>
  <c r="Y357" i="1"/>
  <c r="AV357" i="1"/>
  <c r="S358" i="1"/>
  <c r="U358" i="1"/>
  <c r="AM358" i="1" s="1"/>
  <c r="AN358" i="1" s="1"/>
  <c r="Y358" i="1"/>
  <c r="S359" i="1"/>
  <c r="U359" i="1"/>
  <c r="AM359" i="1" s="1"/>
  <c r="AN359" i="1" s="1"/>
  <c r="Y359" i="1"/>
  <c r="S360" i="1"/>
  <c r="U360" i="1"/>
  <c r="AM360" i="1" s="1"/>
  <c r="AN360" i="1" s="1"/>
  <c r="Y360" i="1"/>
  <c r="S361" i="1"/>
  <c r="U361" i="1"/>
  <c r="AM361" i="1" s="1"/>
  <c r="AN361" i="1" s="1"/>
  <c r="Y361" i="1"/>
  <c r="AV361" i="1"/>
  <c r="S362" i="1"/>
  <c r="U362" i="1"/>
  <c r="Y362" i="1"/>
  <c r="AM362" i="1"/>
  <c r="AN362" i="1" s="1"/>
  <c r="AV362" i="1" s="1"/>
  <c r="S363" i="1"/>
  <c r="U363" i="1"/>
  <c r="Y363" i="1"/>
  <c r="AM363" i="1"/>
  <c r="AN363" i="1"/>
  <c r="S364" i="1"/>
  <c r="U364" i="1"/>
  <c r="AM364" i="1" s="1"/>
  <c r="AN364" i="1" s="1"/>
  <c r="Y364" i="1"/>
  <c r="S365" i="1"/>
  <c r="U365" i="1"/>
  <c r="AM365" i="1" s="1"/>
  <c r="AN365" i="1" s="1"/>
  <c r="Y365" i="1"/>
  <c r="S366" i="1"/>
  <c r="U366" i="1"/>
  <c r="AM366" i="1" s="1"/>
  <c r="AN366" i="1" s="1"/>
  <c r="Y366" i="1"/>
  <c r="AV366" i="1"/>
  <c r="S367" i="1"/>
  <c r="U367" i="1"/>
  <c r="AM367" i="1" s="1"/>
  <c r="AN367" i="1" s="1"/>
  <c r="Y367" i="1"/>
  <c r="S368" i="1"/>
  <c r="U368" i="1"/>
  <c r="AM368" i="1" s="1"/>
  <c r="AN368" i="1" s="1"/>
  <c r="Y368" i="1"/>
  <c r="S369" i="1"/>
  <c r="U369" i="1"/>
  <c r="AM369" i="1" s="1"/>
  <c r="AN369" i="1" s="1"/>
  <c r="Y369" i="1"/>
  <c r="S370" i="1"/>
  <c r="U370" i="1"/>
  <c r="AM370" i="1" s="1"/>
  <c r="AN370" i="1" s="1"/>
  <c r="Y370" i="1"/>
  <c r="S371" i="1"/>
  <c r="U371" i="1"/>
  <c r="AM371" i="1" s="1"/>
  <c r="AN371" i="1" s="1"/>
  <c r="Y371" i="1"/>
  <c r="S372" i="1"/>
  <c r="U372" i="1"/>
  <c r="Y372" i="1"/>
  <c r="AM372" i="1"/>
  <c r="AN372" i="1" s="1"/>
  <c r="S373" i="1"/>
  <c r="U373" i="1"/>
  <c r="AM373" i="1" s="1"/>
  <c r="AN373" i="1" s="1"/>
  <c r="Y373" i="1"/>
  <c r="S374" i="1"/>
  <c r="U374" i="1"/>
  <c r="AM374" i="1" s="1"/>
  <c r="AN374" i="1" s="1"/>
  <c r="Y374" i="1"/>
  <c r="AV374" i="1" s="1"/>
  <c r="S375" i="1"/>
  <c r="U375" i="1"/>
  <c r="AM375" i="1" s="1"/>
  <c r="AN375" i="1" s="1"/>
  <c r="Y375" i="1"/>
  <c r="S376" i="1"/>
  <c r="U376" i="1"/>
  <c r="AM376" i="1" s="1"/>
  <c r="AN376" i="1" s="1"/>
  <c r="Y376" i="1"/>
  <c r="AV376" i="1" s="1"/>
  <c r="S377" i="1"/>
  <c r="U377" i="1"/>
  <c r="Y377" i="1"/>
  <c r="AM377" i="1"/>
  <c r="AN377" i="1" s="1"/>
  <c r="AV377" i="1" s="1"/>
  <c r="S378" i="1"/>
  <c r="U378" i="1"/>
  <c r="AM378" i="1" s="1"/>
  <c r="AN378" i="1" s="1"/>
  <c r="Y378" i="1"/>
  <c r="S379" i="1"/>
  <c r="U379" i="1"/>
  <c r="AM379" i="1" s="1"/>
  <c r="AN379" i="1" s="1"/>
  <c r="Y379" i="1"/>
  <c r="S380" i="1"/>
  <c r="U380" i="1"/>
  <c r="AM380" i="1" s="1"/>
  <c r="AN380" i="1" s="1"/>
  <c r="Y380" i="1"/>
  <c r="S381" i="1"/>
  <c r="U381" i="1"/>
  <c r="AM381" i="1" s="1"/>
  <c r="AN381" i="1" s="1"/>
  <c r="Y381" i="1"/>
  <c r="S382" i="1"/>
  <c r="U382" i="1"/>
  <c r="Y382" i="1"/>
  <c r="AM382" i="1"/>
  <c r="AN382" i="1" s="1"/>
  <c r="S383" i="1"/>
  <c r="U383" i="1"/>
  <c r="Y383" i="1"/>
  <c r="AM383" i="1"/>
  <c r="AN383" i="1" s="1"/>
  <c r="AV383" i="1" s="1"/>
  <c r="S384" i="1"/>
  <c r="U384" i="1"/>
  <c r="AM384" i="1" s="1"/>
  <c r="AN384" i="1" s="1"/>
  <c r="Y384" i="1"/>
  <c r="S385" i="1"/>
  <c r="U385" i="1"/>
  <c r="AM385" i="1" s="1"/>
  <c r="AN385" i="1" s="1"/>
  <c r="Y385" i="1"/>
  <c r="S386" i="1"/>
  <c r="U386" i="1"/>
  <c r="AM386" i="1" s="1"/>
  <c r="AN386" i="1" s="1"/>
  <c r="Y386" i="1"/>
  <c r="AV386" i="1" s="1"/>
  <c r="S387" i="1"/>
  <c r="U387" i="1"/>
  <c r="AM387" i="1" s="1"/>
  <c r="Y387" i="1"/>
  <c r="AN387" i="1"/>
  <c r="S388" i="1"/>
  <c r="U388" i="1"/>
  <c r="AM388" i="1" s="1"/>
  <c r="AN388" i="1" s="1"/>
  <c r="Y388" i="1"/>
  <c r="S389" i="1"/>
  <c r="U389" i="1"/>
  <c r="AM389" i="1" s="1"/>
  <c r="Y389" i="1"/>
  <c r="AN389" i="1"/>
  <c r="S390" i="1"/>
  <c r="U390" i="1"/>
  <c r="AM390" i="1" s="1"/>
  <c r="AN390" i="1" s="1"/>
  <c r="Y390" i="1"/>
  <c r="S391" i="1"/>
  <c r="U391" i="1"/>
  <c r="AM391" i="1" s="1"/>
  <c r="AN391" i="1" s="1"/>
  <c r="Y391" i="1"/>
  <c r="S392" i="1"/>
  <c r="U392" i="1"/>
  <c r="Y392" i="1"/>
  <c r="AM392" i="1"/>
  <c r="AN392" i="1" s="1"/>
  <c r="S393" i="1"/>
  <c r="U393" i="1"/>
  <c r="Y393" i="1"/>
  <c r="AM393" i="1"/>
  <c r="AN393" i="1" s="1"/>
  <c r="AV393" i="1" s="1"/>
  <c r="S394" i="1"/>
  <c r="U394" i="1"/>
  <c r="Y394" i="1"/>
  <c r="AM394" i="1"/>
  <c r="AN394" i="1" s="1"/>
  <c r="S395" i="1"/>
  <c r="U395" i="1"/>
  <c r="AM395" i="1" s="1"/>
  <c r="AN395" i="1" s="1"/>
  <c r="Y395" i="1"/>
  <c r="S396" i="1"/>
  <c r="U396" i="1"/>
  <c r="AM396" i="1" s="1"/>
  <c r="AN396" i="1" s="1"/>
  <c r="Y396" i="1"/>
  <c r="S397" i="1"/>
  <c r="U397" i="1"/>
  <c r="Y397" i="1"/>
  <c r="AV397" i="1" s="1"/>
  <c r="AM397" i="1"/>
  <c r="AN397" i="1" s="1"/>
  <c r="S398" i="1"/>
  <c r="U398" i="1"/>
  <c r="Y398" i="1"/>
  <c r="AM398" i="1"/>
  <c r="AN398" i="1"/>
  <c r="AV398" i="1" s="1"/>
  <c r="S399" i="1"/>
  <c r="U399" i="1"/>
  <c r="AM399" i="1" s="1"/>
  <c r="AN399" i="1" s="1"/>
  <c r="Y399" i="1"/>
  <c r="S400" i="1"/>
  <c r="U400" i="1"/>
  <c r="AM400" i="1" s="1"/>
  <c r="AN400" i="1" s="1"/>
  <c r="Y400" i="1"/>
  <c r="S401" i="1"/>
  <c r="U401" i="1"/>
  <c r="AM401" i="1" s="1"/>
  <c r="Y401" i="1"/>
  <c r="AN401" i="1"/>
  <c r="S402" i="1"/>
  <c r="U402" i="1"/>
  <c r="AM402" i="1" s="1"/>
  <c r="AN402" i="1" s="1"/>
  <c r="Y402" i="1"/>
  <c r="S403" i="1"/>
  <c r="U403" i="1"/>
  <c r="Y403" i="1"/>
  <c r="AM403" i="1"/>
  <c r="AN403" i="1" s="1"/>
  <c r="AV403" i="1" s="1"/>
  <c r="S404" i="1"/>
  <c r="U404" i="1"/>
  <c r="Y404" i="1"/>
  <c r="AM404" i="1"/>
  <c r="AN404" i="1" s="1"/>
  <c r="S405" i="1"/>
  <c r="U405" i="1"/>
  <c r="AM405" i="1" s="1"/>
  <c r="AN405" i="1" s="1"/>
  <c r="Y405" i="1"/>
  <c r="S406" i="1"/>
  <c r="U406" i="1"/>
  <c r="AM406" i="1" s="1"/>
  <c r="AN406" i="1" s="1"/>
  <c r="Y406" i="1"/>
  <c r="S407" i="1"/>
  <c r="U407" i="1"/>
  <c r="AM407" i="1" s="1"/>
  <c r="AN407" i="1" s="1"/>
  <c r="AU407" i="1" s="1"/>
  <c r="Y407" i="1"/>
  <c r="S408" i="1"/>
  <c r="U408" i="1"/>
  <c r="AM408" i="1" s="1"/>
  <c r="AN408" i="1" s="1"/>
  <c r="Y408" i="1"/>
  <c r="S409" i="1"/>
  <c r="U409" i="1"/>
  <c r="AM409" i="1" s="1"/>
  <c r="AN409" i="1" s="1"/>
  <c r="Y409" i="1"/>
  <c r="S410" i="1"/>
  <c r="U410" i="1"/>
  <c r="AM410" i="1" s="1"/>
  <c r="AN410" i="1" s="1"/>
  <c r="Y410" i="1"/>
  <c r="S411" i="1"/>
  <c r="U411" i="1"/>
  <c r="AM411" i="1" s="1"/>
  <c r="Y411" i="1"/>
  <c r="AN411" i="1"/>
  <c r="AU411" i="1"/>
  <c r="AV411" i="1"/>
  <c r="S412" i="1"/>
  <c r="U412" i="1"/>
  <c r="AM412" i="1" s="1"/>
  <c r="AN412" i="1" s="1"/>
  <c r="Y412" i="1"/>
  <c r="S413" i="1"/>
  <c r="U413" i="1"/>
  <c r="Y413" i="1"/>
  <c r="AM413" i="1"/>
  <c r="AN413" i="1" s="1"/>
  <c r="S414" i="1"/>
  <c r="U414" i="1"/>
  <c r="AM414" i="1" s="1"/>
  <c r="AN414" i="1" s="1"/>
  <c r="AU414" i="1" s="1"/>
  <c r="Y414" i="1"/>
  <c r="S415" i="1"/>
  <c r="U415" i="1"/>
  <c r="AM415" i="1" s="1"/>
  <c r="AN415" i="1" s="1"/>
  <c r="Y415" i="1"/>
  <c r="S416" i="1"/>
  <c r="U416" i="1"/>
  <c r="Y416" i="1"/>
  <c r="AM416" i="1"/>
  <c r="AN416" i="1" s="1"/>
  <c r="S417" i="1"/>
  <c r="U417" i="1"/>
  <c r="AM417" i="1" s="1"/>
  <c r="AN417" i="1" s="1"/>
  <c r="Y417" i="1"/>
  <c r="S418" i="1"/>
  <c r="U418" i="1"/>
  <c r="Y418" i="1"/>
  <c r="AM418" i="1"/>
  <c r="AN418" i="1" s="1"/>
  <c r="S419" i="1"/>
  <c r="U419" i="1"/>
  <c r="Y419" i="1"/>
  <c r="AM419" i="1"/>
  <c r="AN419" i="1" s="1"/>
  <c r="S420" i="1"/>
  <c r="U420" i="1"/>
  <c r="AM420" i="1" s="1"/>
  <c r="AN420" i="1" s="1"/>
  <c r="Y420" i="1"/>
  <c r="S421" i="1"/>
  <c r="U421" i="1"/>
  <c r="AM421" i="1" s="1"/>
  <c r="AN421" i="1" s="1"/>
  <c r="Y421" i="1"/>
  <c r="S422" i="1"/>
  <c r="U422" i="1"/>
  <c r="Y422" i="1"/>
  <c r="AM422" i="1"/>
  <c r="AN422" i="1" s="1"/>
  <c r="S423" i="1"/>
  <c r="U423" i="1"/>
  <c r="AM423" i="1" s="1"/>
  <c r="AN423" i="1" s="1"/>
  <c r="Y423" i="1"/>
  <c r="AV423" i="1" s="1"/>
  <c r="S424" i="1"/>
  <c r="U424" i="1"/>
  <c r="AM424" i="1" s="1"/>
  <c r="AN424" i="1" s="1"/>
  <c r="Y424" i="1"/>
  <c r="AU424" i="1" s="1"/>
  <c r="S425" i="1"/>
  <c r="U425" i="1"/>
  <c r="AM425" i="1" s="1"/>
  <c r="AN425" i="1" s="1"/>
  <c r="Y425" i="1"/>
  <c r="S426" i="1"/>
  <c r="U426" i="1"/>
  <c r="AM426" i="1" s="1"/>
  <c r="AN426" i="1" s="1"/>
  <c r="Y426" i="1"/>
  <c r="S427" i="1"/>
  <c r="U427" i="1"/>
  <c r="AM427" i="1" s="1"/>
  <c r="AN427" i="1" s="1"/>
  <c r="Y427" i="1"/>
  <c r="S428" i="1"/>
  <c r="U428" i="1"/>
  <c r="AM428" i="1" s="1"/>
  <c r="AN428" i="1" s="1"/>
  <c r="Y428" i="1"/>
  <c r="S429" i="1"/>
  <c r="U429" i="1"/>
  <c r="AM429" i="1" s="1"/>
  <c r="AN429" i="1" s="1"/>
  <c r="Y429" i="1"/>
  <c r="S430" i="1"/>
  <c r="U430" i="1"/>
  <c r="Y430" i="1"/>
  <c r="AM430" i="1"/>
  <c r="AN430" i="1" s="1"/>
  <c r="AV430" i="1" s="1"/>
  <c r="S431" i="1"/>
  <c r="U431" i="1"/>
  <c r="AM431" i="1" s="1"/>
  <c r="AN431" i="1" s="1"/>
  <c r="Y431" i="1"/>
  <c r="S432" i="1"/>
  <c r="U432" i="1"/>
  <c r="AM432" i="1" s="1"/>
  <c r="AN432" i="1" s="1"/>
  <c r="Y432" i="1"/>
  <c r="S433" i="1"/>
  <c r="U433" i="1"/>
  <c r="AM433" i="1" s="1"/>
  <c r="AN433" i="1" s="1"/>
  <c r="Y433" i="1"/>
  <c r="S434" i="1"/>
  <c r="U434" i="1"/>
  <c r="Y434" i="1"/>
  <c r="AM434" i="1"/>
  <c r="AN434" i="1" s="1"/>
  <c r="S435" i="1"/>
  <c r="U435" i="1"/>
  <c r="Y435" i="1"/>
  <c r="AM435" i="1"/>
  <c r="AN435" i="1" s="1"/>
  <c r="AV435" i="1" s="1"/>
  <c r="S436" i="1"/>
  <c r="U436" i="1"/>
  <c r="AM436" i="1" s="1"/>
  <c r="AN436" i="1" s="1"/>
  <c r="Y436" i="1"/>
  <c r="S437" i="1"/>
  <c r="U437" i="1"/>
  <c r="AM437" i="1" s="1"/>
  <c r="AN437" i="1" s="1"/>
  <c r="Y437" i="1"/>
  <c r="S438" i="1"/>
  <c r="U438" i="1"/>
  <c r="AM438" i="1" s="1"/>
  <c r="AN438" i="1" s="1"/>
  <c r="Y438" i="1"/>
  <c r="S439" i="1"/>
  <c r="U439" i="1"/>
  <c r="Y439" i="1"/>
  <c r="AM439" i="1"/>
  <c r="AN439" i="1" s="1"/>
  <c r="S440" i="1"/>
  <c r="U440" i="1"/>
  <c r="AM440" i="1" s="1"/>
  <c r="AN440" i="1" s="1"/>
  <c r="Y440" i="1"/>
  <c r="S441" i="1"/>
  <c r="U441" i="1"/>
  <c r="AM441" i="1" s="1"/>
  <c r="AN441" i="1" s="1"/>
  <c r="Y441" i="1"/>
  <c r="S442" i="1"/>
  <c r="U442" i="1"/>
  <c r="Y442" i="1"/>
  <c r="AM442" i="1"/>
  <c r="AN442" i="1" s="1"/>
  <c r="S443" i="1"/>
  <c r="U443" i="1"/>
  <c r="AM443" i="1" s="1"/>
  <c r="AN443" i="1" s="1"/>
  <c r="Y443" i="1"/>
  <c r="S444" i="1"/>
  <c r="U444" i="1"/>
  <c r="AM444" i="1" s="1"/>
  <c r="AN444" i="1" s="1"/>
  <c r="Y444" i="1"/>
  <c r="S445" i="1"/>
  <c r="U445" i="1"/>
  <c r="Y445" i="1"/>
  <c r="AM445" i="1"/>
  <c r="AN445" i="1" s="1"/>
  <c r="S446" i="1"/>
  <c r="U446" i="1"/>
  <c r="Y446" i="1"/>
  <c r="AM446" i="1"/>
  <c r="AN446" i="1" s="1"/>
  <c r="S447" i="1"/>
  <c r="U447" i="1"/>
  <c r="AM447" i="1" s="1"/>
  <c r="AN447" i="1" s="1"/>
  <c r="Y447" i="1"/>
  <c r="S448" i="1"/>
  <c r="U448" i="1"/>
  <c r="AM448" i="1" s="1"/>
  <c r="AN448" i="1" s="1"/>
  <c r="AU448" i="1" s="1"/>
  <c r="Y448" i="1"/>
  <c r="S449" i="1"/>
  <c r="U449" i="1"/>
  <c r="AM449" i="1" s="1"/>
  <c r="AN449" i="1" s="1"/>
  <c r="Y449" i="1"/>
  <c r="S450" i="1"/>
  <c r="U450" i="1"/>
  <c r="AM450" i="1" s="1"/>
  <c r="AN450" i="1" s="1"/>
  <c r="Y450" i="1"/>
  <c r="S451" i="1"/>
  <c r="U451" i="1"/>
  <c r="AM451" i="1" s="1"/>
  <c r="AN451" i="1" s="1"/>
  <c r="Y451" i="1"/>
  <c r="S452" i="1"/>
  <c r="U452" i="1"/>
  <c r="AM452" i="1" s="1"/>
  <c r="AN452" i="1" s="1"/>
  <c r="Y452" i="1"/>
  <c r="S453" i="1"/>
  <c r="U453" i="1"/>
  <c r="AM453" i="1" s="1"/>
  <c r="AN453" i="1" s="1"/>
  <c r="Y453" i="1"/>
  <c r="S454" i="1"/>
  <c r="U454" i="1"/>
  <c r="AM454" i="1" s="1"/>
  <c r="AN454" i="1" s="1"/>
  <c r="Y454" i="1"/>
  <c r="AU454" i="1" s="1"/>
  <c r="S455" i="1"/>
  <c r="U455" i="1"/>
  <c r="Y455" i="1"/>
  <c r="AM455" i="1"/>
  <c r="AN455" i="1" s="1"/>
  <c r="S456" i="1"/>
  <c r="U456" i="1"/>
  <c r="AM456" i="1" s="1"/>
  <c r="AN456" i="1" s="1"/>
  <c r="Y456" i="1"/>
  <c r="S457" i="1"/>
  <c r="U457" i="1"/>
  <c r="AM457" i="1" s="1"/>
  <c r="AN457" i="1" s="1"/>
  <c r="Y457" i="1"/>
  <c r="S458" i="1"/>
  <c r="U458" i="1"/>
  <c r="Y458" i="1"/>
  <c r="AM458" i="1"/>
  <c r="AN458" i="1" s="1"/>
  <c r="AU458" i="1" s="1"/>
  <c r="S459" i="1"/>
  <c r="U459" i="1"/>
  <c r="AM459" i="1" s="1"/>
  <c r="AN459" i="1" s="1"/>
  <c r="Y459" i="1"/>
  <c r="S460" i="1"/>
  <c r="U460" i="1"/>
  <c r="Y460" i="1"/>
  <c r="AM460" i="1"/>
  <c r="AN460" i="1" s="1"/>
  <c r="AV460" i="1" s="1"/>
  <c r="S461" i="1"/>
  <c r="U461" i="1"/>
  <c r="AM461" i="1" s="1"/>
  <c r="AN461" i="1" s="1"/>
  <c r="AW461" i="1" s="1"/>
  <c r="Y461" i="1"/>
  <c r="S462" i="1"/>
  <c r="U462" i="1"/>
  <c r="AM462" i="1" s="1"/>
  <c r="AN462" i="1" s="1"/>
  <c r="Y462" i="1"/>
  <c r="S463" i="1"/>
  <c r="U463" i="1"/>
  <c r="AM463" i="1" s="1"/>
  <c r="AN463" i="1" s="1"/>
  <c r="Y463" i="1"/>
  <c r="AV463" i="1" s="1"/>
  <c r="S464" i="1"/>
  <c r="U464" i="1"/>
  <c r="AM464" i="1" s="1"/>
  <c r="Y464" i="1"/>
  <c r="AN464" i="1"/>
  <c r="S465" i="1"/>
  <c r="U465" i="1"/>
  <c r="AM465" i="1" s="1"/>
  <c r="AN465" i="1" s="1"/>
  <c r="Y465" i="1"/>
  <c r="S466" i="1"/>
  <c r="U466" i="1"/>
  <c r="AM466" i="1" s="1"/>
  <c r="AN466" i="1" s="1"/>
  <c r="Y466" i="1"/>
  <c r="S467" i="1"/>
  <c r="U467" i="1"/>
  <c r="AM467" i="1" s="1"/>
  <c r="AN467" i="1" s="1"/>
  <c r="Y467" i="1"/>
  <c r="S468" i="1"/>
  <c r="U468" i="1"/>
  <c r="AM468" i="1" s="1"/>
  <c r="AN468" i="1" s="1"/>
  <c r="Y468" i="1"/>
  <c r="S469" i="1"/>
  <c r="U469" i="1"/>
  <c r="AM469" i="1" s="1"/>
  <c r="AN469" i="1" s="1"/>
  <c r="Y469" i="1"/>
  <c r="S470" i="1"/>
  <c r="U470" i="1"/>
  <c r="AM470" i="1" s="1"/>
  <c r="AN470" i="1" s="1"/>
  <c r="Y470" i="1"/>
  <c r="S471" i="1"/>
  <c r="U471" i="1"/>
  <c r="Y471" i="1"/>
  <c r="AM471" i="1"/>
  <c r="AN471" i="1" s="1"/>
  <c r="AU471" i="1" s="1"/>
  <c r="S472" i="1"/>
  <c r="U472" i="1"/>
  <c r="AM472" i="1" s="1"/>
  <c r="AN472" i="1" s="1"/>
  <c r="Y472" i="1"/>
  <c r="S473" i="1"/>
  <c r="U473" i="1"/>
  <c r="AM473" i="1" s="1"/>
  <c r="Y473" i="1"/>
  <c r="AN473" i="1"/>
  <c r="S474" i="1"/>
  <c r="U474" i="1"/>
  <c r="AM474" i="1" s="1"/>
  <c r="AN474" i="1" s="1"/>
  <c r="AW474" i="1" s="1"/>
  <c r="Y474" i="1"/>
  <c r="S475" i="1"/>
  <c r="U475" i="1"/>
  <c r="AM475" i="1" s="1"/>
  <c r="AN475" i="1" s="1"/>
  <c r="Y475" i="1"/>
  <c r="AV475" i="1" s="1"/>
  <c r="S476" i="1"/>
  <c r="U476" i="1"/>
  <c r="Y476" i="1"/>
  <c r="AM476" i="1"/>
  <c r="AN476" i="1" s="1"/>
  <c r="S477" i="1"/>
  <c r="U477" i="1"/>
  <c r="AM477" i="1" s="1"/>
  <c r="AN477" i="1" s="1"/>
  <c r="Y477" i="1"/>
  <c r="S478" i="1"/>
  <c r="U478" i="1"/>
  <c r="AM478" i="1" s="1"/>
  <c r="AN478" i="1" s="1"/>
  <c r="Y478" i="1"/>
  <c r="S479" i="1"/>
  <c r="U479" i="1"/>
  <c r="AM479" i="1" s="1"/>
  <c r="AN479" i="1" s="1"/>
  <c r="Y479" i="1"/>
  <c r="S480" i="1"/>
  <c r="U480" i="1"/>
  <c r="Y480" i="1"/>
  <c r="AM480" i="1"/>
  <c r="AN480" i="1" s="1"/>
  <c r="S481" i="1"/>
  <c r="U481" i="1"/>
  <c r="AM481" i="1" s="1"/>
  <c r="AN481" i="1" s="1"/>
  <c r="Y481" i="1"/>
  <c r="S482" i="1"/>
  <c r="U482" i="1"/>
  <c r="Y482" i="1"/>
  <c r="AM482" i="1"/>
  <c r="AN482" i="1" s="1"/>
  <c r="AW482" i="1" s="1"/>
  <c r="AV482" i="1"/>
  <c r="S483" i="1"/>
  <c r="U483" i="1"/>
  <c r="AM483" i="1" s="1"/>
  <c r="AN483" i="1" s="1"/>
  <c r="Y483" i="1"/>
  <c r="S484" i="1"/>
  <c r="U484" i="1"/>
  <c r="AM484" i="1" s="1"/>
  <c r="AN484" i="1" s="1"/>
  <c r="Y484" i="1"/>
  <c r="AV484" i="1" s="1"/>
  <c r="S485" i="1"/>
  <c r="U485" i="1"/>
  <c r="AM485" i="1" s="1"/>
  <c r="AN485" i="1" s="1"/>
  <c r="Y485" i="1"/>
  <c r="S486" i="1"/>
  <c r="U486" i="1"/>
  <c r="AM486" i="1" s="1"/>
  <c r="AN486" i="1" s="1"/>
  <c r="Y486" i="1"/>
  <c r="S487" i="1"/>
  <c r="U487" i="1"/>
  <c r="AM487" i="1" s="1"/>
  <c r="AN487" i="1" s="1"/>
  <c r="Y487" i="1"/>
  <c r="S488" i="1"/>
  <c r="U488" i="1"/>
  <c r="Y488" i="1"/>
  <c r="AM488" i="1"/>
  <c r="AN488" i="1" s="1"/>
  <c r="AU488" i="1" s="1"/>
  <c r="S489" i="1"/>
  <c r="U489" i="1"/>
  <c r="AM489" i="1" s="1"/>
  <c r="AN489" i="1" s="1"/>
  <c r="Y489" i="1"/>
  <c r="S490" i="1"/>
  <c r="U490" i="1"/>
  <c r="AM490" i="1" s="1"/>
  <c r="AN490" i="1" s="1"/>
  <c r="Y490" i="1"/>
  <c r="S491" i="1"/>
  <c r="U491" i="1"/>
  <c r="AM491" i="1" s="1"/>
  <c r="AN491" i="1" s="1"/>
  <c r="Y491" i="1"/>
  <c r="S492" i="1"/>
  <c r="U492" i="1"/>
  <c r="AM492" i="1" s="1"/>
  <c r="AN492" i="1" s="1"/>
  <c r="Y492" i="1"/>
  <c r="S493" i="1"/>
  <c r="U493" i="1"/>
  <c r="Y493" i="1"/>
  <c r="AM493" i="1"/>
  <c r="AN493" i="1" s="1"/>
  <c r="S494" i="1"/>
  <c r="U494" i="1"/>
  <c r="AM494" i="1" s="1"/>
  <c r="AN494" i="1" s="1"/>
  <c r="Y494" i="1"/>
  <c r="S495" i="1"/>
  <c r="U495" i="1"/>
  <c r="AM495" i="1" s="1"/>
  <c r="AN495" i="1" s="1"/>
  <c r="Y495" i="1"/>
  <c r="AV495" i="1"/>
  <c r="S496" i="1"/>
  <c r="U496" i="1"/>
  <c r="AM496" i="1" s="1"/>
  <c r="AN496" i="1" s="1"/>
  <c r="Y496" i="1"/>
  <c r="S497" i="1"/>
  <c r="U497" i="1"/>
  <c r="AM497" i="1" s="1"/>
  <c r="AN497" i="1" s="1"/>
  <c r="Y497" i="1"/>
  <c r="S498" i="1"/>
  <c r="U498" i="1"/>
  <c r="Y498" i="1"/>
  <c r="AM498" i="1"/>
  <c r="AN498" i="1"/>
  <c r="AW498" i="1" s="1"/>
  <c r="S499" i="1"/>
  <c r="U499" i="1"/>
  <c r="AM499" i="1" s="1"/>
  <c r="AN499" i="1" s="1"/>
  <c r="Y499" i="1"/>
  <c r="S500" i="1"/>
  <c r="U500" i="1"/>
  <c r="AM500" i="1" s="1"/>
  <c r="AN500" i="1" s="1"/>
  <c r="Y500" i="1"/>
  <c r="S501" i="1"/>
  <c r="U501" i="1"/>
  <c r="Y501" i="1"/>
  <c r="AM501" i="1"/>
  <c r="AN501" i="1" s="1"/>
  <c r="AV501" i="1" s="1"/>
  <c r="S502" i="1"/>
  <c r="U502" i="1"/>
  <c r="AM502" i="1" s="1"/>
  <c r="AN502" i="1" s="1"/>
  <c r="Y502" i="1"/>
  <c r="S503" i="1"/>
  <c r="U503" i="1"/>
  <c r="Y503" i="1"/>
  <c r="AM503" i="1"/>
  <c r="AN503" i="1" s="1"/>
  <c r="S504" i="1"/>
  <c r="U504" i="1"/>
  <c r="AM504" i="1" s="1"/>
  <c r="Y504" i="1"/>
  <c r="AN504" i="1"/>
  <c r="S505" i="1"/>
  <c r="U505" i="1"/>
  <c r="Y505" i="1"/>
  <c r="AM505" i="1"/>
  <c r="AN505" i="1" s="1"/>
  <c r="AV505" i="1"/>
  <c r="S506" i="1"/>
  <c r="U506" i="1"/>
  <c r="AM506" i="1" s="1"/>
  <c r="AN506" i="1" s="1"/>
  <c r="Y506" i="1"/>
  <c r="AU506" i="1" s="1"/>
  <c r="S507" i="1"/>
  <c r="U507" i="1"/>
  <c r="AM507" i="1" s="1"/>
  <c r="AN507" i="1" s="1"/>
  <c r="Y507" i="1"/>
  <c r="S508" i="1"/>
  <c r="U508" i="1"/>
  <c r="AM508" i="1" s="1"/>
  <c r="AN508" i="1" s="1"/>
  <c r="Y508" i="1"/>
  <c r="S509" i="1"/>
  <c r="U509" i="1"/>
  <c r="Y509" i="1"/>
  <c r="AM509" i="1"/>
  <c r="AN509" i="1" s="1"/>
  <c r="AV509" i="1" s="1"/>
  <c r="S510" i="1"/>
  <c r="U510" i="1"/>
  <c r="Y510" i="1"/>
  <c r="AM510" i="1"/>
  <c r="AN510" i="1" s="1"/>
  <c r="S511" i="1"/>
  <c r="U511" i="1"/>
  <c r="AM511" i="1" s="1"/>
  <c r="AN511" i="1" s="1"/>
  <c r="Y511" i="1"/>
  <c r="S512" i="1"/>
  <c r="U512" i="1"/>
  <c r="AM512" i="1" s="1"/>
  <c r="AN512" i="1" s="1"/>
  <c r="Y512" i="1"/>
  <c r="S513" i="1"/>
  <c r="U513" i="1"/>
  <c r="AM513" i="1" s="1"/>
  <c r="AN513" i="1" s="1"/>
  <c r="AW513" i="1" s="1"/>
  <c r="Y513" i="1"/>
  <c r="S514" i="1"/>
  <c r="U514" i="1"/>
  <c r="AM514" i="1" s="1"/>
  <c r="AN514" i="1" s="1"/>
  <c r="Y514" i="1"/>
  <c r="S515" i="1"/>
  <c r="U515" i="1"/>
  <c r="AM515" i="1" s="1"/>
  <c r="AN515" i="1" s="1"/>
  <c r="Y515" i="1"/>
  <c r="S516" i="1"/>
  <c r="U516" i="1"/>
  <c r="Y516" i="1"/>
  <c r="AM516" i="1"/>
  <c r="AN516" i="1" s="1"/>
  <c r="S517" i="1"/>
  <c r="U517" i="1"/>
  <c r="AM517" i="1" s="1"/>
  <c r="AN517" i="1" s="1"/>
  <c r="Y517" i="1"/>
  <c r="S518" i="1"/>
  <c r="U518" i="1"/>
  <c r="AM518" i="1" s="1"/>
  <c r="AN518" i="1" s="1"/>
  <c r="Y518" i="1"/>
  <c r="S519" i="1"/>
  <c r="U519" i="1"/>
  <c r="Y519" i="1"/>
  <c r="AM519" i="1"/>
  <c r="AN519" i="1" s="1"/>
  <c r="S520" i="1"/>
  <c r="U520" i="1"/>
  <c r="AM520" i="1" s="1"/>
  <c r="AN520" i="1" s="1"/>
  <c r="Y520" i="1"/>
  <c r="AU520" i="1" s="1"/>
  <c r="S521" i="1"/>
  <c r="U521" i="1"/>
  <c r="Y521" i="1"/>
  <c r="AM521" i="1"/>
  <c r="AN521" i="1" s="1"/>
  <c r="S522" i="1"/>
  <c r="U522" i="1"/>
  <c r="AM522" i="1" s="1"/>
  <c r="AN522" i="1" s="1"/>
  <c r="Y522" i="1"/>
  <c r="S523" i="1"/>
  <c r="U523" i="1"/>
  <c r="AM523" i="1" s="1"/>
  <c r="AN523" i="1" s="1"/>
  <c r="Y523" i="1"/>
  <c r="S524" i="1"/>
  <c r="U524" i="1"/>
  <c r="AM524" i="1" s="1"/>
  <c r="AN524" i="1" s="1"/>
  <c r="Y524" i="1"/>
  <c r="S525" i="1"/>
  <c r="U525" i="1"/>
  <c r="AM525" i="1" s="1"/>
  <c r="AN525" i="1" s="1"/>
  <c r="Y525" i="1"/>
  <c r="S526" i="1"/>
  <c r="U526" i="1"/>
  <c r="Y526" i="1"/>
  <c r="AM526" i="1"/>
  <c r="AN526" i="1" s="1"/>
  <c r="AW526" i="1"/>
  <c r="S527" i="1"/>
  <c r="U527" i="1"/>
  <c r="Y527" i="1"/>
  <c r="AM527" i="1"/>
  <c r="AN527" i="1" s="1"/>
  <c r="AU527" i="1" s="1"/>
  <c r="S528" i="1"/>
  <c r="U528" i="1"/>
  <c r="Y528" i="1"/>
  <c r="AM528" i="1"/>
  <c r="AN528" i="1" s="1"/>
  <c r="S529" i="1"/>
  <c r="U529" i="1"/>
  <c r="AM529" i="1" s="1"/>
  <c r="AN529" i="1" s="1"/>
  <c r="Y529" i="1"/>
  <c r="S530" i="1"/>
  <c r="U530" i="1"/>
  <c r="AM530" i="1" s="1"/>
  <c r="AN530" i="1" s="1"/>
  <c r="Y530" i="1"/>
  <c r="S531" i="1"/>
  <c r="U531" i="1"/>
  <c r="Y531" i="1"/>
  <c r="AM531" i="1"/>
  <c r="AN531" i="1" s="1"/>
  <c r="S532" i="1"/>
  <c r="U532" i="1"/>
  <c r="Y532" i="1"/>
  <c r="AM532" i="1"/>
  <c r="AN532" i="1" s="1"/>
  <c r="S533" i="1"/>
  <c r="U533" i="1"/>
  <c r="AM533" i="1" s="1"/>
  <c r="AN533" i="1" s="1"/>
  <c r="Y533" i="1"/>
  <c r="S534" i="1"/>
  <c r="U534" i="1"/>
  <c r="AM534" i="1" s="1"/>
  <c r="AN534" i="1" s="1"/>
  <c r="Y534" i="1"/>
  <c r="S535" i="1"/>
  <c r="U535" i="1"/>
  <c r="AM535" i="1" s="1"/>
  <c r="AN535" i="1" s="1"/>
  <c r="Y535" i="1"/>
  <c r="S536" i="1"/>
  <c r="U536" i="1"/>
  <c r="AM536" i="1" s="1"/>
  <c r="AN536" i="1" s="1"/>
  <c r="Y536" i="1"/>
  <c r="S537" i="1"/>
  <c r="U537" i="1"/>
  <c r="AM537" i="1" s="1"/>
  <c r="AN537" i="1" s="1"/>
  <c r="Y537" i="1"/>
  <c r="S538" i="1"/>
  <c r="U538" i="1"/>
  <c r="Y538" i="1"/>
  <c r="AM538" i="1"/>
  <c r="AN538" i="1" s="1"/>
  <c r="AV538" i="1"/>
  <c r="S539" i="1"/>
  <c r="U539" i="1"/>
  <c r="Y539" i="1"/>
  <c r="AM539" i="1"/>
  <c r="AN539" i="1" s="1"/>
  <c r="AW539" i="1" s="1"/>
  <c r="S540" i="1"/>
  <c r="U540" i="1"/>
  <c r="AM540" i="1" s="1"/>
  <c r="AN540" i="1" s="1"/>
  <c r="Y540" i="1"/>
  <c r="S541" i="1"/>
  <c r="U541" i="1"/>
  <c r="Y541" i="1"/>
  <c r="AM541" i="1"/>
  <c r="AN541" i="1" s="1"/>
  <c r="S542" i="1"/>
  <c r="U542" i="1"/>
  <c r="AM542" i="1" s="1"/>
  <c r="Y542" i="1"/>
  <c r="AN542" i="1"/>
  <c r="S543" i="1"/>
  <c r="U543" i="1"/>
  <c r="Y543" i="1"/>
  <c r="AM543" i="1"/>
  <c r="AN543" i="1" s="1"/>
  <c r="S544" i="1"/>
  <c r="U544" i="1"/>
  <c r="Y544" i="1"/>
  <c r="AM544" i="1"/>
  <c r="AN544" i="1" s="1"/>
  <c r="S545" i="1"/>
  <c r="U545" i="1"/>
  <c r="AM545" i="1" s="1"/>
  <c r="AN545" i="1" s="1"/>
  <c r="Y545" i="1"/>
  <c r="S546" i="1"/>
  <c r="U546" i="1"/>
  <c r="AM546" i="1" s="1"/>
  <c r="AN546" i="1" s="1"/>
  <c r="Y546" i="1"/>
  <c r="S547" i="1"/>
  <c r="U547" i="1"/>
  <c r="AM547" i="1" s="1"/>
  <c r="AN547" i="1" s="1"/>
  <c r="AU547" i="1" s="1"/>
  <c r="Y547" i="1"/>
  <c r="S548" i="1"/>
  <c r="U548" i="1"/>
  <c r="AM548" i="1" s="1"/>
  <c r="AN548" i="1" s="1"/>
  <c r="Y548" i="1"/>
  <c r="S549" i="1"/>
  <c r="U549" i="1"/>
  <c r="AM549" i="1" s="1"/>
  <c r="AN549" i="1" s="1"/>
  <c r="Y549" i="1"/>
  <c r="S550" i="1"/>
  <c r="U550" i="1"/>
  <c r="AM550" i="1" s="1"/>
  <c r="AN550" i="1" s="1"/>
  <c r="Y550" i="1"/>
  <c r="S551" i="1"/>
  <c r="U551" i="1"/>
  <c r="AM551" i="1" s="1"/>
  <c r="AN551" i="1" s="1"/>
  <c r="Y551" i="1"/>
  <c r="S552" i="1"/>
  <c r="U552" i="1"/>
  <c r="AM552" i="1" s="1"/>
  <c r="AN552" i="1" s="1"/>
  <c r="Y552" i="1"/>
  <c r="S553" i="1"/>
  <c r="U553" i="1"/>
  <c r="Y553" i="1"/>
  <c r="AM553" i="1"/>
  <c r="AN553" i="1"/>
  <c r="AU553" i="1"/>
  <c r="AV553" i="1"/>
  <c r="AW553" i="1"/>
  <c r="S554" i="1"/>
  <c r="U554" i="1"/>
  <c r="AM554" i="1" s="1"/>
  <c r="AN554" i="1" s="1"/>
  <c r="Y554" i="1"/>
  <c r="S555" i="1"/>
  <c r="U555" i="1"/>
  <c r="AM555" i="1" s="1"/>
  <c r="AN555" i="1" s="1"/>
  <c r="Y555" i="1"/>
  <c r="S556" i="1"/>
  <c r="U556" i="1"/>
  <c r="AM556" i="1" s="1"/>
  <c r="AN556" i="1" s="1"/>
  <c r="Y556" i="1"/>
  <c r="S557" i="1"/>
  <c r="U557" i="1"/>
  <c r="AM557" i="1" s="1"/>
  <c r="AN557" i="1" s="1"/>
  <c r="Y557" i="1"/>
  <c r="S558" i="1"/>
  <c r="U558" i="1"/>
  <c r="Y558" i="1"/>
  <c r="AM558" i="1"/>
  <c r="AN558" i="1"/>
  <c r="AU558" i="1"/>
  <c r="AV558" i="1"/>
  <c r="AW558" i="1"/>
  <c r="S559" i="1"/>
  <c r="U559" i="1"/>
  <c r="AM559" i="1" s="1"/>
  <c r="AN559" i="1" s="1"/>
  <c r="Y559" i="1"/>
  <c r="S560" i="1"/>
  <c r="U560" i="1"/>
  <c r="AM560" i="1" s="1"/>
  <c r="AN560" i="1" s="1"/>
  <c r="Y560" i="1"/>
  <c r="S561" i="1"/>
  <c r="U561" i="1"/>
  <c r="Y561" i="1"/>
  <c r="AM561" i="1"/>
  <c r="AN561" i="1"/>
  <c r="S562" i="1"/>
  <c r="U562" i="1"/>
  <c r="Y562" i="1"/>
  <c r="AM562" i="1"/>
  <c r="AN562" i="1" s="1"/>
  <c r="S563" i="1"/>
  <c r="U563" i="1"/>
  <c r="Y563" i="1"/>
  <c r="AM563" i="1"/>
  <c r="AN563" i="1" s="1"/>
  <c r="AW563" i="1" s="1"/>
  <c r="S564" i="1"/>
  <c r="U564" i="1"/>
  <c r="Y564" i="1"/>
  <c r="AM564" i="1"/>
  <c r="AN564" i="1" s="1"/>
  <c r="AW564" i="1" s="1"/>
  <c r="S565" i="1"/>
  <c r="U565" i="1"/>
  <c r="AM565" i="1" s="1"/>
  <c r="AN565" i="1" s="1"/>
  <c r="Y565" i="1"/>
  <c r="S566" i="1"/>
  <c r="U566" i="1"/>
  <c r="AM566" i="1" s="1"/>
  <c r="AN566" i="1" s="1"/>
  <c r="Y566" i="1"/>
  <c r="S567" i="1"/>
  <c r="U567" i="1"/>
  <c r="AM567" i="1" s="1"/>
  <c r="Y567" i="1"/>
  <c r="AN567" i="1"/>
  <c r="S568" i="1"/>
  <c r="U568" i="1"/>
  <c r="Y568" i="1"/>
  <c r="AM568" i="1"/>
  <c r="AN568" i="1" s="1"/>
  <c r="S569" i="1"/>
  <c r="U569" i="1"/>
  <c r="Y569" i="1"/>
  <c r="AM569" i="1"/>
  <c r="AN569" i="1" s="1"/>
  <c r="S570" i="1"/>
  <c r="U570" i="1"/>
  <c r="AM570" i="1" s="1"/>
  <c r="AN570" i="1" s="1"/>
  <c r="Y570" i="1"/>
  <c r="AU570" i="1" s="1"/>
  <c r="S571" i="1"/>
  <c r="U571" i="1"/>
  <c r="AM571" i="1" s="1"/>
  <c r="AN571" i="1" s="1"/>
  <c r="AU571" i="1" s="1"/>
  <c r="Y571" i="1"/>
  <c r="S572" i="1"/>
  <c r="U572" i="1"/>
  <c r="AM572" i="1" s="1"/>
  <c r="AN572" i="1" s="1"/>
  <c r="Y572" i="1"/>
  <c r="S573" i="1"/>
  <c r="U573" i="1"/>
  <c r="Y573" i="1"/>
  <c r="AM573" i="1"/>
  <c r="AN573" i="1" s="1"/>
  <c r="S574" i="1"/>
  <c r="U574" i="1"/>
  <c r="Y574" i="1"/>
  <c r="AM574" i="1"/>
  <c r="AN574" i="1" s="1"/>
  <c r="S575" i="1"/>
  <c r="U575" i="1"/>
  <c r="AM575" i="1" s="1"/>
  <c r="AN575" i="1" s="1"/>
  <c r="Y575" i="1"/>
  <c r="AU575" i="1" s="1"/>
  <c r="S576" i="1"/>
  <c r="U576" i="1"/>
  <c r="AM576" i="1" s="1"/>
  <c r="AN576" i="1" s="1"/>
  <c r="Y576" i="1"/>
  <c r="S577" i="1"/>
  <c r="U577" i="1"/>
  <c r="AM577" i="1" s="1"/>
  <c r="AN577" i="1" s="1"/>
  <c r="AU577" i="1" s="1"/>
  <c r="Y577" i="1"/>
  <c r="S578" i="1"/>
  <c r="U578" i="1"/>
  <c r="AM578" i="1" s="1"/>
  <c r="AN578" i="1" s="1"/>
  <c r="AU578" i="1" s="1"/>
  <c r="Y578" i="1"/>
  <c r="S579" i="1"/>
  <c r="U579" i="1"/>
  <c r="Y579" i="1"/>
  <c r="AM579" i="1"/>
  <c r="AN579" i="1"/>
  <c r="AU579" i="1" s="1"/>
  <c r="S580" i="1"/>
  <c r="U580" i="1"/>
  <c r="AM580" i="1" s="1"/>
  <c r="AN580" i="1" s="1"/>
  <c r="Y580" i="1"/>
  <c r="S581" i="1"/>
  <c r="U581" i="1"/>
  <c r="Y581" i="1"/>
  <c r="AM581" i="1"/>
  <c r="AN581" i="1" s="1"/>
  <c r="S582" i="1"/>
  <c r="U582" i="1"/>
  <c r="AM582" i="1" s="1"/>
  <c r="AN582" i="1" s="1"/>
  <c r="AU582" i="1" s="1"/>
  <c r="Y582" i="1"/>
  <c r="S583" i="1"/>
  <c r="U583" i="1"/>
  <c r="AM583" i="1" s="1"/>
  <c r="AN583" i="1" s="1"/>
  <c r="Y583" i="1"/>
  <c r="S584" i="1"/>
  <c r="U584" i="1"/>
  <c r="Y584" i="1"/>
  <c r="AM584" i="1"/>
  <c r="AN584" i="1" s="1"/>
  <c r="S585" i="1"/>
  <c r="U585" i="1"/>
  <c r="AM585" i="1" s="1"/>
  <c r="AN585" i="1" s="1"/>
  <c r="Y585" i="1"/>
  <c r="S586" i="1"/>
  <c r="U586" i="1"/>
  <c r="AM586" i="1" s="1"/>
  <c r="AN586" i="1" s="1"/>
  <c r="Y586" i="1"/>
  <c r="S587" i="1"/>
  <c r="U587" i="1"/>
  <c r="AM587" i="1" s="1"/>
  <c r="AN587" i="1" s="1"/>
  <c r="Y587" i="1"/>
  <c r="S588" i="1"/>
  <c r="U588" i="1"/>
  <c r="AM588" i="1" s="1"/>
  <c r="AN588" i="1" s="1"/>
  <c r="AW588" i="1" s="1"/>
  <c r="Y588" i="1"/>
  <c r="S589" i="1"/>
  <c r="U589" i="1"/>
  <c r="AM589" i="1" s="1"/>
  <c r="AN589" i="1" s="1"/>
  <c r="Y589" i="1"/>
  <c r="S590" i="1"/>
  <c r="U590" i="1"/>
  <c r="AM590" i="1" s="1"/>
  <c r="AN590" i="1" s="1"/>
  <c r="Y590" i="1"/>
  <c r="S591" i="1"/>
  <c r="U591" i="1"/>
  <c r="AM591" i="1" s="1"/>
  <c r="AN591" i="1" s="1"/>
  <c r="Y591" i="1"/>
  <c r="S592" i="1"/>
  <c r="U592" i="1"/>
  <c r="AM592" i="1" s="1"/>
  <c r="AN592" i="1" s="1"/>
  <c r="Y592" i="1"/>
  <c r="S593" i="1"/>
  <c r="U593" i="1"/>
  <c r="AM593" i="1" s="1"/>
  <c r="AN593" i="1" s="1"/>
  <c r="Y593" i="1"/>
  <c r="AW593" i="1" s="1"/>
  <c r="S594" i="1"/>
  <c r="U594" i="1"/>
  <c r="AM594" i="1" s="1"/>
  <c r="AN594" i="1" s="1"/>
  <c r="Y594" i="1"/>
  <c r="S595" i="1"/>
  <c r="U595" i="1"/>
  <c r="AM595" i="1" s="1"/>
  <c r="AN595" i="1" s="1"/>
  <c r="Y595" i="1"/>
  <c r="AV595" i="1"/>
  <c r="AW595" i="1"/>
  <c r="S596" i="1"/>
  <c r="U596" i="1"/>
  <c r="AM596" i="1" s="1"/>
  <c r="AN596" i="1" s="1"/>
  <c r="Y596" i="1"/>
  <c r="S597" i="1"/>
  <c r="U597" i="1"/>
  <c r="Y597" i="1"/>
  <c r="AM597" i="1"/>
  <c r="AN597" i="1" s="1"/>
  <c r="AU597" i="1" s="1"/>
  <c r="S598" i="1"/>
  <c r="U598" i="1"/>
  <c r="Y598" i="1"/>
  <c r="AM598" i="1"/>
  <c r="AN598" i="1" s="1"/>
  <c r="S599" i="1"/>
  <c r="U599" i="1"/>
  <c r="AM599" i="1" s="1"/>
  <c r="AN599" i="1" s="1"/>
  <c r="AU599" i="1" s="1"/>
  <c r="Y599" i="1"/>
  <c r="S600" i="1"/>
  <c r="U600" i="1"/>
  <c r="AM600" i="1" s="1"/>
  <c r="AN600" i="1" s="1"/>
  <c r="Y600" i="1"/>
  <c r="S601" i="1"/>
  <c r="U601" i="1"/>
  <c r="AM601" i="1" s="1"/>
  <c r="AN601" i="1" s="1"/>
  <c r="Y601" i="1"/>
  <c r="S602" i="1"/>
  <c r="U602" i="1"/>
  <c r="AM602" i="1" s="1"/>
  <c r="AN602" i="1" s="1"/>
  <c r="Y602" i="1"/>
  <c r="S603" i="1"/>
  <c r="U603" i="1"/>
  <c r="AM603" i="1" s="1"/>
  <c r="AN603" i="1" s="1"/>
  <c r="Y603" i="1"/>
  <c r="S604" i="1"/>
  <c r="U604" i="1"/>
  <c r="Y604" i="1"/>
  <c r="AM604" i="1"/>
  <c r="AN604" i="1" s="1"/>
  <c r="S605" i="1"/>
  <c r="U605" i="1"/>
  <c r="AM605" i="1" s="1"/>
  <c r="AN605" i="1" s="1"/>
  <c r="AV605" i="1" s="1"/>
  <c r="Y605" i="1"/>
  <c r="S606" i="1"/>
  <c r="U606" i="1"/>
  <c r="AM606" i="1" s="1"/>
  <c r="AN606" i="1" s="1"/>
  <c r="Y606" i="1"/>
  <c r="S607" i="1"/>
  <c r="U607" i="1"/>
  <c r="Y607" i="1"/>
  <c r="AM607" i="1"/>
  <c r="AN607" i="1" s="1"/>
  <c r="S608" i="1"/>
  <c r="U608" i="1"/>
  <c r="AM608" i="1" s="1"/>
  <c r="AN608" i="1" s="1"/>
  <c r="Y608" i="1"/>
  <c r="S609" i="1"/>
  <c r="U609" i="1"/>
  <c r="AM609" i="1" s="1"/>
  <c r="AN609" i="1" s="1"/>
  <c r="Y609" i="1"/>
  <c r="S610" i="1"/>
  <c r="U610" i="1"/>
  <c r="AM610" i="1" s="1"/>
  <c r="AN610" i="1" s="1"/>
  <c r="Y610" i="1"/>
  <c r="AU610" i="1" s="1"/>
  <c r="AW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AM615" i="1" s="1"/>
  <c r="AN615" i="1" s="1"/>
  <c r="Y615" i="1"/>
  <c r="S616" i="1"/>
  <c r="U616" i="1"/>
  <c r="Y616" i="1"/>
  <c r="AM616" i="1"/>
  <c r="AN616" i="1" s="1"/>
  <c r="S617" i="1"/>
  <c r="U617" i="1"/>
  <c r="AM617" i="1" s="1"/>
  <c r="AN617" i="1" s="1"/>
  <c r="Y617" i="1"/>
  <c r="S618" i="1"/>
  <c r="U618" i="1"/>
  <c r="AM618" i="1" s="1"/>
  <c r="AN618" i="1" s="1"/>
  <c r="AW618" i="1" s="1"/>
  <c r="Y618" i="1"/>
  <c r="S619" i="1"/>
  <c r="U619" i="1"/>
  <c r="AM619" i="1" s="1"/>
  <c r="AN619" i="1" s="1"/>
  <c r="Y619" i="1"/>
  <c r="S620" i="1"/>
  <c r="U620" i="1"/>
  <c r="AM620" i="1" s="1"/>
  <c r="AN620" i="1" s="1"/>
  <c r="Y620" i="1"/>
  <c r="AU620" i="1"/>
  <c r="S621" i="1"/>
  <c r="U621" i="1"/>
  <c r="Y621" i="1"/>
  <c r="AM621" i="1"/>
  <c r="AN621" i="1"/>
  <c r="AU621" i="1" s="1"/>
  <c r="AW621" i="1"/>
  <c r="S622" i="1"/>
  <c r="U622" i="1"/>
  <c r="AM622" i="1" s="1"/>
  <c r="AN622" i="1" s="1"/>
  <c r="Y622" i="1"/>
  <c r="S623" i="1"/>
  <c r="U623" i="1"/>
  <c r="AM623" i="1" s="1"/>
  <c r="AN623" i="1" s="1"/>
  <c r="AU623" i="1" s="1"/>
  <c r="Y623" i="1"/>
  <c r="S624" i="1"/>
  <c r="U624" i="1"/>
  <c r="Y624" i="1"/>
  <c r="AM624" i="1"/>
  <c r="AN624" i="1" s="1"/>
  <c r="AW624" i="1" s="1"/>
  <c r="S625" i="1"/>
  <c r="U625" i="1"/>
  <c r="AM625" i="1" s="1"/>
  <c r="AN625" i="1" s="1"/>
  <c r="Y625" i="1"/>
  <c r="AU625" i="1"/>
  <c r="S626" i="1"/>
  <c r="U626" i="1"/>
  <c r="AM626" i="1" s="1"/>
  <c r="AN626" i="1" s="1"/>
  <c r="Y626" i="1"/>
  <c r="S627" i="1"/>
  <c r="U627" i="1"/>
  <c r="AM627" i="1" s="1"/>
  <c r="AN627" i="1" s="1"/>
  <c r="Y627" i="1"/>
  <c r="S628" i="1"/>
  <c r="U628" i="1"/>
  <c r="AM628" i="1" s="1"/>
  <c r="AN628" i="1" s="1"/>
  <c r="Y628" i="1"/>
  <c r="S629" i="1"/>
  <c r="U629" i="1"/>
  <c r="AM629" i="1" s="1"/>
  <c r="AN629" i="1" s="1"/>
  <c r="Y629" i="1"/>
  <c r="S630" i="1"/>
  <c r="U630" i="1"/>
  <c r="AM630" i="1" s="1"/>
  <c r="AN630" i="1" s="1"/>
  <c r="Y630" i="1"/>
  <c r="S631" i="1"/>
  <c r="U631" i="1"/>
  <c r="Y631" i="1"/>
  <c r="AM631" i="1"/>
  <c r="AN631" i="1" s="1"/>
  <c r="S632" i="1"/>
  <c r="U632" i="1"/>
  <c r="AM632" i="1" s="1"/>
  <c r="AN632" i="1" s="1"/>
  <c r="Y632" i="1"/>
  <c r="S633" i="1"/>
  <c r="U633" i="1"/>
  <c r="AM633" i="1" s="1"/>
  <c r="AN633" i="1" s="1"/>
  <c r="Y633" i="1"/>
  <c r="S634" i="1"/>
  <c r="U634" i="1"/>
  <c r="AM634" i="1" s="1"/>
  <c r="AN634" i="1" s="1"/>
  <c r="AU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S640" i="1"/>
  <c r="U640" i="1"/>
  <c r="AM640" i="1" s="1"/>
  <c r="AN640" i="1" s="1"/>
  <c r="Y640" i="1"/>
  <c r="AU640" i="1" s="1"/>
  <c r="S641" i="1"/>
  <c r="U641" i="1"/>
  <c r="Y641" i="1"/>
  <c r="AM641" i="1"/>
  <c r="AN641" i="1" s="1"/>
  <c r="S642" i="1"/>
  <c r="U642" i="1"/>
  <c r="AM642" i="1" s="1"/>
  <c r="AN642" i="1" s="1"/>
  <c r="Y642" i="1"/>
  <c r="S643" i="1"/>
  <c r="U643" i="1"/>
  <c r="AM643" i="1" s="1"/>
  <c r="AN643" i="1" s="1"/>
  <c r="Y643" i="1"/>
  <c r="S644" i="1"/>
  <c r="U644" i="1"/>
  <c r="Y644" i="1"/>
  <c r="AM644" i="1"/>
  <c r="AN644" i="1" s="1"/>
  <c r="S645" i="1"/>
  <c r="U645" i="1"/>
  <c r="AM645" i="1" s="1"/>
  <c r="AN645" i="1" s="1"/>
  <c r="AV645" i="1" s="1"/>
  <c r="Y645" i="1"/>
  <c r="AW645" i="1" s="1"/>
  <c r="S646" i="1"/>
  <c r="U646" i="1"/>
  <c r="AM646" i="1" s="1"/>
  <c r="AN646" i="1" s="1"/>
  <c r="Y646" i="1"/>
  <c r="AV646" i="1" s="1"/>
  <c r="S647" i="1"/>
  <c r="U647" i="1"/>
  <c r="AM647" i="1" s="1"/>
  <c r="AN647" i="1" s="1"/>
  <c r="Y647" i="1"/>
  <c r="S648" i="1"/>
  <c r="U648" i="1"/>
  <c r="Y648" i="1"/>
  <c r="AM648" i="1"/>
  <c r="AN648" i="1" s="1"/>
  <c r="S649" i="1"/>
  <c r="U649" i="1"/>
  <c r="Y649" i="1"/>
  <c r="AM649" i="1"/>
  <c r="AN649" i="1" s="1"/>
  <c r="S650" i="1"/>
  <c r="U650" i="1"/>
  <c r="AM650" i="1" s="1"/>
  <c r="AN650" i="1" s="1"/>
  <c r="Y650" i="1"/>
  <c r="S651" i="1"/>
  <c r="U651" i="1"/>
  <c r="AM651" i="1" s="1"/>
  <c r="AN651" i="1" s="1"/>
  <c r="AU651" i="1" s="1"/>
  <c r="Y651" i="1"/>
  <c r="S652" i="1"/>
  <c r="U652" i="1"/>
  <c r="AM652" i="1" s="1"/>
  <c r="AN652" i="1" s="1"/>
  <c r="Y652" i="1"/>
  <c r="S653" i="1"/>
  <c r="U653" i="1"/>
  <c r="Y653" i="1"/>
  <c r="AM653" i="1"/>
  <c r="AN653" i="1" s="1"/>
  <c r="AU653" i="1" s="1"/>
  <c r="S654" i="1"/>
  <c r="U654" i="1"/>
  <c r="AM654" i="1" s="1"/>
  <c r="AN654" i="1" s="1"/>
  <c r="Y654" i="1"/>
  <c r="AV654" i="1" s="1"/>
  <c r="S655" i="1"/>
  <c r="U655" i="1"/>
  <c r="AM655" i="1" s="1"/>
  <c r="AN655" i="1" s="1"/>
  <c r="Y655" i="1"/>
  <c r="S656" i="1"/>
  <c r="U656" i="1"/>
  <c r="AM656" i="1" s="1"/>
  <c r="AN656" i="1" s="1"/>
  <c r="Y656" i="1"/>
  <c r="S657" i="1"/>
  <c r="U657" i="1"/>
  <c r="AM657" i="1" s="1"/>
  <c r="AN657" i="1" s="1"/>
  <c r="Y657" i="1"/>
  <c r="S658" i="1"/>
  <c r="U658" i="1"/>
  <c r="AM658" i="1" s="1"/>
  <c r="AN658" i="1" s="1"/>
  <c r="Y658" i="1"/>
  <c r="S659" i="1"/>
  <c r="U659" i="1"/>
  <c r="Y659" i="1"/>
  <c r="AM659" i="1"/>
  <c r="AN659" i="1" s="1"/>
  <c r="S660" i="1"/>
  <c r="U660" i="1"/>
  <c r="AM660" i="1" s="1"/>
  <c r="AN660" i="1" s="1"/>
  <c r="Y660" i="1"/>
  <c r="S661" i="1"/>
  <c r="U661" i="1"/>
  <c r="AM661" i="1" s="1"/>
  <c r="AN661" i="1" s="1"/>
  <c r="Y661" i="1"/>
  <c r="S662" i="1"/>
  <c r="U662" i="1"/>
  <c r="AM662" i="1" s="1"/>
  <c r="AN662" i="1" s="1"/>
  <c r="Y662" i="1"/>
  <c r="S663" i="1"/>
  <c r="U663" i="1"/>
  <c r="AM663" i="1" s="1"/>
  <c r="AN663" i="1" s="1"/>
  <c r="Y663" i="1"/>
  <c r="S664" i="1"/>
  <c r="U664" i="1"/>
  <c r="AM664" i="1" s="1"/>
  <c r="AN664" i="1" s="1"/>
  <c r="Y664" i="1"/>
  <c r="S665" i="1"/>
  <c r="U665" i="1"/>
  <c r="AM665" i="1" s="1"/>
  <c r="AN665" i="1" s="1"/>
  <c r="Y665" i="1"/>
  <c r="S666" i="1"/>
  <c r="U666" i="1"/>
  <c r="Y666" i="1"/>
  <c r="AM666" i="1"/>
  <c r="AN666" i="1" s="1"/>
  <c r="AU666" i="1" s="1"/>
  <c r="S667" i="1"/>
  <c r="U667" i="1"/>
  <c r="AM667" i="1" s="1"/>
  <c r="AN667" i="1" s="1"/>
  <c r="Y667" i="1"/>
  <c r="S668" i="1"/>
  <c r="U668" i="1"/>
  <c r="Y668" i="1"/>
  <c r="AM668" i="1"/>
  <c r="AN668" i="1" s="1"/>
  <c r="S669" i="1"/>
  <c r="U669" i="1"/>
  <c r="AM669" i="1" s="1"/>
  <c r="AN669" i="1" s="1"/>
  <c r="Y669" i="1"/>
  <c r="S670" i="1"/>
  <c r="U670" i="1"/>
  <c r="AM670" i="1" s="1"/>
  <c r="AN670" i="1" s="1"/>
  <c r="Y670" i="1"/>
  <c r="S671" i="1"/>
  <c r="U671" i="1"/>
  <c r="AM671" i="1" s="1"/>
  <c r="AN671" i="1" s="1"/>
  <c r="Y671" i="1"/>
  <c r="S672" i="1"/>
  <c r="U672" i="1"/>
  <c r="AM672" i="1" s="1"/>
  <c r="AN672" i="1" s="1"/>
  <c r="Y672" i="1"/>
  <c r="S673" i="1"/>
  <c r="U673" i="1"/>
  <c r="Y673" i="1"/>
  <c r="AM673" i="1"/>
  <c r="AN673" i="1" s="1"/>
  <c r="S674" i="1"/>
  <c r="U674" i="1"/>
  <c r="AM674" i="1" s="1"/>
  <c r="AN674" i="1" s="1"/>
  <c r="Y674" i="1"/>
  <c r="S675" i="1"/>
  <c r="U675" i="1"/>
  <c r="Y675" i="1"/>
  <c r="AM675" i="1"/>
  <c r="AN675" i="1" s="1"/>
  <c r="S676" i="1"/>
  <c r="U676" i="1"/>
  <c r="Y676" i="1"/>
  <c r="AM676" i="1"/>
  <c r="AN676" i="1"/>
  <c r="AU676" i="1" s="1"/>
  <c r="S677" i="1"/>
  <c r="U677" i="1"/>
  <c r="Y677" i="1"/>
  <c r="AM677" i="1"/>
  <c r="AN677" i="1" s="1"/>
  <c r="AW677" i="1" s="1"/>
  <c r="S678" i="1"/>
  <c r="U678" i="1"/>
  <c r="AM678" i="1" s="1"/>
  <c r="AN678" i="1" s="1"/>
  <c r="Y678" i="1"/>
  <c r="S679" i="1"/>
  <c r="U679" i="1"/>
  <c r="Y679" i="1"/>
  <c r="AM679" i="1"/>
  <c r="AN679" i="1" s="1"/>
  <c r="S680" i="1"/>
  <c r="U680" i="1"/>
  <c r="AM680" i="1" s="1"/>
  <c r="AN680" i="1" s="1"/>
  <c r="Y680" i="1"/>
  <c r="S681" i="1"/>
  <c r="U681" i="1"/>
  <c r="AM681" i="1" s="1"/>
  <c r="AN681" i="1" s="1"/>
  <c r="AU681" i="1" s="1"/>
  <c r="Y681" i="1"/>
  <c r="S682" i="1"/>
  <c r="U682" i="1"/>
  <c r="Y682" i="1"/>
  <c r="AM682" i="1"/>
  <c r="AN682" i="1" s="1"/>
  <c r="AW682" i="1" s="1"/>
  <c r="S683" i="1"/>
  <c r="U683" i="1"/>
  <c r="AM683" i="1" s="1"/>
  <c r="AN683" i="1" s="1"/>
  <c r="Y683" i="1"/>
  <c r="S684" i="1"/>
  <c r="U684" i="1"/>
  <c r="Y684" i="1"/>
  <c r="AM684" i="1"/>
  <c r="AN684" i="1" s="1"/>
  <c r="S685" i="1"/>
  <c r="U685" i="1"/>
  <c r="AM685" i="1" s="1"/>
  <c r="AN685" i="1" s="1"/>
  <c r="Y685" i="1"/>
  <c r="S686" i="1"/>
  <c r="U686" i="1"/>
  <c r="AM686" i="1" s="1"/>
  <c r="AN686" i="1" s="1"/>
  <c r="Y686" i="1"/>
  <c r="S687" i="1"/>
  <c r="U687" i="1"/>
  <c r="AM687" i="1" s="1"/>
  <c r="AN687" i="1" s="1"/>
  <c r="AW687" i="1" s="1"/>
  <c r="Y687" i="1"/>
  <c r="S688" i="1"/>
  <c r="U688" i="1"/>
  <c r="Y688" i="1"/>
  <c r="AM688" i="1"/>
  <c r="AN688" i="1" s="1"/>
  <c r="S689" i="1"/>
  <c r="U689" i="1"/>
  <c r="AM689" i="1" s="1"/>
  <c r="AN689" i="1" s="1"/>
  <c r="Y689" i="1"/>
  <c r="S690" i="1"/>
  <c r="U690" i="1"/>
  <c r="AM690" i="1" s="1"/>
  <c r="AN690" i="1" s="1"/>
  <c r="Y690" i="1"/>
  <c r="S691" i="1"/>
  <c r="U691" i="1"/>
  <c r="AM691" i="1" s="1"/>
  <c r="AN691" i="1" s="1"/>
  <c r="AU691" i="1" s="1"/>
  <c r="Y691" i="1"/>
  <c r="S692" i="1"/>
  <c r="U692" i="1"/>
  <c r="AM692" i="1" s="1"/>
  <c r="AN692" i="1" s="1"/>
  <c r="AW692" i="1" s="1"/>
  <c r="Y692" i="1"/>
  <c r="S693" i="1"/>
  <c r="U693" i="1"/>
  <c r="Y693" i="1"/>
  <c r="AM693" i="1"/>
  <c r="AN693" i="1" s="1"/>
  <c r="S694" i="1"/>
  <c r="U694" i="1"/>
  <c r="Y694" i="1"/>
  <c r="AM694" i="1"/>
  <c r="AN694" i="1" s="1"/>
  <c r="S695" i="1"/>
  <c r="U695" i="1"/>
  <c r="AM695" i="1" s="1"/>
  <c r="AN695" i="1" s="1"/>
  <c r="Y695" i="1"/>
  <c r="S696" i="1"/>
  <c r="U696" i="1"/>
  <c r="AM696" i="1" s="1"/>
  <c r="AN696" i="1" s="1"/>
  <c r="AV696" i="1" s="1"/>
  <c r="Y696" i="1"/>
  <c r="S697" i="1"/>
  <c r="U697" i="1"/>
  <c r="AM697" i="1" s="1"/>
  <c r="AN697" i="1" s="1"/>
  <c r="Y697" i="1"/>
  <c r="S698" i="1"/>
  <c r="U698" i="1"/>
  <c r="Y698" i="1"/>
  <c r="AM698" i="1"/>
  <c r="AN698" i="1" s="1"/>
  <c r="AV698" i="1" s="1"/>
  <c r="S699" i="1"/>
  <c r="U699" i="1"/>
  <c r="Y699" i="1"/>
  <c r="AM699" i="1"/>
  <c r="AN699" i="1" s="1"/>
  <c r="S700" i="1"/>
  <c r="U700" i="1"/>
  <c r="AM700" i="1" s="1"/>
  <c r="AN700" i="1" s="1"/>
  <c r="Y700" i="1"/>
  <c r="S701" i="1"/>
  <c r="U701" i="1"/>
  <c r="Y701" i="1"/>
  <c r="AM701" i="1"/>
  <c r="AN701" i="1" s="1"/>
  <c r="AV701" i="1" s="1"/>
  <c r="S702" i="1"/>
  <c r="U702" i="1"/>
  <c r="AM702" i="1" s="1"/>
  <c r="AN702" i="1" s="1"/>
  <c r="Y702" i="1"/>
  <c r="S703" i="1"/>
  <c r="U703" i="1"/>
  <c r="AM703" i="1" s="1"/>
  <c r="AN703" i="1" s="1"/>
  <c r="AV703" i="1" s="1"/>
  <c r="Y703" i="1"/>
  <c r="S704" i="1"/>
  <c r="U704" i="1"/>
  <c r="Y704" i="1"/>
  <c r="AM704" i="1"/>
  <c r="AN704" i="1" s="1"/>
  <c r="S705" i="1"/>
  <c r="U705" i="1"/>
  <c r="Y705" i="1"/>
  <c r="AM705" i="1"/>
  <c r="AN705" i="1" s="1"/>
  <c r="S706" i="1"/>
  <c r="U706" i="1"/>
  <c r="Y706" i="1"/>
  <c r="AM706" i="1"/>
  <c r="AN706" i="1" s="1"/>
  <c r="AV706" i="1" s="1"/>
  <c r="S707" i="1"/>
  <c r="U707" i="1"/>
  <c r="AM707" i="1" s="1"/>
  <c r="AN707" i="1" s="1"/>
  <c r="Y707" i="1"/>
  <c r="S708" i="1"/>
  <c r="U708" i="1"/>
  <c r="AM708" i="1" s="1"/>
  <c r="AN708" i="1" s="1"/>
  <c r="AV708" i="1" s="1"/>
  <c r="Y708" i="1"/>
  <c r="S709" i="1"/>
  <c r="U709" i="1"/>
  <c r="AM709" i="1" s="1"/>
  <c r="AN709" i="1" s="1"/>
  <c r="Y709" i="1"/>
  <c r="S710" i="1"/>
  <c r="U710" i="1"/>
  <c r="Y710" i="1"/>
  <c r="AM710" i="1"/>
  <c r="AN710" i="1" s="1"/>
  <c r="AU541" i="1" l="1"/>
  <c r="AW541" i="1"/>
  <c r="AU508" i="1"/>
  <c r="AV508" i="1"/>
  <c r="AW503" i="1"/>
  <c r="AV503" i="1"/>
  <c r="AV130" i="1"/>
  <c r="AV620" i="1"/>
  <c r="AU602" i="1"/>
  <c r="AV531" i="1"/>
  <c r="AV303" i="1"/>
  <c r="AW297" i="1"/>
  <c r="AV123" i="1"/>
  <c r="AV176" i="1"/>
  <c r="AU614" i="1"/>
  <c r="AV358" i="1"/>
  <c r="AV327" i="1"/>
  <c r="AV229" i="1"/>
  <c r="AU216" i="1"/>
  <c r="AU115" i="1"/>
  <c r="AV118" i="1"/>
  <c r="AU522" i="1"/>
  <c r="AV293" i="1"/>
  <c r="AU423" i="1"/>
  <c r="AU521" i="1"/>
  <c r="AV298" i="1"/>
  <c r="AV49" i="1"/>
  <c r="AV381" i="1"/>
  <c r="AV352" i="1"/>
  <c r="AU517" i="1"/>
  <c r="AV26" i="1"/>
  <c r="AV662" i="1"/>
  <c r="AV510" i="1"/>
  <c r="AU632" i="1"/>
  <c r="AV105" i="1"/>
  <c r="AV660" i="1"/>
  <c r="AU525" i="1"/>
  <c r="AW519" i="1"/>
  <c r="AU363" i="1"/>
  <c r="AU222" i="1"/>
  <c r="AV168" i="1"/>
  <c r="AV378" i="1"/>
  <c r="AV160" i="1"/>
  <c r="AW317" i="1"/>
  <c r="AV323" i="1"/>
  <c r="AV19" i="1"/>
  <c r="AV635" i="1"/>
  <c r="AV578" i="1"/>
  <c r="AV474" i="1"/>
  <c r="AV420" i="1"/>
  <c r="AV368" i="1"/>
  <c r="AV308" i="1"/>
  <c r="AV204" i="1"/>
  <c r="AV496" i="1"/>
  <c r="AV401" i="1"/>
  <c r="AV244" i="1"/>
  <c r="AW666" i="1"/>
  <c r="AU397" i="1"/>
  <c r="AV351" i="1"/>
  <c r="AU221" i="1"/>
  <c r="AU484" i="1"/>
  <c r="AW667" i="1"/>
  <c r="AV328" i="1"/>
  <c r="AW640" i="1"/>
  <c r="AV600" i="1"/>
  <c r="AU572" i="1"/>
  <c r="AU561" i="1"/>
  <c r="AV209" i="1"/>
  <c r="AV191" i="1"/>
  <c r="AV185" i="1"/>
  <c r="AV173" i="1"/>
  <c r="AV108" i="1"/>
  <c r="AU64" i="1"/>
  <c r="AV448" i="1"/>
  <c r="AW643" i="1"/>
  <c r="AV640" i="1"/>
  <c r="AU606" i="1"/>
  <c r="AV461" i="1"/>
  <c r="AV455" i="1"/>
  <c r="AV408" i="1"/>
  <c r="AV373" i="1"/>
  <c r="AU350" i="1"/>
  <c r="AV472" i="1"/>
  <c r="AV148" i="1"/>
  <c r="AV342" i="1"/>
  <c r="AV207" i="1"/>
  <c r="AU459" i="1"/>
  <c r="AW672" i="1"/>
  <c r="AW440" i="1"/>
  <c r="AV388" i="1"/>
  <c r="AV73" i="1"/>
  <c r="AU227" i="1"/>
  <c r="AW312" i="1"/>
  <c r="AV219" i="1"/>
  <c r="AU645" i="1"/>
  <c r="AU467" i="1"/>
  <c r="AU258" i="1"/>
  <c r="AV155" i="1"/>
  <c r="AU137" i="1"/>
  <c r="AU63" i="1"/>
  <c r="AV7" i="1"/>
  <c r="AW7" i="1"/>
  <c r="AU543" i="1"/>
  <c r="AV543" i="1"/>
  <c r="AW543" i="1"/>
  <c r="AU538" i="1"/>
  <c r="AW538" i="1"/>
  <c r="AU598" i="1"/>
  <c r="AV598" i="1"/>
  <c r="AU263" i="1"/>
  <c r="AV263" i="1"/>
  <c r="AV226" i="1"/>
  <c r="AW226" i="1"/>
  <c r="AW435" i="1"/>
  <c r="AV655" i="1"/>
  <c r="AW655" i="1"/>
  <c r="AU406" i="1"/>
  <c r="AW406" i="1"/>
  <c r="AV533" i="1"/>
  <c r="AU533" i="1"/>
  <c r="AW533" i="1"/>
  <c r="AU268" i="1"/>
  <c r="AW372" i="1"/>
  <c r="AV372" i="1"/>
  <c r="AU650" i="1"/>
  <c r="AV650" i="1"/>
  <c r="AW598" i="1"/>
  <c r="AV471" i="1"/>
  <c r="AU563" i="1"/>
  <c r="AU548" i="1"/>
  <c r="AV488" i="1"/>
  <c r="AW422" i="1"/>
  <c r="AV200" i="1"/>
  <c r="AV568" i="1"/>
  <c r="AW568" i="1"/>
  <c r="AV464" i="1"/>
  <c r="AV458" i="1"/>
  <c r="AU382" i="1"/>
  <c r="AV382" i="1"/>
  <c r="AV170" i="1"/>
  <c r="AU648" i="1"/>
  <c r="AU568" i="1"/>
  <c r="AU542" i="1"/>
  <c r="AV526" i="1"/>
  <c r="AU526" i="1"/>
  <c r="AU404" i="1"/>
  <c r="AV404" i="1"/>
  <c r="AW404" i="1"/>
  <c r="AU671" i="1"/>
  <c r="AW671" i="1"/>
  <c r="AU531" i="1"/>
  <c r="AW531" i="1"/>
  <c r="AV205" i="1"/>
  <c r="AU573" i="1"/>
  <c r="AU463" i="1"/>
  <c r="AW463" i="1"/>
  <c r="AU567" i="1"/>
  <c r="AU536" i="1"/>
  <c r="AW536" i="1"/>
  <c r="AV513" i="1"/>
  <c r="AU546" i="1"/>
  <c r="AU326" i="1"/>
  <c r="AV326" i="1"/>
  <c r="AW326" i="1"/>
  <c r="AV180" i="1"/>
  <c r="AU629" i="1"/>
  <c r="AV629" i="1"/>
  <c r="AW629" i="1"/>
  <c r="AU492" i="1"/>
  <c r="AV492" i="1"/>
  <c r="AW492" i="1"/>
  <c r="AU686" i="1"/>
  <c r="AW686" i="1"/>
  <c r="AU473" i="1"/>
  <c r="AV413" i="1"/>
  <c r="AU391" i="1"/>
  <c r="AV391" i="1"/>
  <c r="AV120" i="1"/>
  <c r="AV407" i="1"/>
  <c r="AU402" i="1"/>
  <c r="AV402" i="1"/>
  <c r="AW367" i="1"/>
  <c r="AV367" i="1"/>
  <c r="AV528" i="1"/>
  <c r="AU528" i="1"/>
  <c r="AU418" i="1"/>
  <c r="AV418" i="1"/>
  <c r="AW528" i="1"/>
  <c r="AW511" i="1"/>
  <c r="AV511" i="1"/>
  <c r="AW418" i="1"/>
  <c r="AU396" i="1"/>
  <c r="AV396" i="1"/>
  <c r="AW396" i="1"/>
  <c r="AU226" i="1"/>
  <c r="AV125" i="1"/>
  <c r="AV681" i="1"/>
  <c r="AV667" i="1"/>
  <c r="AV643" i="1"/>
  <c r="AU603" i="1"/>
  <c r="AV588" i="1"/>
  <c r="AW573" i="1"/>
  <c r="AU557" i="1"/>
  <c r="AW467" i="1"/>
  <c r="AW438" i="1"/>
  <c r="AU433" i="1"/>
  <c r="AU328" i="1"/>
  <c r="AU308" i="1"/>
  <c r="AU303" i="1"/>
  <c r="AU298" i="1"/>
  <c r="AU106" i="1"/>
  <c r="AU71" i="1"/>
  <c r="AU60" i="1"/>
  <c r="AU17" i="1"/>
  <c r="AU638" i="1"/>
  <c r="AU633" i="1"/>
  <c r="AV614" i="1"/>
  <c r="AV573" i="1"/>
  <c r="AU540" i="1"/>
  <c r="AU493" i="1"/>
  <c r="AW480" i="1"/>
  <c r="AW471" i="1"/>
  <c r="AU393" i="1"/>
  <c r="AU383" i="1"/>
  <c r="AU260" i="1"/>
  <c r="AV249" i="1"/>
  <c r="AV211" i="1"/>
  <c r="AU144" i="1"/>
  <c r="AV133" i="1"/>
  <c r="AU127" i="1"/>
  <c r="AU122" i="1"/>
  <c r="AU101" i="1"/>
  <c r="AU54" i="1"/>
  <c r="AV43" i="1"/>
  <c r="AU27" i="1"/>
  <c r="AV676" i="1"/>
  <c r="AU514" i="1"/>
  <c r="AW510" i="1"/>
  <c r="AW401" i="1"/>
  <c r="AU388" i="1"/>
  <c r="AU378" i="1"/>
  <c r="AU323" i="1"/>
  <c r="AV317" i="1"/>
  <c r="AV312" i="1"/>
  <c r="AU111" i="1"/>
  <c r="AU76" i="1"/>
  <c r="AV623" i="1"/>
  <c r="AV608" i="1"/>
  <c r="AW466" i="1"/>
  <c r="AV363" i="1"/>
  <c r="AU348" i="1"/>
  <c r="AU343" i="1"/>
  <c r="AU338" i="1"/>
  <c r="AU333" i="1"/>
  <c r="AU275" i="1"/>
  <c r="AV254" i="1"/>
  <c r="AW242" i="1"/>
  <c r="AU220" i="1"/>
  <c r="AV196" i="1"/>
  <c r="AV163" i="1"/>
  <c r="AV138" i="1"/>
  <c r="AV48" i="1"/>
  <c r="AU37" i="1"/>
  <c r="AU32" i="1"/>
  <c r="AU11" i="1"/>
  <c r="AV671" i="1"/>
  <c r="AU619" i="1"/>
  <c r="AU593" i="1"/>
  <c r="AW479" i="1"/>
  <c r="AU474" i="1"/>
  <c r="AU401" i="1"/>
  <c r="AU373" i="1"/>
  <c r="AU368" i="1"/>
  <c r="AU229" i="1"/>
  <c r="AV201" i="1"/>
  <c r="AU167" i="1"/>
  <c r="AU143" i="1"/>
  <c r="AU116" i="1"/>
  <c r="AU105" i="1"/>
  <c r="AV100" i="1"/>
  <c r="AU96" i="1"/>
  <c r="AU91" i="1"/>
  <c r="AU86" i="1"/>
  <c r="AU81" i="1"/>
  <c r="AU6" i="1"/>
  <c r="AW488" i="1"/>
  <c r="AW458" i="1"/>
  <c r="AU422" i="1"/>
  <c r="AU413" i="1"/>
  <c r="AU21" i="1"/>
  <c r="AU16" i="1"/>
  <c r="AU698" i="1"/>
  <c r="AV666" i="1"/>
  <c r="AU607" i="1"/>
  <c r="AV536" i="1"/>
  <c r="AU501" i="1"/>
  <c r="AU436" i="1"/>
  <c r="AU353" i="1"/>
  <c r="AW332" i="1"/>
  <c r="AV322" i="1"/>
  <c r="AW307" i="1"/>
  <c r="AW302" i="1"/>
  <c r="AU274" i="1"/>
  <c r="AV224" i="1"/>
  <c r="AU219" i="1"/>
  <c r="AU215" i="1"/>
  <c r="AV158" i="1"/>
  <c r="AU153" i="1"/>
  <c r="AU126" i="1"/>
  <c r="AU121" i="1"/>
  <c r="AU58" i="1"/>
  <c r="AU693" i="1"/>
  <c r="AU627" i="1"/>
  <c r="AU622" i="1"/>
  <c r="AV563" i="1"/>
  <c r="AW546" i="1"/>
  <c r="AW505" i="1"/>
  <c r="AW496" i="1"/>
  <c r="AU483" i="1"/>
  <c r="AW473" i="1"/>
  <c r="AU408" i="1"/>
  <c r="AU358" i="1"/>
  <c r="AV258" i="1"/>
  <c r="AU162" i="1"/>
  <c r="AV115" i="1"/>
  <c r="AU26" i="1"/>
  <c r="AU646" i="1"/>
  <c r="AU592" i="1"/>
  <c r="AU478" i="1"/>
  <c r="AV473" i="1"/>
  <c r="AU131" i="1"/>
  <c r="AU95" i="1"/>
  <c r="AU90" i="1"/>
  <c r="AU85" i="1"/>
  <c r="AU80" i="1"/>
  <c r="AU41" i="1"/>
  <c r="AU36" i="1"/>
  <c r="AU31" i="1"/>
  <c r="AU660" i="1"/>
  <c r="AW650" i="1"/>
  <c r="AV606" i="1"/>
  <c r="AU513" i="1"/>
  <c r="AU461" i="1"/>
  <c r="AW347" i="1"/>
  <c r="AW342" i="1"/>
  <c r="AW337" i="1"/>
  <c r="AU240" i="1"/>
  <c r="AV234" i="1"/>
  <c r="AV214" i="1"/>
  <c r="AV186" i="1"/>
  <c r="AU152" i="1"/>
  <c r="AU147" i="1"/>
  <c r="AU109" i="1"/>
  <c r="AU74" i="1"/>
  <c r="AV63" i="1"/>
  <c r="AU57" i="1"/>
  <c r="AV692" i="1"/>
  <c r="AU655" i="1"/>
  <c r="AU630" i="1"/>
  <c r="AV621" i="1"/>
  <c r="AU611" i="1"/>
  <c r="AV591" i="1"/>
  <c r="AV585" i="1"/>
  <c r="AV580" i="1"/>
  <c r="AV571" i="1"/>
  <c r="AV546" i="1"/>
  <c r="AU486" i="1"/>
  <c r="AU477" i="1"/>
  <c r="AU469" i="1"/>
  <c r="AU416" i="1"/>
  <c r="AW391" i="1"/>
  <c r="AW362" i="1"/>
  <c r="AW357" i="1"/>
  <c r="AW252" i="1"/>
  <c r="AV175" i="1"/>
  <c r="AV68" i="1"/>
  <c r="AU659" i="1"/>
  <c r="AW635" i="1"/>
  <c r="AV575" i="1"/>
  <c r="AV521" i="1"/>
  <c r="AW516" i="1"/>
  <c r="AW495" i="1"/>
  <c r="AU464" i="1"/>
  <c r="AW460" i="1"/>
  <c r="AU330" i="1"/>
  <c r="AU278" i="1"/>
  <c r="AV213" i="1"/>
  <c r="AU180" i="1"/>
  <c r="AU170" i="1"/>
  <c r="AU141" i="1"/>
  <c r="AU130" i="1"/>
  <c r="AU108" i="1"/>
  <c r="AU73" i="1"/>
  <c r="AU51" i="1"/>
  <c r="AU40" i="1"/>
  <c r="AU35" i="1"/>
  <c r="AU30" i="1"/>
  <c r="AU14" i="1"/>
  <c r="AU706" i="1"/>
  <c r="AU482" i="1"/>
  <c r="AU403" i="1"/>
  <c r="AU283" i="1"/>
  <c r="AW257" i="1"/>
  <c r="AU190" i="1"/>
  <c r="AU103" i="1"/>
  <c r="AU701" i="1"/>
  <c r="AU654" i="1"/>
  <c r="AV590" i="1"/>
  <c r="AW575" i="1"/>
  <c r="AV371" i="1"/>
  <c r="AU217" i="1"/>
  <c r="AU146" i="1"/>
  <c r="AU98" i="1"/>
  <c r="AU56" i="1"/>
  <c r="AU696" i="1"/>
  <c r="AV625" i="1"/>
  <c r="AW548" i="1"/>
  <c r="AU485" i="1"/>
  <c r="AV445" i="1"/>
  <c r="AV415" i="1"/>
  <c r="AW411" i="1"/>
  <c r="AU309" i="1"/>
  <c r="AW267" i="1"/>
  <c r="AW262" i="1"/>
  <c r="AW221" i="1"/>
  <c r="AV113" i="1"/>
  <c r="AV93" i="1"/>
  <c r="AV88" i="1"/>
  <c r="AV83" i="1"/>
  <c r="AV78" i="1"/>
  <c r="AV677" i="1"/>
  <c r="AW648" i="1"/>
  <c r="AU604" i="1"/>
  <c r="AV548" i="1"/>
  <c r="AW508" i="1"/>
  <c r="AV490" i="1"/>
  <c r="AU398" i="1"/>
  <c r="AW394" i="1"/>
  <c r="AU288" i="1"/>
  <c r="AW272" i="1"/>
  <c r="AU244" i="1"/>
  <c r="AU232" i="1"/>
  <c r="AV221" i="1"/>
  <c r="AW216" i="1"/>
  <c r="AV203" i="1"/>
  <c r="AV198" i="1"/>
  <c r="AV184" i="1"/>
  <c r="AU165" i="1"/>
  <c r="AU123" i="1"/>
  <c r="AU61" i="1"/>
  <c r="AW681" i="1"/>
  <c r="AV653" i="1"/>
  <c r="AV648" i="1"/>
  <c r="AV634" i="1"/>
  <c r="AU503" i="1"/>
  <c r="AU498" i="1"/>
  <c r="AV389" i="1"/>
  <c r="AV384" i="1"/>
  <c r="AV379" i="1"/>
  <c r="AW277" i="1"/>
  <c r="AV216" i="1"/>
  <c r="AV150" i="1"/>
  <c r="AV145" i="1"/>
  <c r="AV686" i="1"/>
  <c r="AV672" i="1"/>
  <c r="AV624" i="1"/>
  <c r="AW620" i="1"/>
  <c r="AU615" i="1"/>
  <c r="AU594" i="1"/>
  <c r="AW578" i="1"/>
  <c r="AW561" i="1"/>
  <c r="AV493" i="1"/>
  <c r="AW484" i="1"/>
  <c r="AU472" i="1"/>
  <c r="AW448" i="1"/>
  <c r="AW282" i="1"/>
  <c r="AU66" i="1"/>
  <c r="AU55" i="1"/>
  <c r="AW676" i="1"/>
  <c r="AU583" i="1"/>
  <c r="AU537" i="1"/>
  <c r="AV514" i="1"/>
  <c r="AU511" i="1"/>
  <c r="AV480" i="1"/>
  <c r="AW459" i="1"/>
  <c r="AU428" i="1"/>
  <c r="AV414" i="1"/>
  <c r="AU318" i="1"/>
  <c r="AU313" i="1"/>
  <c r="AU293" i="1"/>
  <c r="AV202" i="1"/>
  <c r="AV197" i="1"/>
  <c r="AV183" i="1"/>
  <c r="AU168" i="1"/>
  <c r="AU160" i="1"/>
  <c r="AV128" i="1"/>
  <c r="AU97" i="1"/>
  <c r="AU92" i="1"/>
  <c r="AU87" i="1"/>
  <c r="AU82" i="1"/>
  <c r="AV38" i="1"/>
  <c r="AV33" i="1"/>
  <c r="AU7" i="1"/>
  <c r="AU704" i="1"/>
  <c r="AV704" i="1"/>
  <c r="AW704" i="1"/>
  <c r="AU657" i="1"/>
  <c r="AV657" i="1"/>
  <c r="AU652" i="1"/>
  <c r="AV633" i="1"/>
  <c r="AU699" i="1"/>
  <c r="AV699" i="1"/>
  <c r="AW699" i="1"/>
  <c r="AU685" i="1"/>
  <c r="AV685" i="1"/>
  <c r="AW685" i="1"/>
  <c r="AU524" i="1"/>
  <c r="AV524" i="1"/>
  <c r="AW524" i="1"/>
  <c r="AU694" i="1"/>
  <c r="AV694" i="1"/>
  <c r="AW694" i="1"/>
  <c r="AU628" i="1"/>
  <c r="AV628" i="1"/>
  <c r="AW628" i="1"/>
  <c r="AU608" i="1"/>
  <c r="AU689" i="1"/>
  <c r="AV689" i="1"/>
  <c r="AW689" i="1"/>
  <c r="AU680" i="1"/>
  <c r="AV680" i="1"/>
  <c r="AW680" i="1"/>
  <c r="AU642" i="1"/>
  <c r="AV642" i="1"/>
  <c r="AU556" i="1"/>
  <c r="AW556" i="1"/>
  <c r="AU532" i="1"/>
  <c r="AU708" i="1"/>
  <c r="AV661" i="1"/>
  <c r="AW661" i="1"/>
  <c r="AU656" i="1"/>
  <c r="AV656" i="1"/>
  <c r="AW656" i="1"/>
  <c r="AW651" i="1"/>
  <c r="AU637" i="1"/>
  <c r="AV637" i="1"/>
  <c r="AV632" i="1"/>
  <c r="AU587" i="1"/>
  <c r="AU703" i="1"/>
  <c r="AU684" i="1"/>
  <c r="AV684" i="1"/>
  <c r="AW684" i="1"/>
  <c r="AU675" i="1"/>
  <c r="AV675" i="1"/>
  <c r="AW675" i="1"/>
  <c r="AU661" i="1"/>
  <c r="AU647" i="1"/>
  <c r="AV647" i="1"/>
  <c r="AU613" i="1"/>
  <c r="AV613" i="1"/>
  <c r="AW613" i="1"/>
  <c r="AU551" i="1"/>
  <c r="AW551" i="1"/>
  <c r="AV693" i="1"/>
  <c r="AW693" i="1"/>
  <c r="AU581" i="1"/>
  <c r="AV581" i="1"/>
  <c r="AW581" i="1"/>
  <c r="AV688" i="1"/>
  <c r="AW688" i="1"/>
  <c r="AU679" i="1"/>
  <c r="AV679" i="1"/>
  <c r="AW679" i="1"/>
  <c r="AU670" i="1"/>
  <c r="AV670" i="1"/>
  <c r="AW670" i="1"/>
  <c r="AU631" i="1"/>
  <c r="AV631" i="1"/>
  <c r="AW631" i="1"/>
  <c r="AU618" i="1"/>
  <c r="AU612" i="1"/>
  <c r="AV612" i="1"/>
  <c r="AU601" i="1"/>
  <c r="AV601" i="1"/>
  <c r="AW601" i="1"/>
  <c r="AU586" i="1"/>
  <c r="AV707" i="1"/>
  <c r="AU688" i="1"/>
  <c r="AU641" i="1"/>
  <c r="AU636" i="1"/>
  <c r="AV636" i="1"/>
  <c r="AW636" i="1"/>
  <c r="AV702" i="1"/>
  <c r="AV683" i="1"/>
  <c r="AW683" i="1"/>
  <c r="AU674" i="1"/>
  <c r="AV674" i="1"/>
  <c r="AW674" i="1"/>
  <c r="AU665" i="1"/>
  <c r="AV665" i="1"/>
  <c r="AW665" i="1"/>
  <c r="AU559" i="1"/>
  <c r="AV559" i="1"/>
  <c r="AW559" i="1"/>
  <c r="AV697" i="1"/>
  <c r="AU683" i="1"/>
  <c r="AU626" i="1"/>
  <c r="AU617" i="1"/>
  <c r="AV617" i="1"/>
  <c r="AU591" i="1"/>
  <c r="AU576" i="1"/>
  <c r="AV576" i="1"/>
  <c r="AW576" i="1"/>
  <c r="AV678" i="1"/>
  <c r="AW678" i="1"/>
  <c r="AU669" i="1"/>
  <c r="AV669" i="1"/>
  <c r="AW669" i="1"/>
  <c r="AU596" i="1"/>
  <c r="AV596" i="1"/>
  <c r="AW596" i="1"/>
  <c r="AU554" i="1"/>
  <c r="AV554" i="1"/>
  <c r="AW554" i="1"/>
  <c r="AV687" i="1"/>
  <c r="AU678" i="1"/>
  <c r="AV673" i="1"/>
  <c r="AW673" i="1"/>
  <c r="AU664" i="1"/>
  <c r="AV664" i="1"/>
  <c r="AW664" i="1"/>
  <c r="AW659" i="1"/>
  <c r="AU649" i="1"/>
  <c r="AV584" i="1"/>
  <c r="AW584" i="1"/>
  <c r="AU549" i="1"/>
  <c r="AV549" i="1"/>
  <c r="AW549" i="1"/>
  <c r="AU534" i="1"/>
  <c r="AV534" i="1"/>
  <c r="AW534" i="1"/>
  <c r="AV682" i="1"/>
  <c r="AU673" i="1"/>
  <c r="AU584" i="1"/>
  <c r="AU710" i="1"/>
  <c r="AV710" i="1"/>
  <c r="AW710" i="1"/>
  <c r="AU668" i="1"/>
  <c r="AV668" i="1"/>
  <c r="AW668" i="1"/>
  <c r="AU644" i="1"/>
  <c r="AV644" i="1"/>
  <c r="AW644" i="1"/>
  <c r="AV616" i="1"/>
  <c r="AV604" i="1"/>
  <c r="AW604" i="1"/>
  <c r="AU562" i="1"/>
  <c r="AU705" i="1"/>
  <c r="AV705" i="1"/>
  <c r="AW705" i="1"/>
  <c r="AU658" i="1"/>
  <c r="AV658" i="1"/>
  <c r="AW658" i="1"/>
  <c r="AU589" i="1"/>
  <c r="AU574" i="1"/>
  <c r="AV574" i="1"/>
  <c r="AW574" i="1"/>
  <c r="AU566" i="1"/>
  <c r="AW566" i="1"/>
  <c r="AU700" i="1"/>
  <c r="AV700" i="1"/>
  <c r="AW700" i="1"/>
  <c r="AU663" i="1"/>
  <c r="AV663" i="1"/>
  <c r="AW663" i="1"/>
  <c r="AU639" i="1"/>
  <c r="AV639" i="1"/>
  <c r="AW639" i="1"/>
  <c r="AV589" i="1"/>
  <c r="AW589" i="1"/>
  <c r="AU569" i="1"/>
  <c r="AV569" i="1"/>
  <c r="AW569" i="1"/>
  <c r="AU544" i="1"/>
  <c r="AV544" i="1"/>
  <c r="AW544" i="1"/>
  <c r="AU529" i="1"/>
  <c r="AV529" i="1"/>
  <c r="AW529" i="1"/>
  <c r="AU695" i="1"/>
  <c r="AV695" i="1"/>
  <c r="AW695" i="1"/>
  <c r="AU609" i="1"/>
  <c r="AV609" i="1"/>
  <c r="AW609" i="1"/>
  <c r="AU709" i="1"/>
  <c r="AV709" i="1"/>
  <c r="AW709" i="1"/>
  <c r="AU690" i="1"/>
  <c r="AV690" i="1"/>
  <c r="AW690" i="1"/>
  <c r="AU707" i="1"/>
  <c r="AU702" i="1"/>
  <c r="AU697" i="1"/>
  <c r="AU692" i="1"/>
  <c r="AU687" i="1"/>
  <c r="AU682" i="1"/>
  <c r="AU677" i="1"/>
  <c r="AU672" i="1"/>
  <c r="AU667" i="1"/>
  <c r="AV659" i="1"/>
  <c r="AV651" i="1"/>
  <c r="AU643" i="1"/>
  <c r="AU635" i="1"/>
  <c r="AU624" i="1"/>
  <c r="AU616" i="1"/>
  <c r="AW605" i="1"/>
  <c r="AW599" i="1"/>
  <c r="AU588" i="1"/>
  <c r="AW585" i="1"/>
  <c r="AW579" i="1"/>
  <c r="AV564" i="1"/>
  <c r="AU555" i="1"/>
  <c r="AV539" i="1"/>
  <c r="AV530" i="1"/>
  <c r="AW530" i="1"/>
  <c r="AU497" i="1"/>
  <c r="AV497" i="1"/>
  <c r="AW497" i="1"/>
  <c r="AW627" i="1"/>
  <c r="AV599" i="1"/>
  <c r="AV579" i="1"/>
  <c r="AU564" i="1"/>
  <c r="AV555" i="1"/>
  <c r="AW555" i="1"/>
  <c r="AU539" i="1"/>
  <c r="AU518" i="1"/>
  <c r="AV518" i="1"/>
  <c r="AW518" i="1"/>
  <c r="AU502" i="1"/>
  <c r="AV502" i="1"/>
  <c r="AW502" i="1"/>
  <c r="AV453" i="1"/>
  <c r="AW453" i="1"/>
  <c r="AU443" i="1"/>
  <c r="AV443" i="1"/>
  <c r="AW443" i="1"/>
  <c r="AU409" i="1"/>
  <c r="AV409" i="1"/>
  <c r="AW409" i="1"/>
  <c r="AW662" i="1"/>
  <c r="AU605" i="1"/>
  <c r="AU585" i="1"/>
  <c r="AV552" i="1"/>
  <c r="AW552" i="1"/>
  <c r="AU462" i="1"/>
  <c r="AU453" i="1"/>
  <c r="AV432" i="1"/>
  <c r="AW432" i="1"/>
  <c r="AU427" i="1"/>
  <c r="AV427" i="1"/>
  <c r="AW427" i="1"/>
  <c r="AW653" i="1"/>
  <c r="AW634" i="1"/>
  <c r="AW632" i="1"/>
  <c r="AW626" i="1"/>
  <c r="AV618" i="1"/>
  <c r="AV610" i="1"/>
  <c r="AV602" i="1"/>
  <c r="AW602" i="1"/>
  <c r="AV593" i="1"/>
  <c r="AV582" i="1"/>
  <c r="AW582" i="1"/>
  <c r="AU545" i="1"/>
  <c r="AV522" i="1"/>
  <c r="AU466" i="1"/>
  <c r="AV466" i="1"/>
  <c r="AU437" i="1"/>
  <c r="AV437" i="1"/>
  <c r="AW437" i="1"/>
  <c r="AU432" i="1"/>
  <c r="AU392" i="1"/>
  <c r="AV392" i="1"/>
  <c r="AV626" i="1"/>
  <c r="AV607" i="1"/>
  <c r="AW590" i="1"/>
  <c r="AV570" i="1"/>
  <c r="AW570" i="1"/>
  <c r="AV561" i="1"/>
  <c r="AV545" i="1"/>
  <c r="AW545" i="1"/>
  <c r="AU479" i="1"/>
  <c r="AV479" i="1"/>
  <c r="AU442" i="1"/>
  <c r="AV442" i="1"/>
  <c r="AW442" i="1"/>
  <c r="AU426" i="1"/>
  <c r="AV426" i="1"/>
  <c r="AW426" i="1"/>
  <c r="AW706" i="1"/>
  <c r="AW701" i="1"/>
  <c r="AW696" i="1"/>
  <c r="AW691" i="1"/>
  <c r="AW623" i="1"/>
  <c r="AW615" i="1"/>
  <c r="AV567" i="1"/>
  <c r="AW567" i="1"/>
  <c r="AV542" i="1"/>
  <c r="AW542" i="1"/>
  <c r="AU452" i="1"/>
  <c r="AV452" i="1"/>
  <c r="AW452" i="1"/>
  <c r="AU447" i="1"/>
  <c r="AV447" i="1"/>
  <c r="AW447" i="1"/>
  <c r="AV691" i="1"/>
  <c r="AW637" i="1"/>
  <c r="AV615" i="1"/>
  <c r="AU590" i="1"/>
  <c r="AW521" i="1"/>
  <c r="AV517" i="1"/>
  <c r="AV465" i="1"/>
  <c r="AW465" i="1"/>
  <c r="AU417" i="1"/>
  <c r="AU560" i="1"/>
  <c r="AU535" i="1"/>
  <c r="AW487" i="1"/>
  <c r="AU457" i="1"/>
  <c r="AU431" i="1"/>
  <c r="AV431" i="1"/>
  <c r="AW431" i="1"/>
  <c r="AU421" i="1"/>
  <c r="AV421" i="1"/>
  <c r="AW421" i="1"/>
  <c r="AU412" i="1"/>
  <c r="AV412" i="1"/>
  <c r="AW607" i="1"/>
  <c r="AV587" i="1"/>
  <c r="AW587" i="1"/>
  <c r="AV560" i="1"/>
  <c r="AW560" i="1"/>
  <c r="AV551" i="1"/>
  <c r="AV535" i="1"/>
  <c r="AW535" i="1"/>
  <c r="AV532" i="1"/>
  <c r="AW532" i="1"/>
  <c r="AU487" i="1"/>
  <c r="AV487" i="1"/>
  <c r="AU451" i="1"/>
  <c r="AU441" i="1"/>
  <c r="AW708" i="1"/>
  <c r="AW703" i="1"/>
  <c r="AW698" i="1"/>
  <c r="AW642" i="1"/>
  <c r="AV557" i="1"/>
  <c r="AW557" i="1"/>
  <c r="AV525" i="1"/>
  <c r="AW525" i="1"/>
  <c r="AW509" i="1"/>
  <c r="AV500" i="1"/>
  <c r="AW500" i="1"/>
  <c r="AU446" i="1"/>
  <c r="AV446" i="1"/>
  <c r="AV416" i="1"/>
  <c r="AW416" i="1"/>
  <c r="AU516" i="1"/>
  <c r="AV516" i="1"/>
  <c r="AU504" i="1"/>
  <c r="AV504" i="1"/>
  <c r="AW504" i="1"/>
  <c r="AW446" i="1"/>
  <c r="AV652" i="1"/>
  <c r="AW633" i="1"/>
  <c r="AW625" i="1"/>
  <c r="AW614" i="1"/>
  <c r="AW612" i="1"/>
  <c r="AW606" i="1"/>
  <c r="AU595" i="1"/>
  <c r="AW586" i="1"/>
  <c r="AU550" i="1"/>
  <c r="AU512" i="1"/>
  <c r="AV512" i="1"/>
  <c r="AW512" i="1"/>
  <c r="AU499" i="1"/>
  <c r="AV499" i="1"/>
  <c r="AW499" i="1"/>
  <c r="AU491" i="1"/>
  <c r="AV477" i="1"/>
  <c r="AW477" i="1"/>
  <c r="AV469" i="1"/>
  <c r="AW469" i="1"/>
  <c r="AU456" i="1"/>
  <c r="AV456" i="1"/>
  <c r="AW456" i="1"/>
  <c r="AV440" i="1"/>
  <c r="AU399" i="1"/>
  <c r="AV399" i="1"/>
  <c r="AW399" i="1"/>
  <c r="AW660" i="1"/>
  <c r="AW649" i="1"/>
  <c r="AW647" i="1"/>
  <c r="AW641" i="1"/>
  <c r="AW603" i="1"/>
  <c r="AV586" i="1"/>
  <c r="AW583" i="1"/>
  <c r="AV572" i="1"/>
  <c r="AW572" i="1"/>
  <c r="AV566" i="1"/>
  <c r="AV550" i="1"/>
  <c r="AW550" i="1"/>
  <c r="AV541" i="1"/>
  <c r="AV450" i="1"/>
  <c r="AW450" i="1"/>
  <c r="AV649" i="1"/>
  <c r="AV641" i="1"/>
  <c r="AV622" i="1"/>
  <c r="AV603" i="1"/>
  <c r="AV592" i="1"/>
  <c r="AW592" i="1"/>
  <c r="AV583" i="1"/>
  <c r="AV547" i="1"/>
  <c r="AW547" i="1"/>
  <c r="AV520" i="1"/>
  <c r="AW520" i="1"/>
  <c r="AU476" i="1"/>
  <c r="AV476" i="1"/>
  <c r="AW476" i="1"/>
  <c r="AU468" i="1"/>
  <c r="AV468" i="1"/>
  <c r="AW468" i="1"/>
  <c r="AU434" i="1"/>
  <c r="AV434" i="1"/>
  <c r="AW434" i="1"/>
  <c r="AV424" i="1"/>
  <c r="AW424" i="1"/>
  <c r="AW638" i="1"/>
  <c r="AW630" i="1"/>
  <c r="AW619" i="1"/>
  <c r="AW617" i="1"/>
  <c r="AW611" i="1"/>
  <c r="AW600" i="1"/>
  <c r="AW594" i="1"/>
  <c r="AW580" i="1"/>
  <c r="AW490" i="1"/>
  <c r="AU449" i="1"/>
  <c r="AU439" i="1"/>
  <c r="AV439" i="1"/>
  <c r="AW439" i="1"/>
  <c r="AU429" i="1"/>
  <c r="AV429" i="1"/>
  <c r="AW429" i="1"/>
  <c r="AU419" i="1"/>
  <c r="AV419" i="1"/>
  <c r="AW419" i="1"/>
  <c r="AU394" i="1"/>
  <c r="AV394" i="1"/>
  <c r="AW654" i="1"/>
  <c r="AW652" i="1"/>
  <c r="AW646" i="1"/>
  <c r="AV638" i="1"/>
  <c r="AV630" i="1"/>
  <c r="AV619" i="1"/>
  <c r="AV611" i="1"/>
  <c r="AV594" i="1"/>
  <c r="AW571" i="1"/>
  <c r="AU565" i="1"/>
  <c r="AV515" i="1"/>
  <c r="AW515" i="1"/>
  <c r="AU494" i="1"/>
  <c r="AV494" i="1"/>
  <c r="AW494" i="1"/>
  <c r="AV627" i="1"/>
  <c r="AW608" i="1"/>
  <c r="AU600" i="1"/>
  <c r="AW591" i="1"/>
  <c r="AU580" i="1"/>
  <c r="AV565" i="1"/>
  <c r="AW565" i="1"/>
  <c r="AV556" i="1"/>
  <c r="AV540" i="1"/>
  <c r="AW540" i="1"/>
  <c r="AU519" i="1"/>
  <c r="AV519" i="1"/>
  <c r="AU481" i="1"/>
  <c r="AV481" i="1"/>
  <c r="AW481" i="1"/>
  <c r="AW707" i="1"/>
  <c r="AW702" i="1"/>
  <c r="AW697" i="1"/>
  <c r="AW622" i="1"/>
  <c r="AW616" i="1"/>
  <c r="AV562" i="1"/>
  <c r="AW562" i="1"/>
  <c r="AV537" i="1"/>
  <c r="AW537" i="1"/>
  <c r="AU523" i="1"/>
  <c r="AV523" i="1"/>
  <c r="AW523" i="1"/>
  <c r="AU489" i="1"/>
  <c r="AV489" i="1"/>
  <c r="AW489" i="1"/>
  <c r="AU662" i="1"/>
  <c r="AW657" i="1"/>
  <c r="AV597" i="1"/>
  <c r="AW597" i="1"/>
  <c r="AV577" i="1"/>
  <c r="AW577" i="1"/>
  <c r="AU552" i="1"/>
  <c r="AU530" i="1"/>
  <c r="AV527" i="1"/>
  <c r="AW527" i="1"/>
  <c r="AU507" i="1"/>
  <c r="AV507" i="1"/>
  <c r="AW507" i="1"/>
  <c r="AU444" i="1"/>
  <c r="AV444" i="1"/>
  <c r="AW444" i="1"/>
  <c r="AU438" i="1"/>
  <c r="AV438" i="1"/>
  <c r="AU470" i="1"/>
  <c r="AV467" i="1"/>
  <c r="AV459" i="1"/>
  <c r="AU354" i="1"/>
  <c r="AV354" i="1"/>
  <c r="AW354" i="1"/>
  <c r="AU271" i="1"/>
  <c r="AV271" i="1"/>
  <c r="AW271" i="1"/>
  <c r="AU249" i="1"/>
  <c r="AW514" i="1"/>
  <c r="AU509" i="1"/>
  <c r="AW501" i="1"/>
  <c r="AU496" i="1"/>
  <c r="AW493" i="1"/>
  <c r="AW472" i="1"/>
  <c r="AW464" i="1"/>
  <c r="AW451" i="1"/>
  <c r="AW430" i="1"/>
  <c r="AU425" i="1"/>
  <c r="AW425" i="1"/>
  <c r="AV422" i="1"/>
  <c r="AW387" i="1"/>
  <c r="AU359" i="1"/>
  <c r="AV359" i="1"/>
  <c r="AW359" i="1"/>
  <c r="AU276" i="1"/>
  <c r="AV276" i="1"/>
  <c r="AW276" i="1"/>
  <c r="AU265" i="1"/>
  <c r="AU230" i="1"/>
  <c r="AU475" i="1"/>
  <c r="AV451" i="1"/>
  <c r="AW292" i="1"/>
  <c r="AU281" i="1"/>
  <c r="AV281" i="1"/>
  <c r="AW281" i="1"/>
  <c r="AU270" i="1"/>
  <c r="AU254" i="1"/>
  <c r="AU225" i="1"/>
  <c r="AW506" i="1"/>
  <c r="AW485" i="1"/>
  <c r="AU286" i="1"/>
  <c r="AV286" i="1"/>
  <c r="AW286" i="1"/>
  <c r="AU248" i="1"/>
  <c r="AV248" i="1"/>
  <c r="AW248" i="1"/>
  <c r="AU236" i="1"/>
  <c r="AV236" i="1"/>
  <c r="AW236" i="1"/>
  <c r="AV506" i="1"/>
  <c r="AV498" i="1"/>
  <c r="AV485" i="1"/>
  <c r="AU480" i="1"/>
  <c r="AU430" i="1"/>
  <c r="AW382" i="1"/>
  <c r="AU280" i="1"/>
  <c r="AU264" i="1"/>
  <c r="AU259" i="1"/>
  <c r="AU390" i="1"/>
  <c r="AV390" i="1"/>
  <c r="AW390" i="1"/>
  <c r="AU253" i="1"/>
  <c r="AV253" i="1"/>
  <c r="AW253" i="1"/>
  <c r="AU435" i="1"/>
  <c r="AU410" i="1"/>
  <c r="AV410" i="1"/>
  <c r="AW410" i="1"/>
  <c r="AU386" i="1"/>
  <c r="AW386" i="1"/>
  <c r="AW377" i="1"/>
  <c r="AU377" i="1"/>
  <c r="AU291" i="1"/>
  <c r="AV291" i="1"/>
  <c r="AW291" i="1"/>
  <c r="AW445" i="1"/>
  <c r="AW407" i="1"/>
  <c r="AU400" i="1"/>
  <c r="AV400" i="1"/>
  <c r="AW400" i="1"/>
  <c r="AW397" i="1"/>
  <c r="AU279" i="1"/>
  <c r="AW247" i="1"/>
  <c r="AU241" i="1"/>
  <c r="AV241" i="1"/>
  <c r="AW241" i="1"/>
  <c r="AU228" i="1"/>
  <c r="AV228" i="1"/>
  <c r="AW228" i="1"/>
  <c r="AU490" i="1"/>
  <c r="AU440" i="1"/>
  <c r="AU385" i="1"/>
  <c r="AV385" i="1"/>
  <c r="AW385" i="1"/>
  <c r="AW352" i="1"/>
  <c r="AU234" i="1"/>
  <c r="AU223" i="1"/>
  <c r="AV223" i="1"/>
  <c r="AW223" i="1"/>
  <c r="AU381" i="1"/>
  <c r="AW381" i="1"/>
  <c r="AU321" i="1"/>
  <c r="AV321" i="1"/>
  <c r="AW321" i="1"/>
  <c r="AU316" i="1"/>
  <c r="AV316" i="1"/>
  <c r="AW316" i="1"/>
  <c r="AU311" i="1"/>
  <c r="AV311" i="1"/>
  <c r="AW311" i="1"/>
  <c r="AU296" i="1"/>
  <c r="AV296" i="1"/>
  <c r="AW296" i="1"/>
  <c r="AU218" i="1"/>
  <c r="AV218" i="1"/>
  <c r="AW218" i="1"/>
  <c r="AU495" i="1"/>
  <c r="AU445" i="1"/>
  <c r="AU389" i="1"/>
  <c r="AW389" i="1"/>
  <c r="AU331" i="1"/>
  <c r="AV331" i="1"/>
  <c r="AW331" i="1"/>
  <c r="AU306" i="1"/>
  <c r="AV306" i="1"/>
  <c r="AW306" i="1"/>
  <c r="AU301" i="1"/>
  <c r="AV301" i="1"/>
  <c r="AW301" i="1"/>
  <c r="AW455" i="1"/>
  <c r="AV406" i="1"/>
  <c r="AU380" i="1"/>
  <c r="AV380" i="1"/>
  <c r="AW380" i="1"/>
  <c r="AU376" i="1"/>
  <c r="AW376" i="1"/>
  <c r="AU320" i="1"/>
  <c r="AU315" i="1"/>
  <c r="AU310" i="1"/>
  <c r="AU295" i="1"/>
  <c r="AU289" i="1"/>
  <c r="AU246" i="1"/>
  <c r="AV246" i="1"/>
  <c r="AW246" i="1"/>
  <c r="AU233" i="1"/>
  <c r="AV233" i="1"/>
  <c r="AW233" i="1"/>
  <c r="AW227" i="1"/>
  <c r="AU500" i="1"/>
  <c r="AU450" i="1"/>
  <c r="AW423" i="1"/>
  <c r="AU384" i="1"/>
  <c r="AW384" i="1"/>
  <c r="AU305" i="1"/>
  <c r="AU300" i="1"/>
  <c r="AU239" i="1"/>
  <c r="AW222" i="1"/>
  <c r="AU375" i="1"/>
  <c r="AV375" i="1"/>
  <c r="AW375" i="1"/>
  <c r="AU371" i="1"/>
  <c r="AW371" i="1"/>
  <c r="AU351" i="1"/>
  <c r="AW351" i="1"/>
  <c r="AU346" i="1"/>
  <c r="AV346" i="1"/>
  <c r="AW346" i="1"/>
  <c r="AU341" i="1"/>
  <c r="AV341" i="1"/>
  <c r="AW341" i="1"/>
  <c r="AU336" i="1"/>
  <c r="AV336" i="1"/>
  <c r="AW336" i="1"/>
  <c r="AU505" i="1"/>
  <c r="AU455" i="1"/>
  <c r="AU366" i="1"/>
  <c r="AW366" i="1"/>
  <c r="AU325" i="1"/>
  <c r="AU319" i="1"/>
  <c r="AU314" i="1"/>
  <c r="AU294" i="1"/>
  <c r="AW486" i="1"/>
  <c r="AW478" i="1"/>
  <c r="AW457" i="1"/>
  <c r="AW449" i="1"/>
  <c r="AW436" i="1"/>
  <c r="AW428" i="1"/>
  <c r="AU415" i="1"/>
  <c r="AW415" i="1"/>
  <c r="AU379" i="1"/>
  <c r="AW379" i="1"/>
  <c r="AU370" i="1"/>
  <c r="AV370" i="1"/>
  <c r="AW370" i="1"/>
  <c r="AU361" i="1"/>
  <c r="AW361" i="1"/>
  <c r="AU356" i="1"/>
  <c r="AW356" i="1"/>
  <c r="AU251" i="1"/>
  <c r="AV251" i="1"/>
  <c r="AW251" i="1"/>
  <c r="AU238" i="1"/>
  <c r="AV238" i="1"/>
  <c r="AW238" i="1"/>
  <c r="AW232" i="1"/>
  <c r="AU510" i="1"/>
  <c r="AV486" i="1"/>
  <c r="AV478" i="1"/>
  <c r="AU460" i="1"/>
  <c r="AV457" i="1"/>
  <c r="AV449" i="1"/>
  <c r="AV436" i="1"/>
  <c r="AV428" i="1"/>
  <c r="AW412" i="1"/>
  <c r="AU395" i="1"/>
  <c r="AV395" i="1"/>
  <c r="AW395" i="1"/>
  <c r="AW392" i="1"/>
  <c r="AU365" i="1"/>
  <c r="AV365" i="1"/>
  <c r="AW365" i="1"/>
  <c r="AW491" i="1"/>
  <c r="AW483" i="1"/>
  <c r="AW470" i="1"/>
  <c r="AW462" i="1"/>
  <c r="AW454" i="1"/>
  <c r="AW441" i="1"/>
  <c r="AW433" i="1"/>
  <c r="AW417" i="1"/>
  <c r="AU405" i="1"/>
  <c r="AV405" i="1"/>
  <c r="AW405" i="1"/>
  <c r="AW402" i="1"/>
  <c r="AU374" i="1"/>
  <c r="AW374" i="1"/>
  <c r="AU360" i="1"/>
  <c r="AV360" i="1"/>
  <c r="AW360" i="1"/>
  <c r="AU355" i="1"/>
  <c r="AV355" i="1"/>
  <c r="AW355" i="1"/>
  <c r="AU324" i="1"/>
  <c r="AU256" i="1"/>
  <c r="AV256" i="1"/>
  <c r="AW256" i="1"/>
  <c r="AU250" i="1"/>
  <c r="AW522" i="1"/>
  <c r="AW517" i="1"/>
  <c r="AU515" i="1"/>
  <c r="AV491" i="1"/>
  <c r="AV483" i="1"/>
  <c r="AV470" i="1"/>
  <c r="AU465" i="1"/>
  <c r="AV462" i="1"/>
  <c r="AV454" i="1"/>
  <c r="AV441" i="1"/>
  <c r="AV433" i="1"/>
  <c r="AU420" i="1"/>
  <c r="AW420" i="1"/>
  <c r="AV417" i="1"/>
  <c r="AW414" i="1"/>
  <c r="AV387" i="1"/>
  <c r="AU369" i="1"/>
  <c r="AV369" i="1"/>
  <c r="AW369" i="1"/>
  <c r="AU349" i="1"/>
  <c r="AU344" i="1"/>
  <c r="AU339" i="1"/>
  <c r="AU334" i="1"/>
  <c r="AW475" i="1"/>
  <c r="AV425" i="1"/>
  <c r="AU387" i="1"/>
  <c r="AU364" i="1"/>
  <c r="AV364" i="1"/>
  <c r="AW364" i="1"/>
  <c r="AW287" i="1"/>
  <c r="AU266" i="1"/>
  <c r="AV266" i="1"/>
  <c r="AW266" i="1"/>
  <c r="AU261" i="1"/>
  <c r="AV261" i="1"/>
  <c r="AW261" i="1"/>
  <c r="AU255" i="1"/>
  <c r="AU243" i="1"/>
  <c r="AV243" i="1"/>
  <c r="AW243" i="1"/>
  <c r="AW237" i="1"/>
  <c r="AU231" i="1"/>
  <c r="AV231" i="1"/>
  <c r="AW231" i="1"/>
  <c r="AV297" i="1"/>
  <c r="AV292" i="1"/>
  <c r="AV287" i="1"/>
  <c r="AV282" i="1"/>
  <c r="AV277" i="1"/>
  <c r="AV272" i="1"/>
  <c r="AV267" i="1"/>
  <c r="AV262" i="1"/>
  <c r="AV257" i="1"/>
  <c r="AV252" i="1"/>
  <c r="AV247" i="1"/>
  <c r="AV242" i="1"/>
  <c r="AV237" i="1"/>
  <c r="AV232" i="1"/>
  <c r="AV227" i="1"/>
  <c r="AV222" i="1"/>
  <c r="AV217" i="1"/>
  <c r="AU181" i="1"/>
  <c r="AW181" i="1"/>
  <c r="AU163" i="1"/>
  <c r="AU159" i="1"/>
  <c r="AV159" i="1"/>
  <c r="AW159" i="1"/>
  <c r="AU149" i="1"/>
  <c r="AU133" i="1"/>
  <c r="AU43" i="1"/>
  <c r="AU22" i="1"/>
  <c r="AU372" i="1"/>
  <c r="AU367" i="1"/>
  <c r="AU362" i="1"/>
  <c r="AU357" i="1"/>
  <c r="AU352" i="1"/>
  <c r="AU347" i="1"/>
  <c r="AU342" i="1"/>
  <c r="AU337" i="1"/>
  <c r="AU332" i="1"/>
  <c r="AU327" i="1"/>
  <c r="AU322" i="1"/>
  <c r="AU317" i="1"/>
  <c r="AU312" i="1"/>
  <c r="AU307" i="1"/>
  <c r="AU302" i="1"/>
  <c r="AU297" i="1"/>
  <c r="AU292" i="1"/>
  <c r="AU287" i="1"/>
  <c r="AU282" i="1"/>
  <c r="AU277" i="1"/>
  <c r="AU272" i="1"/>
  <c r="AU267" i="1"/>
  <c r="AU262" i="1"/>
  <c r="AU257" i="1"/>
  <c r="AU252" i="1"/>
  <c r="AU247" i="1"/>
  <c r="AU242" i="1"/>
  <c r="AU237" i="1"/>
  <c r="AU194" i="1"/>
  <c r="AW194" i="1"/>
  <c r="AU138" i="1"/>
  <c r="AU65" i="1"/>
  <c r="AU48" i="1"/>
  <c r="AW349" i="1"/>
  <c r="AW344" i="1"/>
  <c r="AW339" i="1"/>
  <c r="AW334" i="1"/>
  <c r="AW329" i="1"/>
  <c r="AW324" i="1"/>
  <c r="AW319" i="1"/>
  <c r="AW314" i="1"/>
  <c r="AW309" i="1"/>
  <c r="AW304" i="1"/>
  <c r="AW299" i="1"/>
  <c r="AW294" i="1"/>
  <c r="AW289" i="1"/>
  <c r="AW284" i="1"/>
  <c r="AW279" i="1"/>
  <c r="AW274" i="1"/>
  <c r="AW269" i="1"/>
  <c r="AW264" i="1"/>
  <c r="AW259" i="1"/>
  <c r="AW254" i="1"/>
  <c r="AW249" i="1"/>
  <c r="AW244" i="1"/>
  <c r="AW239" i="1"/>
  <c r="AW234" i="1"/>
  <c r="AW229" i="1"/>
  <c r="AW224" i="1"/>
  <c r="AW219" i="1"/>
  <c r="AU202" i="1"/>
  <c r="AW202" i="1"/>
  <c r="AU198" i="1"/>
  <c r="AW198" i="1"/>
  <c r="AU185" i="1"/>
  <c r="AU176" i="1"/>
  <c r="AW176" i="1"/>
  <c r="AU171" i="1"/>
  <c r="AW171" i="1"/>
  <c r="AU132" i="1"/>
  <c r="AV349" i="1"/>
  <c r="AV344" i="1"/>
  <c r="AV339" i="1"/>
  <c r="AV334" i="1"/>
  <c r="AV329" i="1"/>
  <c r="AV324" i="1"/>
  <c r="AV319" i="1"/>
  <c r="AV314" i="1"/>
  <c r="AV309" i="1"/>
  <c r="AV304" i="1"/>
  <c r="AV299" i="1"/>
  <c r="AV294" i="1"/>
  <c r="AV289" i="1"/>
  <c r="AV284" i="1"/>
  <c r="AV279" i="1"/>
  <c r="AV274" i="1"/>
  <c r="AV269" i="1"/>
  <c r="AV264" i="1"/>
  <c r="AV259" i="1"/>
  <c r="AU214" i="1"/>
  <c r="AW214" i="1"/>
  <c r="AU206" i="1"/>
  <c r="AW206" i="1"/>
  <c r="AU158" i="1"/>
  <c r="AU148" i="1"/>
  <c r="AU70" i="1"/>
  <c r="AU53" i="1"/>
  <c r="AU210" i="1"/>
  <c r="AW210" i="1"/>
  <c r="AU100" i="1"/>
  <c r="AU193" i="1"/>
  <c r="AW193" i="1"/>
  <c r="AU189" i="1"/>
  <c r="AW189" i="1"/>
  <c r="AU110" i="1"/>
  <c r="AU75" i="1"/>
  <c r="AU10" i="1"/>
  <c r="AV10" i="1"/>
  <c r="AW10" i="1"/>
  <c r="AU197" i="1"/>
  <c r="AW197" i="1"/>
  <c r="AU184" i="1"/>
  <c r="AW184" i="1"/>
  <c r="AU166" i="1"/>
  <c r="AW166" i="1"/>
  <c r="AU142" i="1"/>
  <c r="AU104" i="1"/>
  <c r="AU69" i="1"/>
  <c r="AU52" i="1"/>
  <c r="AU5" i="1"/>
  <c r="AV5" i="1"/>
  <c r="AW5" i="1"/>
  <c r="AU213" i="1"/>
  <c r="AW213" i="1"/>
  <c r="AU20" i="1"/>
  <c r="AV20" i="1"/>
  <c r="AW20" i="1"/>
  <c r="AU15" i="1"/>
  <c r="AV15" i="1"/>
  <c r="AW15" i="1"/>
  <c r="AU209" i="1"/>
  <c r="AW209" i="1"/>
  <c r="AU201" i="1"/>
  <c r="AW201" i="1"/>
  <c r="AU205" i="1"/>
  <c r="AW205" i="1"/>
  <c r="AU192" i="1"/>
  <c r="AW192" i="1"/>
  <c r="AU188" i="1"/>
  <c r="AW188" i="1"/>
  <c r="AU179" i="1"/>
  <c r="AW179" i="1"/>
  <c r="AU174" i="1"/>
  <c r="AW174" i="1"/>
  <c r="AU125" i="1"/>
  <c r="AU120" i="1"/>
  <c r="AU68" i="1"/>
  <c r="AU25" i="1"/>
  <c r="AV25" i="1"/>
  <c r="AW25" i="1"/>
  <c r="AU9" i="1"/>
  <c r="AW413" i="1"/>
  <c r="AW408" i="1"/>
  <c r="AW403" i="1"/>
  <c r="AW398" i="1"/>
  <c r="AW393" i="1"/>
  <c r="AW388" i="1"/>
  <c r="AW383" i="1"/>
  <c r="AW378" i="1"/>
  <c r="AW373" i="1"/>
  <c r="AW368" i="1"/>
  <c r="AW363" i="1"/>
  <c r="AW358" i="1"/>
  <c r="AW353" i="1"/>
  <c r="AW348" i="1"/>
  <c r="AW343" i="1"/>
  <c r="AW338" i="1"/>
  <c r="AW333" i="1"/>
  <c r="AW328" i="1"/>
  <c r="AW323" i="1"/>
  <c r="AW318" i="1"/>
  <c r="AW313" i="1"/>
  <c r="AW308" i="1"/>
  <c r="AW303" i="1"/>
  <c r="AW298" i="1"/>
  <c r="AW293" i="1"/>
  <c r="AW288" i="1"/>
  <c r="AW283" i="1"/>
  <c r="AW278" i="1"/>
  <c r="AW273" i="1"/>
  <c r="AW268" i="1"/>
  <c r="AW263" i="1"/>
  <c r="AW258" i="1"/>
  <c r="AU183" i="1"/>
  <c r="AU161" i="1"/>
  <c r="AW161" i="1"/>
  <c r="AU114" i="1"/>
  <c r="AU94" i="1"/>
  <c r="AU89" i="1"/>
  <c r="AU84" i="1"/>
  <c r="AU79" i="1"/>
  <c r="AU62" i="1"/>
  <c r="AV273" i="1"/>
  <c r="AV268" i="1"/>
  <c r="AU196" i="1"/>
  <c r="AW196" i="1"/>
  <c r="AU169" i="1"/>
  <c r="AV169" i="1"/>
  <c r="AW169" i="1"/>
  <c r="AU19" i="1"/>
  <c r="AU212" i="1"/>
  <c r="AW212" i="1"/>
  <c r="AU208" i="1"/>
  <c r="AW208" i="1"/>
  <c r="AU187" i="1"/>
  <c r="AV187" i="1"/>
  <c r="AW187" i="1"/>
  <c r="AU151" i="1"/>
  <c r="AV151" i="1"/>
  <c r="AW151" i="1"/>
  <c r="AU67" i="1"/>
  <c r="AU204" i="1"/>
  <c r="AW204" i="1"/>
  <c r="AU182" i="1"/>
  <c r="AV182" i="1"/>
  <c r="AW182" i="1"/>
  <c r="AU178" i="1"/>
  <c r="AU173" i="1"/>
  <c r="AU156" i="1"/>
  <c r="AV156" i="1"/>
  <c r="AW156" i="1"/>
  <c r="AU135" i="1"/>
  <c r="AU113" i="1"/>
  <c r="AU93" i="1"/>
  <c r="AU88" i="1"/>
  <c r="AU83" i="1"/>
  <c r="AU78" i="1"/>
  <c r="AU45" i="1"/>
  <c r="AU24" i="1"/>
  <c r="AU8" i="1"/>
  <c r="AV8" i="1"/>
  <c r="AW8" i="1"/>
  <c r="AW350" i="1"/>
  <c r="AW345" i="1"/>
  <c r="AW340" i="1"/>
  <c r="AW335" i="1"/>
  <c r="AW330" i="1"/>
  <c r="AW325" i="1"/>
  <c r="AW320" i="1"/>
  <c r="AW315" i="1"/>
  <c r="AW310" i="1"/>
  <c r="AW305" i="1"/>
  <c r="AW300" i="1"/>
  <c r="AW295" i="1"/>
  <c r="AW290" i="1"/>
  <c r="AW285" i="1"/>
  <c r="AW280" i="1"/>
  <c r="AW275" i="1"/>
  <c r="AW270" i="1"/>
  <c r="AW265" i="1"/>
  <c r="AW260" i="1"/>
  <c r="AW255" i="1"/>
  <c r="AW250" i="1"/>
  <c r="AW245" i="1"/>
  <c r="AW240" i="1"/>
  <c r="AW235" i="1"/>
  <c r="AW230" i="1"/>
  <c r="AW225" i="1"/>
  <c r="AW220" i="1"/>
  <c r="AW215" i="1"/>
  <c r="AU200" i="1"/>
  <c r="AW200" i="1"/>
  <c r="AU3" i="1"/>
  <c r="AV3" i="1"/>
  <c r="AW3" i="1"/>
  <c r="AV350" i="1"/>
  <c r="AV345" i="1"/>
  <c r="AV340" i="1"/>
  <c r="AV335" i="1"/>
  <c r="AV330" i="1"/>
  <c r="AV325" i="1"/>
  <c r="AV320" i="1"/>
  <c r="AV315" i="1"/>
  <c r="AV310" i="1"/>
  <c r="AV305" i="1"/>
  <c r="AV300" i="1"/>
  <c r="AV295" i="1"/>
  <c r="AV290" i="1"/>
  <c r="AV285" i="1"/>
  <c r="AV280" i="1"/>
  <c r="AV275" i="1"/>
  <c r="AV270" i="1"/>
  <c r="AV265" i="1"/>
  <c r="AV260" i="1"/>
  <c r="AV255" i="1"/>
  <c r="AV250" i="1"/>
  <c r="AV245" i="1"/>
  <c r="AV240" i="1"/>
  <c r="AV235" i="1"/>
  <c r="AV230" i="1"/>
  <c r="AV225" i="1"/>
  <c r="AV220" i="1"/>
  <c r="AV215" i="1"/>
  <c r="AU191" i="1"/>
  <c r="AW191" i="1"/>
  <c r="AU164" i="1"/>
  <c r="AV164" i="1"/>
  <c r="AW164" i="1"/>
  <c r="AU140" i="1"/>
  <c r="AU50" i="1"/>
  <c r="AU18" i="1"/>
  <c r="AV18" i="1"/>
  <c r="AW18" i="1"/>
  <c r="AU13" i="1"/>
  <c r="AV13" i="1"/>
  <c r="AW13" i="1"/>
  <c r="AV181" i="1"/>
  <c r="AU177" i="1"/>
  <c r="AV177" i="1"/>
  <c r="AW177" i="1"/>
  <c r="AU150" i="1"/>
  <c r="AU134" i="1"/>
  <c r="AU112" i="1"/>
  <c r="AU77" i="1"/>
  <c r="AU44" i="1"/>
  <c r="AU2" i="1"/>
  <c r="AU207" i="1"/>
  <c r="AW207" i="1"/>
  <c r="AU195" i="1"/>
  <c r="AW195" i="1"/>
  <c r="AU155" i="1"/>
  <c r="AU145" i="1"/>
  <c r="AU128" i="1"/>
  <c r="AU38" i="1"/>
  <c r="AU33" i="1"/>
  <c r="AU23" i="1"/>
  <c r="AV23" i="1"/>
  <c r="AW23" i="1"/>
  <c r="AU12" i="1"/>
  <c r="AU211" i="1"/>
  <c r="AW211" i="1"/>
  <c r="AU203" i="1"/>
  <c r="AW203" i="1"/>
  <c r="AU199" i="1"/>
  <c r="AW199" i="1"/>
  <c r="AU186" i="1"/>
  <c r="AW186" i="1"/>
  <c r="AU139" i="1"/>
  <c r="AU117" i="1"/>
  <c r="AU49" i="1"/>
  <c r="AU28" i="1"/>
  <c r="AV28" i="1"/>
  <c r="AW28" i="1"/>
  <c r="AV12" i="1"/>
  <c r="AW12" i="1"/>
  <c r="AW146" i="1"/>
  <c r="AW141" i="1"/>
  <c r="AW136"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V146" i="1"/>
  <c r="AV141" i="1"/>
  <c r="AV136" i="1"/>
  <c r="AV131" i="1"/>
  <c r="AV126" i="1"/>
  <c r="AV121" i="1"/>
  <c r="AV116" i="1"/>
  <c r="AV111" i="1"/>
  <c r="AV106" i="1"/>
  <c r="AV101" i="1"/>
  <c r="AV96" i="1"/>
  <c r="AV91" i="1"/>
  <c r="AV86" i="1"/>
  <c r="AV81" i="1"/>
  <c r="AV76" i="1"/>
  <c r="AV71" i="1"/>
  <c r="AV66" i="1"/>
  <c r="AV61" i="1"/>
  <c r="AV56" i="1"/>
  <c r="AV51" i="1"/>
  <c r="AV46" i="1"/>
  <c r="AV41" i="1"/>
  <c r="AV36" i="1"/>
  <c r="AV31" i="1"/>
  <c r="AV21" i="1"/>
  <c r="AV16" i="1"/>
  <c r="AV6" i="1"/>
  <c r="AW183" i="1"/>
  <c r="AW178" i="1"/>
  <c r="AW173" i="1"/>
  <c r="AW168"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190" i="1"/>
  <c r="AW185" i="1"/>
  <c r="AW180"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V95" i="1"/>
  <c r="AV90" i="1"/>
  <c r="AV85" i="1"/>
  <c r="AV80" i="1"/>
  <c r="AV75" i="1"/>
  <c r="AV70" i="1"/>
  <c r="AV65" i="1"/>
  <c r="AV60" i="1"/>
  <c r="AV55" i="1"/>
  <c r="AV50" i="1"/>
  <c r="AV45" i="1"/>
  <c r="AV40" i="1"/>
  <c r="AV35" i="1"/>
  <c r="AV30"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V172" i="1"/>
  <c r="AV167" i="1"/>
  <c r="AV162" i="1"/>
  <c r="AV157" i="1"/>
  <c r="AV152" i="1"/>
  <c r="AV147" i="1"/>
  <c r="AV142" i="1"/>
  <c r="AV137" i="1"/>
  <c r="AV132" i="1"/>
  <c r="AV127" i="1"/>
  <c r="AV122" i="1"/>
  <c r="AV117" i="1"/>
  <c r="AV112" i="1"/>
  <c r="AV107" i="1"/>
  <c r="AV102" i="1"/>
  <c r="AV97" i="1"/>
  <c r="AV92" i="1"/>
  <c r="AV87" i="1"/>
  <c r="AV82" i="1"/>
  <c r="AV77" i="1"/>
  <c r="AV72" i="1"/>
  <c r="AV67" i="1"/>
  <c r="AV62" i="1"/>
  <c r="AV57" i="1"/>
  <c r="AV52" i="1"/>
  <c r="AV47" i="1"/>
  <c r="AV42" i="1"/>
  <c r="AV37" i="1"/>
  <c r="AV32" i="1"/>
  <c r="AV27" i="1"/>
  <c r="AV22" i="1"/>
  <c r="AV17" i="1"/>
  <c r="AV2"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54" i="1"/>
  <c r="AV149" i="1"/>
  <c r="AV144" i="1"/>
  <c r="AV139" i="1"/>
  <c r="AV134" i="1"/>
  <c r="AV129" i="1"/>
  <c r="AV124" i="1"/>
  <c r="AV119" i="1"/>
  <c r="AV114" i="1"/>
  <c r="AV109" i="1"/>
  <c r="AV104" i="1"/>
  <c r="AV99" i="1"/>
  <c r="AV94" i="1"/>
  <c r="AV89" i="1"/>
  <c r="AV84" i="1"/>
  <c r="AV79" i="1"/>
  <c r="AV74" i="1"/>
  <c r="AV69" i="1"/>
  <c r="AV64" i="1"/>
  <c r="AV59" i="1"/>
  <c r="AV54" i="1"/>
  <c r="AV44" i="1"/>
  <c r="AV39" i="1"/>
  <c r="AV34" i="1"/>
  <c r="AV29" i="1"/>
  <c r="AV24" i="1"/>
  <c r="AV14" i="1"/>
  <c r="AV9" i="1"/>
  <c r="AV4" i="1"/>
</calcChain>
</file>

<file path=xl/sharedStrings.xml><?xml version="1.0" encoding="utf-8"?>
<sst xmlns="http://schemas.openxmlformats.org/spreadsheetml/2006/main" count="14114" uniqueCount="8776">
  <si>
    <t>undefined</t>
  </si>
  <si>
    <t>Journal</t>
  </si>
  <si>
    <t>United States</t>
  </si>
  <si>
    <t>Article</t>
  </si>
  <si>
    <t>ar</t>
  </si>
  <si>
    <t>n</t>
  </si>
  <si>
    <t>Reston</t>
  </si>
  <si>
    <t>Germany</t>
  </si>
  <si>
    <t>United Kingdom</t>
  </si>
  <si>
    <t>Oxford</t>
  </si>
  <si>
    <t>University of Oxford</t>
  </si>
  <si>
    <t>U.S. Department of Energy</t>
  </si>
  <si>
    <t>USDOE</t>
  </si>
  <si>
    <t>287-296</t>
  </si>
  <si>
    <t>National Institutes of Health</t>
  </si>
  <si>
    <t>NIH</t>
  </si>
  <si>
    <t>Tucson</t>
  </si>
  <si>
    <t>The University of Arizona</t>
  </si>
  <si>
    <t>United States;United States</t>
  </si>
  <si>
    <t>60001881;60001881</t>
  </si>
  <si>
    <t>55328764600;6701323282</t>
  </si>
  <si>
    <t>Cook, G. G.;Khamas, S. K.</t>
  </si>
  <si>
    <t>Sheffield</t>
  </si>
  <si>
    <t>The University of Sheffield</t>
  </si>
  <si>
    <t>Cook G.</t>
  </si>
  <si>
    <t>397-402</t>
  </si>
  <si>
    <t>France</t>
  </si>
  <si>
    <t>Nice</t>
  </si>
  <si>
    <t>Universit√© C√¥te d'Azur</t>
  </si>
  <si>
    <t>Canada</t>
  </si>
  <si>
    <t>Acta Astronautica</t>
  </si>
  <si>
    <t>Monterey</t>
  </si>
  <si>
    <t>Naval Postgraduate School</t>
  </si>
  <si>
    <t>60000762;60000762</t>
  </si>
  <si>
    <t>6701521842;7102604218</t>
  </si>
  <si>
    <t>Renger, Thomas;May, Volkhard</t>
  </si>
  <si>
    <t>Berlin</t>
  </si>
  <si>
    <t>Humboldt-Universit√§t zu Berlin</t>
  </si>
  <si>
    <t>Renger T.</t>
  </si>
  <si>
    <t>Spain</t>
  </si>
  <si>
    <t>Madrid</t>
  </si>
  <si>
    <t>Barcelona</t>
  </si>
  <si>
    <t>Universitat Polit√®cnica de Catalunya</t>
  </si>
  <si>
    <t>Camps A.</t>
  </si>
  <si>
    <t>72-74</t>
  </si>
  <si>
    <t>Brazil</t>
  </si>
  <si>
    <t>Sao Paulo</t>
  </si>
  <si>
    <t>Universidade de S√£o Paulo</t>
  </si>
  <si>
    <t>United States;Japan;United States</t>
  </si>
  <si>
    <t>London</t>
  </si>
  <si>
    <t>Australia</t>
  </si>
  <si>
    <t>Sydney</t>
  </si>
  <si>
    <t>National Science Foundation</t>
  </si>
  <si>
    <t>NSF</t>
  </si>
  <si>
    <t>Cambridge</t>
  </si>
  <si>
    <t>Massachusetts Institute of Technology</t>
  </si>
  <si>
    <t>IEEE Communications Magazine</t>
  </si>
  <si>
    <t>European Commission</t>
  </si>
  <si>
    <t>EC</t>
  </si>
  <si>
    <t>60022175;60022175</t>
  </si>
  <si>
    <t>Durham</t>
  </si>
  <si>
    <t>Durham University</t>
  </si>
  <si>
    <t>Germany;Germany;Germany</t>
  </si>
  <si>
    <t>United States;United States;United States</t>
  </si>
  <si>
    <t>Japan;Japan</t>
  </si>
  <si>
    <t>Tokyo;Tokyo</t>
  </si>
  <si>
    <t>Italy;Italy</t>
  </si>
  <si>
    <t>Astone P.</t>
  </si>
  <si>
    <t>United Kingdom;United States</t>
  </si>
  <si>
    <t>60008950;60008950</t>
  </si>
  <si>
    <t>Canberra</t>
  </si>
  <si>
    <t>The Australian National University</t>
  </si>
  <si>
    <t>Los Angeles</t>
  </si>
  <si>
    <t>Bhattacharyya A.</t>
  </si>
  <si>
    <t>Russian Federation</t>
  </si>
  <si>
    <t>Nizhny Novgorod</t>
  </si>
  <si>
    <t>Ottawa</t>
  </si>
  <si>
    <t>United Kingdom;United Kingdom</t>
  </si>
  <si>
    <t>Rashba E.</t>
  </si>
  <si>
    <t>Department of Physics</t>
  </si>
  <si>
    <t>Calzaferri, Gion</t>
  </si>
  <si>
    <t>Switzerland</t>
  </si>
  <si>
    <t>Bern</t>
  </si>
  <si>
    <t>University of Bern</t>
  </si>
  <si>
    <t>Calzaferri G.</t>
  </si>
  <si>
    <t>Japan;Japan;Japan</t>
  </si>
  <si>
    <t>Telecommunications and Radio Engineering (English translation of Elektrosvyaz and Radiotekhnika)</t>
  </si>
  <si>
    <t>;;</t>
  </si>
  <si>
    <t>61-69</t>
  </si>
  <si>
    <t>Germany;Germany</t>
  </si>
  <si>
    <t>;</t>
  </si>
  <si>
    <t>Chicago</t>
  </si>
  <si>
    <t>Boeing Corporation</t>
  </si>
  <si>
    <t>Greece;Greece</t>
  </si>
  <si>
    <t>Washington, D.C.</t>
  </si>
  <si>
    <t>San Diego</t>
  </si>
  <si>
    <t>Space and Naval Warfare Systems Center San Diego</t>
  </si>
  <si>
    <t>60027550;60027550</t>
  </si>
  <si>
    <t>University of California, Los Angeles</t>
  </si>
  <si>
    <t>Photosynthesis Research</t>
  </si>
  <si>
    <t>Remote Sensing Reviews</t>
  </si>
  <si>
    <t>Toulouse</t>
  </si>
  <si>
    <t>Rochester</t>
  </si>
  <si>
    <t>Journal of the American Chemical Society</t>
  </si>
  <si>
    <t>Electronics and Communications in Japan, Part I: Communications (English translation of Denshi Tsushin Gakkai Ronbunshi)</t>
  </si>
  <si>
    <t>IEE Colloquium (Digest)</t>
  </si>
  <si>
    <t>Denmark</t>
  </si>
  <si>
    <t>IEEE Transactions on Magnetics</t>
  </si>
  <si>
    <t>Beltsville</t>
  </si>
  <si>
    <t>USDA ARS Beltsville Agricultural Research Center</t>
  </si>
  <si>
    <t>17-23</t>
  </si>
  <si>
    <t>Japan</t>
  </si>
  <si>
    <t>Tokyo</t>
  </si>
  <si>
    <t>Keio University</t>
  </si>
  <si>
    <t>6602236113;6701680566</t>
  </si>
  <si>
    <t>Ciros-P√©rez J.</t>
  </si>
  <si>
    <t>Italy</t>
  </si>
  <si>
    <t>Rome</t>
  </si>
  <si>
    <t>Canada;Canada</t>
  </si>
  <si>
    <t>Italy;Italy;Italy</t>
  </si>
  <si>
    <t>South Korea;South Korea</t>
  </si>
  <si>
    <t>21-30</t>
  </si>
  <si>
    <t>France;France</t>
  </si>
  <si>
    <t>Deutsche Forschungsgemeinschaft</t>
  </si>
  <si>
    <t>DFG</t>
  </si>
  <si>
    <t>Microwave and Optical Technology Letters</t>
  </si>
  <si>
    <t>Manchester</t>
  </si>
  <si>
    <t>Netherlands</t>
  </si>
  <si>
    <t>India;India</t>
  </si>
  <si>
    <t>Pattnaik S.</t>
  </si>
  <si>
    <t>Microwave Journal</t>
  </si>
  <si>
    <t xml:space="preserve">Anon, </t>
  </si>
  <si>
    <t>Anon</t>
  </si>
  <si>
    <t>Hauppauge</t>
  </si>
  <si>
    <t>Turkey</t>
  </si>
  <si>
    <t>Ankara</t>
  </si>
  <si>
    <t>Hacettepe √úniversitesi</t>
  </si>
  <si>
    <t>Saka B.</t>
  </si>
  <si>
    <t>476-482</t>
  </si>
  <si>
    <t>Journal of Chemical Ecology</t>
  </si>
  <si>
    <t>Proceedings of the Royal Society B: Biological Sciences</t>
  </si>
  <si>
    <t>Boulder</t>
  </si>
  <si>
    <t>University of Colorado Boulder</t>
  </si>
  <si>
    <t>The University of Western Ontario</t>
  </si>
  <si>
    <t>United States;Netherlands</t>
  </si>
  <si>
    <t>Florence;Siena</t>
  </si>
  <si>
    <t>Universit√† degli Studi di Firenze;Universit√† degli Studi di Siena</t>
  </si>
  <si>
    <t>60021859;60002838</t>
  </si>
  <si>
    <t>Bradford</t>
  </si>
  <si>
    <t>University of Bradford</t>
  </si>
  <si>
    <t>60016536;60016536</t>
  </si>
  <si>
    <t>7103309851;36910361100</t>
  </si>
  <si>
    <t>Dai, Renshou;Young, Charles T.</t>
  </si>
  <si>
    <t>Houghton</t>
  </si>
  <si>
    <t>Michigan Technological University</t>
  </si>
  <si>
    <t>Dai R.</t>
  </si>
  <si>
    <t>Office of Naval Research</t>
  </si>
  <si>
    <t>ONR</t>
  </si>
  <si>
    <t>IEEE Photonics Technology Letters</t>
  </si>
  <si>
    <t>60013372;60000251-60013372</t>
  </si>
  <si>
    <t>Austin;New York</t>
  </si>
  <si>
    <t>The University of Texas at Austin;IEEE</t>
  </si>
  <si>
    <t>60013372;60000251</t>
  </si>
  <si>
    <t>Li R.</t>
  </si>
  <si>
    <t>Zurich ZH,</t>
  </si>
  <si>
    <t>ETH Zurich</t>
  </si>
  <si>
    <t>1532527X</t>
  </si>
  <si>
    <t>Electromagnetics</t>
  </si>
  <si>
    <t>Spain;United States</t>
  </si>
  <si>
    <t>Ares F.</t>
  </si>
  <si>
    <t>Atlanta</t>
  </si>
  <si>
    <t>Georgia Institute of Technology</t>
  </si>
  <si>
    <t>73-84</t>
  </si>
  <si>
    <t>Moscow</t>
  </si>
  <si>
    <t>Israel</t>
  </si>
  <si>
    <t>Tel Aviv-Yafo</t>
  </si>
  <si>
    <t>Tel Aviv University</t>
  </si>
  <si>
    <t>Leiden</t>
  </si>
  <si>
    <t>Leiden University</t>
  </si>
  <si>
    <t>Finland</t>
  </si>
  <si>
    <t>Alexander von Humboldt-Stiftung</t>
  </si>
  <si>
    <t>15-18</t>
  </si>
  <si>
    <t>Tempe</t>
  </si>
  <si>
    <t>Arizona State University</t>
  </si>
  <si>
    <t>Paris</t>
  </si>
  <si>
    <t>IEEE Spectrum</t>
  </si>
  <si>
    <t>137-146</t>
  </si>
  <si>
    <t>Advanced Research Projects Agency</t>
  </si>
  <si>
    <t>ARPA</t>
  </si>
  <si>
    <t>IEEE Microwave and Guided Wave Letters</t>
  </si>
  <si>
    <t>China</t>
  </si>
  <si>
    <t>Nanjing</t>
  </si>
  <si>
    <t>Southeast University</t>
  </si>
  <si>
    <t>Shen T.</t>
  </si>
  <si>
    <t>Natural Sciences and Engineering Research Council of Canada</t>
  </si>
  <si>
    <t>NSERC</t>
  </si>
  <si>
    <t>60008734;60008734;60008734;60008734</t>
  </si>
  <si>
    <t>Amsterdam</t>
  </si>
  <si>
    <t>Vrije Universiteit Amsterdam</t>
  </si>
  <si>
    <t>Benassayag C.</t>
  </si>
  <si>
    <t>Brisbane</t>
  </si>
  <si>
    <t>The University of Queensland</t>
  </si>
  <si>
    <t>110-114</t>
  </si>
  <si>
    <t>Germany;United States</t>
  </si>
  <si>
    <t>Austrian Science Fund</t>
  </si>
  <si>
    <t>FWF</t>
  </si>
  <si>
    <t>Austria</t>
  </si>
  <si>
    <t>Ministry of Education, Culture, Sports, Science and Technology</t>
  </si>
  <si>
    <t>Monbusho</t>
  </si>
  <si>
    <t>Glycobiology</t>
  </si>
  <si>
    <t>Canada;United States</t>
  </si>
  <si>
    <t>Journal of Photochemistry and Photobiology B: Biology</t>
  </si>
  <si>
    <t>European Science Foundation</t>
  </si>
  <si>
    <t>ESF</t>
  </si>
  <si>
    <t>India</t>
  </si>
  <si>
    <t>7102229463;6701607000;57193129444</t>
  </si>
  <si>
    <t>Buck, Daniel R.;Savikhin, Sergei;Struve, Walter S.</t>
  </si>
  <si>
    <t>Ames;Ames</t>
  </si>
  <si>
    <t>Ames Laboratory;Iowa State University</t>
  </si>
  <si>
    <t>60008023;60004354</t>
  </si>
  <si>
    <t>Buck D.</t>
  </si>
  <si>
    <t>60011047;60011047;60011047;60011047</t>
  </si>
  <si>
    <t>Fukuoka</t>
  </si>
  <si>
    <t>Kyushu University</t>
  </si>
  <si>
    <t>Horn antennas</t>
  </si>
  <si>
    <t>Japan;Sweden</t>
  </si>
  <si>
    <t>Tokyo;Gothenburg</t>
  </si>
  <si>
    <t>Tokyo Institute of Technology;Chalmers University of Technology</t>
  </si>
  <si>
    <t>60031126;60000990</t>
  </si>
  <si>
    <t>Chengdu</t>
  </si>
  <si>
    <t>University of Electronic Science and Technology of China</t>
  </si>
  <si>
    <t>Proceedings of the IEEE</t>
  </si>
  <si>
    <t>79-89</t>
  </si>
  <si>
    <t>Greenbelt</t>
  </si>
  <si>
    <t>NASA Goddard Space Flight Center</t>
  </si>
  <si>
    <t>Suita</t>
  </si>
  <si>
    <t>Cleveland</t>
  </si>
  <si>
    <t>Hosei University</t>
  </si>
  <si>
    <t>Nakano H.</t>
  </si>
  <si>
    <t>417-420</t>
  </si>
  <si>
    <t>Jena</t>
  </si>
  <si>
    <t>Friedrich-Schiller-Universit√§t Jena</t>
  </si>
  <si>
    <t>539-544</t>
  </si>
  <si>
    <t>Hong Kong</t>
  </si>
  <si>
    <t>Kowloon</t>
  </si>
  <si>
    <t>City University of Hong Kong</t>
  </si>
  <si>
    <t>Taiwan;Taiwan</t>
  </si>
  <si>
    <t>Ukraine</t>
  </si>
  <si>
    <t>Kharkiv</t>
  </si>
  <si>
    <t>Hitachi, Ltd.</t>
  </si>
  <si>
    <t>Taiwan</t>
  </si>
  <si>
    <t>Canada;Canada;Canada</t>
  </si>
  <si>
    <t>Instituto Superior T√©cnico</t>
  </si>
  <si>
    <t>Portugal</t>
  </si>
  <si>
    <t>Lisbon</t>
  </si>
  <si>
    <t>United States;United States;United States;United States;United States;United States;United States</t>
  </si>
  <si>
    <t>Northrop Grumman corporation</t>
  </si>
  <si>
    <t>Wu T.</t>
  </si>
  <si>
    <t>New Delhi</t>
  </si>
  <si>
    <t>Chennai</t>
  </si>
  <si>
    <t>Blacksburg</t>
  </si>
  <si>
    <t>Virginia Polytechnic Institute and State University</t>
  </si>
  <si>
    <t>Journal of Photochemistry and Photobiology A: Chemistry</t>
  </si>
  <si>
    <t>Airbus Group SE</t>
  </si>
  <si>
    <t>Kraft U.</t>
  </si>
  <si>
    <t>67-72</t>
  </si>
  <si>
    <t>60009697;60009697</t>
  </si>
  <si>
    <t>6701637532;8092251400</t>
  </si>
  <si>
    <t>Winnipeg</t>
  </si>
  <si>
    <t>University of Manitoba</t>
  </si>
  <si>
    <t>Legay H.</t>
  </si>
  <si>
    <t>Choi S.</t>
  </si>
  <si>
    <t>Microstrip antennas</t>
  </si>
  <si>
    <t>Victoria</t>
  </si>
  <si>
    <t>University of Victoria</t>
  </si>
  <si>
    <t>Jung P.</t>
  </si>
  <si>
    <t>National Institute of General Medical Sciences</t>
  </si>
  <si>
    <t>NIGMS</t>
  </si>
  <si>
    <t>Melbourne</t>
  </si>
  <si>
    <t>Japan;Japan;Japan;Japan</t>
  </si>
  <si>
    <t>Plasma Physics and Controlled Fusion</t>
  </si>
  <si>
    <t>Belfast</t>
  </si>
  <si>
    <t>Queen's University Belfast</t>
  </si>
  <si>
    <t>Berkeley</t>
  </si>
  <si>
    <t>South Africa</t>
  </si>
  <si>
    <t>University Park</t>
  </si>
  <si>
    <t>Pennsylvania State University</t>
  </si>
  <si>
    <t>Wu, Te Kao</t>
  </si>
  <si>
    <t>60011357;60011357</t>
  </si>
  <si>
    <t>7402713291;35460663000</t>
  </si>
  <si>
    <t>Pan, Shan Cheng;Wong, Kin Lu</t>
  </si>
  <si>
    <t>Kaohsiung</t>
  </si>
  <si>
    <t>National Sun Yat-Sen University</t>
  </si>
  <si>
    <t>Pan S.</t>
  </si>
  <si>
    <t>60026134;60026134</t>
  </si>
  <si>
    <t>Vigo</t>
  </si>
  <si>
    <t>Universidade de Vigo</t>
  </si>
  <si>
    <t>Wang G.</t>
  </si>
  <si>
    <t>New Delhi;New Delhi</t>
  </si>
  <si>
    <t>169-176</t>
  </si>
  <si>
    <t>60029738;60029738</t>
  </si>
  <si>
    <t>Murray</t>
  </si>
  <si>
    <t>Nokia Bell Labs</t>
  </si>
  <si>
    <t>South Korea</t>
  </si>
  <si>
    <t>Seoul</t>
  </si>
  <si>
    <t>IEEE Transactions on Applied Superconductivity</t>
  </si>
  <si>
    <t>Koganei;Suita</t>
  </si>
  <si>
    <t>Japan National Institute of Information and Communications Technology;Osaka University</t>
  </si>
  <si>
    <t>60032325;60024322</t>
  </si>
  <si>
    <t>China;China</t>
  </si>
  <si>
    <t>Japan;United States</t>
  </si>
  <si>
    <t>National Aeronautics and Space Administration</t>
  </si>
  <si>
    <t>NASA</t>
  </si>
  <si>
    <t>Pasadena</t>
  </si>
  <si>
    <t>Jet Propulsion Laboratory</t>
  </si>
  <si>
    <t>Russian Federation;United States</t>
  </si>
  <si>
    <t>Tokai University</t>
  </si>
  <si>
    <t>Valencia</t>
  </si>
  <si>
    <t>Universitat de Val√®ncia</t>
  </si>
  <si>
    <t>Czech Republic;Czech Republic</t>
  </si>
  <si>
    <t>60027271;60027271;60027271</t>
  </si>
  <si>
    <t>Naval Research Laboratory</t>
  </si>
  <si>
    <t>Lyngby</t>
  </si>
  <si>
    <t>Danmarks Tekniske Universitet</t>
  </si>
  <si>
    <t>Albertsen N.</t>
  </si>
  <si>
    <t>NASA Glenn Research Center</t>
  </si>
  <si>
    <t>Kotelnikov Institute of Radioengineering and Electronics (IRE) of Russian Academy of Sciences</t>
  </si>
  <si>
    <t>60009037;60009037;60009037;60009037;60009037</t>
  </si>
  <si>
    <t>7003936384;6701310156;7006448685;6603920587;23974476000</t>
  </si>
  <si>
    <t>2 PART 1</t>
  </si>
  <si>
    <t>Geneva</t>
  </si>
  <si>
    <t>O. Ya. Usikov Institute for Radiophysics and Electronics of the National Academy of Sciences of Ukraine</t>
  </si>
  <si>
    <t>Consiglio Nazionale delle Ricerche</t>
  </si>
  <si>
    <t>United States;Australia</t>
  </si>
  <si>
    <t>Sapporo</t>
  </si>
  <si>
    <t>Hokkaido University</t>
  </si>
  <si>
    <t>Wuppertal</t>
  </si>
  <si>
    <t>Bergische Universit√§t Wuppertal</t>
  </si>
  <si>
    <t>Mitsubishi Electric Corporation</t>
  </si>
  <si>
    <t>West Lafayette</t>
  </si>
  <si>
    <t>Purdue University</t>
  </si>
  <si>
    <t>Kara, Mehmet</t>
  </si>
  <si>
    <t>Edinburgh</t>
  </si>
  <si>
    <t>Defence Science and Technology Group</t>
  </si>
  <si>
    <t>Kara M.</t>
  </si>
  <si>
    <t>60015763;60015763</t>
  </si>
  <si>
    <t>36902672500;7201881149</t>
  </si>
  <si>
    <t>Liao, Wen Pin;Chu, Fu Lai</t>
  </si>
  <si>
    <t>Taipei</t>
  </si>
  <si>
    <t>Tatung Institute of Technology Taiwan</t>
  </si>
  <si>
    <t>Liao W.</t>
  </si>
  <si>
    <t>Chou H.</t>
  </si>
  <si>
    <t>Kaiserslautern</t>
  </si>
  <si>
    <t>Technische Universit√§t Kaiserslautern</t>
  </si>
  <si>
    <t>60003500;60003500</t>
  </si>
  <si>
    <t>Columbus</t>
  </si>
  <si>
    <t>The Ohio State University</t>
  </si>
  <si>
    <t>204-207</t>
  </si>
  <si>
    <t>60022144;60022144</t>
  </si>
  <si>
    <t>Orlando</t>
  </si>
  <si>
    <t>University of Central Florida</t>
  </si>
  <si>
    <t>National Science Council</t>
  </si>
  <si>
    <t>NSC</t>
  </si>
  <si>
    <t>33-39</t>
  </si>
  <si>
    <t>60101699;60101699;60101699</t>
  </si>
  <si>
    <t>Ohmine H.</t>
  </si>
  <si>
    <t>Nippon Telegraph and Telephone Corporation</t>
  </si>
  <si>
    <t>Delft</t>
  </si>
  <si>
    <t>195-204</t>
  </si>
  <si>
    <t>Daejeon</t>
  </si>
  <si>
    <t>267-273</t>
  </si>
  <si>
    <t>Khamas S.</t>
  </si>
  <si>
    <t>Germany;United Kingdom</t>
  </si>
  <si>
    <t>Hsinchu</t>
  </si>
  <si>
    <t>National Chiao Tung University</t>
  </si>
  <si>
    <t>Taiwan;United States</t>
  </si>
  <si>
    <t>Chen M.</t>
  </si>
  <si>
    <t>Signal Processing</t>
  </si>
  <si>
    <t>60019702;60019702;60019702</t>
  </si>
  <si>
    <t>6602104810;7201658579;57213425197</t>
  </si>
  <si>
    <t>Ormiston, T. D.;Gardner, P.;Hall, P. S.</t>
  </si>
  <si>
    <t>Birmingham</t>
  </si>
  <si>
    <t>University of Birmingham</t>
  </si>
  <si>
    <t>Ormiston T.</t>
  </si>
  <si>
    <t>Miura R.</t>
  </si>
  <si>
    <t>Santander</t>
  </si>
  <si>
    <t>Universidad de Cantabria</t>
  </si>
  <si>
    <t>Government of Canada</t>
  </si>
  <si>
    <t>CITR</t>
  </si>
  <si>
    <t>T√ºrkiye Bilimsel ve Teknolojik Ara≈ütirma Kurumu</t>
  </si>
  <si>
    <t>T√úBITAK</t>
  </si>
  <si>
    <t>0018926X</t>
  </si>
  <si>
    <t>IEEE Transactions on Antennas and Propagation</t>
  </si>
  <si>
    <t>Kiev</t>
  </si>
  <si>
    <t>National Academy of Sciences in Ukraine</t>
  </si>
  <si>
    <t>60015481;60015481</t>
  </si>
  <si>
    <t>Seattle</t>
  </si>
  <si>
    <t>University of Washington</t>
  </si>
  <si>
    <t>Beer Sheba</t>
  </si>
  <si>
    <t>Ben-Gurion University of the Negev</t>
  </si>
  <si>
    <t>233-236</t>
  </si>
  <si>
    <t>Villeneuve-d'Ascq</t>
  </si>
  <si>
    <t>Institut d'Electronique de Micro√©lectronique et de Nanotechnologie (IEMN)</t>
  </si>
  <si>
    <t>['resonance properties', 'printed antennas', 'obtained results', 'experimental data', 'exact evaluation', 'done via', 'associated matrices']</t>
  </si>
  <si>
    <t>Integral equations | Method of moments | Printed antennas | Singular value decomposition | SVD</t>
  </si>
  <si>
    <t>432-441</t>
  </si>
  <si>
    <t>60012162;60012162;60012162;60012162</t>
  </si>
  <si>
    <t>24766561500;7004544655;6701353036;7003419808</t>
  </si>
  <si>
    <t>Vecchi, Giuseppe;Pirinoli, Paola;Matekovits, Ladislau;Orefice, Mario</t>
  </si>
  <si>
    <t>Turin</t>
  </si>
  <si>
    <t>Politecnico di Torino</t>
  </si>
  <si>
    <t>Vecchi G.</t>
  </si>
  <si>
    <t>A reduced representation of the frequency response of printed antennas</t>
  </si>
  <si>
    <t>60000745;60000745</t>
  </si>
  <si>
    <t>Urbana</t>
  </si>
  <si>
    <t>University of Illinois Urbana-Champaign</t>
  </si>
  <si>
    <t>['mei method', 'measured equation', 'layered structures', 'free space', 'element meshes', 'applied almost', 'allows finite', '1 ].']</t>
  </si>
  <si>
    <t>Finite differences | Layered structures | Measured equation of invariance | MEI mesh termination | Microstrip antennas</t>
  </si>
  <si>
    <t>The measured equation of invariance (MEI) is a newly developed computational method which allows finite-difference or finite-element meshes to be terminated very closely to objects of interest [1]. In this paper, it is demontrated that the MEI method may be applied to layered structures where the Green's functions are known. In that case, the MEI method is applied almost as conveniently as it is in free space, except that the Green's function is changed to that of the layered structures. ¬© 1997 John Wiley &amp; Sons, Inc.</t>
  </si>
  <si>
    <t>400-409</t>
  </si>
  <si>
    <t>6603958794;7005780321;6701438680;7202176080;26643518100</t>
  </si>
  <si>
    <t>Prouty, Mark D.;Mei, Kenneth K.;Pous, Rafael;Schwarz, S. E.;Liu, Yao Wu</t>
  </si>
  <si>
    <t>Application of the measured equation of invariance to layered structures (invited article)</t>
  </si>
  <si>
    <t>1467-1474</t>
  </si>
  <si>
    <t>60009941;60009941;60009941</t>
  </si>
  <si>
    <t>60028186;60028186;60028186</t>
  </si>
  <si>
    <t>Lausanne</t>
  </si>
  <si>
    <t>Swiss Federal Institute of Technology Lausanne</t>
  </si>
  <si>
    <t>60002959;60002959</t>
  </si>
  <si>
    <t>Bethesda</t>
  </si>
  <si>
    <t>Lockheed Martin Corporation</t>
  </si>
  <si>
    <t>Australia;United States</t>
  </si>
  <si>
    <t>46-52</t>
  </si>
  <si>
    <t>Gorobetz N.</t>
  </si>
  <si>
    <t>Carbonera D.</t>
  </si>
  <si>
    <t>60015941;60015941</t>
  </si>
  <si>
    <t>Lexington</t>
  </si>
  <si>
    <t>University of Kentucky</t>
  </si>
  <si>
    <t>Vladivostok</t>
  </si>
  <si>
    <t>IEEE Antennas and Propagation Magazine</t>
  </si>
  <si>
    <t>Maci S.</t>
  </si>
  <si>
    <t>734-741</t>
  </si>
  <si>
    <t>Engineering and Physical Sciences Research Council</t>
  </si>
  <si>
    <t>EPSRC</t>
  </si>
  <si>
    <t>7003266741;7102894931</t>
  </si>
  <si>
    <t>Karode, S. L.;Fusco, V. F.</t>
  </si>
  <si>
    <t>Karode S.</t>
  </si>
  <si>
    <t>Athens</t>
  </si>
  <si>
    <t>IEEE Transactions on Microwave Theory and Techniques</t>
  </si>
  <si>
    <t>288-291</t>
  </si>
  <si>
    <t>60012708;60012708</t>
  </si>
  <si>
    <t>Palo Alto</t>
  </si>
  <si>
    <t>Stanford University</t>
  </si>
  <si>
    <t>Fumeaux C.</t>
  </si>
  <si>
    <t>Moscow Technical University of Communication and Informatics</t>
  </si>
  <si>
    <t>Hanover</t>
  </si>
  <si>
    <t>United States;United States;United States;United States</t>
  </si>
  <si>
    <t>Adelaide</t>
  </si>
  <si>
    <t>New York</t>
  </si>
  <si>
    <t>6701855945;7004150114;7004238663;7003830809</t>
  </si>
  <si>
    <t>Timpmann, K. E.;Taisova, A. S.;Novoderezhkin, V. I.;Fetisova, Z. G.</t>
  </si>
  <si>
    <t>155-168</t>
  </si>
  <si>
    <t>Journal of Coastal Conservation</t>
  </si>
  <si>
    <t>60000356;60000356;60000356</t>
  </si>
  <si>
    <t>6602697466;7005907068;7005555761</t>
  </si>
  <si>
    <t>Glassom, D.;Prochazka, K.;Branch, G. M.</t>
  </si>
  <si>
    <t>Cape Town</t>
  </si>
  <si>
    <t>University of Cape Town</t>
  </si>
  <si>
    <t>Glassom D.</t>
  </si>
  <si>
    <t>Short-term effects of an oil spill on the West coast of the Cape Peninsula, South Africa</t>
  </si>
  <si>
    <t>United States;Canada</t>
  </si>
  <si>
    <t>Sweden;Sweden</t>
  </si>
  <si>
    <t>Journal of Geophysical Research B: Solid Earth</t>
  </si>
  <si>
    <t>Vetenskapsr√•det</t>
  </si>
  <si>
    <t>VR</t>
  </si>
  <si>
    <t>Ames</t>
  </si>
  <si>
    <t>Iowa State University</t>
  </si>
  <si>
    <t>Canadian Space Agency</t>
  </si>
  <si>
    <t>Genoa</t>
  </si>
  <si>
    <t>Universit√† degli Studi di Genova</t>
  </si>
  <si>
    <t>Vancouver</t>
  </si>
  <si>
    <t>United Kingdom;Spain</t>
  </si>
  <si>
    <t>Russian Federation;Russian Federation</t>
  </si>
  <si>
    <t>Poland;Canada</t>
  </si>
  <si>
    <t>Krakow;Toronto</t>
  </si>
  <si>
    <t>Uniwersytet Jagiello≈Ñski;University of Toronto</t>
  </si>
  <si>
    <t>60021361;60016849</t>
  </si>
  <si>
    <t>Florence</t>
  </si>
  <si>
    <t>Universit√† degli Studi di Firenze</t>
  </si>
  <si>
    <t>Acoustical Physics</t>
  </si>
  <si>
    <t>Institute of Applied Physics of the Russian Academy of Sciences</t>
  </si>
  <si>
    <t>Zverev V.A.</t>
  </si>
  <si>
    <t>Physical Review Letters</t>
  </si>
  <si>
    <t>Electronics Letters</t>
  </si>
  <si>
    <t>Antenna arrays</t>
  </si>
  <si>
    <t>Antennas | Microstrip antennas</t>
  </si>
  <si>
    <t>Wong K.L.</t>
  </si>
  <si>
    <t>60019702;60019702;60019702;60019702</t>
  </si>
  <si>
    <t>Kalialakis C.</t>
  </si>
  <si>
    <t>60110755;60110755;60110755</t>
  </si>
  <si>
    <t>Sophia Antipolis</t>
  </si>
  <si>
    <t>Laboratoire D'√©lectronique, Antennes et T√©l√©communications</t>
  </si>
  <si>
    <t>Journal of Insect Physiology</t>
  </si>
  <si>
    <t>Shamrai K.</t>
  </si>
  <si>
    <t>Russian Foundation for Fundamental Investigations</t>
  </si>
  <si>
    <t>RFFI</t>
  </si>
  <si>
    <t>Swedish National Board for Industrial and Technical Development</t>
  </si>
  <si>
    <t>Semiconductor Research Corporation</t>
  </si>
  <si>
    <t>60007457;60007457;60007457</t>
  </si>
  <si>
    <t>Lomonosov Moscow State University</t>
  </si>
  <si>
    <t>60017161;60017161;60017161;60017161</t>
  </si>
  <si>
    <t>7501449136;7102006113;35581072400;7102523120</t>
  </si>
  <si>
    <t>Singapore</t>
  </si>
  <si>
    <t>Singapore City</t>
  </si>
  <si>
    <t>National University of Singapore</t>
  </si>
  <si>
    <t>Li L.</t>
  </si>
  <si>
    <t>218-224</t>
  </si>
  <si>
    <t>Freie Universit√§t Berlin</t>
  </si>
  <si>
    <t>NTT Review</t>
  </si>
  <si>
    <t>60025555;60025555;60025555;60025555</t>
  </si>
  <si>
    <t>96-98</t>
  </si>
  <si>
    <t>939-949</t>
  </si>
  <si>
    <t>870-877</t>
  </si>
  <si>
    <t>Beijing</t>
  </si>
  <si>
    <t>24766561500;6701353036;7004544655;7003419808</t>
  </si>
  <si>
    <t>Vecchi, Giuseppe;Matekovits, Ladislau;Pirinoli, Paola;Orefice, Mario</t>
  </si>
  <si>
    <t>Limoges</t>
  </si>
  <si>
    <t>Universite de Limoges</t>
  </si>
  <si>
    <t>Rammal M.</t>
  </si>
  <si>
    <t>6602117106;35501122300</t>
  </si>
  <si>
    <t>Trinkunas G.</t>
  </si>
  <si>
    <t>Instruments and Experimental Techniques</t>
  </si>
  <si>
    <t>;;;;;;</t>
  </si>
  <si>
    <t>Syracuse</t>
  </si>
  <si>
    <t>Radiophysics and Quantum Electronics</t>
  </si>
  <si>
    <t>Hanscom AFB</t>
  </si>
  <si>
    <t>354-358</t>
  </si>
  <si>
    <t>341-345</t>
  </si>
  <si>
    <t>395-398</t>
  </si>
  <si>
    <t>International Journal of RF and Microwave Computer-Aided Engineering</t>
  </si>
  <si>
    <t>['whip antenna', 'studies demonstrated', 'small cylinder', 'results suggested', 'results indicated', 'quarter wavelength', 'portable telephones', 'planar inverted', 'pifa positions', 'performance analysis', 'body shapes', '0 db']</t>
  </si>
  <si>
    <t>39-49</t>
  </si>
  <si>
    <t>7404212156;57207902469</t>
  </si>
  <si>
    <t>Ogawa, Koichi;Uwano, Tomoki</t>
  </si>
  <si>
    <t>Ogawa K.</t>
  </si>
  <si>
    <t>Analysis of a diversity antenna comprising a whip antenna and a planar inverted-F-antenna for portable telephones</t>
  </si>
  <si>
    <t>['wire current', 'special segment', 'radial segment', 'radial current', 'proposed method', 'portable telephones', 'planar segment', 'method cannot', 'input impedance', 'frequency characteristics', 'experimental data', 'conducting wires', 'conducting box', 'antennas used', '2 wavelengths']</t>
  </si>
  <si>
    <t>7202510192;55680530400;55510756000;35598806700</t>
  </si>
  <si>
    <t>Ochi, Hisaaki;Yamamoto, Etsuji;Chen, Qiang;Sawaya, Kunio</t>
  </si>
  <si>
    <t>Ochi H.</t>
  </si>
  <si>
    <t>Use of the method of moments for analysis of antennas composed of conducting wires and plates</t>
  </si>
  <si>
    <t>['strong interferences', 'spatial cross', 'resulting system', 'performance degradation', 'multiuser detection', 'less affected', 'far resistance', 'far effects', 'efficient use', 'decorrelating detector', 'conventional detector', 'antenna arrays']</t>
  </si>
  <si>
    <t>195-211</t>
  </si>
  <si>
    <t>Choi, Jinho</t>
  </si>
  <si>
    <t>Perth</t>
  </si>
  <si>
    <t>Curtin University</t>
  </si>
  <si>
    <t>Choi J.</t>
  </si>
  <si>
    <t>Beamforming for the multiuser detection with decorrelator in synchronous CDMA systems: Approaches and performance analysis</t>
  </si>
  <si>
    <t>['velocity operating', 'target position', 'target may', 'target maneuvers', 'take notice', 'simulation results', 'proposed scheme', 'linear prediction', 'kalman filter', 'filter uses', 'estimate reliably', 'degrade significantly', 'computational simulation']</t>
  </si>
  <si>
    <t>7202598384;6603284132;7003395999;7103030811</t>
  </si>
  <si>
    <t>Kawase, Tetsuya;Tsurunosono, Hideshi;Ehara, Naoki;Sasase, Iwao</t>
  </si>
  <si>
    <t>Kawase T.</t>
  </si>
  <si>
    <t>['theoretical values', 'studied theoretically', 'receiving properties', 'receiving gain', 'one quarter', 'dielectric wavelength', 'dielectric side', 'antennae formed', 'air side', '94 ghz', '700 ghz', '6 db']</t>
  </si>
  <si>
    <t>57194454898;7005834011;7004555963</t>
  </si>
  <si>
    <t>Kobayashi, Hiroaki;Yuki, Masuo;Yasuoka, Yoshizumi</t>
  </si>
  <si>
    <t>Kobayashi H.</t>
  </si>
  <si>
    <t>Effects of substrate thickness on the gain of millimeter and submillimeter wave slot antennas</t>
  </si>
  <si>
    <t>['various applications', 'sidelobe rlsas', 'rlsas released', 'paper presents', 'measured performance', 'low sidelobes', 'high potential', 'cost performance', 'commercial use', 'basic design', 'antenna efficiency', 'almost negligible', '25 db']</t>
  </si>
  <si>
    <t>70-76</t>
  </si>
  <si>
    <t>7408117894;7403388053;57198484985</t>
  </si>
  <si>
    <t>Takahashi, Masaharu;Nakagawa, Yukihiko;Abe, Minoru</t>
  </si>
  <si>
    <t>Takahashi M.</t>
  </si>
  <si>
    <t>Low sidelobes for radial line slot antennas</t>
  </si>
  <si>
    <t>United States;France</t>
  </si>
  <si>
    <t>Universitat Polit√®cnica de Val√®ncia</t>
  </si>
  <si>
    <t>88-89</t>
  </si>
  <si>
    <t>Antenna feeds | Microstrip antennas</t>
  </si>
  <si>
    <t>Tetrahedron Letters</t>
  </si>
  <si>
    <t>SFB 171-A1</t>
  </si>
  <si>
    <t>Biochimica et Biophysica Acta - Bioenergetics</t>
  </si>
  <si>
    <t>60015815;60015815</t>
  </si>
  <si>
    <t>Stuttgart</t>
  </si>
  <si>
    <t>Universit√§t Stuttgart</t>
  </si>
  <si>
    <t>Ipswich</t>
  </si>
  <si>
    <t>British Telecom Research Lab</t>
  </si>
  <si>
    <t>Journal of Physical Chemistry B</t>
  </si>
  <si>
    <t>Wu H.M.</t>
  </si>
  <si>
    <t>Biochemistry</t>
  </si>
  <si>
    <t>190-191</t>
  </si>
  <si>
    <t>K√ºhn O.</t>
  </si>
  <si>
    <t>Indian Journal of Radio and Space Physics</t>
  </si>
  <si>
    <t>Remote Sensing of Environment</t>
  </si>
  <si>
    <t>Journal of Experimental Biology</t>
  </si>
  <si>
    <t>Development</t>
  </si>
  <si>
    <t>Nuclear Fusion</t>
  </si>
  <si>
    <t>Mountain View</t>
  </si>
  <si>
    <t>167-174</t>
  </si>
  <si>
    <t>Army Research Office</t>
  </si>
  <si>
    <t>ARO</t>
  </si>
  <si>
    <t>IEEE Electron Device Letters</t>
  </si>
  <si>
    <t>Taiwan;Taiwan;United States</t>
  </si>
  <si>
    <t>Hsinchu;Hsinchu;New York</t>
  </si>
  <si>
    <t>Journal of Comparative Physiology - A Sensory, Neural, and Behavioral Physiology</t>
  </si>
  <si>
    <t>New Haven</t>
  </si>
  <si>
    <t>Yale University</t>
  </si>
  <si>
    <t>Moscow;Moscow</t>
  </si>
  <si>
    <t>Applied Physics Letters</t>
  </si>
  <si>
    <t>Journal of Experimental Marine Biology and Ecology</t>
  </si>
  <si>
    <t>Lille</t>
  </si>
  <si>
    <t>Universit√© de Lille</t>
  </si>
  <si>
    <t>Santiago de Compostela</t>
  </si>
  <si>
    <t>Universidad de Santiago de Compostela</t>
  </si>
  <si>
    <t>University</t>
  </si>
  <si>
    <t>University of Mississippi</t>
  </si>
  <si>
    <t>Shavit, Reuven</t>
  </si>
  <si>
    <t>Shavit R.</t>
  </si>
  <si>
    <t>1559128X</t>
  </si>
  <si>
    <t>Applied Optics</t>
  </si>
  <si>
    <t>7103231658;6604012410</t>
  </si>
  <si>
    <t>Riza, Nabeel A.;Madamopoulos, Nicholas</t>
  </si>
  <si>
    <t>Riza N.</t>
  </si>
  <si>
    <t>60020650;60020099;60020650</t>
  </si>
  <si>
    <t>Bristol;Buckingham</t>
  </si>
  <si>
    <t>University of Bristol;DRA</t>
  </si>
  <si>
    <t>60020650;60020099</t>
  </si>
  <si>
    <t>Darwood P.</t>
  </si>
  <si>
    <t>United States;Israel</t>
  </si>
  <si>
    <t>0302766X</t>
  </si>
  <si>
    <t>Cell and Tissue Research</t>
  </si>
  <si>
    <t>Adaptive antenna arrays | Antenna radiation patterns</t>
  </si>
  <si>
    <t>Leung K.</t>
  </si>
  <si>
    <t>Adaptive arrays | Array signal processing</t>
  </si>
  <si>
    <t>Annales des Telecommunications/Annals of Telecommunications</t>
  </si>
  <si>
    <t>Journal of the Communications Research Laboratory</t>
  </si>
  <si>
    <t>60025778;60025778</t>
  </si>
  <si>
    <t>Ann Arbor</t>
  </si>
  <si>
    <t>University of Michigan, Ann Arbor</t>
  </si>
  <si>
    <t>IEEE Aerospace and Electronic Systems Magazine</t>
  </si>
  <si>
    <t>Air Force Office of Scientific Research</t>
  </si>
  <si>
    <t>AFOSR</t>
  </si>
  <si>
    <t>Applied Computational Electromagnetics Society Journal</t>
  </si>
  <si>
    <t>Satellite Communications</t>
  </si>
  <si>
    <t>France;France;France</t>
  </si>
  <si>
    <t>Russian Academy of Sciences</t>
  </si>
  <si>
    <t>60031254;60031254</t>
  </si>
  <si>
    <t>Kaliningrad</t>
  </si>
  <si>
    <t>Immanuel Kant Baltic Federal University</t>
  </si>
  <si>
    <t>Rudakov T.</t>
  </si>
  <si>
    <t>Electronics World</t>
  </si>
  <si>
    <t>35460663000;7402713291</t>
  </si>
  <si>
    <t>Wong, Kin Lu;Pan, Shan Cheng</t>
  </si>
  <si>
    <t>Wong K.</t>
  </si>
  <si>
    <t>Antennas | Dielectric resonators</t>
  </si>
  <si>
    <t>60012696-60027245;60012696;60027245</t>
  </si>
  <si>
    <t>57204245978;7004561133;6602707444</t>
  </si>
  <si>
    <t>Toulouse;Toulouse</t>
  </si>
  <si>
    <t>Universite Paul Sabatier Toulouse III;ONERA Centre de Toulouse</t>
  </si>
  <si>
    <t>60027245;60012696</t>
  </si>
  <si>
    <t>Pascal O.</t>
  </si>
  <si>
    <t>Yamamoto M.</t>
  </si>
  <si>
    <t>Finland;Finland</t>
  </si>
  <si>
    <t>Espoo;Espoo</t>
  </si>
  <si>
    <t>Microwave devices | Transponders</t>
  </si>
  <si>
    <t>7403594790;7201658579;57213425197</t>
  </si>
  <si>
    <t>Singh, D.;Gardner, P.;Hall, P. S.</t>
  </si>
  <si>
    <t>Singh D.</t>
  </si>
  <si>
    <t>Physics Letters, Section A: General, Atomic and Solid State Physics</t>
  </si>
  <si>
    <t>60007457;60007457;60007457;60007457</t>
  </si>
  <si>
    <t>Southampton;Valencia</t>
  </si>
  <si>
    <t>Austin</t>
  </si>
  <si>
    <t>The University of Texas at Austin</t>
  </si>
  <si>
    <t>Livermore</t>
  </si>
  <si>
    <t>Lawrence Livermore National Laboratory</t>
  </si>
  <si>
    <t>Kharkov</t>
  </si>
  <si>
    <t>Ho K.</t>
  </si>
  <si>
    <t>CNRS Centre National de la Recherche Scientifique</t>
  </si>
  <si>
    <t>France;United States</t>
  </si>
  <si>
    <t>Orlando;New York</t>
  </si>
  <si>
    <t>University of Central Florida;IEEE</t>
  </si>
  <si>
    <t>60022144;60000251</t>
  </si>
  <si>
    <t>N000149510988</t>
  </si>
  <si>
    <t>IEEE Journal of Oceanic Engineering</t>
  </si>
  <si>
    <t>Defense Advanced Research Projects Agency</t>
  </si>
  <si>
    <t>DARPA</t>
  </si>
  <si>
    <t>Journal of Lightwave Technology</t>
  </si>
  <si>
    <t>7005725380;7102905416</t>
  </si>
  <si>
    <t>Altshuler, Edward E.;Linden, Derek S.</t>
  </si>
  <si>
    <t>Wright-Patterson AFB</t>
  </si>
  <si>
    <t>Altshuler E.</t>
  </si>
  <si>
    <t>Astronomy and Astrophysics Supplement Series</t>
  </si>
  <si>
    <t>288-294</t>
  </si>
  <si>
    <t>Lee C.</t>
  </si>
  <si>
    <t>Canterbury</t>
  </si>
  <si>
    <t>University of Kent</t>
  </si>
  <si>
    <t>60021859;60021859;60021859</t>
  </si>
  <si>
    <t>Biffi Gentili G.</t>
  </si>
  <si>
    <t>FMRX-CT96-0081</t>
  </si>
  <si>
    <t>213-219</t>
  </si>
  <si>
    <t>Bochum</t>
  </si>
  <si>
    <t>Ruhr-Universitat Bochum</t>
  </si>
  <si>
    <t>7006641583;7006706612</t>
  </si>
  <si>
    <t>Sweden</t>
  </si>
  <si>
    <t>Lund</t>
  </si>
  <si>
    <t>Lunds Universitet</t>
  </si>
  <si>
    <t>Gr 933/3</t>
  </si>
  <si>
    <t>60108337;60108337</t>
  </si>
  <si>
    <t>6701791774;7003603516</t>
  </si>
  <si>
    <t>Ehmer, Birgit;Gronenberg, Wulfila</t>
  </si>
  <si>
    <t>Wurzburg</t>
  </si>
  <si>
    <t>Biozentrum der Universit√§t W√ºrzburg</t>
  </si>
  <si>
    <t>Ehmer B.</t>
  </si>
  <si>
    <t>Toland B.</t>
  </si>
  <si>
    <t>IEEE Journal on Selected Areas in Communications</t>
  </si>
  <si>
    <t>Italy;United States</t>
  </si>
  <si>
    <t>Benvenuto N.</t>
  </si>
  <si>
    <t>60014982;60014982</t>
  </si>
  <si>
    <t>Tainan</t>
  </si>
  <si>
    <t>National Cheng Kung University</t>
  </si>
  <si>
    <t>ABU Technical Review</t>
  </si>
  <si>
    <t>60021331;60021331</t>
  </si>
  <si>
    <t>Molecular Biology</t>
  </si>
  <si>
    <t>60007457;60007457</t>
  </si>
  <si>
    <t>Charlottesville</t>
  </si>
  <si>
    <t>University of Virginia</t>
  </si>
  <si>
    <t>329-338</t>
  </si>
  <si>
    <t>60110693;60110693;60110693</t>
  </si>
  <si>
    <t>Giauffret L.</t>
  </si>
  <si>
    <t>408-413</t>
  </si>
  <si>
    <t>Coleraine</t>
  </si>
  <si>
    <t>Ulster University</t>
  </si>
  <si>
    <t>Nowakowska M.</t>
  </si>
  <si>
    <t>73-82</t>
  </si>
  <si>
    <t>Germany;Israel</t>
  </si>
  <si>
    <t>Stort A.</t>
  </si>
  <si>
    <t>Khoo K.</t>
  </si>
  <si>
    <t>India;United States</t>
  </si>
  <si>
    <t>0960667X</t>
  </si>
  <si>
    <t>Microwave Engineering Europe</t>
  </si>
  <si>
    <t>Japan;Japan;Japan;Japan;Japan;Japan</t>
  </si>
  <si>
    <t>Aalto University;VTT Technical Research Centre of Finland</t>
  </si>
  <si>
    <t>60103653;60033191</t>
  </si>
  <si>
    <t>Heikkinen J.</t>
  </si>
  <si>
    <t>Journal of Applied Physics</t>
  </si>
  <si>
    <t>Classical and Quantum Gravity</t>
  </si>
  <si>
    <t>Germany;United States;United States</t>
  </si>
  <si>
    <t>Universit√† degli Studi di Roma "Tor Vergata"</t>
  </si>
  <si>
    <t>National Physical Laboratory India</t>
  </si>
  <si>
    <t>Prasad M.</t>
  </si>
  <si>
    <t>60009615;60009615</t>
  </si>
  <si>
    <t>60013983;60013983</t>
  </si>
  <si>
    <t>56415172000;7003294591</t>
  </si>
  <si>
    <t>Leung, K. W.;To, M. W.</t>
  </si>
  <si>
    <t>60001558;60001558;60001558;60001558</t>
  </si>
  <si>
    <t>Electronics and Telecommunications Research Institute</t>
  </si>
  <si>
    <t>Salt Lake City</t>
  </si>
  <si>
    <t>The University of Utah</t>
  </si>
  <si>
    <t>Furse C.</t>
  </si>
  <si>
    <t>Reineix A.</t>
  </si>
  <si>
    <t>1114-1116</t>
  </si>
  <si>
    <t>FEBS Letters</t>
  </si>
  <si>
    <t>R22AI023083</t>
  </si>
  <si>
    <t>['unusual stretch', 'unique features', 'truncated n', 'study provides', 'structural work', 'structural diversity', 'sequential digestion', 'schistosoma mansoni', 'reacting epitopes', 'previously identified', 'previously described', 'peptide n', 'mansoni glycans', 'mansoni eggs', 'latter class', 'lacdinac constituting', 'japonicum contains', 'important foundation', 'important area', 'high mannose', 'hexnac termini', 'glycosylated glycopeptides', 'glycosidase f', 'glycans similar', 'egg n', 'egg glycosphingolipids', 'egg glycoproteins', 'egg glycans', 'egg extracts', 'difucosylated core', 'comparable range', 'chitobiose cores', 'chemically released', 'cercarial glycocalyx', 'article provide', 'also identified']</t>
  </si>
  <si>
    <t>Egg antigens | Glycoproteins | Mass spectrometry | Schistosoma japonicum | Schistosoma mansoni</t>
  </si>
  <si>
    <t>The structural diversity of the glycans from Schistosoma mansoni and Schistosoma japonicum egg glycoproteins was investigated using high sensitivity fast atom bombardment mass spectrometric screening of glycan pools released enzymically or chemically from egg extracts. The egg glycoproteins from the two species carry a comparable range of high mannose and complex type N-glycans with both lacNAc and lacdiNAc constituting the backbones of the antennae in the latter class. Truncated N-glycans similar to those found on nematodes, insects, and plants were also identified. Sequential digestion with peptide N-glycosidase F and peptide N-glycosidase A afforded effective release and separation of N-glycans with nonfucosylated or Œ±6-monofucosylated trimannosyl N,N'-diacetyl-chitobiose cores from those carrying core Œ±3-, Œ±6-difucosylation, all of which were found to be present in both species, Remarkably, a portion of the N-glycans from S. mansoni eggs was shown to be based on a xylosylated, Œ±6-fucosylated trimannosyl core, whereas a portion of those from S. japonicum contains a xylosylated Œ±3-, Œ±6-difucosylated core which has not been previously described in any organism, O-Glycans were chemically released from the de-N-glycosylated glycopeptides and found to carry terminal sequences similar to those in the N-glycans. This study provides further evidence that multi-fucosylated terminal HexNAc units, previously identified on the cercarial glycocalyx O-glycans and egg glycosphingolipids, and now on the egg N- and O-glycans, are unique features of S. mansoni glycans. These multifucosylated terminal structures, which were not detected on the egg glycans of S. japonicum, are likely to constitute the cross-reacting epitopes between the eggs and cercariae of S. mansoni. Interestingly other HexNAc termini, including an unusual stretch of HexNAc, were found to be common to both species. The mapping studies reported in this article provide an important foundation for further structural work in this challenging and important area of glycobiology.</t>
  </si>
  <si>
    <t>663-677</t>
  </si>
  <si>
    <t>60009226-60113259;60009226;60029795;60015150;60015150</t>
  </si>
  <si>
    <t>7102371762;35418695500;7102540315;7401534652;7103412653</t>
  </si>
  <si>
    <t>Khoo, Kay Hooi;Chatterjee, Delphi;Caulfield, John P.;Morris, Howard R.;Dell, Anne</t>
  </si>
  <si>
    <t>Taiwan;United States;United Kingdom;United States</t>
  </si>
  <si>
    <t>Taipei;Palo Alto;London;Fort Collins</t>
  </si>
  <si>
    <t>Academia Sinica, Institute of Biological Chemistry;Roche Palo Alto;Imperial College London;Colorado State University</t>
  </si>
  <si>
    <t>60113259;60029795;60015150;60009226</t>
  </si>
  <si>
    <t>Structural mapping of the glycans fronn the egg glycoproteins of Schistosoma mansoni and Schistosoma japonicum: Identification of novel core structures and terminal sequences</t>
  </si>
  <si>
    <t>10.1093/glycob/7.5.663</t>
  </si>
  <si>
    <t>2-s2.0-0030743230</t>
  </si>
  <si>
    <t>Ho 463/20-2</t>
  </si>
  <si>
    <t>['significant decrease', 'quantitatively studied', 'proctolin may', 'proctolin immunolabeling', 'proctolin expression', 'operated side', 'one depressor', 'one antenna', 'one adductor', 'keep pace', 'identical result', 'horizontal movements', 'd5 soma', 'd5 )]', 'antennal deafferentation', 'ad3 soma', 'ad3 ),']</t>
  </si>
  <si>
    <t>Antennae | Antennal proprioception | Flight | Insect | Neuropeptide | Proctolin</t>
  </si>
  <si>
    <t>The change of the intensity of proctolin immunolabeling of 2 of 17 proctolinergic antennal motoneurons [one adductor (Ad3), and one depressor (D5)] was quantitatively studied in crickets in relation to flight and antennal deafferentation. During flight, the maintained forward position of the antennae is supported by high frequency tonic firing of Ad3 but probably all motoneurons are activated. In animals sacrificed immediately after the last of five consecutive flight periods the intensity of proctolin-like immunolabeling showed a significant decrease in the Ad3 soma in comparison to the Ad3 of non-flyers. The identical result was observed in the D5 soma. In animals sacrificed 40 h after flight, no difference in the intensity of proctolin immunolabeling between the Ad3 soma of flyers and non-flyers was evident. Thus, at high motoneuron activity, the production of proctolin may not be able to keep pace with its transport from the soma. Deletion of all proprioceptors of one antenna which respond to horizontal movements only led to a significant decrease of the intensity of proctolin immunolabeling in the Ad3 soma on the operated side, but not in the soma of D5. This indicates that selected afferent input has an impact on proctolin expression in distinct motoneuron pools.</t>
  </si>
  <si>
    <t>59-70</t>
  </si>
  <si>
    <t>60019722-60006297;60019722-60003915</t>
  </si>
  <si>
    <t>7006457060;7005736995</t>
  </si>
  <si>
    <t>Bartos, M.;Honegger, H. W.</t>
  </si>
  <si>
    <t>Munich;Philadelphia;Nashville</t>
  </si>
  <si>
    <t>Technical University of Munich;University of Pennsylvania;Vanderbilt University</t>
  </si>
  <si>
    <t>60019722;60006297;60003915</t>
  </si>
  <si>
    <t>Bartos M.</t>
  </si>
  <si>
    <t>Impact of motor activity and antennal mechanosensory input on the intensity of proctolin-like immunoreactivity in antennal motoneurons of crickets (Gryllus bimaculatus)</t>
  </si>
  <si>
    <t>10.1007/s003590050093</t>
  </si>
  <si>
    <t>2-s2.0-0030749972</t>
  </si>
  <si>
    <t>['within grooved', 'walk upwind', 'triatoma nymphs', 'relative humidity', 'receptor cells', 'peg sensilla', 'mediated anemotaxis', 'latency disappears', 'g source', 'free air', 'excited receptors', 'electrophysiological recordings', 'electroantennograms recorded', 'dose dependent', 'bugs stop', 'aqueous nh3', 'ammonia released', '394 ppb', '35 %.', '3 ppb', '200 ml', '17 ppb']</t>
  </si>
  <si>
    <t>Ammonia | Attraction | Electrophysiology | Olfaction | Triatoma infestans</t>
  </si>
  <si>
    <t>1) Nymphs of the haematophagous bug Triatoma infestans (Heteroptera: Reduviidae) are attracted to volatiles from their own faeces on a servosphere. 2) Biological substrates attractive to triatomines release NH3: wetted triatomine faecal papers release NH3 at 256 ppb NH3 from a 60-g source and stale rabbit urine at 394 ppb from 200 ml. Ammonia released from aqueous NH3 also attracts bugs at doses of 3 ppb and 17 ppb on the servosphere. 3) Bugs typically show negative anemotaxis in a stimulus-free air-stream on the servosphere. At onset of stimulation with ammonia from either biological substrates or aqueous NH3 the bugs stop, move their antennae, turn and walk upwind, i.e. odour-mediated anemotaxis. 4) At lower NH3 doses a latency in attraction is recorded, but this latency disappears when the relative humidity of the stimulus delivery air-stream is dropped from 90 to 35%. 5) Electrophysiological recordings from single olfactory sensilla on antennae of Triatoma nymphs reveal two different types of NH3-excited receptors, both within grooved-peg sensilla. The responses of one of these receptor cells to NH3 has been studied in detail and shows that the action potential discharge rate is dose-dependent over the range 2 200 ppb. 6) The amplitudes of electroantennograms recorded from Triatoma nymphs to NH3 are dose dependent over the range 5 550 ppb.</t>
  </si>
  <si>
    <t>21-34</t>
  </si>
  <si>
    <t>60005175;60005175</t>
  </si>
  <si>
    <t>6603583508;24782873200</t>
  </si>
  <si>
    <t>Taneja, J.;Guerin, P. M.</t>
  </si>
  <si>
    <t>Neuchatel</t>
  </si>
  <si>
    <t>Universite de Neuchatel, Institut de Zoologie</t>
  </si>
  <si>
    <t>Taneja J.</t>
  </si>
  <si>
    <t>Ammonia attracts the haematophagous bug Triatoma infestans: Behavioural and neurophysiological data on nymphs</t>
  </si>
  <si>
    <t>10.1007/s003590050089</t>
  </si>
  <si>
    <t>2-s2.0-0030837789</t>
  </si>
  <si>
    <t>['verify predictions', 'typically 10', 'system capable', 'spatial resolution', 'response independent', 'probes requires', 'probe comprising', 'predict e', 'phantom material', 'numerical models', 'mr frequencies', 'like medium', 'known e', 'hence sar', 'field probes', 'electric field', 'distributions associated', 'dipole dictates', 'dipole antenna', 'dielectric characteristics', 'determined using', 'cells answering', '5 cm3', '120 mhz']</t>
  </si>
  <si>
    <t>In view of potential thermal hazards, there is a need to determine the specific absorption rate (SAR) distributions associated with radiofrequency coils used in magnetic resonance imaging (MRI) (typically 10-120 MHz). Electric field (E-field) distributions in tissue-equivalent phantoms may be determined using a probe comprising a dipole antenna and a detector. The geometry of the dipole dictates the sensitivity of the device, thus two designs are discussed in this paper. Both probes are compact, have a spatial resolution of 2.5 cm3, operate at MR frequencies and have a response independent of the dielectric characteristics of the phantom material. Calibration of these probes requires a system capable of producing a known E- field both in air and in a tissue-like medium at frequencies between 10 and 120 MHz. Transverse electromagnetic wave (TEM) cells answering these specifications are described and the calibration procedure outlined. Accurately calibrated E-field probes can make field measurements in phantoms which can be used to verify predictions from numerical models. These numerical techniques may then be used to predict E-fields, and hence SAR, in patients.</t>
  </si>
  <si>
    <t>1387-1394</t>
  </si>
  <si>
    <t>Physics in Medicine and Biology</t>
  </si>
  <si>
    <t>60020416;60020416;60020416</t>
  </si>
  <si>
    <t>8072416400;57191237668;7102820326</t>
  </si>
  <si>
    <t>Taylor, Helen C.;Burl, Mike;Hand, Jeffrey W.</t>
  </si>
  <si>
    <t>Hammersmith Hospital</t>
  </si>
  <si>
    <t>Taylor H.C.</t>
  </si>
  <si>
    <t>Design and calibration of electric field probes in the range 10-120 MHz</t>
  </si>
  <si>
    <t>S0031915597769768</t>
  </si>
  <si>
    <t>10.1088/0031-9155/42/7/011</t>
  </si>
  <si>
    <t>2-s2.0-0030850848</t>
  </si>
  <si>
    <t>When the characteristics of antennas with a junction of conducting wires and plates, such as antennas used for portable telephones, are analyzed by the method of moments, a special segment having a wire current and a radial surface current has been used. However, the radius of the radial current of this segment is required to be greater than about 0.2 wavelengths to obtain accurate numerical results. Therefore, this method cannot be applied to antennas having conducting plates whose dimension is less than 0.2 wavelengths. In this paper, another special segment, the `joint patch segment,' which connects the radial segment with the planar segment, is proposed to overcome the limitations of the radial segment. In order to demonstrate the accuracy and the advantages of the proposed method, the frequency characteristics of the input impedance of the planar inverted F antenna mounted on a conducting box are calculated and compared with experimental data.</t>
  </si>
  <si>
    <t>60003381;60003381;60003381;60003381</t>
  </si>
  <si>
    <t>10.1002/(SICI)1520-6424(199707)80:7&lt;61::AID-ECJA7&gt;3.0.CO;2-8</t>
  </si>
  <si>
    <t>2-s2.0-0031175476</t>
  </si>
  <si>
    <t>A radial line slot antenna (RLSA) is a slotted waveguide planar array proposed for DBS subscriber antennas. Its predicted conductor loss is almost negligible. The RLSA has extremely simple structure. It utilizes nonuniform slots which cancel the tapered aperture illumination associated with radial outward traveling wave excitation. An efficiency of more than 80% has been realized in RLSAs released for commercial use in Japan. The high potential of RLSAs in term of electrical and cost performance has stimulated advanced design for various applications, such as linearly polarized RLSAs and dual polarized RLSAs. One challenging topic is the design of low sidelobes for RLSA. This paper presents the basic design and measured performance of low-sidelobe RLSAs. A first sidelobe level of less than -25 dB and an antenna efficiency of 65% are realized.</t>
  </si>
  <si>
    <t>60009824;60009824;60009824</t>
  </si>
  <si>
    <t>Tokyo City University</t>
  </si>
  <si>
    <t>10.1002/(SICI)1520-6424(199707)80:7&lt;70::AID-ECJA8&gt;3.0.CO;2-9</t>
  </si>
  <si>
    <t>2-s2.0-0031175720</t>
  </si>
  <si>
    <t>['optimal length', 'optimal distance', 'novel criterion', 'mode methods', 'material loss', 'line representation', 'gainy materials', 'field intensity', 'coupling region', 'coupler polarizers', 'conventional coupled', 'approach provides', 'accurate results']</t>
  </si>
  <si>
    <t>Equivalent network | Optical couplers | Polarization</t>
  </si>
  <si>
    <t>We analyze polarization splitting of light in directional-coupler polarizers by using a transverse modal transmission-line representation. Because it is based on rigorous modal solutions, this approach provides very accurate results and can be applied to situations involving either lossy or gainy materials. By considering a polarizer in which multiquantumwell layers act as one of the two waveguides forming the coupling region, we find that maximum polarization discrimination is achieved at an optimal distance that is different from the polarization length predicted by conventional coupled-mode methods. We derive a novel criterion for determining that optimal length, examine the effect of material loss or gain, and obtain the far-field intensity of the light at the output of the coupler.</t>
  </si>
  <si>
    <t>1233-1240</t>
  </si>
  <si>
    <t>60108318;;</t>
  </si>
  <si>
    <t>7403581423;7003979030;7006505898</t>
  </si>
  <si>
    <t>Ho, K. C.;Griffel, G.;Tamir, T.</t>
  </si>
  <si>
    <t>NYU Tandon School of Engineering</t>
  </si>
  <si>
    <t>Polarization splitting in lossy/gainy MQW directional couplers</t>
  </si>
  <si>
    <t>S0733872497051530</t>
  </si>
  <si>
    <t>10.1109/50.596970</t>
  </si>
  <si>
    <t>2-s2.0-0031176107</t>
  </si>
  <si>
    <t>['telemetry depacketizer', 'rights reserved', 'received telemetry', 'receive path', 'paper examines', 'paper demonstrates', 'orbit ephemeris', 'low cost', 'full azimuth', 'fed automatically', 'error measurements', 'diplexing feed', 'carrier generator', 'band sweeper', 'antenna incorporates', 'antenna feed', 'antenna across']</t>
  </si>
  <si>
    <t>This paper examines a method of updating the orbit ephemeris of low Earth orbit satellites based on antenna tracking error data from a single ground station. The paper describes Satellites International's low cost S-band ground station which utilizes a 2.4 m parabolic dish antenna with full azimuth and elevation drive control. The antenna incorporates a diplexing feed, with a low noise amplifier in the receive path, linked to a receiver/demodulator which downconverts and decodes the received telemetry before passing it to a telemetry depacketizer; and thence to the spacecraft control centre. The uplink telecommand data is packetized and passed to a sub-carrier generator, before being upconverted in an S-band sweeper/modulator, followed by a high power amplifier linked to the antenna feed. The antenna controller drives the antenna in a fine resolution program track mode derived from a 10-point orbit ephemeris. Tracking error data is obtained in real-time during a pass by scanning the antenna across-track and along-track with respect to the nominal satellite position. The error measurements are then fed automatically into the orbit generation software to provide an updated orbit ephemeris. The paper demonstrates that the orbit prediction accuracy obtainable using this method can achieve satisfactory mission performance. ¬© 1998 Published by Elsevier Science Ltd. All rights reserved.</t>
  </si>
  <si>
    <t>117565365;117565365;60023254</t>
  </si>
  <si>
    <t>55107640300;7006116235;7006117316</t>
  </si>
  <si>
    <t>Ward, A. Kim;Ely, Robert J.;Holdaway, Richard</t>
  </si>
  <si>
    <t>Didcot;Newbury</t>
  </si>
  <si>
    <t>Rutherford Appleton Laboratory;Space Innovations Limited</t>
  </si>
  <si>
    <t>60023254;117565365</t>
  </si>
  <si>
    <t>Ward A.K.</t>
  </si>
  <si>
    <t>Automatic orbit ephemeris update in a low cost ground station</t>
  </si>
  <si>
    <t>S0094576597002117</t>
  </si>
  <si>
    <t>10.1016/S0094-5765(97)00211-7</t>
  </si>
  <si>
    <t>2-s2.0-0031176109</t>
  </si>
  <si>
    <t>['ybco films', 'terahertz radiation', 'several designs', 'rapid changes', 'photoconductive antennas', 'magnetic field', 'grown gaas', 'gaas films', 'bias current']</t>
  </si>
  <si>
    <t>Femtosecond laser | High-Tc superconducting film | Magnetic effect | Photoconductive antenna | Terahertz electromagnetic pulse</t>
  </si>
  <si>
    <t>Terahertz electromagnetic pulses are generated from photoconductive antennas fabricated on low-temperature-grown GaAs (LT-GaAs) films and from superconducting YBCO thin films by irradiating the films with femtosecond laser pulses. The terahertz pulses originate from the rapid changes in the photocurrent and supercurrent. The characteristics of several designs of photoconductive antennas on LT-GaAs films are measured. The properties of the emission from YBCO films with bias current or with magnetic field are investigated and the mechansm for terahertz radiation is discussed.</t>
  </si>
  <si>
    <t>327-334</t>
  </si>
  <si>
    <t>60092258-100842769;60092258-100413838;60092258-60024322</t>
  </si>
  <si>
    <t>7404662230;7202550229;7006497099</t>
  </si>
  <si>
    <t>Sakai, Kiyomi;Tani, Masahiko;Tonouchi, Masayoshi</t>
  </si>
  <si>
    <t>Koganei;Suita;;Kobe</t>
  </si>
  <si>
    <t>Ministry of Posts and Telecommunications, Japan;Osaka University;Laboratory for Quantum Electronics;Kansai Advanced Research Center</t>
  </si>
  <si>
    <t>60092258;60024322;100842769;100413838</t>
  </si>
  <si>
    <t>Sakai K.</t>
  </si>
  <si>
    <t>Terahertz electromagnetic pulse emission from photoconductive antennas and high-tc superconducting films</t>
  </si>
  <si>
    <t>2-s2.0-0031176143</t>
  </si>
  <si>
    <t>MIPS-9320890</t>
  </si>
  <si>
    <t>['well established', 'vector hydrophones', 'vector hydrophone', 'underwater acoustics', 'three identical', 'spatially co', 'relations among', 'realized herein', 'paper introduces', 'novel esprit', 'nonspatial inter', 'like geometry', 'innovative scheme', 'hydrophone technology', 'great variety', 'earlier work', 'dimensional arrays', 'commercial models', 'coastiluent hydrophones', 'based closed', 'array geometry', 'acoustic wavefield']</t>
  </si>
  <si>
    <t>Array signal processing | Direction of arrival estimation | Eigenvalues/eigenfunctions | ESPRIT | Random arrays | Sonar arrays | Sonar tracking | Underwater acoustic arrays</t>
  </si>
  <si>
    <t>This paper introduces a novel ESPRIT-based closed-form source localization algorithm applicable to arbitrarily spaced three-dimensional arrays of vector hydrophones, whose locations need not be known. Each vector hydrophone consists of two or three identical but orthogonally oriented velocity hydrophones plus one pressure hydrophone, all spatially co-located in a point-like geometry. A velocity hydrophone measures one Cartesian component of the incident sonar wavefield's velocity-vector, whereas a pressure hydrophone measures the acoustic wavefield's pressure. Velocity-hydrophone technology is well established in underwater acoustics and a great variety of commercial models have long been available. ESPRIT is realized herein by exploiting the nonspatial inter-relations among each vector hydrophone's coastiluent hydrophones, such that ESPRIT's eigenvalues become independent of array geometry. Simulation results verify the efficacy and versatility of this innovative scheme. Aspects of this underwater acoustic algorithm are analogous to Li's earlier work with diversely polarized antennas.</t>
  </si>
  <si>
    <t>566-575</t>
  </si>
  <si>
    <t>60005248-60027550-60000221-60031707-60009254-60000501-60022054;60000251-60009254-60014662-60006297-60018431-60032503-60015623</t>
  </si>
  <si>
    <t>7404759216;55664103800</t>
  </si>
  <si>
    <t>Wong, Kainam T.;Zoltowski, Michael D.</t>
  </si>
  <si>
    <t>United States;United States;United States;United States;United States;United States;United States;United States;United States;United States;United States;United States;United States</t>
  </si>
  <si>
    <t>San Diego;East Lansing;Los Angeles;Laurel;Arlington;Boston;Philadelphia;West Lafayette;Philadelphia;Baltimore;Detroit;New York;Boulder</t>
  </si>
  <si>
    <t>Space and Naval Warfare Systems Center San Diego;Michigan State University;University of California, Los Angeles;Johns Hopkins University Applied Physics Laboratory;Office of Naval Research;General Electric Company;Drexel University;Purdue University;University of Pennsylvania;Johns Hopkins University;General Motors;IEEE;University of Colorado Boulder</t>
  </si>
  <si>
    <t>60032503;60031707;60027550;60022054;60018431;60015623;60014662;60009254;60006297;60005248;60000501;60000251;60000221</t>
  </si>
  <si>
    <t>Wong K.T.</t>
  </si>
  <si>
    <t>Closed-form underwater acoustic direction-finding with arbitrarily spaced vector hydrophones at unknown locations</t>
  </si>
  <si>
    <t>S0364905997052886</t>
  </si>
  <si>
    <t>10.1109/48.611148</t>
  </si>
  <si>
    <t>2-s2.0-0031177465</t>
  </si>
  <si>
    <t>['ptdu using', 'noise ratios', 'high signal', 'experimental demonstration', '35 œºs']</t>
  </si>
  <si>
    <t>An experimental demonstration of a photonic time delay unit (PTDU) based on ferroelectric liquid crystal devices and Thompson polarization beamsplitters (TBS's) is presented. High signal-to-noise ratios (SNR's) (&gt;96 dB) and optical polarization extinction ratios (ER, ‚àº40 dB) are demonstrated for the PTDU using an active noise filter technique. Using a 5 V peak square wave switch drive signal, a 70 Œºs switching speed is demonstrated for this PTDU that can be used in fast (e.g., 5000 beam/s) beam scanning phased array systems. A shorter switching speed of 35 Œºs is also observed using a high 15 V peak transitional voltage driving signal.</t>
  </si>
  <si>
    <t>1088-1093</t>
  </si>
  <si>
    <t>60000251-60022144;60000251-60022144</t>
  </si>
  <si>
    <t>Characterization of a ferroelectric liquid crystal-based time delay unit for phased array antenna applications</t>
  </si>
  <si>
    <t>S0733872497051633</t>
  </si>
  <si>
    <t>10.1109/50.596953</t>
  </si>
  <si>
    <t>2-s2.0-0031177534</t>
  </si>
  <si>
    <t>['terminating connectors', 'radio equipments', 'paper discusses', 'mounted antennas', 'electrical requirements']</t>
  </si>
  <si>
    <t>Modern multichannel wireless communications systems require high grade feeder cables for the connections between tower-mounted antennas and the radio equipments. The terminating connectors that provide standard RF interfaces for the cable must meet exacting mechanical and electrical requirements for this system. This paper discusses how the various critical characteristics for cables and connectors, how these characteristics are optimized in design and manufacture, and how the resulting system performance is maximized.</t>
  </si>
  <si>
    <t>Nudd, Hugh R.</t>
  </si>
  <si>
    <t>Joliet</t>
  </si>
  <si>
    <t>Andrew Corporation</t>
  </si>
  <si>
    <t>Nudd H.</t>
  </si>
  <si>
    <t>Optimized performance from coaxial feeder cables and connectors for wireless systems</t>
  </si>
  <si>
    <t>2-s2.0-0031186367</t>
  </si>
  <si>
    <t>['user interface', 'scale version', 'remote industries', 'receiver containing', 'news gathering', 'multiple features', 'mobile applications', 'laptop computer', 'differing requirements', 'associated electronics']</t>
  </si>
  <si>
    <t>OmniQuest is a portable satellite Earth station about the size of a laptop computer which replaces the briefcase-size transportable phone offered by the AMSC-1 satellite systems. It is a small-scale version of the big traditional earth station but has the same requirements for an antenna and associated electronics, a transmitter and receiver containing the modem and the user interface. It has terminals that easy to use, has several power options and can be operated in fixed, semi-fixed and mobile applications. These multiple features and functions are added in order to satisfy the differing requirements of mobile satellite users such as remote industries, news gathering and emergency response organizations.</t>
  </si>
  <si>
    <t>Khouri, Amer L.</t>
  </si>
  <si>
    <t>Mitsubishi Electronics America</t>
  </si>
  <si>
    <t>Khouri A.</t>
  </si>
  <si>
    <t>Advances in Earth stations: You can take it with you</t>
  </si>
  <si>
    <t>2-s2.0-0031186674</t>
  </si>
  <si>
    <t>['voltage pulses', 'receiving high', 'penetrating radar', 'excavation surveying', 'buried objects', 'buried conduits']</t>
  </si>
  <si>
    <t>Non-excavation surveying of buried objects more than three meters deep using ground-penetrating radar has been achieved by developing a high-performance antenna capable of sending and receiving high-voltage pulses, opening new ground as a substitution for test excavation used in the construction of buried conduits.</t>
  </si>
  <si>
    <t>105-108</t>
  </si>
  <si>
    <t>7103130457;36869926300;7007038571</t>
  </si>
  <si>
    <t>Hata, N.;Masuda, J. i.;Takatsuka, T.</t>
  </si>
  <si>
    <t>Hata N.</t>
  </si>
  <si>
    <t>Development of deep ground-penetrating radar</t>
  </si>
  <si>
    <t>2-s2.0-0031186791</t>
  </si>
  <si>
    <t>['wide beamwidth', 'light weight', 'fractional turn', 'developed antennae', 'airborne applications']</t>
  </si>
  <si>
    <t>Microstrip Line Feed Network | Quadarifilar Helical Antenna</t>
  </si>
  <si>
    <t>L and C band self phased, fractional turn, 3Œª/4 wavelength quadarifilar helical antennae have been developed for airborne applications. The developed antennae are wide beamwidth, light weight and small size units providing circular polarization over a broad angular region. Also in built lightning protection mechanism has been incorporated. The development is PCB technology based.</t>
  </si>
  <si>
    <t>54-59</t>
  </si>
  <si>
    <t>Journal of Spacecraft Technology</t>
  </si>
  <si>
    <t>60023345;60023345;60023345</t>
  </si>
  <si>
    <t>7402277666;6603641531;6506533205</t>
  </si>
  <si>
    <t>Pal, S.;Lakshmeesha, V. K.;Barnwal, S. K.</t>
  </si>
  <si>
    <t>Bengaluru</t>
  </si>
  <si>
    <t>Indian Space Research Organization</t>
  </si>
  <si>
    <t>Pal S.</t>
  </si>
  <si>
    <t>L and C band wide beam width antennae for remote controlled pilotless aircraft</t>
  </si>
  <si>
    <t>2-s2.0-0031187204</t>
  </si>
  <si>
    <t>Antenna arrays have been considered to increase the capacity of the wireless communication systems. In addition to antenna arrays, the multiuser detection has been investigated for the efficient use of bandwidth in code division multiple access (CDMA) channels through mitigation of near-far effects and multiple-access noise limitations. We consider both the multiuser detection and antenna arrays. For the multiuser detection, we use the decorrelating detector. It is shown that the resulting system is less affected by strong interferences and has near-far resistance. Furthermore, it is observed that the decorrelating detector does not depend on the spatial cross-correlation. In the conventional detector, however, the performance degradation from the spatial cross-correlation is observed.</t>
  </si>
  <si>
    <t>10.1016/S0165-1684(97)00072-8</t>
  </si>
  <si>
    <t>2-s2.0-0031187352</t>
  </si>
  <si>
    <t>['simple technique', 'sidelobe level', 'proposed algorithm', 'practical problem', 'general arrays', 'element failures', 'effective compromise', 'adaptive arrays']</t>
  </si>
  <si>
    <t>A simple technique for solving a practical problem for adaptive arrays with element failures is presented. The proposed algorithm has the ability to synthesize the remaining nondefective elements in the array to achieve a suboptimum beampattern closely matching the original desired specifications. However, an effective compromise between the beamwidth and the sidelobe level has to be considered. The proposed technique demonstrated an effective sidelobe suppression for general arrays in the presence of element failures.</t>
  </si>
  <si>
    <t>1278-1280</t>
  </si>
  <si>
    <t>60005510;60005510</t>
  </si>
  <si>
    <t>7101953196;7102842938</t>
  </si>
  <si>
    <t>Sim, S. L.;Er, M. H.</t>
  </si>
  <si>
    <t>Nanyang Technological University</t>
  </si>
  <si>
    <t>Sim S.</t>
  </si>
  <si>
    <t>Sidelobe suppression for general arrays in presence of element failures</t>
  </si>
  <si>
    <t>10.1049/el:19970903</t>
  </si>
  <si>
    <t>2-s2.0-0031188440</t>
  </si>
  <si>
    <t>['plasma damage', 'cos evaluation', 'charge measurements']</t>
  </si>
  <si>
    <t>Corona-oxide-semiconductor | Phosphosilicate glass | Plasma damage</t>
  </si>
  <si>
    <t>Corona-oxide-semiconductor (COS) charge measurements have been used to examine phosphosilicate glass (PSG) damage. In a simple blanket PSG-oxide-silicon monitor structure, negative PSG plasma charging higher than 1012/cm2 was found to be responsible for gate oxide degradation, as well as antenna monitor yield reduction. The COS monitor measures static potential and flat band voltage to determine the cause of the plasma damage. Further PSG process fine-tuning to eliminate a second-order plasma damage was achieved with interface trap density optimization by COS evaluation.</t>
  </si>
  <si>
    <t>211-218</t>
  </si>
  <si>
    <t>Semiconductor International</t>
  </si>
  <si>
    <t>Fung, Min Su</t>
  </si>
  <si>
    <t>Hopewell Junction</t>
  </si>
  <si>
    <t>MiCRUS</t>
  </si>
  <si>
    <t>Fung M.</t>
  </si>
  <si>
    <t>Monitoring PSG plasma damage with COS</t>
  </si>
  <si>
    <t>2-s2.0-0031188493</t>
  </si>
  <si>
    <t>['wave short', 'receive operation', 'receive isolation', 'range communication', 'radar systems', 'potential uses', 'active circulator', 'active antenna', '9 db', '745 ghz']</t>
  </si>
  <si>
    <t>An active circulator is integrated with a quarter-wave short-circuited microstrip patch antenna to produce a fully duplexed transceiver with transmit and receive operation at the same frequency and with the same polarization. The active circulator antenna is shown to have 14-dBi transmit gain and 7.4-dBi receive gain with a transmit-receive isolation of 26.9 dB at 3.745 GHz. This active antenna has potential uses in both short-range communication and radar systems.</t>
  </si>
  <si>
    <t>60019702;60019702</t>
  </si>
  <si>
    <t>16554512900;57213425197</t>
  </si>
  <si>
    <t>Cryan, M. J.;Hall, P. S.</t>
  </si>
  <si>
    <t>Cryan M.</t>
  </si>
  <si>
    <t>An integrated active circulator antenna</t>
  </si>
  <si>
    <t>S1051820797048794</t>
  </si>
  <si>
    <t>10.1109/75.594860</t>
  </si>
  <si>
    <t>2-s2.0-0031188853</t>
  </si>
  <si>
    <t>['low noise', 'drain current', 'added efficiency', '26 %.']</t>
  </si>
  <si>
    <t>Three new amplifiers suitable for low noise, high dynamic range receiver applications are presented. Each of the amplifiers is optimized for a particular frequency band and incorporates a single GaAs FET with internal matching designed for 6 V DC operations at 180 mA drain current and a power-added efficiency of 26%. The devices are designed for +85¬∞C maximum case operating temperature.</t>
  </si>
  <si>
    <t>Low noise cellular receiver amplifiers</t>
  </si>
  <si>
    <t>2-s2.0-0031190463</t>
  </si>
  <si>
    <t>['time systems', 'telemetry processing', 'satellite data', 'performance real', 'market needs', 'major requirements', 'extensive study', 'divergent requirement', 'control stations', 'control functionality', 'control function', 'based high', 'also discussed']</t>
  </si>
  <si>
    <t>An extensive study of the market needs for cost-reduced satellite telemetry and control stations are presented. The trend for combining telemetry monitoring of satellite data with close-loop satellite command and control function is also discussed. In addition, the major requirements for the telemetry processing and command and control functionality of the integrated, reduced-cost satellite control system are described. The divergent requirement of performance, flexibility and price of these integrated, reduce-cost satellite control systems are made possible via the use of open-architecture-based high-performance real-time systems.</t>
  </si>
  <si>
    <t>Spielman, David R.</t>
  </si>
  <si>
    <t>AP Labs.</t>
  </si>
  <si>
    <t>Spielman D.</t>
  </si>
  <si>
    <t>Low cost, open-architecture-based system for portable satellite telemetry and control</t>
  </si>
  <si>
    <t>2-s2.0-0031190512</t>
  </si>
  <si>
    <t>['top patch', 'surface current', 'single patch', 'results indicate', 'radiation pattern', 'integral equation', 'input impedance', 'current distribution', 'composite ground', 'certain applications', 'bottom patch', 'advantage may']</t>
  </si>
  <si>
    <t>The analysis of a single patch on a substrate with a laminated composite ground plane shows that the bandwidth of the input impedance can be increased by increasing the thickness of the composite ground or by reducing the thickness of the substrate. This advantage may not be desired for certain applications; hence, a bottom patch at the interface of the substrate and the composite is proposed to reduce such effects. An integral equation is derived in terms of the surface current on both patches, and Galerkin's method is applied to solve the integral equation for the current distribution. Results indicate that the bottom patch effectively prevent the fields under the top patch from leaking into the composite ground. Both the input impedance and the radiation pattern are close to those with a perfect conductor ground plane.</t>
  </si>
  <si>
    <t>355-360</t>
  </si>
  <si>
    <t>Proceedings of the National Science Council, Republic of China, Part A: Physical Science and Engineering</t>
  </si>
  <si>
    <t>Kiang, Jean Fu</t>
  </si>
  <si>
    <t>Taichung</t>
  </si>
  <si>
    <t>National Chung Hsing University</t>
  </si>
  <si>
    <t>Kiang J.</t>
  </si>
  <si>
    <t>Radiation properties of stacked rectangular patch radiators with a laminated ground plane</t>
  </si>
  <si>
    <t>2-s2.0-0031192742</t>
  </si>
  <si>
    <t>['wavelengths long', 'unique low', 'source level', 'single element', 'simultaneously exciting', 'producing cardioid', 'one side', 'octave band', 'major axis', 'field pressure', 'field limit', 'enhanced far', 'electroacoustic efficiency', 'driving stack', 'directivity index', 'dipole operation', 'device show', 'coupling coefficient', 'canceled far', 'bending modes', '900 hz', '7 db', '4 db', '394 kv', '30 db', '225 db', '215 db', '10 kv', '1 œºpa']</t>
  </si>
  <si>
    <t>A unique low-frequency (900 Hz) class IV flextensional transducer that produces an enhanced far-field pressure on one side and canceled far-field pressure on the other side has been developed. The transducer radiating surface consists of a thick-walled elliptical aluminum shell and a U.S. Navy type III piezoelectric stack along its major axis with two active sections and one inactive section. The directionality is achieved by simultaneously exciting the shell into an omnidirectional and dipole operation by driving stack into both extensional and bending modes. Both measurements and modeling on this device show a front to back pressure ratio of more than 30 dB, producing cardioid-type radiation patterns over an octave band, for a single transducer element. The transducers measured mechanical Q is 8, coupling coefficient is 0.25, and electroacoustic efficiency is 80% and produced a source level of 215 dB re: 1 ŒºPa at 1 m when driven at a field limit of 394 kV/m (10 kV/in.) at resonance. The uniqueness of this transducer is its directional beam patterns (directivity index=3.4 dB) and high acoustic output power from a small (less than a third of a wavelength) single element. Six of these transducers were placed in a closely packed line array two-wavelengths long. The array successfully produced narrow directional sound beams (directivity index=8.7 dB) with a front to back ratio greater than 30 dB and a source level of 225 dB re: 1 ŒºPa at 1 m.</t>
  </si>
  <si>
    <t>308-314</t>
  </si>
  <si>
    <t>Journal of the Acoustical Society of America</t>
  </si>
  <si>
    <t>60022791;100350830;100350830;100474789</t>
  </si>
  <si>
    <t>7202738250;7403925059;7201779783;7004537305</t>
  </si>
  <si>
    <t>Butler, Stephen C.;Butler, John L.;Butler, Alexander L.;Cavanagh, George H.</t>
  </si>
  <si>
    <t>Newport;Massa;</t>
  </si>
  <si>
    <t>Naval Undersea Warfare Center Division Newport;Massa Products Corporation;Image Acoustics, Inc.</t>
  </si>
  <si>
    <t>60022791;100474789;100350830</t>
  </si>
  <si>
    <t>Butler S.</t>
  </si>
  <si>
    <t>A low-frequency directional flextensional transducer and line array</t>
  </si>
  <si>
    <t>10.1121/1.419609</t>
  </si>
  <si>
    <t>2-s2.0-0031193391</t>
  </si>
  <si>
    <t>['result implies', 'removing input', 'predictive stimuli', 'one odor', 'olfactory blocking', 'odor association', 'novel ones', 'necessarily associate', 'mechanistic basis', 'experiments show', 'establishing blocking', 'conditioned stimulus', 'brain hemispheres', 'blocking involves', 'bilateral interaction', 'antennae must', 'active inhibition']</t>
  </si>
  <si>
    <t>Apis mellifera | Blocking | Honeybee | Learning | Memory | Odor mixtures | Olfactory conditioning</t>
  </si>
  <si>
    <t>The associative learning phenomenon termed 'blocking' demonstrates that animals do not necessarily associate a conditioned stimulus (e.g. X) with reinforcement if X is coincident with a second conditioned stimulus (e.g. A) that had already been associated with the same reinforcement. Blocking therefore represents a tactic that animals can use to modulate associative learning in order to focus on the most predictive stimuli at the expense of novel ones. Using an olfactory blocking paradigm in the honeybee, we investigated the mechanistic basis for olfactory blocking. We show that removing input from one antenna eliminates the blocking of one odor by another. Since antennal sensory neurons only project to the ipsilateral antennal lobe in the honeybee, more central processing regions of the brain than the antennae must be crucial for establishing blocking. Further experiments show that this bilateral interaction between brain hemispheres is crucial during both the induction and the expression of blocking. This result implies that blocking involves an active inhibition of odor association and recall, and that this inhibition is mediated by a structure that spans both brain hemispheres. This interpretation is consistent with a role for identified bilateral modulatory neurons in the production of blocking.</t>
  </si>
  <si>
    <t>2045-2055</t>
  </si>
  <si>
    <t>7005307518;7501691923</t>
  </si>
  <si>
    <t>Thorn, Robert S.;Smith, Brian H.</t>
  </si>
  <si>
    <t>Thorn R.</t>
  </si>
  <si>
    <t>The olfactory memory of the honeybee Apis Mellifera</t>
  </si>
  <si>
    <t>2-s2.0-0031193578</t>
  </si>
  <si>
    <t>471-473</t>
  </si>
  <si>
    <t>100313119;100313119</t>
  </si>
  <si>
    <t>7004903129;6701759589</t>
  </si>
  <si>
    <t>Gabriel'yan, D. D.;Zvezdina, M. Yu</t>
  </si>
  <si>
    <t>Rostov-on-Don</t>
  </si>
  <si>
    <t>Rostov Higher Mil. Command and Eng.</t>
  </si>
  <si>
    <t>Gabriel'yan D.</t>
  </si>
  <si>
    <t>Radiation of a linear antenna parallel to an impedance circular cylinder</t>
  </si>
  <si>
    <t>2-s2.0-0031491043</t>
  </si>
  <si>
    <t>['whose field', 'weak scatterers', 'special reference', 'signal source', 'scattered signal', 'possible degree', 'paper discusses', 'one darkens', 'method whereby', 'focusable dark', 'field antennas', 'convolved signals', 'calculated results', 'brightening signals', 'brightening signal']</t>
  </si>
  <si>
    <t>The paper discusses the properties of focusable dark-field antennas with special reference to the observation of weak scatterers. In this form of observation, one darkens the field at the focus of the signal source in whose field the scatterer is observed. A comparison is made between a method whereby a scattered signal is detected in the presence of a brightening signal and the separation of convolved signals by Oppenheim's cepstrum analysis technique. The calculated results are presented which make it possible to determine the possible degree of separation of the scattered and brightening signals with allowance for the acoustic waveguide mode dispersion.</t>
  </si>
  <si>
    <t>429-434</t>
  </si>
  <si>
    <t>60011774;60011774;60011774;60011774</t>
  </si>
  <si>
    <t>7101973590;7004344048;6603108928;6602759041</t>
  </si>
  <si>
    <t>Zverev, V. A.;Matveev, A. L.;Slavinskii, M. M.;Stromkov, A. A.</t>
  </si>
  <si>
    <t>The focusable dark field antenna</t>
  </si>
  <si>
    <t>2-s2.0-0031510621</t>
  </si>
  <si>
    <t>['two processes', 'temperature range', 'strongly suppressed', 'significant uncoupling', 'selective degradation', 'second one', 'results revealed', 'relative increase', 'relative height', 'relative decrease', 'protein complexes', 'preferentially excited', 'preferential chl', 'opposite directions', 'linear heating', 'internal antennae', 'intermittent light', 'high temperatures', 'heated within', 'free chlorophylls', 'fluorescing chl', 'fluorescence excitation', 'f735 emissions', 'f685 emission', 'f685 chl', 'excitation transfer', 'excitation dependence', 'emission band', 'different extent', 'chl b', 'auxiliary pigments', '77 k', '670 nm', '540 nm']</t>
  </si>
  <si>
    <t>77 K excitation and emission spectra | Auxiliary pigments | Chlorophyll fluorescence | High temperature | Photosystem | Thylakoid membrane</t>
  </si>
  <si>
    <t>The chlorophyll a (Chl a) fluorescence rise detected during linear heating of intermittent light (IL) grown barley leaves at a temperature range of 61-67¬∞C was studied. The pronounced fluorescence increase appeared at preferential Chl a excitation, whereas it was strongly suppressed if auxiliary pigments (Chl b and carotenoids) were preferentially excited. However, the excitation dependence of this rise did not correspond with selective degradation of the auxiliary pigments. To describe this high temperature phenomenon, 77 K excitation and emission fluorescence spectra of IL leaves linearly preheated up to 61, 64 and 67¬∞C were measured. No significant uncoupling of free chlorophylls from pigment-protein complexes was detected. With increasing preheating temperature (i) a relative decrease of fluorescence excitation at 460-540 nm for both F685 and F735 emissions, (ii) a pronounced relative increase of F685 emission, and (iii) a relative increase of red excitation band at 77 K with maximum at 670 nm were found. Analysis of the results revealed that two processes influencing the fluorescence emission went parallel in opposite directions in thylakoids when being heated within this temperature range. The first of those is the relative increase of F685 Chl a emission band, which we expect to originate in the internal antennae of photosystem II even at these high temperatures. The second one is an impairment of the excitation transfer from Chl b and carotenoids to fluorescing Chl a. The relative height of the high temperature fluorescence rise is discussed with respect to the different extent of these two processes.</t>
  </si>
  <si>
    <t>243-248</t>
  </si>
  <si>
    <t>60003367;60003367;60025670;60025670;60003367;60003367</t>
  </si>
  <si>
    <t>56004052800;7003863450;6701808611;6602275267;6506759568;7004059629</t>
  </si>
  <si>
    <t>Il√≠k, Petr;Nau≈°, Jan;≈†punda, Vladim√≠r;ƒåaj√°nek, Martin;Cik√°nek, Daniel;Posp√≠≈°il, Pavel</t>
  </si>
  <si>
    <t>Ostrava;Olomouc</t>
  </si>
  <si>
    <t>Ostravsk√° Univerzita v Ostrave;Univerzita Palack√©ho v Olomouci</t>
  </si>
  <si>
    <t>60025670;60003367</t>
  </si>
  <si>
    <t>Il√≠k P.</t>
  </si>
  <si>
    <t>High temperature chlorophyll fluorescence rise within 61-67 ¬∞C. Spectroscopic study with intermittent light grown barley leaves</t>
  </si>
  <si>
    <t>S101113449700016X</t>
  </si>
  <si>
    <t>10.1016/S1011-1344(97)00016-X</t>
  </si>
  <si>
    <t>2-s2.0-0342547114</t>
  </si>
  <si>
    <t>['pico veleta', 'one 15', 'milliarcsecond scales', 'marginal detection', 'limited uv', 'iram 30', 'high frequency', 'extended 1', 'calibration uncertainties']</t>
  </si>
  <si>
    <t>We report the detection of 6 active galactic nuclei, and also the marginal detection of the galactic center radio source SGR A*, in 215 GHz VLBI observations between the IRAM 30 m telescope on Pico Veleta and one 15 m antenna of the IRAM Plateau de Bure interferometer (‚àº 0.3 mas fringe spacing). In this (second) 1.4 mm VLBI-experiment we find source dependent ratios between the total and correlated flux densities in the range of 10-35%, indicating partly resolved brightness distributions on sub-milliarcsecond scales. In view of the calibration uncertainties and the limited uv-coverage at this high frequency this needs further confirmation. The present detection limit of ‚àº 0.4-0.5 Jy opens the possibility for more extended 1.4 mm VLBI experiments, in particular with phased millimeter arrays.</t>
  </si>
  <si>
    <t>Astronomy and Astrophysics</t>
  </si>
  <si>
    <t>60001754;60001754;60001753;60001753;60008828;60008828;60008828;60000770;60008828;60001753;60001754</t>
  </si>
  <si>
    <t>7004015011;55704311800;7003267978;7004062484;6603737417;6603808702;6603881185;7003478874;57197570960;7003958096;7004016026</t>
  </si>
  <si>
    <t>Krichbaum, T. P.;Graham, D. A.;Greve, A.;Wink, J. E.;Alcolea, J.;Colomer, F.;De Vicente, P.;Baudry, A.;G√≥mez-G√≥nzalez, J.;Grewing, M.;Witzel, A.</t>
  </si>
  <si>
    <t>Spain;Germany;France;France</t>
  </si>
  <si>
    <t>Guadalajara;Bonn;Saint Martin d'Heres;Pessac</t>
  </si>
  <si>
    <t>Centro Astronomico de Yebes;Max Planck Institute for Radio Astronomy;IRAM Institut de RadioAstronomie Millim√©trique;Laboratoire d'Astrophysique de Bordeaux</t>
  </si>
  <si>
    <t>60008828;60001754;60001753;60000770</t>
  </si>
  <si>
    <t>Krichbaum T.P.</t>
  </si>
  <si>
    <t>215 GHz VLBI observations of bright active galactic nuclei</t>
  </si>
  <si>
    <t>2-s2.0-3142558007</t>
  </si>
  <si>
    <t>['step n', 'radiation pattern', 'main lobe', 'following properties', 'first one', 'far field', 'cantor set', 'cantor arrangement', 'array factor', 'analytical formulations']</t>
  </si>
  <si>
    <t>Antenna array | Fractal system | Radiation pattern</t>
  </si>
  <si>
    <t>We compare, in this paper, the far field radiated by two fractal distributions of current. The first one is obtained by a fractal cut following the Cantor arrangement, the second one keeps the length of each previous current element, but modifies the distance between the elements which is now taken as a constant. We establish the analytical formulations of the far field at any step n of the Cantor set. Then, we extract the array factor and we analyse and compare the following properties : convergence of the radiation pattern, wide of the main lobe, side lobes level and directivity.</t>
  </si>
  <si>
    <t>427-434</t>
  </si>
  <si>
    <t>60008447-113055156;60008447-113055156;60008447-113264825</t>
  </si>
  <si>
    <t>6507288556;6601978312;7006402070</t>
  </si>
  <si>
    <t>Aubreton, Thierry;Vaudon, Patrick;Jecko, Bernard</t>
  </si>
  <si>
    <t>France;;France</t>
  </si>
  <si>
    <t>Limoges;;Limoges</t>
  </si>
  <si>
    <t>Universite de Limoges;Microwave and Optic Commun. Inst;Res. Inst. Optical Microwave Commun.</t>
  </si>
  <si>
    <t>60008447;113264825;113055156</t>
  </si>
  <si>
    <t>Aubreton T.</t>
  </si>
  <si>
    <t>Theoretical analysis of a fractal surface radiation</t>
  </si>
  <si>
    <t>2-s2.0-3142571475</t>
  </si>
  <si>
    <t>['tlm ).', 'simulation process', 'radiation patterns', 'polarization characteristics', 'main characteristics', 'input impedances', 'input impedance', 'briefly recall', 'antenna applications']</t>
  </si>
  <si>
    <t>Digital signal processing | Input impedance | Matrix method | Parallel | Parallel processing | Patch antenna | Printed antenna | Radiation pattern | Transmission line | Wave polarization</t>
  </si>
  <si>
    <t>In this article, we underline the possibilities and the difficulties about the printed antenna characterizations using the transmission line matrix method (TLM). We briefly recall the principle of the TLM, but we will dwell on its environment for antenna applications. Then, we study different complex planar structures, computing the main characteristics such as input impedances, radiation patterns and polarization characteristics. In this studv, we point out the possible errors due to the simulation process and the parameter computation softwares. Finally, to improve the accuracy of the results, we apply, compare and test the recent improvements related to the input impedance and radiation pattern computations and the absorbing boundary conditions.</t>
  </si>
  <si>
    <t>416-426</t>
  </si>
  <si>
    <t>60012164-60110693;60110755-60110693;60110755-60110693</t>
  </si>
  <si>
    <t>6603203522;35571525300;6603765151</t>
  </si>
  <si>
    <t>Cirio, Laurent;Dubard, Jan Lou;Pompei, Dominique</t>
  </si>
  <si>
    <t>Sophia Antipolis;Nice;Marne-la-Vallee</t>
  </si>
  <si>
    <t>Laboratoire D'√©lectronique, Antennes et T√©l√©communications;Universit√© C√¥te d'Azur;Universit√© de Marne-La-Vall√©e</t>
  </si>
  <si>
    <t>60110755;60110693;60012164</t>
  </si>
  <si>
    <t>Cirio L.</t>
  </si>
  <si>
    <t>Feasibilities and developments of the TLM applied to microstrip antenna characterizations</t>
  </si>
  <si>
    <t>2-s2.0-3142577682</t>
  </si>
  <si>
    <t>['various aspects', 'paper deals', '1c spacecraft']</t>
  </si>
  <si>
    <t>This paper deals with the various aspects of the Antenna Feeding Scheme of the Payload Data Handling System of IRS-1C Spacecraft.</t>
  </si>
  <si>
    <t>49-53</t>
  </si>
  <si>
    <t>60023345-60009220-60004750;60023345-60107917-101888533;60023345-60029284-114057044</t>
  </si>
  <si>
    <t>6602466187;7007185648;6508152569</t>
  </si>
  <si>
    <t>Suryanarayana Rao, K. N.;Nicholas, L.;Prabhakaran, U.</t>
  </si>
  <si>
    <t>India;India;India;India;India;;India</t>
  </si>
  <si>
    <t>Bengaluru;New Delhi;Bengaluru;Bengaluru;Kharagpur;;Bangalore</t>
  </si>
  <si>
    <t>University Visvesvaraya College of Engineering;University of Delhi;Indian Space Research Organization;Bangalore University;Indian Institute of Technology Kharagpur;Communication System Group;CIL</t>
  </si>
  <si>
    <t>60107917;60029284;60023345;60009220;60004750;114057044;101888533</t>
  </si>
  <si>
    <t>Suryanarayana Rao K.</t>
  </si>
  <si>
    <t>Antenna feeding scheme for the IRS-1C data handling system</t>
  </si>
  <si>
    <t>2-s2.0-5844242619</t>
  </si>
  <si>
    <t>96-02-16598-A</t>
  </si>
  <si>
    <t>['spectrographic observations', 'single passage', 'recover two', 'new possibility', 'instantaneous mapping', 'high sensitivity', 'frequency band', 'dimensional images', 'aperture antennas']</t>
  </si>
  <si>
    <t>A new possibility of two-dimensional image creation for variable-aperture antennas is considered. An image correlation technique is proposed to recover two-dimensional images in a single passage of the source through the two-dimensional radiation pattern of the RATAN-600 radio telescope in the incoherent irradiation mode. High sensitivity of instantaneous mapping can be reached in spectrographic observations by both integration in the frequency band and long-term object tracking.</t>
  </si>
  <si>
    <t>531-541</t>
  </si>
  <si>
    <t>35419598100;57203321789</t>
  </si>
  <si>
    <t>Bogod, V. M.;Grebinsky, A. S.</t>
  </si>
  <si>
    <t>Bogod V.</t>
  </si>
  <si>
    <t>Image correlation techniques for variable-aperture radio telescopes</t>
  </si>
  <si>
    <t>10.1007/BF02675827</t>
  </si>
  <si>
    <t>2-s2.0-85051255824</t>
  </si>
  <si>
    <t>['varactor diode', 'right hand', 'measurements show', 'loaded polarisation', 'linear polarisation', 'circular polarisation']</t>
  </si>
  <si>
    <t>Microstrip antenna arrays | Varactors</t>
  </si>
  <si>
    <t>A square, varactor diode-loaded polarisation-agile microstrip patch, radiating either circular polarisation (left or right hand) or linear polarisation (in two orthogonal planes) is described. A linear array comprising four such patches has been designed. Measurements show, when operated in circular polarisation, axial ratios better than 0.5dB and, in linear polarisation, cross-polar levels better than -20dB.</t>
  </si>
  <si>
    <t>1186-1187</t>
  </si>
  <si>
    <t>60009658;60009658</t>
  </si>
  <si>
    <t>7003982481;7003504220</t>
  </si>
  <si>
    <t>Haskins, P. M.;Dahele, J. S.</t>
  </si>
  <si>
    <t>Swindon</t>
  </si>
  <si>
    <t>Defence College of Management and Technology</t>
  </si>
  <si>
    <t>Haskins P.</t>
  </si>
  <si>
    <t>Four-element varactor diode loaded polarisation-agile microstrip antenna array</t>
  </si>
  <si>
    <t>10.1049/el:19970801</t>
  </si>
  <si>
    <t>2-s2.0-0031551210</t>
  </si>
  <si>
    <t>['synthesis procedure', 'sidelobe level', 'method uses', 'conformal arrays', 'antenna patterns', 'algorithm allows', '3d case']</t>
  </si>
  <si>
    <t>Annealing | Antenna arrays</t>
  </si>
  <si>
    <t>A design method previously developed for the synthesis of antenna patterns of circular arc arrays is shown to also be applicable to the synthesis of conformal arrays in the 3D case. This method uses the flexibility of the simulated annealing technique to achieve the excitations of the elements for a desired radiation pattern. The algorithm allows the inclusion of constraints in the variability of the excitations in the synthesis procedure, as well the control of the sidelobe level, the beamwidth and any desired design specification.</t>
  </si>
  <si>
    <t>1187-1189</t>
  </si>
  <si>
    <t>60028419;60028419</t>
  </si>
  <si>
    <t>56270321300;7006865572</t>
  </si>
  <si>
    <t>Ferreira, J. A.;Ares, F.</t>
  </si>
  <si>
    <t>Ferreira J.</t>
  </si>
  <si>
    <t>Pattern synthesis of conformai arrays by the simulated annealing technique</t>
  </si>
  <si>
    <t>10.1049/el:19970838</t>
  </si>
  <si>
    <t>2-s2.0-0031551270</t>
  </si>
  <si>
    <t>['two lhcb1', 'stroma lamellae', 'spinach thylakoids', 'repaired ),', 'ps ii', 'probably centres', 'photosystem ii', 'lhca polypeptides', 'lhc proteins', 'inner parts', 'harvesting chlorophyll', 'grana margins', 'grana margin', 'grana core', 'full complement', 'extreme stroma', 'centres located']</t>
  </si>
  <si>
    <t>Grana | Grana margin | Heterogeneity | Light-harvesting chlorophyll a/b-binding protein I | Light-harvesting chlorophyll a/b-binding protein II | Stroma exposed thylakoid</t>
  </si>
  <si>
    <t>Spinach thylakoids were separated into grana core, grana margin, and two different stromal lamella fractions in the absence of detergents. The levels of all light-harvesting chlorophyll a/b-binding (LHC) proteins were determined in all fractions, and were normalised to the amount of Photosystem I (PS I) and Photosystem II (PS II) centres. PS IŒ≤ in the stroma lamellae was found to have a full complement of Lhca polypeptides and, probably, one attached LHC II trimer. PS IŒ± binds additional LHC II trimers, but PS I centres located in the inner parts of the grana stack lack Lhcal and are depleted in Lhca4. PS IIŒ≤, found in grana margins and stroma lamellae, seems to associate one monomer each of Lhcb4, Lhcb5 and Lhcb6 (CP29, CP26 and CP24, respectively) and one LHC II trimer consisting of two Lhcb1 and one Lhcb3 subunit. PS IIŒ± has additional LHC II trimers (consisting of Lhcb1 and Lhcb2) attached. We also find evidence for the existence of both PS I and PS II centres in the extreme stroma (probably centres being synthesised or repaired), that lack all LHC proteins.</t>
  </si>
  <si>
    <t>297-309</t>
  </si>
  <si>
    <t>60031040;60029170;60031040;60031040;60029170</t>
  </si>
  <si>
    <t>26643215000;6604083232;6602503796;7005371473;7005280402</t>
  </si>
  <si>
    <t>Jansson, Stefan;Stef√°nsson, Hreinn;Nystr√∂m, Ulrika;Gustafsson, Petter;Albertsson, Per √Öke</t>
  </si>
  <si>
    <t>Umea;Lund</t>
  </si>
  <si>
    <t>Ume√• Universitet;Lunds Universitet</t>
  </si>
  <si>
    <t>60031040;60029170</t>
  </si>
  <si>
    <t>Jansson S.</t>
  </si>
  <si>
    <t>Antenna protein composition of PS I and PS II in thylakoid sub-domains</t>
  </si>
  <si>
    <t>S0005272897000339</t>
  </si>
  <si>
    <t>10.1016/S0005-2728(97)00033-9</t>
  </si>
  <si>
    <t>2-s2.0-0342601367</t>
  </si>
  <si>
    <t>['stroma lamellae', 'smaller photosystem', 'relative increase', 'relative amount', 'phase systems', 'partial unstacking', 'overall decrease', 'green alga', 'dunaliella salina', 'cultures grown', 'combined effect', 'centers found', 'aqueous two', 'approximately 25', 'antenna size']</t>
  </si>
  <si>
    <t>Aqueous two-phase partitioning (Dunaliella salina) | Membrane domain | Photosystem | Protein phosphorylation | Thylakoid membrane organization</t>
  </si>
  <si>
    <t>Thylakoids from the green alga, Dunaliella salina, were fragmented by sonication and the appressed grasna membranes separated from stroma lamellae by partitioning in aqueous two-phase systems. The concentration and antenna size of Photosystem I in the two membrane domains were determined for cultures grown at three different light intensities. Although the antenna size of both PS is decreased with increasing growth irradiance, the antenna size of Photosystem I in the grana was approximately 25-30% greater than the antenna size of Photosystem I in the stroma lamellae. Counter-current distribution analysis of sonicated thylakoids revealed that the amount of stroma lamellae increased whereas the amount of the stacked membranes decreased at higher growth irradiance. The overall decrease in the antenna size of PS I, in D. salina, at higher light intensities can therefore be explained by the combined effect of a decrease in the antenna size of Photosystem I, both in the grana and the stroma lamellae, and a relative increase in the amount of stroma lamellae which has smaller Photosystem I antennae than the Photosystem I centers found in the grana. Light-induced protein phosphorylation increased the relative amount of the stroma lamella fraction. This is interpreted as a result of partial unstacking of the grana. It is suggested that this may be a mechanism for increasing the cyclic electron transport around Photosystem I.</t>
  </si>
  <si>
    <t>235-246</t>
  </si>
  <si>
    <t>60029170;60029170;60029170;60029170</t>
  </si>
  <si>
    <t>6604083232;6603595300;6701762968;7005280402</t>
  </si>
  <si>
    <t>Stef√°nsson, Hreinn;Andreasson, Eva;Weibull, Claes;Albertsson, Per √Öke</t>
  </si>
  <si>
    <t>Stef√°nsson H.</t>
  </si>
  <si>
    <t>Fractionation of the thylakoid membrane from Dunaliella salina - Heterogeneity is found in Photosystem I over a broad range of growth irradiance</t>
  </si>
  <si>
    <t>S000527289700025X</t>
  </si>
  <si>
    <t>10.1016/S0005-2728(97)00025-X</t>
  </si>
  <si>
    <t>2-s2.0-0343051788</t>
  </si>
  <si>
    <t>['vitro reconstitution', 'using lhca1', 'two subunits', 'tomato leaves', 'spectroscopic properties', 'reconstitution results', 'reconstituted lhca1', 'protein ratios', 'pigment composition', 'photosystem ii', 'native lhci', 'monomeric pigment', 'monomeric complexes', 'lhca4 individually', 'lhca4 alone', 'highly specific', 'higher averages', 'harvesting protein', 'harvesting complexes', 'escherichia coli', 'either lhca1', 'dimeric complex', 'complexes obtained', 'comparative fluorescence', 'closely resembles', 'chlorophyll b', 'b ratios', 'also recruitment', 'additional pigments', '730 dimer']</t>
  </si>
  <si>
    <t>Here we describe the in vitro reconstitution of photosystem I light- harvesting complexes with pigments and proteins (Lhca1 and Lhca4) obtained by overexpression of tomato Lhca genes in Escherichia coli. Using Lhca1 and Lhca4 individually for reconstitution results in monomeric pigment-proteins, whereas a combination thereof yields a dimeric complex. Interactions of the apoproteins is highly specific, as reconstitution of either of the two constituent proteins in combination with a light-harvesting protein of photosystem II does not result in dimerization. The reconstituted Lhca1/4, but not complexes obtained with either Lhca1 or Lhca4 alone, closely resembles the native LHCI-730 dimer from tomato leaves with regard to spectroscopic properties, pigment composition, and stoichiometry. Monomeric complexes of Lhca1 or Lhca4 possess lower pigment/protein ratios, indicating that interactions of the two subunits not only facilitates pigment reorganization but also recruitment of additional pigments. In addition to higher averages of chlorophyll a/b ratios in monomeric complexes than in LHCI-730, comparative fluorescence and CD spectra demonstrate that heterodimerization involves preferential ligation of more chlorophyll b.</t>
  </si>
  <si>
    <t>7667-7672</t>
  </si>
  <si>
    <t>Proceedings of the National Academy of Sciences of the United States of America</t>
  </si>
  <si>
    <t>60029747;60029747;60029747;60029747</t>
  </si>
  <si>
    <t>16408768300;7801496957;6603911482;16182020700</t>
  </si>
  <si>
    <t>Schmid, Volkmar H.R.;Cammarata, Kirk V.;Bruns, Brigitte U.;Schmidt, Gregory W.</t>
  </si>
  <si>
    <t>University of Georgia</t>
  </si>
  <si>
    <t>Schmid V.</t>
  </si>
  <si>
    <t>In vitro reconstitution of the photosystem I light-harvesting complex LHCI-730: Heterodimerization is required for antenna pigment organization</t>
  </si>
  <si>
    <t>10.1073/pnas.94.14.7667</t>
  </si>
  <si>
    <t>2-s2.0-0030740474</t>
  </si>
  <si>
    <t>['¬© 1997', 'trapped electrons', 'time retarding', 'quantized jumps', 'potential analyzer', 'partially propagating', 'magnitude changes', 'half wavelengths', 'energetic wave', 'directly measured', 'current correlates']</t>
  </si>
  <si>
    <t>Energetic wave-trapped electrons of ‚àº20 eV, moving at the 13.56 MHz helicon wave phase velocity, are directly measured with a 3 ns response-time retarding-potential analyzer. The rf axial wavelength is measured with B-dot probes scanned axially. Changes in the axial magnetic field or the rf power cause order of magnitude changes in the energetic electron current. The current correlates with either a transition from partially propagating to nearly pure standing waves or quantized jumps in the number of half wavelengths between the two azimuthal antenna straps. ¬© 1997 The American Physical Society.</t>
  </si>
  <si>
    <t>60026175;60026175;60026175</t>
  </si>
  <si>
    <t>7004032243;6603888153;7004959174</t>
  </si>
  <si>
    <t>Molvik, A. W.;Ellingboe, A. R.;Rognlien, T. D.</t>
  </si>
  <si>
    <t>Molvik A.</t>
  </si>
  <si>
    <t>Hot-electron production and wave structure in a helicon plasma source</t>
  </si>
  <si>
    <t>10.1103/PhysRevLett.79.233</t>
  </si>
  <si>
    <t>2-s2.0-6244285178</t>
  </si>
  <si>
    <t>['vinylnaphthalene copolymers', 'thf solutions', 'quantum efficiency', 'provitamin d3', 'previtamin formation', 'photosensitized isomerization', 'excimer formation', 'energy migration', 'acenaphthalene ).']</t>
  </si>
  <si>
    <t>Energy transfer | Excimers | Isomerization | Photocatalysts | Polymeric photosensitizers | Vitamin d 3</t>
  </si>
  <si>
    <t>The photosensitized isomerization of provitamin D3 was studied in THF solutions of styrene-2-vinylnaphthalene copolymers, poly (2-vinylnaphthalene), poly(2-isopropenylnaphthalene) and poly(acenaphthalene). The effect of efficiency of excimer formation and energy migration on the quantum efficiency of previtamin formation was demonstrated. ¬© 1997 Elsevier Science S.A.</t>
  </si>
  <si>
    <t>189-194</t>
  </si>
  <si>
    <t>60016849-60021361;60016849</t>
  </si>
  <si>
    <t>7004369519;7102379256</t>
  </si>
  <si>
    <t>Nowakowska, Maria;Guillet, James E.</t>
  </si>
  <si>
    <t>Studies of the antenna effect in polymer molecules 29. Isomerization of provitamin D&lt;inf&gt;3&lt;/inf&gt; photosensitized by polymers containing pendant naphthalene groups</t>
  </si>
  <si>
    <t>S1010603096045868</t>
  </si>
  <si>
    <t>10.1016/S1010-6030(96)04586-8</t>
  </si>
  <si>
    <t>2-s2.0-0031571010</t>
  </si>
  <si>
    <t>['rectangular cavity', 'offset frequency', 'carrier frequency']</t>
  </si>
  <si>
    <t>Microstrip antennas | Patch antennas</t>
  </si>
  <si>
    <t>A rectangular cavity-backed active microstrip patch antenna has been investigated. Experimental results show that 25dB oscillator noise reduction can be achieved for the active patch antenna at a carrier frequency of 4.1GHz and an offset frequency of 8kHz by using a rectangular cavity.</t>
  </si>
  <si>
    <t>1276-1277</t>
  </si>
  <si>
    <t>60019702;60029738;60019702;60029738</t>
  </si>
  <si>
    <t>7202029016;56097096400;57213425197;7102894931</t>
  </si>
  <si>
    <t>Zheng, M.;Chen, Q.;Hall, P. S.;Fusco, V. F.</t>
  </si>
  <si>
    <t>Belfast;Birmingham</t>
  </si>
  <si>
    <t>Queen's University Belfast;University of Birmingham</t>
  </si>
  <si>
    <t>60029738;60019702</t>
  </si>
  <si>
    <t>Zheng M.</t>
  </si>
  <si>
    <t>Oscillator noise reduction in cavity-backed active microstrip patch antenna</t>
  </si>
  <si>
    <t>10.1049/el:19970893</t>
  </si>
  <si>
    <t>2-s2.0-0031187510</t>
  </si>
  <si>
    <t>['using subgrids', 'stable scheme', 'simple interpolation', 'problem domain', 'new scheme', 'many problems', 'large amount', 'grid discontinuity', 'fine grids', 'fields within', 'equivalent circuit', 'cutoff wavelength', 'computer memory', 'authors present']</t>
  </si>
  <si>
    <t>Antenna arrays | Finite difference methods</t>
  </si>
  <si>
    <t>The finite difference time domain (FDTD) method gives accurate results for many problems but uses a large amount of computer memory and time. This can be reduced by using subgrids (fine grids) only around critical areas in the problem domain. The fields within the coarse and fine grids are found using standard FDTD equations, while at the boundary of the subgrid, interpolation of coarse grid fields is utilised. However, a simple interpolation as reported in literature exhibits late time instability. The authors present a stable scheme of updating the subgrid boundary fields by replacing the grid discontinuity with an equivalent circuit. The stability and accuracy of this new scheme is demonstrated through calculation of the cutoff wavelength of a dielectric slab loaded waveguide for various slab thicknesses.</t>
  </si>
  <si>
    <t>1277-1278</t>
  </si>
  <si>
    <t>60020650;60020650</t>
  </si>
  <si>
    <t>57197664275;35516118400</t>
  </si>
  <si>
    <t>Krishnaiah, K. M.;Railton, C. J.</t>
  </si>
  <si>
    <t>Bristol</t>
  </si>
  <si>
    <t>University of Bristol</t>
  </si>
  <si>
    <t>Krishnaiah K.</t>
  </si>
  <si>
    <t>Passive equivalent circuit of FDTD: An application to subgridding</t>
  </si>
  <si>
    <t>10.1049/el:19970862</t>
  </si>
  <si>
    <t>2-s2.0-0031188502</t>
  </si>
  <si>
    <t>['‚ àº1', 'uses high', 'transmission coefficient', 'tc superconductive', 'receiver switch', 'r switch', 'operating principle', 'normal conducting', 'new microwave', 'film elements', 'fast switching', 'band width', '10 ghz']</t>
  </si>
  <si>
    <t>Superconducting switches | Switches</t>
  </si>
  <si>
    <t>A new microwave (10 GHz) transmitter-receiver switch (T/R switch) which uses high-Tc superconductive (HTS) film elements is presented. Its operating principle is based on the fast switching of the film from the superconducting (S) state to the normal conducting (N) state under microwave (MW) pulses. In the 20% band width, the device demonstrates decoupling of &gt;30dB between transmitter and receiver at 100 W pulse power. The transmission coefficient between transmitter and antenna is ‚àº1.5dB and between antenna and receiver is &lt; 1dB.</t>
  </si>
  <si>
    <t>1344-1345</t>
  </si>
  <si>
    <t>60010355;60010355;60010355;60010355;60010355;60010355</t>
  </si>
  <si>
    <t>7005803318;6603446586;6701836473;6603076466;7004394210;7202329288</t>
  </si>
  <si>
    <t>Kozyrev, A. B.;Osadchy, V. N.;Gaidukov, M. M.;Holmann, E. K.;Razumov, S.;Pavlov, A. S.</t>
  </si>
  <si>
    <t>Saint Petersburg</t>
  </si>
  <si>
    <t>Sankt-Peterburgskij Gosudarstvennyj Elektrotehniceskij Universitet</t>
  </si>
  <si>
    <t>Kozyrev A.</t>
  </si>
  <si>
    <t>Fast high-T&lt;inf&gt;c&lt;/inf&gt; superconductor transmitter-receiver switch</t>
  </si>
  <si>
    <t>10.1049/el:19970889</t>
  </si>
  <si>
    <t>2-s2.0-0031190547</t>
  </si>
  <si>
    <t>['significantly reduces', 'polarised fields', 'polar levels', 'bandwidth comparable']</t>
  </si>
  <si>
    <t>A novel shorted patch configuration is presented that significantly reduces the cross-polarised fields generated. The cross-polarised fields have been measured at more than 20dB below the co-polar levels. The new balanced shorted patch is approximately a quarter-wavelength in size and has a bandwidth comparable to a conventional microstrip patch antenna.</t>
  </si>
  <si>
    <t>1280-1281</t>
  </si>
  <si>
    <t>Waterhouse, R. B.</t>
  </si>
  <si>
    <t>RMIT University</t>
  </si>
  <si>
    <t>Waterhouse R.B.</t>
  </si>
  <si>
    <t>Small printed antennas with low cross-polarised fields</t>
  </si>
  <si>
    <t>10.1049/el:19970873</t>
  </si>
  <si>
    <t>2-s2.0-0031191970</t>
  </si>
  <si>
    <t>['investigated experimentally', 'coplanar waveguide', 'axial ratio']</t>
  </si>
  <si>
    <t>Coplanar waveguides | Patch antennas</t>
  </si>
  <si>
    <t>A circularly polarised patch antenna, fed by a coplanar waveguide, is investigated experimentally. The antenna is excited by a couple of 100Œ© slotlines which are combined to obtain a 50Œ© coplanar waveguide. The axial ratio and the bandwidth of the antenna are similar to those obtained with other types of feeding.</t>
  </si>
  <si>
    <t>1321-1323</t>
  </si>
  <si>
    <t>6603088639;6602159125;7003360986</t>
  </si>
  <si>
    <t>Turki, Y.;Migliaccio, C.;Laheurte, J. M.</t>
  </si>
  <si>
    <t>Turki Y.</t>
  </si>
  <si>
    <t>Circularly polarised square patch antenna fed by coplanar waveguide</t>
  </si>
  <si>
    <t>10.1049/el:19970868</t>
  </si>
  <si>
    <t>2-s2.0-0031193051</t>
  </si>
  <si>
    <t>['two photosystems', 'synthetic peptide', 'structural protein', 'results show', 'results indicate', 'protein interactions', 'phosphorylated thr', 'phosphorylated structures', 'native full', 'n terminus', 'length protein', 'important role', 'identical sequence', 'harvesting antenna', 'exposed domains', 'binding complex', 'abundant chlorophyll', 'absorbed energy']</t>
  </si>
  <si>
    <t>The most abundant chlorophyll-binding complex in plants is the intrinsic membrane protein light-harvesting complex II (LHC II). LHC II acts as a light-harvesting antenna and has an important role in the distribution of absorbed energy between the two photosystems of photosynthesis. We used spectroscopic techniques to study a synthetic peptide with identical sequence to the LHC IIb N terminus found in pea, with and without the phosphorylated Thr at the 5th amino acid residue, and to study both forms of the native full-length protein. Our results show that the N terminus of LHC II changes structure upon phosphorylation and that the structural change resembles that of rabbit glycogen phosphorylase, one of the few phosphoproteins where both phosphorylated and non-phosphorylated structures have been solved. Our results indicate that phosphorylation of membrane proteins may regulate their function through structural protein-protein interactions in surface-exposed domains.</t>
  </si>
  <si>
    <t>18350-18357</t>
  </si>
  <si>
    <t>Journal of Biological Chemistry</t>
  </si>
  <si>
    <t>60029170;60029170-60027611;60029170;60029170-60027611;60029170;60029170-60030921</t>
  </si>
  <si>
    <t>57205907334;6701484056;7006255657;57225249921;7004619108;7406421287</t>
  </si>
  <si>
    <t>Nilsson, Anders;Stys, Dalibor;Drakenberg, Torbj√∂rn;Spangfort, Michael D.;Fors√©n, Sture;Allen, John F.</t>
  </si>
  <si>
    <t>Denmark;Sweden;Czech Republic</t>
  </si>
  <si>
    <t>Horsholm;Lund;Prague</t>
  </si>
  <si>
    <t>ALK-Abell√≥ AS;Lunds Universitet;Institute of Microbiology of the Academy of Sciences of the Czech Republic</t>
  </si>
  <si>
    <t>60030921;60029170;60027611</t>
  </si>
  <si>
    <t>Nilsson A.</t>
  </si>
  <si>
    <t>Phosphorylation controls the three-dimensional structure of plant light harvesting complex II</t>
  </si>
  <si>
    <t>10.1074/jbc.272.29.18350</t>
  </si>
  <si>
    <t>2-s2.0-0030794462</t>
  </si>
  <si>
    <t>['‚ äô', 'velocity field', 'tail structure', 'system points', 'surrounding gas', 'simulation suggests', 'rosette nebula', 'region close', 'rdi simulation', 'pronounced broadening', 'physical structure', 'northern end', 'narrow rim', 'narrow ridge', 'major axis', 'like condensation', 'lies close', 'iras 06314', 'high opacities', 'globule 1', 'developed head', 'cometary globules', 'column densities', 'co lines', 'co j', 'c18o j', '5 km', '4 pc', '4 km', '20 degrees', '13co j', '1 compared', '1 along', '0427 show', '0427 );']</t>
  </si>
  <si>
    <t>ISM: molecules | ISM: Rosette nebula | Radio lines: ISM | Shocks | Stars: formation</t>
  </si>
  <si>
    <t>Molecular line observations are reported of two regions containing small cometary globules at the edge of the Rosette Nebula. Observations of the CO, 13CO and C18O J = 2 - 1, and CO J = 4 - 3 molecular lines towards Globule 1, the most prominent of the group, show it has a well-developed head-tail structure, with a head diameter ‚àº 0.4 pc, and a tail extending ‚àº 1.3 pc behind it. The major axis of the system points about 45 degrees away from the direction to the centre of the Rosette Nebula (which contains the [presumed] illuminating stars), and 20 degrees out of the plane of the sky, along a projected line towards the luminous (924 L‚äô ) infrared source IRAS 06314+0427. The CO lines have a complex velocity structure; with a pronounced broadening at the front of the head (as viewed from IRAS 06314+0427); a velocity gradient ‚àº 1.4 km s-1 along the tail, and material at the front of the head is blue-shifted by ‚àº 0.5 km s-1 compared to surrounding gas. The CO J = 2 - 1 line intensity peaks towards the front of the head, and along the edges of the tail. The 13CO J = 2 - 1 antenna temperatures in the head are very similar to those of CO, suggesting very high opacities or column densities, or that there is significant CO self-absorption. There is a narrow rim of CO J = 4 - 3 emission around the front of the head over a limited velocity range, which correlates with the position of a faint optical rim, and a narrow ridge of 2 Œºm H2 emission. These data give strong support to the Radiation Driven Implosion (RDI) model of Lefloch and Lazareff (1994 - hereafter LL94), which was developed to explain the physical structure of cometary globules. Using an RDI simulation, a remarkably good fit to the data has been obtained, allowing the CO, 13CO and C18O spatial structures and velocity field to be modelled. This simulation suggests that Globule 1 is ‚àº 400,000 years old, and has a mass ‚àº 50 M‚äô. Additional observations towards the region close to IRAS 06314+0427 show that it is associated with an intense molecular concentration lying at the northern end of a ‚àº 5 pc long molecular ridge, with a mass ‚àº 330 M‚äô, and lies close to the centre of a shell-like condensation.</t>
  </si>
  <si>
    <t>931-942</t>
  </si>
  <si>
    <t>60022109;60001753;60031159;60019537;60022109;60022109;60001850</t>
  </si>
  <si>
    <t>7403458984;55917808700;6603922338;57204341909;7006462709;6602636583;6507244725</t>
  </si>
  <si>
    <t>White, Glenn J.;Lefloch, B.;Fridlund, C. V.M.;Aspin, C. A.;Dahmen, G.;Minchin, N. R.;Huldtgren, M.</t>
  </si>
  <si>
    <t>Netherlands;United Kingdom;United States;Sweden;France</t>
  </si>
  <si>
    <t>Noordwijk aan Zee;London;Honolulu;Stockholm;Saint Martin d'Heres</t>
  </si>
  <si>
    <t>ESTEC - European Space Research and Technology Centre;Queen Mary University of London;University Hawaii Institute for Astronomy;Stockholm Observatory;IRAM Institut de RadioAstronomie Millim√©trique</t>
  </si>
  <si>
    <t>60031159;60022109;60019537;60001850;60001753</t>
  </si>
  <si>
    <t>White G.J.</t>
  </si>
  <si>
    <t>An observational study of cometary globules near the Rosette nebula</t>
  </si>
  <si>
    <t>2-s2.0-0008543667</t>
  </si>
  <si>
    <t>['upstream region', 'upstream elements', 'type expression', 'two genes', 'third segment', 'specific expression', 'salivary glands', 'results suggest', 'regulatory regions', 'regulatory elements', 'melanogaster embryos', 'maxillary palps', 'little similarity', 'lacz construct', 'give rise', 'expression patterns', 'expression pattern', 'expression directed', 'esterase 5b', 'drosophila melanogaster', 'different organization', 'corresponding cis', 'comparative study', 'common sites']</t>
  </si>
  <si>
    <t>The regulatory regions of homologous genes encoding esterase 6 (Est-6) of Drosophila melanogaster and esterase 5B (Est-5B) of Drosophila pseudoobscura show very little similarity. We have undertaken a comparative study of the pattern of expression directed by the Est-5B and Est-6 5'- flanking DNA to attempt to reveal conserved elements regulating tissue- specific expression in adults. Esterase regulatory sequences were linked to a lacZ reporter gene and transformed into D. melanogaster embryos. Est-5B, 5' upstream elements, give rise to a Œ≤-galactosidase expression pattern that coincides with the wild-type expression of Est-5B in D. pseudoobscura. The expression patterns of the Est-5B/lacZ construct are different from those of a fusion gene containing the upstream region of Est-6. Common sites of expression for both kinds of constructs are the third segment of antenna, the maxillary palps, and salivary glands. In vitro deletion mutagenesis has shown that the two genes have a different organization of regulatory elements controlling expression in both the third segment of antenna and maxillary palps. The results suggest that the conservation of the expression pattern in genes that evolved from a common ancestor may not be accompanied by preservation of the corresponding cis-regulatory elements.</t>
  </si>
  <si>
    <t>7735-7741</t>
  </si>
  <si>
    <t>60013227;60029278;60026415</t>
  </si>
  <si>
    <t>14525946500;16186056600;7102805457</t>
  </si>
  <si>
    <t>Tamarina, Natalia A.;Ludwig, Michael Z.;Richmond, Rollin C.</t>
  </si>
  <si>
    <t>Chicago;Stony Brook;Chicago</t>
  </si>
  <si>
    <t>The University of Chicago;Stony Brook University;Northwestern University Feinberg School of Medicine</t>
  </si>
  <si>
    <t>60029278;60026415;60013227</t>
  </si>
  <si>
    <t>Tamarina N.</t>
  </si>
  <si>
    <t>Divergent and conserved features in the spatial expression of the Drosophila pseudoobscura esterase-5B gene and the esterase-6 gene of Drosophila melanogaster</t>
  </si>
  <si>
    <t>10.1073/pnas.94.15.7735</t>
  </si>
  <si>
    <t>2-s2.0-0030808375</t>
  </si>
  <si>
    <t>R01GM036598</t>
  </si>
  <si>
    <t>['wild type', 'whose amplitude', 'time scale', 'strains display', 'single light', 'rhodobacter capsulatus', 'relatively insensitive', 'reaction center', 'qy bleach', 'primary electron', 'pet ),', 'multipicosecond nonexponentiality', 'monomeric bchl', 'lived component', 'limiting step', 'inactive sides', 'harvesting system', 'excited bacteriochlorophyll', 'dramatically perturbed', 'decay kinetics', '65 ps']</t>
  </si>
  <si>
    <t>The decay of the excited primary electron donor P* in bacterial photosynthetic reaction centers (both membrane-bound and detergent-isolated) has been observed to be nonexponential on a time scale of some tens of picoseconds. Although the multipicosecond nonexponentiality of P* has been ascribed to heterogeneity in the rate of primary electron transfer (PET), the decay kinetics can be interpreted equally well using homogeneous models. To address this ambiguity, we studied the decay of excited bacteriochlorophyll (Bchl) in the membrane-bound core antenna/reaction center complexes of wild- type and mutant reaction center strains of Rhodobacter capsulatus. Reaction centers isolated from these same strains display a range of multiexponentiality in primary charge separation. The mutant strains carry substitutions of amino acids residing near the monomeric Bchl on the active and/or inactive sides of the reaction center. Transient absorption measurements monitoring the Qy bleach of antenna Bchls require at least two exponential components to fit all decays. The wild type was fitted with equal-amplitude components whose lifetimes are 24 and 65 ps. The shortest- lived component is relatively insensitive to mutation, in contrast to the longer-lived component(s) whose amplitude and magnitude were dramatically perturbed by amino acid substitutions. Unlike the situation with isolated reaction centers, here the only kinetic models consistent with the data are those in which the primary electron-transfer rate constant is heterogeneous, suggesting at least two structural populations of RCs. PET in the population with the shortest-lived antenna decay causes the kinetics to be transfer-to- trap-limited, whereas the kinetics in the other population(s)-having longer- lived antenna decays-are limited by the rate of PET. Observation of both types of kinetic limitation within a single light-harvesting system is unexpected and complicates any discussion of the rate-limiting step of light energy utilization in photosynthesis.</t>
  </si>
  <si>
    <t>8677-8685</t>
  </si>
  <si>
    <t>60028609;60028609;60028609-60007363;60028609;60028609-60024609</t>
  </si>
  <si>
    <t>6701722644;7203067522;7005602540;7201616252;35617633700</t>
  </si>
  <si>
    <t>Laible, Philip D.;Greenfield, Scott R.;Wasielewski, Michael R.;Hanson, Deborah K.;Pearlstein, Robert M.</t>
  </si>
  <si>
    <t>Lemont;Indianapolis;Evanston</t>
  </si>
  <si>
    <t>Argonne National Laboratory;Indiana University-Purdue University Indianapolis;Northwestern University</t>
  </si>
  <si>
    <t>60028609;60024609;60007363</t>
  </si>
  <si>
    <t>Laible P.</t>
  </si>
  <si>
    <t>Antenna excited state decay kinetics establish primary electron transfer in reaction centers as heterogeneous</t>
  </si>
  <si>
    <t>10.1021/bi970672a</t>
  </si>
  <si>
    <t>2-s2.0-0030859058</t>
  </si>
  <si>
    <t>['vertebrate hoxa2', 'transgenic hsp70', 'point mutations', 'phenotypic reversion', 'pb function', 'maxillary palps', 'hspb transformation', 'homeotic function', 'homeodomain reduce', 'functional specificity', 'elements throughout', 'dominant transformation', 'detectable phenotypes', 'contribute quantitatively', 'conserved motifs', 'b2 required', 'abolish pb']</t>
  </si>
  <si>
    <t>The Drosophila homeotic gene proboscipedia (pb) encodes a homeodomain protein homologous to vertebrate HoxA2/B2 required for adult mouthparts formation. A transgenic Hsp70-pb (HSPB) element that rescues pb mutations also induces the dominant transformation of antennae to maxillary palps. To identify sequences essential to PB protein function, we screened for EMS- induced HSPB mutations leading to phenotypic reversion of the HSPB transformation. Ten revertants harbor identified point mutations in HSPB coding sequences. The point mutations that remove all detectable phenotypes in vivo reside either within the homeodomain or, more unexpectedly, in evolutionarily nonconserved regions outside the homeodomain. Two independent homeodomain mutations that change the highly conserved Arginine-5 in the N- terminal hinge show effects on adult eye development, suggesting a previously unsuspected role for Arg5 in functional specificity. Three additional revertant mutations outside the homeodomain reduce but do not abolish PB+ activity, identifying protein elements that contribute quantitatively to pb function. This in vivo analysis shows that apart from the conserved motifs of PB, other elements throughout the protein make important contributions to homeotic function.</t>
  </si>
  <si>
    <t>Genetics</t>
  </si>
  <si>
    <t>60008134;60008134;60031581;60008134</t>
  </si>
  <si>
    <t>7005992100;6602660857;6603548496;7007006710</t>
  </si>
  <si>
    <t>Benassayag, Corinne;Boube, Muriel;Seroude, Laurent;Cribbs, David L.</t>
  </si>
  <si>
    <t>Pasadena;Paris</t>
  </si>
  <si>
    <t>California Institute of Technology;CNRS Centre National de la Recherche Scientifique</t>
  </si>
  <si>
    <t>60031581;60008134</t>
  </si>
  <si>
    <t>Point mutations within and outside the homeodomain identify sequences required for proboscipedia homeotic function in Drosophila</t>
  </si>
  <si>
    <t>2-s2.0-0030815987</t>
  </si>
  <si>
    <t>['steering array', 'new architecture', 'experimental performance', 'compact self']</t>
  </si>
  <si>
    <t>Antenna arrays | Microstrip antenna arrays</t>
  </si>
  <si>
    <t>A new architecture for the Van Atta self-steering array is presented. Active antenna techniques are used to realise a compact self-steering array with enhanced retrodirective properties. The experimental performance of the array is demonstrated and a technique is described which compensates for the beam pointing error induced by antenna array element directivity.</t>
  </si>
  <si>
    <t>1350-1351</t>
  </si>
  <si>
    <t>Frequency offset retrodirective antenna array</t>
  </si>
  <si>
    <t>10.1049/el:19970930</t>
  </si>
  <si>
    <t>2-s2.0-0031191152</t>
  </si>
  <si>
    <t>['strain could', 'sos response', 'previous study', 'photosynthetic organisms', 'photosynthetic apparatus', 'photooxidative stress', 'photooxidative damage', 'partially restored', 'less strains', 'less mutants', 'illegitimate recombination', 'high frequency', 'gelatinosus crtb', 'fourth class', 'four classes', 'first class', 'different conditions', 'deficient mutants', 'crtb gene', 'carotenoid biosynthesis', 'biological role']</t>
  </si>
  <si>
    <t>Carotenoid genes | Illegitimate recombination | Photooxidative stress | Photosynthesis | Purple bacteria</t>
  </si>
  <si>
    <t>Carotenoids are essential to protection against photooxidative damage in photosynthetic and non-photosynthetic organisms. In a previous study, we reported the disruption of crtD and crtC carotenoid genes in the purple bacterium Rubrivivax gelatinosus, resulting in mutants that synthesized carotenoid intermediates. Here, carotenoid-less mutants have been constructed by disruption of the crtB gene. To study the biological role of carotenoids in photoprotection, the wild-type and the three carotenoid mutants were grown under different conditions. When exposed to photooxidative stress, only the carotenoid-less strains (crtB-) gave rise with a high frequency to four classes of mutants. In the first class, carotenoid biosynthesis was partially restored. The second class corresponded to photosynthetic-deficient mutants. The third class corresponded to mutants in which the LHI antenna level was decreased. In the fourth class, synthesis of the photosynthetic apparatus was inhibited only in aerobiosis. Molecular analyses indicated that the oxidative stress induced mutations and illegitimate recombination. Illegitimate recombination events produced either functional or non-functional chimeric genes. The R.gelatinosus crtB- strain could be very useful for studies of the SOS response and of illegitimate recombination induced by oxidants in bacteria.</t>
  </si>
  <si>
    <t>4777-4787</t>
  </si>
  <si>
    <t>EMBO Journal</t>
  </si>
  <si>
    <t>60072948;60072948;60072948;60072948</t>
  </si>
  <si>
    <t>6603251739;6601992047;6603777550;7003931548</t>
  </si>
  <si>
    <t>Ouchane, Soufian;Picaud, Martine;Vernotte, Claudie;Astier, Chantal</t>
  </si>
  <si>
    <t>Gif-sur-Yvette</t>
  </si>
  <si>
    <t>Centre de G√©n√©tique Mol√©culaire</t>
  </si>
  <si>
    <t>Ouchane S.</t>
  </si>
  <si>
    <t>Photooxidative stress stimulates illegitimate recombination and mutability in carotenoid-less mutants of Rubrivivax gelatinosus</t>
  </si>
  <si>
    <t>10.1093/emboj/16.15.4777</t>
  </si>
  <si>
    <t>2-s2.0-0030800952</t>
  </si>
  <si>
    <t>['wide range', 'technology development', 'technical content', 'rf circuits', 'millimetric frequencies', 'innovative research', 'ideal forum', 'event offered', 'electronic warfare', 'diverse range', 'conference theme', 'companies working', 'commercial products', 'commercial markets', 'cellular handsets']</t>
  </si>
  <si>
    <t>The Microwaves and RF 97 event provided an ideal forum for individuals and companies working in the RF, microwave, and millimeter wave frequency ranges, to hear about the latest technology developments and view a wide range of commercial products. The conference theme is the application of innovative research and technology development at radio, microwave, and millimetric frequencies to military and commercial markets. The event offered a technical content which covers a diverse range of topics including advanced technology in electronic warfare, RF circuits for cellular handsets, multimedia satellite systems, and silicon for RF and microwave mobile communications.</t>
  </si>
  <si>
    <t>51-52, 55</t>
  </si>
  <si>
    <t>Perkins, Matt</t>
  </si>
  <si>
    <t>Shipley</t>
  </si>
  <si>
    <t>Filtronic Comtek</t>
  </si>
  <si>
    <t>Perkins M.</t>
  </si>
  <si>
    <t>Microwaves and RF 97 - a technical preview</t>
  </si>
  <si>
    <t>2-s2.0-0031197413</t>
  </si>
  <si>
    <t>JFBI94-222/J4C942220</t>
  </si>
  <si>
    <t>['thinned arrays', 'radar targets', 'proven useful', 'potential user', 'paper presents', 'natural selection', 'key references', 'graphical presentation', 'genetic algorithms', 'facilitate understanding', 'extensive use', 'electromagnetic optimization', 'electromagnetic community', 'comprehensive list', 'broad class', 'array sidelobes', 'application category', 'also provided', 'algorithm optimization']</t>
  </si>
  <si>
    <t>Absorbing media | Antenna arrays | Array synthesis | Genetic algorithms | Microstrip antennas | Natural modes | Radar target identification</t>
  </si>
  <si>
    <t>This paper presents a tutorial and overview of genetic algorithms for electromagnetic optimization. Genetic-algorithm (GA) optimizers are robust, stochastic search methods modeled on the concepts of natural selection and evolution. The relationship between traditional optimization techniques and the GA is discussed. Step-by-step implementation aspects of the GA are detailed, through an example with the objective of providing useful guidelines for the potential user. Extensive use is made of sidebars and graphical presentation to facilitate understanding. The tutorial is followed by a discussion of several electromagnetic applications in which the GA has proven useful. The applications discussed include the design of lightweight, broadband microwave absorbers, the reduction of array sidelobes in thinned arrays, the design of shaped-beam antenna arrays, the extraction of natural resonance modes of radar targets from backscattered response data, and the design of broadband patch antennas. Genetic-algorithm optimization is shown to be suitable for optimizing a broad class of problems of interest to the electromagnetic community. A comprehensive list of key references, organized by application category, is also provided.</t>
  </si>
  <si>
    <t>60027550-60007278-60005304-112495723-60011888;60027550-60011373-60000745-60000251-101778099</t>
  </si>
  <si>
    <t>55494664300;7102110120</t>
  </si>
  <si>
    <t>Johnson, J. Michael;Rahmat-Samii, Yahya</t>
  </si>
  <si>
    <t>United States;United States;Denmark;United States;United States;United States;United States;United States;United States</t>
  </si>
  <si>
    <t>Los Angeles;Reno;Lyngby;Irvine;Waltham;Urbana;New York;;</t>
  </si>
  <si>
    <t>University of California, Los Angeles;North Shore Associates;Danmarks Tekniske Universitet;University of California, Irvine;Raytheon;University of Illinois Urbana-Champaign;IEEE;Condor Systems;UCLA's Graduate Council</t>
  </si>
  <si>
    <t>60027550;60011888;60011373;60007278;60005304;60000745;60000251;112495723;101778099</t>
  </si>
  <si>
    <t>Johnson J.</t>
  </si>
  <si>
    <t>Genetic algorithms in engineering electromagnetics</t>
  </si>
  <si>
    <t>10.1109/74.632992</t>
  </si>
  <si>
    <t>2-s2.0-0031197862</t>
  </si>
  <si>
    <t>NAGW-3011</t>
  </si>
  <si>
    <t>['œºcas high', 'western hemisphere', 'volume scattering', 'two days', 'themis regiones', 'theia montes', 'strong correlation', 'ss maps', 'specular reflection', 'spatially reconstructing', 'significant component', 'opposite sense', 'new mexico', 'low emissivity', 'large array', 'important decrease', 'high reflectivity', 'first full', 'find œºc', 'experiment adds', 'enhanced weathering', 'either surface', 'earth longitude', 'diffuse scattering', 'diffuse echo', 'diffuse backscatter', 'devana chasma', 'data show', 'circular polarization', 'beta regio', 'anomalous regions']</t>
  </si>
  <si>
    <t>We present new dual circular-polarization radar maps of the western hemisphere of Venus. The results are from a 1993 experiment imaging Venus with 3.5 cm radar. Continuous-wave right circularly polarized flux was transmitted toward Venus from the 70 m Deep Space Network antenna in Goldstone, California. The echo was received in both the same sense (SS) and the opposite sense (OS) of circular polarization at the Very Large Array in New Mexico. By spatially reconstructing the echo with the interferometer, maps of Venusian radar albedo were made for each of two days of observation in both OS (echo principally due to specular reflection) and SS (diffuse echo) channels. On both days, the sub-earth longitude was near 300 E. The SS maps are dominated by a significant component of diffuse backscatter from the 285 E longitude highlands: Beta, Phoebe, and Themis Regiones. Beta Regio includes radar-anomalous regions with high reflectivity and low emissivity. The nature of these altitude-related electrical properties on Venus is one of the outstanding surface process questions that remain after Magellan. Our experiment adds the first full-disk polarization ratio (Œºc) maps to the discussion. The data show that different geology determines different radar scattering properties within Beta. Diffuse scattering is very important in Beta, and may be due to either surface or volume scattering. We find a strong correlation of the SS albedo œÉSSwith altitudeRp(km) in Beta, œÉSS‚àù 0.3Rp. Also, œÉOS‚àù 0.7Rp. The onset of this relationship is at theRp~ 6054 km planetary radius contour. The nature and morphology of the highland radar anomalies in Beta is consistent with a diffuse scattering mechanism. In Beta Regio we find Œºc&gt; 0.5 in general, with Œºcas high as 0.8 between Rhea and Theia Montes, to the west of Devana Chasma. These values are compatible with measurements of blocky terrestrial lava flows if surface scattering dominates. If volume scattering is important, the high RCP cross-sections may indicate an important decrease in embedded scatterer size with altitude, which could be related to enhanced weathering. ¬© 1997 Academic Press.</t>
  </si>
  <si>
    <t>398-414</t>
  </si>
  <si>
    <t>Icarus</t>
  </si>
  <si>
    <t>60086312;60086312;60086312-60021907;60009037</t>
  </si>
  <si>
    <t>16175139600;7003859294;7202035444;7101725729</t>
  </si>
  <si>
    <t>Haldemann, Albert F.C.C.;Muhleman, Duane O.;Butler, Bryan J.;Slade, Martin A.</t>
  </si>
  <si>
    <t>Pasadena;Socorro;Pasadena</t>
  </si>
  <si>
    <t>Division of Geological and Planetary Sciences;National Radio Astronomy Observatory Socorro;Jet Propulsion Laboratory</t>
  </si>
  <si>
    <t>60086312;60021907;60009037</t>
  </si>
  <si>
    <t>Haldemann A.F.C.C.</t>
  </si>
  <si>
    <t>The western hemisphere of Venus: 3.5 cm dual circular-polarization radar images</t>
  </si>
  <si>
    <t>S0019103597957298</t>
  </si>
  <si>
    <t>10.1006/icar.1997.5729</t>
  </si>
  <si>
    <t>2-s2.0-0031206121</t>
  </si>
  <si>
    <t>['reference direction', 'known position', 'azimuth reading', 'artemis team']</t>
  </si>
  <si>
    <t>Automatic ranging theodite emitting microwave signals (ARTEMIS) with the reference direction in azimuth is obtained by mounting a theodite on the antenna, aiming it at a known position in the field and adjusting the azimuth reading. The success and perseverance of the Artemis team, in spite of all setbacks is discussed. The versatility and applications of Artemis as a dynamic positioning system are presented.</t>
  </si>
  <si>
    <t>20-22</t>
  </si>
  <si>
    <t>Goldbohm, E.</t>
  </si>
  <si>
    <t>Christiaan Huygens Lab</t>
  </si>
  <si>
    <t>Goldbohm E.</t>
  </si>
  <si>
    <t>Artemis: A positioning system</t>
  </si>
  <si>
    <t>10.1109/62.609526</t>
  </si>
  <si>
    <t>2-s2.0-0031207421</t>
  </si>
  <si>
    <t>['unpractical semi', 'travelling wave', 'specific time', 'resulting fields', 'regular practice', 'observation point', 'linear segment', 'fictitious absorber', 'exciting wave']</t>
  </si>
  <si>
    <t>It is difficult to propagate traveling waves along a linear wire segment. As in regular practice, the linear segment can be loaded at the ends with a fictitious absorber of the travelling-wave nonsinusoidal pulse to avoid any reflection. Such an absorber is substituted by an unpractical semi-infinite linear wire. A safe practice involves taking the resulting fields as a characterization of radiation of the travelling wave only in a specific time-interval in which the exciting wave has not been reflected at the ends. This might be the reason why the two representative results of electric intensity obtained agree with each other before the arrival of a signal from the end of the segment to the observation point.</t>
  </si>
  <si>
    <t>IEEE Transactions on Electromagnetic Compatibility</t>
  </si>
  <si>
    <t>60018308;60018308</t>
  </si>
  <si>
    <t>57198493323;7501758768</t>
  </si>
  <si>
    <t>Wang, Gang;Wang, Wen Bing</t>
  </si>
  <si>
    <t>Xi'an</t>
  </si>
  <si>
    <t>Xi'an Jiaotong University</t>
  </si>
  <si>
    <t>Comments on `Transient radiation of travelling waves by wire antennas'</t>
  </si>
  <si>
    <t>10.1109/15.618058</t>
  </si>
  <si>
    <t>2-s2.0-0031207448</t>
  </si>
  <si>
    <t>A performance analysis of a diversity antenna comprising a whip antenna and a planar inverted-F-antenna (PIFA) for portable telephones has been made. Wire-grid analyses yielded radiation efficiency and correlation characteristic results regarding whip lengths, body shapes, inclinations of the body from the vertical, and PIFA positions under various incident wave propagation environments. The results indicated that the maximum radiation efficiency of 0 dB was obtained when the whip antenna length equaled 0.54 of wavelength and that a high radiation efficiency was also provided even for a short whip antenna when the body was a quarter wavelength. Furthermore, the results suggested that small correlation coefficients (less than 0.3) were expected under actual use conditions of portable telephones in which the body inclination exceeded 50 degrees. Further studies demonstrated that a short whip antenna top-loaded with a small cylinder or a helical yielded good diversity performance for small portable telephones.</t>
  </si>
  <si>
    <t>60107350;60107350</t>
  </si>
  <si>
    <t>Kadoma</t>
  </si>
  <si>
    <t>Panasonic Corporation</t>
  </si>
  <si>
    <t>10.1002/(SICI)1520-6424(199708)80:8&lt;39::AID-ECJA5&gt;3.0.CO;2-#</t>
  </si>
  <si>
    <t>2-s2.0-0031207688</t>
  </si>
  <si>
    <t>['numerical results', 'model theory', 'input impedance', 'cylindrical body', 'analyzed based']</t>
  </si>
  <si>
    <t>A probe-fed equilateral triangular microstrip patch antenna mounted on a cylindrical body is analyzed based on a cavity-model theory. Expressions for the far-zone radiated field and input impedance of the antenna are derived, and numerical results as a function of the ground cylinder radius are calculated and analyzed.</t>
  </si>
  <si>
    <t>377-380</t>
  </si>
  <si>
    <t>35460663000;57206273053</t>
  </si>
  <si>
    <t>Wong, K. L.;Fang, Sh T.</t>
  </si>
  <si>
    <t>Cavity-model solutions of a cylindrical equilateral triangular microstrip antenna</t>
  </si>
  <si>
    <t>10.1002/(SICI)1098-2760(19970820)15:6&lt;377::AID-MOP11&gt;3.0.CO;2-#</t>
  </si>
  <si>
    <t>2-s2.0-0031208181</t>
  </si>
  <si>
    <t>Comisi√≥n Interministerial de Ciencia y Tecnolog√≠a</t>
  </si>
  <si>
    <t>TIC96-0611</t>
  </si>
  <si>
    <t>CICYT</t>
  </si>
  <si>
    <t>['upconverting receiver', 'optic link', 'induced distortion', 'ghz fiber', 'experimentally demonstrated', '55 œºm']</t>
  </si>
  <si>
    <t>Microwave and millimeter-wave frequency conversion | Optical mixing | Remote antenna control | Subcarrier multiplexing</t>
  </si>
  <si>
    <t>An optically amplified Mach-Zender intensity modulator employed as upconverting receiver has been modeled and experimentally demonstrated for a 1.8-GHz fiber-optic link of 46.2-km standard single-mode fiber operating at 1.55 Œºm. This receiving scheme overcomes dispersion-induced distortion as well as eases the use of linearized external modulators and high-frequency RF sources for optical feeding microwave and millimeter-wave radiocommunication systems.</t>
  </si>
  <si>
    <t>1161-1163</t>
  </si>
  <si>
    <t>60011476;60000251-60011476;60011476;60011476</t>
  </si>
  <si>
    <t>57205120343;55948266500;7006991520;7102958075</t>
  </si>
  <si>
    <t>Fuster, J. M.;Marti, J.;Polo, V.;Corral, J. L.</t>
  </si>
  <si>
    <t>Valencia;New York</t>
  </si>
  <si>
    <t>Universitat Polit√®cnica de Val√®ncia;IEEE</t>
  </si>
  <si>
    <t>60011476;60000251</t>
  </si>
  <si>
    <t>Fuster J.</t>
  </si>
  <si>
    <t>Fiber-optic microwave link employing optically amplified electrooptical upconverting receivers</t>
  </si>
  <si>
    <t>S1041113597056759</t>
  </si>
  <si>
    <t>10.1109/68.605536</t>
  </si>
  <si>
    <t>2-s2.0-0031211101</t>
  </si>
  <si>
    <t>['mayday systems', 'gps frequencies', 'good stability', 'dak unit', 'automotive navigation', 'acquisition code']</t>
  </si>
  <si>
    <t>The DAK series dielectric patch antenna is a low cost antenna element designed to be a part of a module for automotive navigation and mayday systems, as well as for use in hand held global positioning system (GPS) units. The DAK unit is a flat dielectric ceramic patch antenna incorporating a rectangular microstrip configuration that is used to receive GPS clear/acquisition code (C/A) right-hand circular polarization waves transmitted by the 24 orbiting Navigational Satellite Timing and Ranging (NAVSTAR) satellites. The antenna's good stability and sensitivity are results of using high performance proprietary ceramic materials well suited for operation at GPS frequencies.</t>
  </si>
  <si>
    <t>Miniature patch antenna for GPS applications</t>
  </si>
  <si>
    <t>2-s2.0-0031211169</t>
  </si>
  <si>
    <t>['target value', 'spectral density', 'one year', 'nautilus detectors', 'nautilus detector', 'limited detector', 'integration time', 'frequency bandwidth', 'critical density', '23 hz', '22 hz', '100 hz', '1 ).']</t>
  </si>
  <si>
    <t>The sensitivity of a resonant gravitational wave (GW) antenna is calculated in terms of spectral density and frequency bandwidth. For a quantum-limited detector the bandwidth might reach values greater than 100 Hz, with a sensitivity to bursts of h = 3 √ó 10-21 (SNR = 1). The spectral amplitude sensitivity for the Nautilus detector has been measured to be 7 √ó 10-22 Hz-1/2 and its target value is 7 √ó 10-23 Hz-1/2. Using two near-Nautilus detectors the GW stochastic background can be measured with a sensitivity, with respect to the critical density, of a few 10-5 for an integration time of one year, as shown by simulations.</t>
  </si>
  <si>
    <t>2019-2030</t>
  </si>
  <si>
    <t>60021660;60032350;60027509</t>
  </si>
  <si>
    <t>8728100700;7004243218;7003386560</t>
  </si>
  <si>
    <t>Astone, Pia;Pallottino, G. V.;Pizzella, G.</t>
  </si>
  <si>
    <t>Rome;Rome;Rome</t>
  </si>
  <si>
    <t>Sapienza Universit√† di Roma;Universit√† degli Studi di Roma "Tor Vergata";Istituto Nazionale di Fisica Nucleare - INFN</t>
  </si>
  <si>
    <t>60032350;60027509;60021660</t>
  </si>
  <si>
    <t>Resonant gravitational wave antennas for stochastic background measurements</t>
  </si>
  <si>
    <t>S0264938197764517</t>
  </si>
  <si>
    <t>10.1088/0264-9381/14/8/005</t>
  </si>
  <si>
    <t>2-s2.0-0031527334</t>
  </si>
  <si>
    <t>['whistler observations', 'vlf emissions', 'vertical antenna', 'unusual whistlers', 'recorded earlier', 'old set', 'observed characteristics', 'new set', 'modified version', 'loop antennas', 'incident whistlers', 'first time', 'experimental set', 'background noises', '30 apr']</t>
  </si>
  <si>
    <t>Whistler observations have been carried out at a low latitude ground station, Agra (geomag. lat. 17¬∞1‚Ä≤N), during the period 10 Oct. 1995 to 30 Apr. 1996 under the All India Coordinated Programme of Ionospheric Thermospheric Studies (AICPITS)-Phase II, using a modified version of the existing experimental set up. Large whistler activities have been recorded with the new experimental set up as compared to those recorded earlier with the old set up under the AICPITS-Phase I period of 1989-92 - the reason for this increase is the measurement of two magnetic field components of the incident whistlers by the loop antennas of the new set up which are practically less affected by background noises as compared to the vertical electric field component only recorded by the vertical antenna of the old set up. The data recorded include some unusual whistlers and VLF emissions recorded for the first time in a low latitude ground station. The details of the experimental set up are given and the observed characteristics of some of the whistlers and VLF emissions are discussed.</t>
  </si>
  <si>
    <t>218-223</t>
  </si>
  <si>
    <t>60070214;60070214;60070214</t>
  </si>
  <si>
    <t>57208093293;57213970436;55496949900</t>
  </si>
  <si>
    <t>Singh, Birbal;Singh, Raghuraj;Singh, Rajvir</t>
  </si>
  <si>
    <t>Agra</t>
  </si>
  <si>
    <t>Raja Balwant Singh College, Agra</t>
  </si>
  <si>
    <t>Singh B.</t>
  </si>
  <si>
    <t>Initial results of whistler observations at Agra using modified experimental set up</t>
  </si>
  <si>
    <t>2-s2.0-0040088466</t>
  </si>
  <si>
    <t>Antenna radiation patterns | Visualization</t>
  </si>
  <si>
    <t>116-120</t>
  </si>
  <si>
    <t>Carr, Michael</t>
  </si>
  <si>
    <t>Carr M.</t>
  </si>
  <si>
    <t>Visualization with OpenGL: 3D made easy</t>
  </si>
  <si>
    <t>10.1109/74.633000</t>
  </si>
  <si>
    <t>2-s2.0-3142745236</t>
  </si>
  <si>
    <t>['simple approach', 'resonant frequencies', 'numerical results', 'good agreement', 'fringing area', 'experimental results', 'existing methods', 'available theoretical', 'approach takes', 'accurate determination']</t>
  </si>
  <si>
    <t>A simple approach for the accurate determination of resonant frequencies of an elliptical microstrip antenna has been developed and presented in this paper. This approach takes into account the fringing area for the effective dielectric permittivity calculation. Numerical results of the resonant frequencies are presented and they are in good agreement with the available theoretical and experimental results. This approach is more efficient, simple and accurate than the existing methods.</t>
  </si>
  <si>
    <t>60021176;60021176</t>
  </si>
  <si>
    <t>55437029100;7403597567</t>
  </si>
  <si>
    <t>Mythili, P.;Das, Annapurna</t>
  </si>
  <si>
    <t>Anna University</t>
  </si>
  <si>
    <t>Mythili P.</t>
  </si>
  <si>
    <t>A simple approach to determine the resonant frequencies of an elliptical microstrip antenna</t>
  </si>
  <si>
    <t>2-s2.0-33748495344</t>
  </si>
  <si>
    <t>M 1J000</t>
  </si>
  <si>
    <t>['toe compare', 'resolved sources', 'resolution criterion', 'reddi method', 'prediction element', 'noise ratio', 'modification based', 'large signal', 'independent gaussian', 'exact knowledge', 'central position', 'arbitrary specification', 'actual location']</t>
  </si>
  <si>
    <t>In the limit of large signal-to-noise ratio, toe compare the resolutions of the Reddi method and its modification based on exact knowledge of the central position between the resolved sources with both traditional and arbitrary specification of the prediction element (at the ends of the antenna array). The sources were assumed to be independent Gaussian and equivalent, and the equality of the mean objective function at the points of actual location of sources to its value at the midpoint between the sources was used as the resolution criterion.</t>
  </si>
  <si>
    <t>694-698</t>
  </si>
  <si>
    <t>60096204;60096204;60096204</t>
  </si>
  <si>
    <t>55996837400;55190354900;7004360250</t>
  </si>
  <si>
    <t>Apresyan, L. A.;Molodtsov, V. S.;Karavaev, V. V.</t>
  </si>
  <si>
    <t>MIREA - Russian Technological University (RTU MIREA)</t>
  </si>
  <si>
    <t>Apresyan L.A.</t>
  </si>
  <si>
    <t>Modifications of the reddi method and their limiting resolution of high-power random sources</t>
  </si>
  <si>
    <t>10.1007/BF02676492</t>
  </si>
  <si>
    <t>2-s2.0-85051260089</t>
  </si>
  <si>
    <t>PHY-9503642</t>
  </si>
  <si>
    <t>['new scheme', 'gravitational signal', 'force acting', 'classical pumping', 'bar antennas', 'allows one']</t>
  </si>
  <si>
    <t>A new scheme of gravitational wave antennas is proposed which due to the effect of light pressure behaves analogous to solid state antenna of the same scale. The gravitational signal in this scheme is transformed into the force acting on a mirror. The resulting mirror displacement may be detected using methods standard for the bar antennas. The scheme provides gain in resolution and allows one to beat the standard quantum limit without the use of non-classical pumping. ¬© 1997 Published by Elsevier Science B.V.</t>
  </si>
  <si>
    <t>340-348</t>
  </si>
  <si>
    <t>7003908077;56264036600;35351478800</t>
  </si>
  <si>
    <t>Braginsky, V. B.;Gorodetsky, M. L.;Khalili, F. Ya</t>
  </si>
  <si>
    <t>Braginsky V.B.</t>
  </si>
  <si>
    <t>Optical bars in gravitational wave antennas</t>
  </si>
  <si>
    <t>S0375960197004131</t>
  </si>
  <si>
    <t>10.1016/S0375-9601(97)00413-1</t>
  </si>
  <si>
    <t>2-s2.0-0042376919</t>
  </si>
  <si>
    <t>['specified order', 'shaped region', 'power synthesis', 'individual control', 'complex roots', 'asymmetric patterns']</t>
  </si>
  <si>
    <t>Antenna arrays | Antenna pattern synthesis | Antenna radiation patterns</t>
  </si>
  <si>
    <t>A design method previously developed to give symmetrical shaped patterns from a continuous linear aperture, with individual control of the amplitude of ripples and the heights of unshaped side lobes up to any specified order, is shown to be applicable to asymmetric patterns as well. The method is based on the introduction of complex roots (to achieve null filling in the shaped region) in the technique previously developed by R. S. Elliott to obtain asymmetric Taylor patterns. Power synthesis, where the radiation pattern becomes complex, and real field synthesis, which yields a pure real pattern, are studied. The procedure is illustrated with two examples corresponding to a cosecant squared pattern, obtained by power and real field synthesis, respectively. ¬© 1997 John Wiley &amp; Sons, Inc.</t>
  </si>
  <si>
    <t>7006865572;57217764562</t>
  </si>
  <si>
    <t>Ares, F.;Rodriguez, J. A.</t>
  </si>
  <si>
    <t>Asymmetric-shaped beam patterns from a continuous linear aperture distribution</t>
  </si>
  <si>
    <t>10.1002/(SICI)1098-2760(19970805)15:5&lt;288::AID-MOP6&gt;3.0.CO;2-5</t>
  </si>
  <si>
    <t>2-s2.0-0031554675</t>
  </si>
  <si>
    <t>['surface waves', 'substrate thickness', 'radiation efficiency', 'elementary dipoles']</t>
  </si>
  <si>
    <t>Dielectric substrate | Dipole | Pattern | Power | Radiation efficiency | Surface wave</t>
  </si>
  <si>
    <t>Fundamental antenna effects of a dielectric substrate backed by a perfectly conducting ground plane and excited by elementary dipoles are studied. The effect of the surface waves and the radiation efficiency as a function of substrate thickness and permittivity are analyzed. ¬© 1997 John Wiley &amp; Sons, Inc.</t>
  </si>
  <si>
    <t>316-320</t>
  </si>
  <si>
    <t>60068535;60068535</t>
  </si>
  <si>
    <t>6603361968;56962710300</t>
  </si>
  <si>
    <t>Bliznyuk, Natalia Yu;Nosich, Alexander I.</t>
  </si>
  <si>
    <t>Bliznyuk N.</t>
  </si>
  <si>
    <t>Basic properties of the fields excited by VED and HMD located in a dielectric substrate backed by a perfectly conducting ground plane</t>
  </si>
  <si>
    <t>10.1002/(SICI)1098-2760(19970805)15:5&lt;316::AID-MOP13&gt;3.0.CO;2-3</t>
  </si>
  <si>
    <t>2-s2.0-0031554679</t>
  </si>
  <si>
    <t>['surface distortions', 'spillover radiation', 'phase aberrations', 'lobe levels', 'global optimization', 'control side', 'constant phase', 'array feeds', 'also provides']</t>
  </si>
  <si>
    <t>Array near-field synthesis, quadratic programming, reflector-surface distortion compensation | Spillover constraints</t>
  </si>
  <si>
    <t>A novel synthesis technique for reflector-array feeds is presented. It consists of a quadratic programming algorithm for global optimization with constraints that are used to control the spillover radiation of the antenna. The method is capable of compensating for feed-phase aberrations and surface distortions, and also provides a prescribed aperture amplitude distribution with constant phase, which is useful to control side-lobe levels. ¬© 1997 John Wiley &amp; Sons, Inc.</t>
  </si>
  <si>
    <t>334-338</t>
  </si>
  <si>
    <t>6602186087;7006386299</t>
  </si>
  <si>
    <t>Porras, Luis Landesa;Pino, Antonio Garc√≠a</t>
  </si>
  <si>
    <t>Porras L.</t>
  </si>
  <si>
    <t>Synthesis of array feeds for optimum illumination of reflector antennas and low spillover</t>
  </si>
  <si>
    <t>10.1002/(SICI)1098-2760(19970805)15:5&lt;334::AID-MOP17&gt;3.0.CO;2-5</t>
  </si>
  <si>
    <t>2-s2.0-0031554680</t>
  </si>
  <si>
    <t>['monopole antenna', 'experimental results', 'elevation plane', 'cost millimeter', '53 degrees']</t>
  </si>
  <si>
    <t>Millimeter wave | Monopole antenna</t>
  </si>
  <si>
    <t>In this article we describe the design and test of low-cost millimeter-wave omnidirectional antenna for mobile communication links. The desired radiated pattern will cover - 17 to 53 degrees in the elevation plane. A monopole antenna on the conical ground plane is considered, and theoretical and experimental results are presented. ¬© 1997 John Wiley &amp; Sons, Inc.</t>
  </si>
  <si>
    <t>295-297</t>
  </si>
  <si>
    <t>60008447;60008447;60008447</t>
  </si>
  <si>
    <t>57223375316;6602924332;7006402070</t>
  </si>
  <si>
    <t>Rammal, M.;Dufrane, Ph;Jecko, B.</t>
  </si>
  <si>
    <t>Conception and realization of millimeter wave monopole antenna with desired performances</t>
  </si>
  <si>
    <t>10.1002/(SICI)1098-2760(19970805)15:5&lt;295::AID-MOP8&gt;3.0.CO;2-4</t>
  </si>
  <si>
    <t>2-s2.0-0031554681</t>
  </si>
  <si>
    <t>['surface junctions', 'rigorous treatment', 'principal steps', 'numerical results', 'numerical modelization', 'measured data', 'electrical connection', 'canonical configurations']</t>
  </si>
  <si>
    <t>Input impedance measurements | Numerical moderation | Wire-to-surface junction</t>
  </si>
  <si>
    <t>The numerical modelization of the electrical connection between a wire and an arbitrarily shaped body is analyzed. Several theoretical approaches are discussed and the principal steps for a rigorous treatment are underlined. Measured data on canonical configurations of wire-to-surface junctions are compared with numerical results. ¬© 1997 John Wiley &amp; Sons, Inc.</t>
  </si>
  <si>
    <t>60005049-100873546;60005049;60005049;100873546</t>
  </si>
  <si>
    <t>35104982600;6603366003;6603727106;6602672400</t>
  </si>
  <si>
    <t>Jeuland, H.;Uguen, B.;Chassay, G.;Grorud, E.</t>
  </si>
  <si>
    <t>Rennes;Velizy-Villacoublay</t>
  </si>
  <si>
    <t>INSA Rennes;TCAR</t>
  </si>
  <si>
    <t>60005049;100873546</t>
  </si>
  <si>
    <t>Jeuland H.</t>
  </si>
  <si>
    <t>Numerical and experimental processes for the analysis of a wire antenna mounted on a metallic body</t>
  </si>
  <si>
    <t>10.1002/(SICI)1098-2760(19970805)15:5&lt;267::AID-MOP1&gt;3.0.CO;2-7</t>
  </si>
  <si>
    <t>2-s2.0-0031554687</t>
  </si>
  <si>
    <t>['scanning antenna', 'numerical simulations', 'maximum entropy', 'known algorithms', 'image restoration', 'fast algorithm', 'considerably larger', 'computational burden']</t>
  </si>
  <si>
    <t>Methods: numerical | Sun: general | Techniques: image processing</t>
  </si>
  <si>
    <t>Maximum Entropy (ME) deconvolution has become a widely used approach for image restoration. Although it has many attractive features, its computational burden is considerably larger than for competing linear inversion techniques. The present work accelerates ME restoration by using linear techniques within the ME framework and proposes a simple and fast algorithm which is applicable to low-noise (&lt; 3%) images. The algorithm is tested in numerical simulations, compared to well-known algorithms and applied to solar radio maps obtained by a scanning antenna.</t>
  </si>
  <si>
    <t>735-742</t>
  </si>
  <si>
    <t>60020486;60020486</t>
  </si>
  <si>
    <t>6603961988;7003495950</t>
  </si>
  <si>
    <t>Arzner, K.;Magun, A.</t>
  </si>
  <si>
    <t>Arzner K.</t>
  </si>
  <si>
    <t>Fast maximum entropy restoration of low-noise solar images</t>
  </si>
  <si>
    <t>2-s2.0-0347923695</t>
  </si>
  <si>
    <t>['‚ àº2', '‚ àº0', 'widest bandwidth', 'triangular monopole', 'results show', 'flare angle', 'broadband operation', '63 times', '60 ¬∞', '0 times']</t>
  </si>
  <si>
    <t>Antenna arrays | Monopole antenna arrays</t>
  </si>
  <si>
    <t>A design of stripline-fed printed triangular monopole with broadband operation is presented. Results show that the triangular monopole with a flare angle of 60¬∞ (i.e. an equilateral triangular monopole) has the widest bandwidth, ‚àº2.1-3.0 times that of a simple strip monopole, and this equilateral triangular monopole also operates at a length of only ‚àº0.63 times that of a simple strip monopole. Details of the results are presented.</t>
  </si>
  <si>
    <t>1428-1429</t>
  </si>
  <si>
    <t>35460663000;7406584064</t>
  </si>
  <si>
    <t>Wong, Kin Lu;Lin, Yi Fang</t>
  </si>
  <si>
    <t>Stripline-fed printed triangular monopole</t>
  </si>
  <si>
    <t>10.1049/el:19970960</t>
  </si>
  <si>
    <t>2-s2.0-0031199292</t>
  </si>
  <si>
    <t>['subsystem consists', 'receiving antenna', 'photonic integrated', 'phase shifting', 'local oscillator', 'harmonic downconversion', 'forming applications', 'device achieves', 'combined signal']</t>
  </si>
  <si>
    <t>Antenna arrays | Beamforming arrays | Phase shifters</t>
  </si>
  <si>
    <t>A photonic integrated-optic RF phase shifter for harmonic downconversion in phased array antenna beam-forming applications is presented. The subsystem consists of two integrated optic Mach-Zehnder interferometers fed with a combined signal from the receiving antenna and the local oscillator. This device achieves both phase shifting and harmonic downconversion of incoming RF signals.</t>
  </si>
  <si>
    <t>1426-1428</t>
  </si>
  <si>
    <t>57205120343;55948266500</t>
  </si>
  <si>
    <t>Fuster, J. M.;Marti, J.</t>
  </si>
  <si>
    <t>Photonic RF phase shifter for harmonic downconversion in phased array antenna beam-forming applications</t>
  </si>
  <si>
    <t>10.1049/el:19970995</t>
  </si>
  <si>
    <t>2-s2.0-0031199559</t>
  </si>
  <si>
    <t>['structurally symmetric', 'perylenic trap', 'perylene moiety', 'particular forms', 'experiment put', 'energy trap']</t>
  </si>
  <si>
    <t>We have studied the dynamics of directed, multistep energy transport in a class of fractal-like dendrimeric molecules. For particular forms of these highly branched phenylacetylene dendrimers, both theory and experiment put the lowest excitation energy at the center (locus) of the supermolecule. This results in a structurally symmetric and ordered exciton funnel, with a well-directed energy gradient. We have designed and synthesized a derivative of these dendrimers with a perylene moiety at the locus, which acts as an energy trap for the directed exciton funnel. Spectroscopic evidence indicates transfer efficiency of 98% from the photoabsorbing dendrimer backbone to the perylenic trap.</t>
  </si>
  <si>
    <t>6318-6322</t>
  </si>
  <si>
    <t>60025778;60025778;60025778;60025778-60013959;60025778-60000745;60025778-60000745;60025778-60000745;60025778</t>
  </si>
  <si>
    <t>57220364400;6602680059;54785166600;7401959760;7405428495;6603637946;7405240192;23031154900</t>
  </si>
  <si>
    <t>Shortreed, Michael R.;Swallen, Stephen F.;Shi, Zhong You;Tan, Weihong;Xu, Zhifu;Devadoss, Chelladurai;Moore, Jeffrey S.;Kopelman, Raoul</t>
  </si>
  <si>
    <t>Ann Arbor;Gainesville;Urbana</t>
  </si>
  <si>
    <t>University of Michigan, Ann Arbor;University of Florida;University of Illinois Urbana-Champaign</t>
  </si>
  <si>
    <t>60025778;60013959;60000745</t>
  </si>
  <si>
    <t>Shortreed M.R.</t>
  </si>
  <si>
    <t>Directed energy transfer funnels in dendrimeric antenna supermolecules</t>
  </si>
  <si>
    <t>10.1021/jp9705986</t>
  </si>
  <si>
    <t>2-s2.0-0031212877</t>
  </si>
  <si>
    <t>['whose wires', 'numerical method', 'investigate monofilar', 'equivalent radius', 'equivalent dielectric', 'dielectric coating', 'dielectric coated']</t>
  </si>
  <si>
    <t>Equivalent radius | Helical antennas | Method of moments | Printed wire antennas</t>
  </si>
  <si>
    <t>A method of moments for arbitrarily shaped wire antennas with dielectric coating is developed. In this paper, we use this numerical method to investigate monofilar and quadrifilar helical antennas, whose wires are dielectric coated or not, backed by circular ground planes or cavities. Low-cost quadrifilar helical antennas that are printed on a thin dielectric substrate are also analyzed using this method. Indeed, the concept of equivalent radius is used to transform the printed wire antenna into an equivalent dielectric-coated wire structure. ¬© 1997 John Wiley &amp; Sons, Inc.</t>
  </si>
  <si>
    <t>352-355</t>
  </si>
  <si>
    <t>60030553;60030553;60030553</t>
  </si>
  <si>
    <t>6603304484;24722105800;7006272544</t>
  </si>
  <si>
    <t>Desplanches, B.;Sharaiha, A.;Terret, C.</t>
  </si>
  <si>
    <t>Rennes</t>
  </si>
  <si>
    <t>Universite de Rennes 1</t>
  </si>
  <si>
    <t>Desplanches B.</t>
  </si>
  <si>
    <t>Numerical analysis of helical antennas backed by finite ground planes</t>
  </si>
  <si>
    <t>10.1002/(SICI)1098-2760(19970820)15:6&lt;352::AID-MOP4&gt;3.0.CO;2-D</t>
  </si>
  <si>
    <t>2-s2.0-0031207040</t>
  </si>
  <si>
    <t>['resistive parts', 'obtained reactance', 'obtained accurately', 'good agreement', 'equivalent circuit']</t>
  </si>
  <si>
    <t>Coplanar strips | Moment method | Spectral domain technique</t>
  </si>
  <si>
    <t>The characteristics of a coplanar strip discontinuity can be obtained accurately by employing the spectral domain technique which takes into account the radiation from the discontinuity. As an example, a coplanar strip open end is examined, and the reactive and resistive parts of its equivalent circuit are computed. The obtained reactance is shown to be in good agreement with that obtained from the theory and measurement reported recently in the literature. ¬© 1997 John Wiley &amp; Sons, Inc.</t>
  </si>
  <si>
    <t>60001359;60001359;60001359</t>
  </si>
  <si>
    <t>57207239176;7004582770;6603784474</t>
  </si>
  <si>
    <t>Wang, H. Y.;Mirshekar-Syahkal, D.;Dilworth, I. J.</t>
  </si>
  <si>
    <t>Colchester</t>
  </si>
  <si>
    <t>University of Essex</t>
  </si>
  <si>
    <t>Wang H.</t>
  </si>
  <si>
    <t>Spectral domain analysis of coplanar strip discontinuities</t>
  </si>
  <si>
    <t>10.1002/(SICI)1098-2760(19970820)15:6&lt;395::AID-MOP16&gt;3.0.CO;2-1</t>
  </si>
  <si>
    <t>2-s2.0-0031207042</t>
  </si>
  <si>
    <t>['wide band', 'set conditions', 'reflection coefficient', 'radiated field', 'point source', 'interference phenomenon', 'frequency within', 'dipole antenna', 'could satisfy', 'constructive interference', 'antenna reflector', 'allows us']</t>
  </si>
  <si>
    <t>Antennas | Metallic photonic bandgap materials | Polarizers | Reflectors</t>
  </si>
  <si>
    <t>The radiation of a point source above an infinite reflecting plane is analyzed. It allows us to set conditions on the reflection coefficient behavior in order to obtain a constructive interference between reflected and directly emitted waves. Then, a metallic photonic bandgap material (MPBG) is investigated to determine its spectral region bandgaps and reflection coefficient. As it could satisfy the conditions on the interference phenomenon on a wide band, the MPBG is used as an antenna reflector. At a frequency within the bandgap, the interference phenomenon is analyzed as a function of the distance between a dipole antenna and the MPBG. A two-arm square spiral antenna is then used to examine the influence of the MPBG on the polarization of the radiated field. ¬© 1997 John Wiley &amp; Sons, Inc.</t>
  </si>
  <si>
    <t>384-389</t>
  </si>
  <si>
    <t>60030553;60030553;60030553;60030553;60030553;60110235</t>
  </si>
  <si>
    <t>6603881468;57189625709;6701365631;6603795399;7006272544;35618853800</t>
  </si>
  <si>
    <t>Poilasne, G.;Lenormand, J.;Pouliguen, P.;Mahdjoubi, K.;Terret, C.;Gelin, Ph</t>
  </si>
  <si>
    <t>Nantes;Rennes</t>
  </si>
  <si>
    <t>IMT Atlantique;Universite de Rennes 1</t>
  </si>
  <si>
    <t>60110235;60030553</t>
  </si>
  <si>
    <t>Poilasne G.</t>
  </si>
  <si>
    <t>Theoretical study of interactions between antennas and metallic photonic bandgap materials</t>
  </si>
  <si>
    <t>10.1002/(SICI)1098-2760(19970820)15:6&lt;384::AID-MOP13&gt;3.0.CO;2-2</t>
  </si>
  <si>
    <t>2-s2.0-0031207371</t>
  </si>
  <si>
    <t>['simple method', 'octantal errors', 'numerical computation', 'antenna system']</t>
  </si>
  <si>
    <t>VHF omnidirectional range antennas | VOR antennas | VOR ground error curves</t>
  </si>
  <si>
    <t>A simple method has been introduced for analyzing VHF omnirange radio beacon errors caused by deficiencies in and misalignment of its antenna system. It is based on numerical computation of the Fourier series expansion for a ground error curve, and in so doing, provides a set of formulas for computing the amplitudes of duantal, quadrantal, and octantal errors. ¬© 1997 John Wiley &amp; Sons, Inc.</t>
  </si>
  <si>
    <t>369-373</t>
  </si>
  <si>
    <t>Ground error curves formulas for VHF omnirange radio beacon antenna system</t>
  </si>
  <si>
    <t>10.1002/(SICI)1098-2760(19970820)15:6&lt;369::AID-MOP9&gt;3.0.CO;2-C</t>
  </si>
  <si>
    <t>2-s2.0-11644308284</t>
  </si>
  <si>
    <t>Cavity-model solution | Cylindrical microstrip antenna | Triangular microstrip antenna</t>
  </si>
  <si>
    <t>A probe-fed equilateral triangular microstrip patch antenna mounted on a cylindrical body is analyzed based on a cavity-model theory. Expressions for the far-zone radiated field and input impedance of the antenna are derived, and numerical results as a function of the ground cylinder radius are calculated and analyzed. ¬© 1997 John Wiley &amp; Sons, Inc.</t>
  </si>
  <si>
    <t>35460663000;7402422499</t>
  </si>
  <si>
    <t>Wong, Kin Lu;Fang, Shyh Tirng</t>
  </si>
  <si>
    <t>10.1002/(sici)1098-2760(19970820)15:6&lt;377::aid-mop11&gt;3.0.co;2-%23</t>
  </si>
  <si>
    <t>2-s2.0-85078683863</t>
  </si>
  <si>
    <t>['œ ≤', 'œ ±', 'x 109', 'triplet energy', 'rate constants', 'modestly efficient', 'light absorbed', 'ketonic steroids', 'ketone group', 'intrattet directly', 'intramolecular triplet', 'intersystem crossing', 'four compounds', 'equatorial ).', 'equals 8', 'enhanced rate', 'dpso group', 'compound 1', 'carbonyl triplet', 'carbonyl group', 'c11 ketone', 'absorbing antenna', '4 intrasset', '4 ).', '3 position', '3 ),', '2 ),']</t>
  </si>
  <si>
    <t>A series of steroids has been studied in which there is a dimethylphenylsiloxy (DPSO) group at the 3 position to serve as a light-absorbing antenna, a ketone group at C6 or C11 to serve as an energy 'relay' or as a 'singlet-triplet switch', and an olefin at C17 to serve as a triplet energy acceptor. These include 3Œ±-(dimethylphenylsiloxy)- 17-(Z)-ethylidene-5Œ±-androstan-11-one (2), its C6 carbonyl analog (3), and the C6 ketone 3Œ≤ isomer (4). The nonketonic steroid 3Œ±-(dimethyIphenylsiloxy)-17-(Z)-ethylidene-5Œ±-androstane (1) serves as a reference. Excitation of all four compounds with light absorbed by the DPSO chromophore leads to Z ‚Üí E isomerization of the C17 ethylidene group. For the ketonic steroids this isomerization involves intramolecular singlet-singlet energy transfer (intraSSET) from the DPSO group to the carbonyl group, intersystem crossing to the carbonyl triplet, and intramolecular triplet-triplet energy transfer (intraTTET) to the alkene. For compound 1 there is modestly efficient (through-bond) intraTTET directly from C3 to C17. For 2-4 intraSSET is ca. 75-90% efficient and occurs with rate constants of (1.1-1.7) x 109 s-1. The C3 DPSO antenna transfers both singlet and triplet energy more efficiently when it is Œ± (axial) than when it is Œ≤ (equatorial). IntraTTET from C6 and C11 to C17 is ca. 80% efficient; k(C6‚Üí17Z), determined from triplet quenching experiments, equals 8.3 x 108 s-1. The C11 ketone has an unusually short singlet lifetime (0.4 ns), which can be attributed to an enhanced rate of radiationless decay caused by the proximity of the C19 angular methyl group.</t>
  </si>
  <si>
    <t>7945-7953</t>
  </si>
  <si>
    <t>60009254;60009254;60009254</t>
  </si>
  <si>
    <t>6508025296;6602712013;7103158461</t>
  </si>
  <si>
    <t>Agyin, Joseph K.;Timberlake, Larry D.;Morrison, Harry</t>
  </si>
  <si>
    <t>Agyin J.K.</t>
  </si>
  <si>
    <t>Steroids as photonic wires. Z ‚Üí E olefin photoisomerization involving ketone singlet ‚Üí triplet switches by through-bond energy transfer</t>
  </si>
  <si>
    <t>10.1021/ja963261a</t>
  </si>
  <si>
    <t>2-s2.0-0030758957</t>
  </si>
  <si>
    <t>['temporal changes', 'swarm members', 'swarm increased', 'since images', 'significantly greater', 'random distribution', 'prosome length', 'point source', 'paired 2', 'mnnd ).', 'many species', 'dimensional swarm', 'dimensional projections', 'average nearest', 'attempted mating', 'angle views', '5 species', '2 right']</t>
  </si>
  <si>
    <t>Antenna | Copepod swarms | Escape response | Hydrodynamic | Matching methods | Mating behavior | Mechanoreception | Nearest neighbor distance</t>
  </si>
  <si>
    <t>Many species of copepods form dense aggregations, known as swarms. In the laboratory, we experimentally induced 5 different species of copepod to swarm in response to a point source of light. To map out the (x, y, z, t) positions of swarm members, 2 right-angle views of the 3-dimensional swarm were videotaped. Since images of individual copepods appear indistinguishable on the paired 2-dimensional projections, an algorithm was developed which matched the temporal changes of the vertical (z) positions of all images from the 2-dimensional projections of the 3-dimensional copepod movement to produce (x, y, z, t) positions of each individual. With the temporal/spatial positional data of swarm members, we tested the hypothesis that the fluid disturbance surrounding individual moving copepods, rather than the exoskeleton, maintains minimum separation distance. As the density of the swarm increased, the average nearest-neighbor distance NND decreased, as did the mean minimum NND (MNND). For 3 of the 5 species, the MNND was significantly greater than that predicted from a random distribution, and was greater than twice the antennule or prosome length. While occasional physical contact may occur, resulting in escapes or attempted mating, it appears that most swarm members remain outside the field of self-generated fluid motion in the boundary layers surrounding their neighbors.</t>
  </si>
  <si>
    <t>127-135</t>
  </si>
  <si>
    <t>Marine Ecology Progress Series</t>
  </si>
  <si>
    <t>60023018;60026415</t>
  </si>
  <si>
    <t>9732930600;7202000025</t>
  </si>
  <si>
    <t>Leising, Andrew W.;Yen, Jeannette</t>
  </si>
  <si>
    <t>Stony Brook;San Diego</t>
  </si>
  <si>
    <t>Stony Brook University;Scripps Institution of Oceanography</t>
  </si>
  <si>
    <t>60026415;60023018</t>
  </si>
  <si>
    <t>Leising A.</t>
  </si>
  <si>
    <t>Spacing mechanisms within light-induced copepod swarms</t>
  </si>
  <si>
    <t>10.3354/meps155127</t>
  </si>
  <si>
    <t>2-s2.0-0030928594</t>
  </si>
  <si>
    <t>['resonant structures', 'genetic algorithm']</t>
  </si>
  <si>
    <t>Genetic algorithms | Microstrip antennas</t>
  </si>
  <si>
    <t>A method for creating new shapes for resonant structures is presented. A full-wave spectral domain approach is used to analyse the structures under test. The technique makes effective use of a genetic algorithm to find new shapes for resonant structures.</t>
  </si>
  <si>
    <t>1509-1510</t>
  </si>
  <si>
    <t>60017652;60017652;60012164</t>
  </si>
  <si>
    <t>6602364997;7005758343;6603828034</t>
  </si>
  <si>
    <t>Delabie, C.;Villegas, M.;Picon, O.</t>
  </si>
  <si>
    <t>Noisy-le-Grand;Marne-la-Vallee</t>
  </si>
  <si>
    <t>Groupe ESIEE;Universit√© de Marne-La-Vall√©e</t>
  </si>
  <si>
    <t>60017652;60012164</t>
  </si>
  <si>
    <t>Delabie C.</t>
  </si>
  <si>
    <t>Creation of new shapes for resonant microstrip structures by means of genetic algorithms</t>
  </si>
  <si>
    <t>10.1049/el:19971017</t>
  </si>
  <si>
    <t>2-s2.0-0031206921</t>
  </si>
  <si>
    <t>['takes advantage', 'optimum solution', 'novel method', 'method includes', 'conducting scatterers', 'conducting obstacle']</t>
  </si>
  <si>
    <t>Antenna arrays | Antenna radiation patterns | Electromagnetic wave scattering</t>
  </si>
  <si>
    <t>A novel method for the synthesis of arrays in the presence of conducting scatterers is presented. This method includes and takes advantage of the radiation of the scatterer by using the generalised multipole technique. Thus, the optimum solution can be obtained for an array in the presence of a conducting obstacle.</t>
  </si>
  <si>
    <t>1512-1513</t>
  </si>
  <si>
    <t>60026134;60026134;60026134;60026134</t>
  </si>
  <si>
    <t>55939570500;7003784434;7404696540;7006386299</t>
  </si>
  <si>
    <t>Landesa, L.;Obelleiro, F.;Rodr√≠guez, J. L.;Pino, A. G.</t>
  </si>
  <si>
    <t>Landesa L.</t>
  </si>
  <si>
    <t>Pattern synthesis of array antennas in presence of conducting bodies of arbitrary shape</t>
  </si>
  <si>
    <t>10.1049/el:19971014</t>
  </si>
  <si>
    <t>2-s2.0-0031209015</t>
  </si>
  <si>
    <t>['radiation pattern', 'primary antenna', 'measured results', 'lenses designed', 'indoor cell', 'improved antenna', 'calculated performance', '60ghz bands']</t>
  </si>
  <si>
    <t>Antennas | Indoor radio | Lenses | Mobile radio systems</t>
  </si>
  <si>
    <t>An improved antenna for a wireless mobile broadband system (e.g. as realised by Bosch as a demonstrator) is proposed. By means of a shaped dielectric lens the radiation pattern of a primary antenna (e.g. a short helical structure) can be shaped to optimise the power distribution across an indoor cell. The calculated performance of lenses designed for the 30 and 60GHz bands by using geometric optics shows good agreement with measured results.</t>
  </si>
  <si>
    <t>1510-1512</t>
  </si>
  <si>
    <t>60015815;60015815;60015815;60015776</t>
  </si>
  <si>
    <t>6603678252;7004439839;7006070055;6507153886</t>
  </si>
  <si>
    <t>Ruoss, H. O.;Maier, P. M.;Landstorfer, F. M.;Villino, G.</t>
  </si>
  <si>
    <t>Stuttgart;Gerlingen</t>
  </si>
  <si>
    <t>Universit√§t Stuttgart;Robert Bosch GmbH</t>
  </si>
  <si>
    <t>60015815;60015776</t>
  </si>
  <si>
    <t>Ruoss H.</t>
  </si>
  <si>
    <t>Lens antennas for mobile broadband systems in the millimetre-wave range</t>
  </si>
  <si>
    <t>10.1049/el:19971012</t>
  </si>
  <si>
    <t>2-s2.0-0031212244</t>
  </si>
  <si>
    <t>['target scene', 'real data', 'prior knowledge', 'inu ).', 'andover aircraft', 'aircraft roll', 'airborne platform']</t>
  </si>
  <si>
    <t>Aircraft communication | Interferometry | Synthetic aperture radar</t>
  </si>
  <si>
    <t>A technique is described for compensating for aircraft roll in dual antenna interferometric SAR from an airborne platform. The technique does not rely on prior knowledge of the target scene, or input from an inertial navigation unit (INU). The technique is tested on real data from the DRA's C-band interferometric SAR, which is fitted to an Andover aircraft, and the results are compared with output from a Litton-93 medium accuracy INU.</t>
  </si>
  <si>
    <t>1581-1583</t>
  </si>
  <si>
    <t>;;;;</t>
  </si>
  <si>
    <t>7102712127;6603931860;7006863241;7202821654;35087329300</t>
  </si>
  <si>
    <t>Bullock, R. J.;Voles, R.;Currie, A.;Griffiths, H. D.;Brennan, P. V.</t>
  </si>
  <si>
    <t>Bullock R.J.</t>
  </si>
  <si>
    <t>Two-look method for correction of roll errors in aircraft-borne interferometric SAR</t>
  </si>
  <si>
    <t>10.1049/el:19971056</t>
  </si>
  <si>
    <t>2-s2.0-3042951788</t>
  </si>
  <si>
    <t>Vanderbilt University</t>
  </si>
  <si>
    <t>463/20‚Äì1,2</t>
  </si>
  <si>
    <t>['visual tracking', 'thoracic ganglia', 'suboesophageal ganglia', 'several behaviours', 'relay function', 'posterior ganglia', 'one connective', 'mesothoracic ganglion', 'mesothoracic ganglia', 'integral parts', 'gryllus campestris', 'gryllus bimaculatus', 'data show', 'antennal movements', 'antenna ipsilateral', 'antenhal movements']</t>
  </si>
  <si>
    <t>Antennae | Brain | Insect | Lesion experiments | Motor control</t>
  </si>
  <si>
    <t>In crickets (Gryllus campestris, Gryllus bimaculatus) the contribution of the suboesophageal ganglia (SOG) and thoracic ganglia to the generation of antenhal movements during visual tracking, walking and flight was investigated by the transection of connectives. Transection of one circumoesophageal connective abolished the movements and postures of the antenna ipsilateral to the lesion, while the contralateral antenna behaved normally. Simple antennal reflexes remained. Transection of one neck connective reduced fast components of antennal movements during tracking and walking. During flight the ipsilateral antenna could not be maintained in a prolonged forward position. Antenhal movements during tracking and walking appeared normal after transection of one connective between pro and mesothoracic ganglia. However, the antennal flight posture required uninterrupted connections between brain and mesothoracic ganglion. The ablation of more posterior ganglia had no effect on the antennal behaviours investigated. Recordings from an antennal motor nerve revealed a unilateral net excitation relayed via the SOG to the brain. Two ascending interneurones with activity closely correlated with antennal movements are candidates for such a relay function. The data show that the brain is not sufficient to generate antennal movements and postures as integral parts of several behaviours. The SOG and the thoracic ganglia are required in addition.</t>
  </si>
  <si>
    <t>60001490;60019722;60003915</t>
  </si>
  <si>
    <t>7801346983;7102580075;7005736995</t>
  </si>
  <si>
    <t>Horseman, B. G.;Gebhardt, M. J.;Honegger, H. W.</t>
  </si>
  <si>
    <t>Germany;United States;United Kingdom</t>
  </si>
  <si>
    <t>Munich;Nashville;Glasgow</t>
  </si>
  <si>
    <t>Technical University of Munich;Vanderbilt University;University of Glasgow</t>
  </si>
  <si>
    <t>60019722;60003915;60001490</t>
  </si>
  <si>
    <t>Horseman B.</t>
  </si>
  <si>
    <t>Involvement of the suboesophageal and thoracic ganglia in the control of antennal movements in crickets</t>
  </si>
  <si>
    <t>10.1007/s003590050106</t>
  </si>
  <si>
    <t>2-s2.0-0030770115</t>
  </si>
  <si>
    <t>['two foods', 'tannic acid', 'synthetic foods', 'single stadium', 'significant decrease', 'sensilla present', 'sensilla number', 'seen irrespective', 'seedling wheat', 'results suggest', 'partially reversed', 'olfactory sensilla', 'nutritional balance', 'nutrients present', 'maxillary palps', 'insects fed', 'higher number', 'fewer sensilla', 'exposing locusts', 'completely reversed', 'chemical complexity', 'carbohydrate ratios', 'amygdalin ).']</t>
  </si>
  <si>
    <t>Development | Diet | Locust | Locusta migratoria | Plasticity | Sensilla | Variability</t>
  </si>
  <si>
    <t>The effect of diet on the number of gustatory and olfactory sensilla was investigated in locusts. Insects fed for the final two stadia on nutritionally adequate synthetic foods have fewer sensilla on the maxillary palps and antennae than insects fed on the usual rearing diet of seedling wheat. This effect was seen irrespective of the nutritional balance of the foods and was independent of the concentration of nutrients present or the size of the insect. Supplying wheat odour to locusts fed synthetic foods had no effect on the number of sensilla present on the palps, but completely reversed the decrease in the number of olfactory sensilla of the antennae and partially reversed the decrease in the number of antennal uniporous trichoid sensilla. Locusts that were allowed to select between two nutritionally unbalanced but complementary synthetic foods had a higher number of sensilla on the maxillary palps than those fed individual synthetic foods, providing the two foods differed substantially in their protein:carbohydrate ratios. Insects also developed more sensilla if they were fed on two foods of identical nutritional composition but with different added flavours (1% tannic acid or amygdalin). Exposing locusts to synthetic foods for a single stadium did not cause any significant decrease in sensilla number. The results suggest that the number of sensilla that develop in a given sensory field is influenced by the variety of chemical stimuli experienced and the chemical complexity of the environment as provided by the presence of distinct individual sources of stimulation.</t>
  </si>
  <si>
    <t>2313-2321</t>
  </si>
  <si>
    <t>60026851;60026851</t>
  </si>
  <si>
    <t>7402160384;24339260900</t>
  </si>
  <si>
    <t>Rogers, S. M.;Simpson, S. J.</t>
  </si>
  <si>
    <t>Rogers S.</t>
  </si>
  <si>
    <t>Experience-dependent changes in the number of chemosensory sensilla on the mouthparts and antennae of Locusta migratoria</t>
  </si>
  <si>
    <t>2-s2.0-0030821350</t>
  </si>
  <si>
    <t>['surface electrodes', 'stimulation using', 'stimulation protocol', 'stimulation period', 'second stimulation', 'relative changes', 'reduced availability', 'protocol b', 'pi ),', 'phillips 1', 'nmr spectroscopy', 'muscle rehabilitation', 'metabolic changes', 'intracellular ph', 'finding relates', 'fatigue throughout', 'duty cycle', 'clinical application', 'calf musculature', '8 %);', '50 %);', '12 stimulations', '12 ).']</t>
  </si>
  <si>
    <t>Electrical stimulation | Energy metabolism | Nuclear magnetic resonance spectroscopy | Skeletal muscle</t>
  </si>
  <si>
    <t>The purpose of this study was to determine the acute physiologic effects of two electrical stimulation protocols commonly used for muscle rehabilitation. Surface electrodes were used to provide 12 stimulations of the calf musculature. In protocol A the duty cycle was fixed at 1: 1 (10- second stimulation:10-second rest); for protocol B it was 1:5 (10-second stimulation:50-second rest). We continuously recorded isometric plantarflexor force in six healthy male subjects during stimulation using a load cell connected to a foot pedal ergometer. Metabolic changes in the stimulated gastrocnemius muscle were monitored in the supine position using 31P-NMR spectroscopy (Phillips 1.5 tesla NMR machine). Relative changes in phosphocreatine (PCr), inorganic phosphate (Pi), and intracellular pH (pH(i)) were obtained during stimulation and recovery, using a 1.5cm RF surface antenna. Over the 12 stimulations, protocol A produced a significantly (p &lt; 0.001), greater force decline (protocol A: 30.4 ¬± 1.3%, protocol B: 13 ¬± 0.8%); a significantly (p &lt; 0.005), greater increase in Pi/PCr (protocol A: 210%, protocol B: 50%); and a significantly (p &lt;0.001), lower pHi (protocol A: 6.8 ¬± 0.16, protocol B: 7.03 ¬± 0.12). We conclude that the shorter duty cycle produces more fatigue throughout the stimulation period, possibly as a result of greater intracellular acidosis and reduced availability of the high energy phosphate PCr. The clinical application of this finding relates to the selection of a stimulation protocol that maximizes strength gains in atrophic vs healthy muscle.</t>
  </si>
  <si>
    <t>175-180</t>
  </si>
  <si>
    <t>Scandinavian Journal of Rehabilitation Medicine</t>
  </si>
  <si>
    <t>60032838;60010365;60010365;60010365;60030835</t>
  </si>
  <si>
    <t>7006744428;9634746100;7202305066;9633595400;7403502126</t>
  </si>
  <si>
    <t>Matheson, Gordon O.;Dunlop, Robert J.;McKenzie, Donald C.;Smith, Clyde F.;Allen, Peter S.</t>
  </si>
  <si>
    <t>United States;Canada;Canada</t>
  </si>
  <si>
    <t>Stanford;Edmonton;Vancouver</t>
  </si>
  <si>
    <t>Stanford University School of Medicine;University of Alberta;The University of British Columbia</t>
  </si>
  <si>
    <t>60032838;60030835;60010365</t>
  </si>
  <si>
    <t>Matheson G.</t>
  </si>
  <si>
    <t>Force output and energy metabolism during neuromuscular electrical stimulation: A &lt;sup&gt;13&lt;/sup&gt;P-NMR study</t>
  </si>
  <si>
    <t>2-s2.0-0030850817</t>
  </si>
  <si>
    <t>['ventral appendages', 'study investigates', 'proximal region', 'often results', 'normal patterning', 'homeotic genes', 'genetic address', 'dorsal versus', 'dll induces', 'dll expression', 'also participates']</t>
  </si>
  <si>
    <t>Distal-less | Dorsal-to-ventral limb transformation | Drosophila distal appendages | Vestigial</t>
  </si>
  <si>
    <t>This study investigates the role of the homeobox gene Distal-less (Dll) in the development of the legs, antennae, and wings of Drosophila. Lack of Dll function causes a change in the identity of ventral appendage cells (legs and antennae) that often results in the loss of the appendage. Ectopic Dll expression in the proximal region of ventral appendages induces nonautonomous duplication of legs and antennae by the activation of wingless and decapentaplegic. Ectopic Dll expression in dorsal appendages produces transformation into corresponding ventral appendages; wings and halteres develop cotopic legs and the head-eye region develops ectopic antennae. In the wing, the exogenous Dll product induces this transformation by activating the endogenous Dll gene and repressing the wing determinant gene vestigial. It is proposed that Dll induces the development of ventral appendages and also participates in a genetic address that specifies the identity of ventral appendages and discriminates the dorsal versus the ventral appendages in the adult. However, unlike other homeotic genes, Dll expression and function is not defined by a cell lineage border. Dll also performs a secondary and late function required for the normal patterning of the wing.</t>
  </si>
  <si>
    <t>2259-2271</t>
  </si>
  <si>
    <t>Genes and Development</t>
  </si>
  <si>
    <t>60026796;60026796;60026796</t>
  </si>
  <si>
    <t>6603249181;7005042080;7006977191</t>
  </si>
  <si>
    <t>Gorfinkiel, Nicole;Morata, Gin√©s;Guerrero, Isabel</t>
  </si>
  <si>
    <t>Universidad Aut√≥noma de Madrid</t>
  </si>
  <si>
    <t>Gorfinkiel N.</t>
  </si>
  <si>
    <t>The homeobox gene Distal-less induces ventral appendage development in Drosophila</t>
  </si>
  <si>
    <t>10.1101/gad.11.17.2259</t>
  </si>
  <si>
    <t>2-s2.0-0030987657</t>
  </si>
  <si>
    <t>['surface micromachining']</t>
  </si>
  <si>
    <t>Our project is the realization of monolithic loaded line phase shifters for hyperfrequency signals supplying planar antennas. Phase shifters include poly-Si microswitches taking the place of the usual PIN diodes. To this aim, undoped polysilicon cantilever beams were produced by surface micromachining. Results on the stress non uniformity and the stiction problem encountered during the process are reported.</t>
  </si>
  <si>
    <t>159-161</t>
  </si>
  <si>
    <t>Journal of Micromechanics and Microengineering</t>
  </si>
  <si>
    <t>60008134;60008134;60008134;60008134</t>
  </si>
  <si>
    <t>7202090692;6603461619;7102643557;56279054800</t>
  </si>
  <si>
    <t>Lucas, S.;Kis-Sion, K.;Pinel, J.;Bonnaud, O.</t>
  </si>
  <si>
    <t>Lucas S.</t>
  </si>
  <si>
    <t>Polysilicon cantilever beam using surface micromachining technology for application in microswitches</t>
  </si>
  <si>
    <t>S0960131797831555</t>
  </si>
  <si>
    <t>10.1088/0960-1317/7/3/021</t>
  </si>
  <si>
    <t>2-s2.0-0031223152</t>
  </si>
  <si>
    <t>SRC</t>
  </si>
  <si>
    <t>['testing time', 'testing current', 'slope dv', 'noise level', 'measurements using', 'measurement system', 'letter investigates', 'lack sensitiv', 'involves tradeoffs', 'initial charging', 'high sensitivity', 'gate oxides', 'gate material', 'damage testing', 'damage sensitivity', 'charge damage', 'capacitor testing', 'antenna ratio', 'accelerated charge']</t>
  </si>
  <si>
    <t>This letter investigates the sensitivity and limitation of capacitor testing for measuring potential charging damage to gate oxides after a given plasma step. Ramp breakdown measurements are quick and easy to automate but lack sensitiv-ity. Accelerated charge-to-breakdown measurements offers better sensitivity but with long measurement times. V-t measurements using the slope dV/dt after initial charging is found to be very sensitive to charge damage. The damage sensitivity of this method is high and involves tradeoffs between antenna ratio, testing current and testing time. All of which are critical to damage testing. Leakage measurements offers short measurement times and high sensitivity but are limited by the noise level of the measurement system and by the need to make good probe contact to the gate material.</t>
  </si>
  <si>
    <t>420-422</t>
  </si>
  <si>
    <t>60000251-60012708;60000251-60012708;60000251-60012708</t>
  </si>
  <si>
    <t>7403725137;6506492475;57208456003</t>
  </si>
  <si>
    <t>Ma, Shawming;Abdel-Ati, Wael L.N.;McVittie, James P.</t>
  </si>
  <si>
    <t>Palo Alto;New York</t>
  </si>
  <si>
    <t>Stanford University;IEEE</t>
  </si>
  <si>
    <t>60012708;60000251</t>
  </si>
  <si>
    <t>Ma S.</t>
  </si>
  <si>
    <t>Sensitivity and limitations of plasma charging damage measurements using MOS capacitors structures</t>
  </si>
  <si>
    <t>S0741310697066767</t>
  </si>
  <si>
    <t>10.1109/55.622516</t>
  </si>
  <si>
    <t>2-s2.0-0031232889</t>
  </si>
  <si>
    <t>['recently opened', 'received power', 'rain observation', 'nonstationary case', 'new quantity', 'logarithmic detection', 'law detection', 'appropriately describe']</t>
  </si>
  <si>
    <t>We examine a problem, recently opened up by Jameson and Kostinski, of statistics for radar rain echoes in a nonstationary case such as the observation of rain by a moving antenna beam. We study this problem under the framework of the standard fluctuation theory of Marshall and Hitschfeld. We obtain the exact nonstationary probability density function (pdf) for an average of n mutually independent samples of the received power in the square-law detection, and an approximate nonstationary pdf in the logarithmic detection. We find that the concept of bias does not appropriately describe the effect of antenna beam movement during the sampling. We introduce a new quantity to assess the effect of antenna beam movement on rain observation by radars.</t>
  </si>
  <si>
    <t>1094-1104</t>
  </si>
  <si>
    <t>IEEE Transactions on Geoscience and Remote Sensing</t>
  </si>
  <si>
    <t>60009885;60009885</t>
  </si>
  <si>
    <t>7003434877;7201587916</t>
  </si>
  <si>
    <t>Awaka, Jun;Iguchi, Toshio</t>
  </si>
  <si>
    <t>Awaka J.</t>
  </si>
  <si>
    <t>On averages of radar rain echoes in nonstationary conditions</t>
  </si>
  <si>
    <t>10.1109/36.628777</t>
  </si>
  <si>
    <t>2-s2.0-0031232914</t>
  </si>
  <si>
    <t>['uses fourth', 'unknown response', 'signals resolvable', 'search procedure', 'require calibration', 'order statistics', 'maximum number', 'larger class', 'finding method', 'comparable second', 'based method', 'based direction', 'array may', 'antenna array']</t>
  </si>
  <si>
    <t>We present a subspace-based direction-finding method for coherent signal environments using an antenna array. Our method, which uses fourth-order statistics, is capable of resolving more signals than a comparable second-order statistics-based subspace method and is applicable to a larger class of arrays. The maximum number of signals resolvable with our method may exceed the number of sensors in the array. Only a uniform linear subarray is needed; the rest of the array may have arbitrary and unknown response and does not require calibration. On the other hand, the comparable second-order statistics-based method is limited to uniform linear arrays only. No search procedure is needed in our method. Simulation experiments supporting our conclusions are provided.</t>
  </si>
  <si>
    <t>2265-2276</t>
  </si>
  <si>
    <t>1053587X</t>
  </si>
  <si>
    <t>IEEE Transactions on Signal Processing</t>
  </si>
  <si>
    <t>100335825;100335825;100335825</t>
  </si>
  <si>
    <t>6603052081;7102747808;7102837974</t>
  </si>
  <si>
    <t>Gonen, Egemen;Mendel, Jerry M.;Dogan, Mithat C.</t>
  </si>
  <si>
    <t>San Jose</t>
  </si>
  <si>
    <t>Globalstar</t>
  </si>
  <si>
    <t>Gonen E.</t>
  </si>
  <si>
    <t>Applications of cumulants to array processing - Part IV: Direction finding in coherent signals case</t>
  </si>
  <si>
    <t>10.1109/78.622949</t>
  </si>
  <si>
    <t>2-s2.0-0031232915</t>
  </si>
  <si>
    <t>['terahertz region', 'result indicates', 'photoconductive antenna', 'optical beats', 'longitudinal modes', 'ld ).', 'frequency multiples', 'current modulations']</t>
  </si>
  <si>
    <t>Multimode LD | Photoconductive antenna | Photomixing | Sub-terahertz radiation</t>
  </si>
  <si>
    <t>Multiple-frequency coherent radiation in the sub-terahertz region was generated by excitation of a photoconductive antenna with a commercially available multimode laser diode (LD). The origin of the radiation was the current modulations in the photoconductive antenna caused by the optical beats between the longitudinal modes of the LD. An interferometric spectral measurement showed line spectra at frequency multiples of 52 GHz beyond 400 GHz. This result indicates that the photoconductive antenna with a multimode LD excitation can achieve a wavelength-selectable coherent radiation source in the sub-terahertz region with a very simple and compact device configuration.</t>
  </si>
  <si>
    <t>282-284</t>
  </si>
  <si>
    <t>60092258;60092258;60092258;60024322</t>
  </si>
  <si>
    <t>7202550229;56675377000;7404662230;7005397782</t>
  </si>
  <si>
    <t>Tani, Masahiko;Matsuura, Shuji;Sakai, Kiyomi;Hangyo, Masanori</t>
  </si>
  <si>
    <t>Ministry of Posts and Telecommunications, Japan;Osaka University</t>
  </si>
  <si>
    <t>60092258;60024322</t>
  </si>
  <si>
    <t>Tani M.</t>
  </si>
  <si>
    <t>Multiple-frequency generation of sub-terahertz radiation by multimode LD excitation of photoconductive antenna</t>
  </si>
  <si>
    <t>S105182079706176X</t>
  </si>
  <si>
    <t>10.1109/75.622540</t>
  </si>
  <si>
    <t>2-s2.0-0031232971</t>
  </si>
  <si>
    <t>['steiner trees', 'star types', 'star type', 'significant reduction', 'robustness compared', 'large networks', 'hexagonal layouts', 'flexible architectures', 'determine cost', 'cable lengths', 'architecture provides']</t>
  </si>
  <si>
    <t>CDMA | Cellular systems | Distributed antennas | Leaky feeder antennas | Optical fiber systems | Personal communication networks | Steiner trees</t>
  </si>
  <si>
    <t>Microcellular and distributed antenna systems are two promising candidates for implementing personal communication systems. In this paper, antenna interconnection strategies for these systems are studied in order to determine cost-efficient as well as robust and flexible architectures in hexagonal layouts. To this end, some results from minimal networks theory are used, in particular, those dealing with the problem of Steiner trees. The significant reduction in conduit and cable lengths that the Steiner minimal tree (SMT) architecture provides over the star type, especially in large networks, is demonstrated. It is further shown that the SMT architecture also provides more flexibility and robustness compared to the star type. The suboptimal, but easy-to-construct, minimal spanning tree (MST) architecture is given as well, and it is compared to the SMT and star types.</t>
  </si>
  <si>
    <t>1327-1336</t>
  </si>
  <si>
    <t>60016849-60004305-101720493-60016435;60000251-60016849-60029311-112495870</t>
  </si>
  <si>
    <t>6603917247;7004889537</t>
  </si>
  <si>
    <t>Yanikomeroglu, Halim;Sousa, Elvino S.</t>
  </si>
  <si>
    <t>United States;Canada;Canada;Turkey;United States;;Turkey</t>
  </si>
  <si>
    <t>Los Angeles;Toronto;Toronto;Ankara;New York;;Ankara</t>
  </si>
  <si>
    <t>University of Southern California;University of Toronto;Ontario Hydro Technologies;Middle East Technical University (METU);IEEE;Nat. Sci. Eng. Res. Cncl. Canada U;R. D. Grp. Marconi Kominikasyon A.S.</t>
  </si>
  <si>
    <t>60029311;60016849;60016435;60004305;60000251;112495870;101720493</t>
  </si>
  <si>
    <t>Yanikomeroglu H.</t>
  </si>
  <si>
    <t>Antenna interconnection strategies for personal communication systems</t>
  </si>
  <si>
    <t>S0733871697058484</t>
  </si>
  <si>
    <t>10.1109/49.622915</t>
  </si>
  <si>
    <t>2-s2.0-0031233374</t>
  </si>
  <si>
    <t>['wave field', 'wave antenna', 'usual case', 'thus include', 'tangential fields', 'specific leaky', 'size aperture', 'single layer', 'simple source', 'radiation pattern', 'practical case', 'layers act', 'large distances', 'guiding structure', 'ground plane', 'either circular', 'efficiently calculate', 'efficient calculation', 'dipole source', 'dipole inside', 'dielectric leaky', 'broadside beam', 'beam structures']</t>
  </si>
  <si>
    <t>The dielectric leaky-wave antenna considered here consists of multiple dielectric layers above a ground plane, with a simple source such as a dipole inside the layers. The layers act as a guiding structure for the radiating leaky wave field, which propagates radially outward from the dipole source. Such an antenna may produce either a broadside beam or a scanned conical beam, depending on the chosen scan angle. For the practical case of a finite-size aperture, the radiation pattern is determined by integration of the tangential fields over the aperture. For narrow-beam structures the leaky-wave field on the aperture may extend to large distances, and hence it is important to have an efficient calculation of the radiation pattern for such cases. It is shown here how to efficiently calculate the radiation pattern for a dielectric leaky-wave antenna having a finite-size aperture that is either circular or rectangular in shape. The derived formulas apply for a dipole source inside any type of dielectric layer structure, and thus include the usual case of a microstrip antenna element on a single layer, as well as the more specific leaky-wave antenna structure considered here. ¬© 1997 Taylor &amp; Francis.</t>
  </si>
  <si>
    <t>505-535</t>
  </si>
  <si>
    <t>60019722;60019722;60019722;60005837</t>
  </si>
  <si>
    <t>6602853161;6508110503;7003783890;7404289310</t>
  </si>
  <si>
    <t>Ostner, H.;Schmidhammer, E.;Detlefsen, J.;Jackson, D. R.</t>
  </si>
  <si>
    <t>Munich;Houston</t>
  </si>
  <si>
    <t>Technical University of Munich;University of Houston</t>
  </si>
  <si>
    <t>60019722;60005837</t>
  </si>
  <si>
    <t>Ostner H.</t>
  </si>
  <si>
    <t>Radiation from dielectric leaky-wave antennas with circular and rectangular apertures</t>
  </si>
  <si>
    <t>10.1080/02726349708908557</t>
  </si>
  <si>
    <t>2-s2.0-0031233538</t>
  </si>
  <si>
    <t>['wetness profiles', 'soil interfaces', 'monopole antenna', 'field measurements', 'capacitive sensors', '2 ghz', '100 mhz']</t>
  </si>
  <si>
    <t>As an alternative to TDR or capacitive sensors, a monopole antenna has been tested for field measurements of liquid water content in both soil and snow. The frequency of operation is in the range of 100 MHz up to 2 GHz. Comparative field measurements of wetness profiles at snow-soil interfaces are shown.</t>
  </si>
  <si>
    <t>1371-1375</t>
  </si>
  <si>
    <t>Denoth, A.</t>
  </si>
  <si>
    <t>Innsbruck</t>
  </si>
  <si>
    <t>Universit√§t Innsbruck</t>
  </si>
  <si>
    <t>Denoth A.</t>
  </si>
  <si>
    <t>Monopole-antenna: A practical snow and soil wetness sensor</t>
  </si>
  <si>
    <t>10.1109/36.628804</t>
  </si>
  <si>
    <t>2-s2.0-0031234713</t>
  </si>
  <si>
    <t>['technological advances', 'strategic area', 'smart antennas', 'next millennium', 'many within', 'european community', 'advanced communications', 'adaptive antennas']</t>
  </si>
  <si>
    <t>Adaptive antennas are now regarded by many within the wireless communications industry as a core system component in futuregeneration mobile networks. In order to promote European research and development in this strategic area, the Commission of the European Community has funded, through the Research into Advanced Communications in Europe, RACE, and now the Advanced Communications Technologies and Services, ACTS, programs, the Technology in Smart Antennas for Universal Advanced Mobile Infrastructure, TSUNAMI, consortium in order to further technological advances for the next millennium, as reported here.</t>
  </si>
  <si>
    <t>102-109</t>
  </si>
  <si>
    <t>60020650-60002947-60059594;60020650;60020650-100483788</t>
  </si>
  <si>
    <t>7004302468;7102568206;7102001714</t>
  </si>
  <si>
    <t>Tsoulos, George;Beach, Mark;McGeehan, Joe</t>
  </si>
  <si>
    <t>Greece;United Kingdom;Greece;United Kingdom</t>
  </si>
  <si>
    <t>Athens;Bristol;Athens;</t>
  </si>
  <si>
    <t>Technical Chamber of Greece;University of Bristol;National Technical University of Athens;IEE</t>
  </si>
  <si>
    <t>60059594;60020650;60002947;100483788</t>
  </si>
  <si>
    <t>Tsoulos G.</t>
  </si>
  <si>
    <t>Wireless personal communications for the 21st century: European technological advances in adaptive antennas</t>
  </si>
  <si>
    <t>10.1109/35.620531</t>
  </si>
  <si>
    <t>2-s2.0-0031234980</t>
  </si>
  <si>
    <t>['strain rco1', 'strain 2', 'sphaeroides r26', 'simple model', 'reaction center', 'rc encircled', 'rc change', 'plausibly caused', 'lh1 show', 'isolated rcs', 'harvesting antenna', 'experiments combined', 'excitonic interaction', 'dipole strength', 'coupling term', 'computer simulations', 'approximately 884', '901 nm', '887 nm', '5 k', '1 show']</t>
  </si>
  <si>
    <t>The interaction between the light-harvesting antenna (LH1) and the reaction center (RC) in the photosynthetic purple bacteria Rhodobacter sphaeroides R26 and strain 2.4.1 was studied with low-temperature (1.5 K) absorbance-detected magnetic resonance (ADMR) experiments combined with computer simulations. The triplet-minus-singlet (T-S) spectra of chromatophores of Rb. sphaeroides R26 and strain 2.4.1 show an extra positive component at approximately 884 and 887 nm, respectively, and an extra negative component at 897 and 901 nm, respectively, when compared to RCs of Rb. sphaeroides R26 and strain RCO1. Computer simulations using a simple model of the RC encircled by the antenna of LH1 show that the dipole strength and energies of the second-lowest exciton component of the antenna and the RC change when the coupling term between the RC and antenna is included in the Hamiltonian of the system. Thus the difference in the shape of the ADMR-detected T-S spectra of isolated RCs (or strain RCO1 chromatophores) and chromatophores is plausibly caused by a change in the excitonic interaction between the RC and antenna.</t>
  </si>
  <si>
    <t>7197-7204</t>
  </si>
  <si>
    <t>60019816;60019816;60019816</t>
  </si>
  <si>
    <t>7102321623;7103325525;8247663200</t>
  </si>
  <si>
    <t>Owen, Gabrielle M.;Hoff, Arnold J.;Jones, Michael R.</t>
  </si>
  <si>
    <t>Owen G.</t>
  </si>
  <si>
    <t>Excitonic interactions between the reaction center and antennae in purple photosynthetic bacteria</t>
  </si>
  <si>
    <t>10.1021/jp9633759</t>
  </si>
  <si>
    <t>2-s2.0-0031235424</t>
  </si>
  <si>
    <t>['without bias', 'two states', 'transponder responds', 'line interrogator', 'incidence direction', 'fields retransmitted', 'db difference', 'array transponder', '80 ¬∞),', '5 db', '106 ¬∞']</t>
  </si>
  <si>
    <t>Broad responding beam | Planar array transponder | Transponder | Van Atta array design</t>
  </si>
  <si>
    <t>A new planar array transponder, including four active receiving-transmitting microstrip antenna pairs, were demonstrated by using the Van Atta array design. The fields retransmitted by all the antenna pairs spatially combine in the wave-incidence direction while interfere with each other in other directions, so that the transponder responds the signal only to the on-line interrogator. The measured 10 dB (5 dB) responding beam width for the array transponder is 106¬∞ (80¬∞), which is approximately the same as that of a transponder with a single antenna pair. Also, the measured radar cross section (RCS) patterns for the transponder at the on state (with bias) and off state (without bias) were compared. More than 20-dB difference between the patterns of these two states has been observed.</t>
  </si>
  <si>
    <t>297-299</t>
  </si>
  <si>
    <t>60012370;60000251-60012370</t>
  </si>
  <si>
    <t>7501609440;55469205300</t>
  </si>
  <si>
    <t>Chen, Hung Tu;Chung, Shyh Jong</t>
  </si>
  <si>
    <t>Hsinchu;New York</t>
  </si>
  <si>
    <t>National Chiao Tung University;IEEE</t>
  </si>
  <si>
    <t>60012370;60000251</t>
  </si>
  <si>
    <t>Chen H.</t>
  </si>
  <si>
    <t>Design of a planar array transponder with broad responding beam</t>
  </si>
  <si>
    <t>S1051820797061795</t>
  </si>
  <si>
    <t>10.1109/75.622547</t>
  </si>
  <si>
    <t>2-s2.0-0031236183</t>
  </si>
  <si>
    <t>['œ ∂', 'œ ±', 'theoretical aspects', 'target attributes', 'system parameters', 'scattering mechanisms', 'sar interferometry', 'random variable', 'point targets', 'physical height', 'phase statistics', 'obtained experimentally', 'numerical simulations', 'inversely proportional', 'interferometric sar', 'interferogram phase', 'insar ),', 'general tool', 'forest canopy', 'equivalence relationship', 'distributed targets', 'distributed target', 'directly related', 'conventional applications', 'canopy top', 'analytical form', 'also shown']</t>
  </si>
  <si>
    <t>In this paper the theoretical aspects of estimating vegetation parameters from SAR interferometry are presented. In conventional applications of interferometric SAR (INSAR), the phase of the interferogram is used to retrieve the location of the scattering phase center of the target. Although the location of scattering phase center for point targets can be determined very accurately, for a distributed target such as a forest canopy this is not the case. For distributed targets the phase of the interferogram is a random variable which in general is a function of the system and target attributes. To relate the statistics of the interferogram phase to the target attributes, first an equivalence relationship between the two-antenna interferometer system and an equivalent Œîk radar system is established. This equivalence relationship provides a general tool to related the frequency correlation function (FCF) of distributed targets, which can conveniently be obtained experimentally, analytically, or numerically, to the phase statistics of the interferogram. An analytical form for the p.d.f. of the interferogram phase is obtained in terms of two independent parameters: 1) Œ∂: mean phase and 2) Œ±: degree of correlation. Œ∂ is proportional to the scattering phase center and Œ± is inversely proportional to the uncertainty with which Œ∂ can be estimated. It is shown that Œ± is directly related to the FCF of the distributed target which in turn is a function of scattering mechanisms and system parameters. It is also shown that for a uniform closed canopy the extinction and the physical height of the canopy top can be estimated very accurately. Some analytical and numerical simulations are demonstrated.</t>
  </si>
  <si>
    <t>1267-1276</t>
  </si>
  <si>
    <t>Sarabandi, Kamal</t>
  </si>
  <si>
    <t>Sarabandi K.</t>
  </si>
  <si>
    <t>Œîk-radar equivalent of interferometric SAR's: A theoretical study for determination of vegetation height</t>
  </si>
  <si>
    <t>10.1109/36.628793</t>
  </si>
  <si>
    <t>2-s2.0-0031236247</t>
  </si>
  <si>
    <t>['tests using', 'site measurements', 'scanning radar', 'realized using', 'radar transmitters', 'pulsed environment', 'peak values', 'new method', 'improved solution', 'four parameters', 'diode detector', 'detector characteristics', 'designed specifically']</t>
  </si>
  <si>
    <t>A new method for measuring true root mean square (RMS) and peak values of electric field strength generated by a scanning radar has been realized using an electric field meter with an isotropic probe based on a diode detector, designed specifically for applications in a pulsed environment. The method is based on a compensation of the detector's inertia for measuring short pulses with a low duty cycle ratio. Correction curves required for such compensation are generated by simulating the detector characteristics and four parameters of a scanning radar antenna. Tests using on-site measurements of a typical airport surveillance radar demonstrate an improved solution for pulsed field measurements during normal operating modes of radar transmitters.</t>
  </si>
  <si>
    <t>60008408;60008408</t>
  </si>
  <si>
    <t>6602112059;7006201263</t>
  </si>
  <si>
    <t>Simunic, Dina;Koren, Zlatko</t>
  </si>
  <si>
    <t>Croatia</t>
  </si>
  <si>
    <t>Zagreb</t>
  </si>
  <si>
    <t>University of Zagreb</t>
  </si>
  <si>
    <t>Simunic D.</t>
  </si>
  <si>
    <t>Electric field measurement of a scanning radar antenna</t>
  </si>
  <si>
    <t>2-s2.0-0031236658</t>
  </si>
  <si>
    <t>['wll system', 'wll simulator', 'vital role', 'system capacity', 'space propagation', 'rural areas', 'reverse links', 'result shows', 'reduced interference', 'narrowbeam antennas', 'low power', 'interference ratio', 'house antenna', 'higher capacity', 'high spots', 'fast fading', 'effective means', 'center cell', 'calculated separately', 'beam width', 'base station', 'analytically derived', 'analytical solution', 'also built', '2 ].']</t>
  </si>
  <si>
    <t>The wireless local loop (WLL) system is a local telephone system without wireline connection. It is believed to be a fast and cost-effective means to provide local phone service in rural areas and third world countries. WLL is a fixed radio communication system; narrowbeam antennas can be employed at both the base station and subscriber's side at high spots so that the propagation between base station and house is very close to free space propagation. This gives the WLL system many inherent advantages over the traditional cellular system, such as bigger coverage area, low power, reduced interference, higher capacity, no fast fading, and no handoff [1-2]. In this article ideal multiple-tier hexagonal cells are used to derive the capacity of a CDMA WLL system. First, the reverse link interference from each tier to the center cell is calculated separately. Then, the interference ratio of reverse links in a WLL system is analytically derived as a function of total tier number. The result shows that interference from other cells is proportional to the beam width of the house antenna. The authors also found that tier number plays a vital role in system capacity in a free-space propagation (20dB/dec) environment. At the extreme, the system capacity will drop to zero for an infinite-tier cell structure. A WLL simulator is also built to verify the authors' analytical solution.</t>
  </si>
  <si>
    <t>60008652-60002873-60014982-60021378-60024590;60008652-100360845-60014966</t>
  </si>
  <si>
    <t>55658055134;56164326200</t>
  </si>
  <si>
    <t>Lee, David;Xu, Ce</t>
  </si>
  <si>
    <t>United States;United States;Taiwan;China;United Kingdom;United States;United States</t>
  </si>
  <si>
    <t>Schaumburg;Murray;Tainan;Beijing;Newbury;Chicago;New Orleans</t>
  </si>
  <si>
    <t>Motorola;Nokia Bell Labs;National Cheng Kung University;Peking University;Vodafone;Illinois Institute of Technology;Louisiana State University</t>
  </si>
  <si>
    <t>60024590;60021378;60014982;60014966;60008652;60002873;100360845</t>
  </si>
  <si>
    <t>Lee D.</t>
  </si>
  <si>
    <t>The effect of narrowbeam antenna and multiple tiers on system capacity in CDMA wireless local loop</t>
  </si>
  <si>
    <t>10.1109/35.620532</t>
  </si>
  <si>
    <t>2-s2.0-0031236698</t>
  </si>
  <si>
    <t>['spherical cavities', 'several examples', 'results derived', 'numerically stable', 'difference time']</t>
  </si>
  <si>
    <t>Finite-difference time-domain (fdtd) | Locally conformal grid | Maxwell solver</t>
  </si>
  <si>
    <t>A novel conformal finite-difference time-domain (CFDTD) technique for locally distorted contours that accurately model curved metallic objects is presented in this paper. This approach is easy to implement and is numerically stable. Several examples are presented to demonstrate that the new method yields results that are far more accurate than those generated by the conventional staircasing approach. Example geometries include cylindrical and spherical cavities, and a circular microstrip patch antenna. Accuracy of the scheme is demonstrated by comparing the results derived from analytical and Method of Moments (MoM) techniques.</t>
  </si>
  <si>
    <t>273-275</t>
  </si>
  <si>
    <t>60001439;60001439</t>
  </si>
  <si>
    <t>7402866405;55197051100</t>
  </si>
  <si>
    <t>Dey, Supriyo;Mittra, Raj</t>
  </si>
  <si>
    <t>Dey S.</t>
  </si>
  <si>
    <t>A locally conformal finite-difference time-domain (FDTD) algorithm for modeling three-dimensional perfectly conducting objects</t>
  </si>
  <si>
    <t>S1051820797061734</t>
  </si>
  <si>
    <t>10.1109/75.622536</t>
  </si>
  <si>
    <t>2-s2.0-0031236750</t>
  </si>
  <si>
    <t>['well fit', 'wavelength dependence', 'unbalanced modes', 'present measurements', 'polarization response', 'polarization ellipse', 'modes excited', 'major axis', '7 œºm']</t>
  </si>
  <si>
    <t>Infrared antenna | Infrared detector | Metal-oxide-metal diodes | Polarization | Spiral antenna</t>
  </si>
  <si>
    <t>We present measurements on the polarization response of Ni-NiO-Ni diodes coupled to asymmetric spiral antennas. Our data are for the wavelength dependence of the orientation of the major axis of the polarization ellipse over the wavelength range 10.2-10.7 Œºm. The data are well fit by a two-wire antenna model. We find that the modes excited on the antenna are a combination of the balanced and unbalanced modes of a two-wire lossy transmission line. ¬© 1997 Optical Society of America.</t>
  </si>
  <si>
    <t>6485-6490</t>
  </si>
  <si>
    <t>60025858;60022144;60025858;60029158;60025858</t>
  </si>
  <si>
    <t>6603761497;7006366203;57197895047;7004309911;7003556999</t>
  </si>
  <si>
    <t>Fumeaux, C.;Boreman, G. D.;Herrmann, W.;Rothuizen, H.;Kneub√ºhl, F. K.</t>
  </si>
  <si>
    <t>Switzerland;Switzerland;United States</t>
  </si>
  <si>
    <t>Ruschlikon;Zurich ZH,;Orlando</t>
  </si>
  <si>
    <t>IBM Research - Zurich;ETH Zurich;University of Central Florida</t>
  </si>
  <si>
    <t>60029158;60025858;60022144</t>
  </si>
  <si>
    <t>Polarization response of asymmetric-spiral infrared antennas</t>
  </si>
  <si>
    <t>10.1364/AO.36.006485</t>
  </si>
  <si>
    <t>2-s2.0-0031236956</t>
  </si>
  <si>
    <t>['sidelobe level', 'rcs levels', 'ray based', 'proper shaping', 'physical size', 'physical investigation', 'new antenna', 'high frequency', 'detailed numerical', 'categorized according', 'antenna system', 'antenna gain', '25 db']</t>
  </si>
  <si>
    <t>RCS (Radar Cross Section) reduction by proper shaping is applied to the problem of reducing the RCS levels of a center fed parabolic reflector antenna system such that antenna gain, sidelobe level, and physical size of the reflector are preserved. A detailed numerical - physical investigation of the electromagnetic scattering phenomena associated with parabolic reflector antennas is presented. The electromagnetic scattering phenomenon are identified and categorized according to their contributions to the overall RCS level of the antenna system. The dominant scattering phenomena is used to formulate a low RCS design requirement for the design of low RCS reflector antennas. These antennas have radiation characteristics similar to center fed parabolic antennas, but have greatly reduced RCS levels. A new low RCS reflector antenna system is designed to replace an existing center fed parabolic reflector antenna system. The new antenna is designed by combining a high frequency, ray based, reflector design technique with the low RCS design requirements. The newly designed low RCS reflector antenna system is found to have transmitting characteristics similar to that of the original center fed reflector parabolic antenna but with RCS levels reduced by up to 25 dB. ¬© 1997 Taylor &amp; Francis.</t>
  </si>
  <si>
    <t>467-481</t>
  </si>
  <si>
    <t>60008609;60008609;60008609</t>
  </si>
  <si>
    <t>6603636914;7102201391;7004359712</t>
  </si>
  <si>
    <t>Reuster, Daniel D.;Thiele, Gary A.;Eloe, Paul W.</t>
  </si>
  <si>
    <t>Dayton</t>
  </si>
  <si>
    <t>University of Dayton</t>
  </si>
  <si>
    <t>Reuster D.</t>
  </si>
  <si>
    <t>Development of a low rcs reflector antenna</t>
  </si>
  <si>
    <t>10.1080/02726349708908555</t>
  </si>
  <si>
    <t>2-s2.0-0031238139</t>
  </si>
  <si>
    <t>BNS-8709890</t>
  </si>
  <si>
    <t>['volatile alcohols', 'ventral surface', 'term fluctuations', 'stimulated activity', 'stereotypical waveforms', 'spontaneous activity', 'several units', 'sensory units', 'scorpions appear', 'peg sensilla', 'normal period', 'neural response', 'mechanical deflection', 'mandibulate arthropods', 'identifiable units', 'function similarly', 'examine spontaneous', 'dimensional arrays', 'dependent patterns', 'contact stimulation', 'called pegs', 'broadly sensitive', 'anatomical criteria', 'action potentials']</t>
  </si>
  <si>
    <t>Chemosensory | Electrophysiology | Mechanosensory | Pectine | Scorpion</t>
  </si>
  <si>
    <t>By behavioral and anatomical criteria, the pectinal sensory appendages of scorpions appear to be chemoreceptive organs specialized for detection of substances on substrates. These comb-like, midventral appendages contain tens of thousands of minute (&lt; 5 Œºm), truncated setae, called pegs, arranged in dense, two-dimensional arrays on the ventral surface. In this study we used extracellular recording techniques to examine spontaneous and stimulated activity of sensory neurons within individual pegs. Chronic recordings lasting several days showed long-term fluctuations in spontaneous activity of sensory units in single peg sensilla, with peak activity coinciding with the animal's normal period of foraging. Several units were identified by the stereotypical waveforms of action potentials they elicit. Near-range olfactory stimulation of peg sensilla by volatile alcohols, aldehydes, ketones, esters, and carboxylic acids produced dose-dependent patterns of neural response. Contact stimulation with these chemicals, or water, or mechanical deflection of the peg tip also evoked activity in identifiable units. The peg sensilla appear to be broadly sensitive to odorants and tastants, suggesting they function similarly to the antennae of mandibulate arthropods.</t>
  </si>
  <si>
    <t>291-300</t>
  </si>
  <si>
    <t>60030931-60013402;60013402</t>
  </si>
  <si>
    <t>6602133624;6604043002</t>
  </si>
  <si>
    <t>Gaffin, D. D.;Brownell, P. M.</t>
  </si>
  <si>
    <t>Norman;Corvallis</t>
  </si>
  <si>
    <t>University of Oklahoma;Oregon State University</t>
  </si>
  <si>
    <t>60030931;60013402</t>
  </si>
  <si>
    <t>Gaffin D.</t>
  </si>
  <si>
    <t>Response properties of chemosensory peg seasilia on the pectines of scorpions</t>
  </si>
  <si>
    <t>10.1007/s003590050115</t>
  </si>
  <si>
    <t>2-s2.0-0031239284</t>
  </si>
  <si>
    <t>['varying size', 'situ study', 'oligomeric antenna', 'noncoherent transfer', 'harvesting antenna', 'exciton dynamics', 'developed theory', 'determined microscopically', 'delocalized excitation', 'chlorosomal light', 'antenna size']</t>
  </si>
  <si>
    <t>Functional model | Light-harvesting antenna | Oligomerization of photosynthetic pigments</t>
  </si>
  <si>
    <t>Considering the functioning of the chlorosomal light-harvesting antenna, the theory of noncoherent transfer of the energy of delocalized excitation over an oligomeric antenna was developed, and the exciton dynamics was studied as a function of antenna size. A picosecond in situ study of exciton dynamics in antennae of varying size (determined microscopically) demonstrated full consistency of the developed theory with the experiment.</t>
  </si>
  <si>
    <t>729-733</t>
  </si>
  <si>
    <t>Timpmann K.</t>
  </si>
  <si>
    <t>Oligomerization of light-harvesting pigments as a structural factor optimizing the photosynthetic antenna function. IV. Functional model of an oligomeric antenna of green bacteria</t>
  </si>
  <si>
    <t>2-s2.0-0031326983</t>
  </si>
  <si>
    <t>['type species', 'stillwellorum howden', 'sleeperi howden', 'size small', 'rotundipenis howden', 'rileyi howden', 'podostena howden', 'podostena bottimeri', 'podolasiini howden', 'podolasia harold', 'peninsularis howden', 'new tribe', 'new species', 'new genus', 'longipenis howden', 'litoralis howden', 'lavignei howden', 'junior synonym', 'howden ),', 'geographic patterns', 'females flightless', 'either genus', 'antenna 8']</t>
  </si>
  <si>
    <t>A new tribe, Podolasiini Howden, is proposed for two closely related melolonthine genera: Podolasia Harold and Podostena Howden, new genus. Major tribal characters are: size small (total length less than 10 mm); mouthparts greatly reduced, hidden under clypeus: clypeus elevated basally; antenna 8- or 9-segmented; antennal club 3-segmented, small, oval; abdominal sternites 2-5 connate medially; tarsal claws simple, slender, posterior claws equal; females flightless. Podolasia Harold includes nine species, of which four are new: P. lavignei Howden, new species, from San Luis Potosi, P. stillwellorum Howden, new species, from Texas, P. longipenis Howden, new species, from Durango, and P. rotundipenis Howden, new species, from Durango and Chihuahua. Podolasia saylori Howden is placed as a junior synonym of P. peninsularis Howden. Podostena Howden, new genus, includes the type species, Pt. bottimeri (Howden), and Pt. rileyi Howden, new species, from Texas, Pt. sleeperi Howden, new species, and Pt. litoralis Howden, new species, both from Baja California Sur. The first known female of a species in either genus, Podostena bottimeri, is described. All species of both genera are keyed and illustrated. Relationships within Podolasia and its out group, Podostena, are discussed and the geographic patterns are mapped.</t>
  </si>
  <si>
    <t>223-255</t>
  </si>
  <si>
    <t>0010065X</t>
  </si>
  <si>
    <t>Coleopterists Bulletin</t>
  </si>
  <si>
    <t>Howden, H. F.</t>
  </si>
  <si>
    <t>Muse√© canadien de la nature</t>
  </si>
  <si>
    <t>Howden H.</t>
  </si>
  <si>
    <t>Podolasiini Howden, new tribe, and a revision of the included genera, Podolasia Harold and Podostena Howden, new genus (coleoptera: scarabaeidae: melolonthinae)</t>
  </si>
  <si>
    <t>2-s2.0-0031390693</t>
  </si>
  <si>
    <t>['world basis', 'type locality', 'right antenna', 'revised catalog', 'north america', 'lectotype specimens', 'known species', 'grouvellei schaufuss', 'grouvellei croissandeau', 'genus chevrolatia', 'amoena leconte']</t>
  </si>
  <si>
    <t>The genus Chevrolatia is revised for North America and is found to include two previously described species (C. amoena LeConte and C. grouvellei Croissandeau) and two new species, C. occidentalis O'Keefe NEW SPECIES (type locality: Koppe's Ridge, 5 mi SW College Station, Brazos Co., Texas) and C. suteri O'Keefe NEW SPECIES (type locality: Douglas, Cochise Co., Arizona). Lectotype specimens are designated for C. grouvellei Croissandeau and C. grouvellei Schaufuss. The right antenna is illustrated for each species, the aedeagus is illustrated for all species except C. suteri, and the ovipositor and mouthparts are illustrated for C. amoena. The literature is reviewed on a world basis and a revised catalog of the known species is included.</t>
  </si>
  <si>
    <t>163-185</t>
  </si>
  <si>
    <t>Transactions of the American Entomological Society</t>
  </si>
  <si>
    <t>O'Keefe, Sean T.</t>
  </si>
  <si>
    <t>University of California, Berkeley</t>
  </si>
  <si>
    <t>O'Keefe S.</t>
  </si>
  <si>
    <t>Revision of the genus Chevrolatia Jacquelin du Val (Coleoptera: Scydmaenidae) for North America</t>
  </si>
  <si>
    <t>2-s2.0-0031503938</t>
  </si>
  <si>
    <t>['simple example', 'reduce strongly', 'paper introduces', 'genetic algorithm', 'data base', 'computation time']</t>
  </si>
  <si>
    <t>Antenna synthesis | Finite difference method | Genetic algorithm | Neural network | Optimization | Patch antenna | Printed antenna</t>
  </si>
  <si>
    <t>This paper introduces an original theoretical approach for microstrip antennas optimization and design. The purpose method consists in the coupling between a FDTD tool applied to the analysis of antennas and a genetic algorithm for the optimization. A neural network acting as a data base will allow to reduce strongly the computation time. This method will be illustrated on a simple example.</t>
  </si>
  <si>
    <t>503-508</t>
  </si>
  <si>
    <t>7004363654;6506799305;7006402070</t>
  </si>
  <si>
    <t>Reineix, Alain;Eclercy, Daniel;Jecko, Bernard</t>
  </si>
  <si>
    <t>FDTD/genetic algorithm coupling for antennas optimization</t>
  </si>
  <si>
    <t>2-s2.0-0040445891</t>
  </si>
  <si>
    <t>['thick snow', 'surface roughness', 'repellent coatings', 'repellent coating', 'radio communication', 'prevent snow', 'linearly proportional', 'impede telecommunication', 'ice sticking', 'ice adhesion', 'ice adhering', 'contact angle', 'antenna used', '150 degrees']</t>
  </si>
  <si>
    <t>Adhesion | Coating | Ice | Snow | Water-repellent | Wettability</t>
  </si>
  <si>
    <t>Thick snow or ice adhering to the surface of an antenna used for radio communication can impede telecommunication, so methods to reduce the build-up of snow and ice are needed. We have studied the use of water-repellent coatings to prevent snow and ice sticking, and in this paper, we report our results of tests on ice adhesion and how it is affected by the contact angle, surface roughness and thermodynamics. And we obtained the results as following: (1) A water-repellent coating consisting of PTFE particles dispersed in polyvinylidene fluoride exhibited a contact angle of 150 degrees. (2) Ice adhesion was linearly proportional to the surface free energy of the water-repellent coating. (3) The higher the surface roughness of high wettability materials, the stronger the adhesion. The higher the surface roughness of water-repellent coatings, the weaker the adhesion.</t>
  </si>
  <si>
    <t>185-189</t>
  </si>
  <si>
    <t>Materials Science Research International</t>
  </si>
  <si>
    <t>60025555;60025555;60025488</t>
  </si>
  <si>
    <t>57203645015;55290679100;7004039897</t>
  </si>
  <si>
    <t>Saito, Hiroyuki;Takai, Ken Ichi;Yamauchi, Goro</t>
  </si>
  <si>
    <t>Tokyo;Salt Lake City</t>
  </si>
  <si>
    <t>Nippon Telegraph and Telephone Corporation;The University of Utah</t>
  </si>
  <si>
    <t>60025555;60025488</t>
  </si>
  <si>
    <t>Saito H.</t>
  </si>
  <si>
    <t>A Study on ice adhesiveness to water-repellent coating</t>
  </si>
  <si>
    <t>2-s2.0-0242485355</t>
  </si>
  <si>
    <t>['¬± 100', 'transmit antenna', 'ns pulses', 'interperiodica publishing']</t>
  </si>
  <si>
    <t>The design of a high-power ultrawideband electromagnetic pulse generator that consists of a bipolar pulse generator and transmit antenna is reported. Characteristics of the electromagnetic pulse radiated by the transmit antenna (driven by ¬±100-kV, 3.5-ns pulses at a 100-Hz repetition rate) are presented. ¬© 1997 MAEe Cyrillic signK HayŒ∫a/Interperiodica Publishing.</t>
  </si>
  <si>
    <t>651-655</t>
  </si>
  <si>
    <t>60017604;60017604;60017604;60017604;60017604;60017604;60017604;60017604</t>
  </si>
  <si>
    <t>7103346989;16471370800;6601914944;7102050777;7102463681;7003931132;7103357955;6602714328</t>
  </si>
  <si>
    <t>Andreev, Yu A.;Buyanov, Yu I.;Vizir', V. A.;Efremov, A. M.;Zorin, V. B.;Koval'chuk, B. M.;Koshelev, V. I.;Sukhushin, K. N.</t>
  </si>
  <si>
    <t>Novosibirsk</t>
  </si>
  <si>
    <t>Siberian Branch, Russian Academy of Sciences</t>
  </si>
  <si>
    <t>Andreev Y.</t>
  </si>
  <si>
    <t>A high-power ultrawideband electromagnetic pulse generator</t>
  </si>
  <si>
    <t>2-s2.0-21644483229</t>
  </si>
  <si>
    <t>['transient processes', 'system operates', 'switching time', 'remote detecting', 'receive mode', 'interperiodica publishing', 'frequency range', '6 mhz']</t>
  </si>
  <si>
    <t>A receiving antenna system for remote detecting of nuclear quadrupole resonance (NQR) signals is reported. The system operates in a low-frequency range of 2.6-6 MHz. The duration of transient processes in the receiver input circuit is reduced by changing the Q-factor from 110 (in the receive mode) to 1.5. The transmitter-receiver isolation throughout the operating frequency range is ‚â•100 dB; the switching time is 0.1Œºs. Results of detecting NQR signals from hexamethylenetetramine are presented. ¬© 1997 MAEe Cyrillic signK HayŒ∫a/Interperiodica Publishing.</t>
  </si>
  <si>
    <t>697-699</t>
  </si>
  <si>
    <t>7003542954;35849754500</t>
  </si>
  <si>
    <t>Rudakov, T. N.;Belyakov, A. V.</t>
  </si>
  <si>
    <t>A receiving antenna system for remote detecting of Nuclear Quadruple Resonance signals</t>
  </si>
  <si>
    <t>2-s2.0-27644448465</t>
  </si>
  <si>
    <t>['well fit', 'urban micro', 'transmitting antenna', 'simple relation', 'sight propagation', 'propagation modelling', 'paper deals', 'non line', 'network planning', 'nakagami distribution', 'gsm bandwidth', 'derive curves', 'average performance', 'analysed separatelly', '900 mhz']</t>
  </si>
  <si>
    <t>Cellular network | Electromagnetic wave propagation | Experimentation | Fading | GSM | Land mobile service | Statistical analysis | Statistical model | Transmission performance</t>
  </si>
  <si>
    <t>This paper deals with propagation modelling for GSM-system performance estimation in urban micro-cells (transmitting antenna below the roofs' level) at 900 MHz. First we recall a simple relation between GSM average bit error rate (BER) and wideband fast fading distribution laws. We then analyse the fast fading statistics over a GSM bandwidth from wideband power measurements. We proved it to well fit to the Nakagami distribution in most cases. At last we derive curves for average performance of GSM from the estimated m-parameters of the Nakagami distribution function which can be useful for a coverage quality prediction model and network planning. The cases of line of sight and non line of sight propagation were analysed separatelly.</t>
  </si>
  <si>
    <t>60104081-60029116;60104081-112494366</t>
  </si>
  <si>
    <t>6701577105;6506639034</t>
  </si>
  <si>
    <t>Guillet, Val√©ry;Pajusco, Patrice</t>
  </si>
  <si>
    <t>Issy-les-Moulineaux;Palaiseau;Paris</t>
  </si>
  <si>
    <t>Orange Labs;T√©l√©com Paris;Ecl. Sup. d'Electricit√©</t>
  </si>
  <si>
    <t>60104081;60029116;112494366</t>
  </si>
  <si>
    <t>Guillet V.</t>
  </si>
  <si>
    <t>Propagation measurements and modelling for GSM-system performance estimation in urban microcells at 900 MHz</t>
  </si>
  <si>
    <t>2-s2.0-3142567288</t>
  </si>
  <si>
    <t>['theoretical tools', 'radiation pattern', 'multiple reflections', 'finally presented', 'dielectric lens', 'complete lens', 'basic points', 'allow discussion']</t>
  </si>
  <si>
    <t>Gaussian beam | Lens | Lens antenna | Microwave antenna | Millimetric wave | Multiple reflection | Orthogonal polarization | Solid of revolution | Vector method</t>
  </si>
  <si>
    <t>A dielectric lens is analyzed using vectorial multimodal Gaussian beams. The basic points are reminded and theoretical tools are developed to treat a complete lens. Results are finally presented which allow discussion about the multiple reflections and the radial truncation effect on the radiation pattern.</t>
  </si>
  <si>
    <t>519-528</t>
  </si>
  <si>
    <t>Pascal, Olivier;Lema√Ætre, Fran√ßois;Soum, Gabriel</t>
  </si>
  <si>
    <t>Dielectric lens analysis using vectorial multimodal Gaussian beam expansion</t>
  </si>
  <si>
    <t>2-s2.0-3142643533</t>
  </si>
  <si>
    <t>['tested using', 'site measurements', 'simulated models', 'radar transmitters', 'pulsed environment', 'peak values', 'novel method', 'measuring equipment', 'laboratory measurements', 'improved solution', 'idea behind', 'four parameters', 'diode detector', 'detector characteristics', 'designed specifically', 'curves provide', 'article presents', '3 ghz', '100 khz', '10 mhz']</t>
  </si>
  <si>
    <t>This article presents a novel method for measuring true root mean square (RMS) and peak values of electric field strength generated by a scanning radar antenna. The measuring equipment is a new electric field meter with an isotropic probe based on a diode detector, designed specifically for applications in a pulsed environment. The idea behind the method is a compensation of the detector's inertia for measuring short pulses with a low duty cycle ratio. Correction curves required for such compensation are generated by simulating the detector characteristics and four parameters of a scanning radar antenna. The curves provide a correction factor relating a peak and displayed electric field value. The simulated models have been verified by laboratory measurements for two different probes (100 kHz to 3 GHz and 10 MHz to 18 GHz). The method has been tested using on-site measurements of a typical airport surveillance radar and represents an improved solution for pulsed field measurements during normal operating modes of radar transmitters to aid in evaluating electromagnetic field dosimetry.</t>
  </si>
  <si>
    <t>124-136</t>
  </si>
  <si>
    <t>≈†imuniƒá, Dina;Koren, Zlatko</t>
  </si>
  <si>
    <t>≈†imuniƒá D.</t>
  </si>
  <si>
    <t>An electric field measurement of a scanning radar antenna</t>
  </si>
  <si>
    <t>2-s2.0-3843058152</t>
  </si>
  <si>
    <t>['tanœ ¥)', 'presented along', 'paper describes', 'optimized parameters', 'new family', 'new devices', 'microwave frequencies', 'material structure', 'ic packaging', 'growing demand', 'frequency range', 'electronic manufacturers', 'discrete components', 'dielectric properties', 'dielectric constants', 'cellular phones', 'antenna systems', '10 ghz', '1 khz']</t>
  </si>
  <si>
    <t>Dielectric Constant | Electronic Packaging | Graded Dielectric Structures | Low Loss | LTCC | Microwave Components</t>
  </si>
  <si>
    <t>This paper describes the development of new Low Temperature Cofired Ceramic materials (LTCC) with "medium" range of dielectric constants (Œµ r). These glass-ceramic materials demonstrate very low dielectric losses (tanŒ¥) at radio and microwave frequencies, with thermal expansion coefficient (CTE) matched to that of GaAs. Dielectric properties were measured in a frequency range of 1 kHz to 10 GHz, and results are presented along with the effects of material structure. The new family of materials can address the growing demand of electronic manufacturers to reduce package size, minimize energy losses, and eliminate stray electromagnetic radiation. These materials can be used for IC packaging, discrete components, in radar and antenna systems, cellular phones, and for development of new devices with optimized parameters in the VHF and UHF frequency ranges.</t>
  </si>
  <si>
    <t>246-252</t>
  </si>
  <si>
    <t>International Journal of Microcircuits and Electronic Packaging</t>
  </si>
  <si>
    <t>100319657-60007457;100319657-60030835;100319657</t>
  </si>
  <si>
    <t>6508149570;6701399653;57196797859</t>
  </si>
  <si>
    <t>Kniajer, Galina;Dechant, Kenton;Apt√©, Prasad</t>
  </si>
  <si>
    <t>Canada;Russian Federation;Canada</t>
  </si>
  <si>
    <t>Edmonton;Moscow;</t>
  </si>
  <si>
    <t>University of Alberta;Lomonosov Moscow State University;Westaim Corporation</t>
  </si>
  <si>
    <t>60030835;60007457;100319657</t>
  </si>
  <si>
    <t>Kniajer G.</t>
  </si>
  <si>
    <t>Low loss, low temperature cofired ceramics with medium dielectric constants</t>
  </si>
  <si>
    <t>2-s2.0-3943097456</t>
  </si>
  <si>
    <t>['weak precursor', 'triple echo', 'time profile', 'successive peaks', 'split narrow', 'solar observations', 'solar atmosphere', 'second harmonic', 'relative intensity', 'powerful echo', 'nine events', 'new variety', 'maximum delay', 'known events', 'final pulses', 'exceed slightly', 'complex amplitude', 'august 19', 'amplitude records', 'almost identical', 'additional component', 'active region', '25 mhz']</t>
  </si>
  <si>
    <t>By solar observations with an UTR 2 antenna, we detected a new variety of type IIId radiation in which the narrow-band spectral elements have an explicit quiasiperiodic structure and contain an additional component in the form of a triple echo. According to amplitude records at 25 MHz, the initial short radio burst looks like a weak precursor of a more powerful echo-like burst accompanied by a pair of final pulses which exceed slightly the background. Nine events of this kind were registered in August 19, 1992 during a type IIId noise storm related to the active region in the central heliolongitude sector. In each event, all the three time intervals between successive peaks of the complex amplitude-time profile were almost identical and were equal to 4.7, 5.1, and 5.7 s on the average. They were somewhat (by 1 or 2 s) shorter than the maximum delay in the known events with a two-hump amplitude profile and time-split narrow-band spectral elements in which the delay t2‚àít1 and relative intensity (I2/I1‚â≤1) of echo-like bursts depend on the heliolongitude of the type IIId sources. The discovery of a new complex variety of decameter type IIId radiation confirms the hypothesis of multiple quiasiperiodic echoes after short radio bursts at the second harmonic of the local plasma frequency in the solar atmosphere.</t>
  </si>
  <si>
    <t>720-727</t>
  </si>
  <si>
    <t>100475270-60008673;100475270-60008673;100475270-60008673</t>
  </si>
  <si>
    <t>6602712774;6506613157;6507347221</t>
  </si>
  <si>
    <t>Abranin, E. P.;Bazelyan, L. L.;Tsybko, Yu G.</t>
  </si>
  <si>
    <t>Russian Federation;Ukraine</t>
  </si>
  <si>
    <t>Nizhny Novgorod;Kharkov</t>
  </si>
  <si>
    <t>Lobachevsky State University of Nizhni Novgorod;Radioastronomical Institute</t>
  </si>
  <si>
    <t>60008673;100475270</t>
  </si>
  <si>
    <t>Abranin E.</t>
  </si>
  <si>
    <t>Quasiperiodic structure of solar type IIId radio bursts with echo components</t>
  </si>
  <si>
    <t>10.1007/BF02676522</t>
  </si>
  <si>
    <t>2-s2.0-84896905393</t>
  </si>
  <si>
    <t>HRX-CT93-0357</t>
  </si>
  <si>
    <t>['soft particles', 'radiation zero', 'q2 events', 'narrow colour', 'high x', 'events corresponding', 'corresponding distributions', 'apparent excess', 'also presented']</t>
  </si>
  <si>
    <t>Hadronic antenna patterns can provide a valuable diagnostic tool for probing the origin of the apparent excess of high x, Q2 events at HERA. We present quantitative predictions for the distributions of soft particles and jets in standard deep inelastic scattering eq ‚Üí eq events and in events corresponding to the production of a narrow colour-triplet scalar ("leptoquark") resonance. The corresponding distributions of soft photon radiation, which are sensitive to the leptoquark electric charge, are also presented. The distribution for one particular leptoquark assignment is shown to contain a radiation zero. ¬© 1997 Elsevier Science B.V.</t>
  </si>
  <si>
    <t>259-267</t>
  </si>
  <si>
    <t>Physics Letters, Section B: Nuclear, Elementary Particle and High-Energy Physics</t>
  </si>
  <si>
    <t>6602458059;55663829200</t>
  </si>
  <si>
    <t>Heyssler, M.;Stirling, W. J.</t>
  </si>
  <si>
    <t>Heyssler M.</t>
  </si>
  <si>
    <t>Hadronic antenna patterns as a probe of leptoquark production at HERA</t>
  </si>
  <si>
    <t>S037026939700748X</t>
  </si>
  <si>
    <t>10.1016/S0370-2693(97)00748-X</t>
  </si>
  <si>
    <t>2-s2.0-0040726240</t>
  </si>
  <si>
    <t>['staining chamber', 'rh795 ),', 'recording chamber', 'olfactory system', 'olfactory information', 'head capsule', 'glomerular level', 'functional throughout', 'first cut', 'cut free', 'could record', 'apis mellifera', 'antennal lobe', 'antennae dry', '1 h']</t>
  </si>
  <si>
    <t>Antennal lobe | Apis mellifera | Calcium green | Olfaction | Optical imaging | RH795</t>
  </si>
  <si>
    <t>We describe a method for optically recording neuronal activity from an intact insect brain, upon natural sensory stimulation. In this preparation, the head capsule of the honeybee, Apis mellifera, is isolated from the body while leaving the entire brain undamaged. In short, a hole is first cut into the cuticule to allow optical access to the brain and to allow the removal of tracheae and glands. Then the head is cut free and placed into a dye-loaded and cooled ringer solution in a staining chamber for 1 h. Subsequently, the head is fixed in a recording chamber, covered with a cover-slip, and imaged under the microscope with a cooled CCD camera. The whole preparation leaves the antennae dry, free to move, and functional throughout the experiment, allowing for natural odour stimulation of the olfactory system. Using calcium sensitive or potential sensitive dyes (calcium-green or RH795), we could record the processing of olfactory information at the glomerular level in the antennal lobe of the bee.</t>
  </si>
  <si>
    <t>Journal of Neuroscience Methods</t>
  </si>
  <si>
    <t>60030718;60030718;60030718;60030718;60030718</t>
  </si>
  <si>
    <t>6701531248;7801478783;6701855651;7006765701;7102000725</t>
  </si>
  <si>
    <t>Galizia, C. Giovanni;Joerges, Jasdan;K√ºttner, Armin;Faber, Till;Menzel, Randolf</t>
  </si>
  <si>
    <t>Galizia C.</t>
  </si>
  <si>
    <t>A semi-in-vivo preparation for optical recording of the insect brain</t>
  </si>
  <si>
    <t>S0165027097000800</t>
  </si>
  <si>
    <t>10.1016/S0165-0270(97)00080-0</t>
  </si>
  <si>
    <t>2-s2.0-0030783065</t>
  </si>
  <si>
    <t>['test object', 'simulated tissue', 'screen images', 'screen acquisition', 'scanning step', 'recognize low', 'ray spectrum', 'ray source', 'quality images', 'present images', 'photon counting', 'obtain good', 'mo filtration', 'microcalcifications smaller', 'mgds necessary', 'laminar detector', 'image acquisition', 'dimensions smaller', 'digital images', 'details visible', 'copper wire', 'conventional film', 'contrast resolution', 'contrast details', 'compare spatial', 'applied spectrum', 'always smaller', 'also obtained', 'al filtration', '150 œºm']</t>
  </si>
  <si>
    <t>We present images of a mammographic test object obtained using a linear array silicon pixel detector capable of single-photon counting. The detector pixel size was 200 x 300 Œºm2 and images were acquired by scanning the test object between the laminar detector and the x-ray source with a scanning step of 100Œºm. A molybdenum anode tube was used with two different filtrations: 2 mm aluminium and 25 Œºm molybdenum. Conventional film-screen images were also obtained in order to compare spatial and contrast resolution. In our digital images it is possible to recognize low-contrast details having dimensions smaller than or equal to the dimensions of details visible by means of a clinical mammographic unit. The detection of microcalcifications smaller than 150 Œºm was possible only when using the Mo filtration. However a copper wire of 50 Œºm diameter was detectable when embedded in a simulated tissue. We discuss in detail the mean glandular doses (MGDs) delivered during the image acquisition. The MGDs necessary to obtain good-quality images are always smaller than at a conventional mammographic unit. Since MGDs depend on the x- ray spectrum, the dose reduction becomes larger when the applied spectrum is harder than in film-screen acquisition (Al filtration and 35 kVp).</t>
  </si>
  <si>
    <t>1565-1573</t>
  </si>
  <si>
    <t>60114764-101558294;60114764;60114764-60018363;60114764-60018363;60114764-60018363;60006771;60114764-60018363;60114764-60018363;60114764-60018363;60114764-101558294;60114764-101558294;60114764-60018363;60114764-60018363;60114764;60114764-101558294;60114764</t>
  </si>
  <si>
    <t>7003677341;56243550000;57216733136;7003913152;7102245601;7006345164;6603792904;7102625422;7004072469;56186091400;6603711199;8086261300;8790484100;7003374587;24434915300;7006481955</t>
  </si>
  <si>
    <t>Arfelli, F.;Bonvicini, V.;Bravin, A.;Cantatore, G.;Castelli, E.;Dalla Palma, L.;Di Michiel, M.;Longo, Renata;Olivo, A.;Pani, S.;Pontoni, D.;Poropat, P.;Prest, M.;Rashevsky, A.;Tromba, G.;Vacchi, A.</t>
  </si>
  <si>
    <t>Italy;Italy;Italy;Italy</t>
  </si>
  <si>
    <t>Trieste;Trieste;Trieste;Basovizza</t>
  </si>
  <si>
    <t>Istituto Nazionale di Fisica Nucleare, Sezione di Trieste;Universit√† degli Studi di Trieste;Ospedale di Cattinara;Sincrotrone</t>
  </si>
  <si>
    <t>60114764;60018363;60006771;101558294</t>
  </si>
  <si>
    <t>Arfelli F.</t>
  </si>
  <si>
    <t>A linear array silicon pixel detector: Images of a mammographic test object and evaluation of delivered doses</t>
  </si>
  <si>
    <t>S003191559781487X</t>
  </si>
  <si>
    <t>10.1088/0031-9155/42/8/007</t>
  </si>
  <si>
    <t>2-s2.0-0030788381</t>
  </si>
  <si>
    <t>['various factors', 'space formulation', 'resolved fluorescence', 'recent measurements', 'polaron formation', 'molecular representation', 'molecular aggregates', 'energetic disorder', 'direct relationship', 'developed using', 'b850 system']</t>
  </si>
  <si>
    <t>A real-space formulation of time-resolved fluorescence of molecular aggregates is developed using the one-exciton density matrix œÅ(t) of the optically driven system. A direct relationship is established between the superradiance enhancement factor Ls and the exciton coherence size LœÅ associated with the off-diagonal density matrix elements in the molecular representation. Various factors which affect the latter, including finite temperature, energetic disorder, coupling with phonons and polaron formation are explored. The theory is applied for the interpretation of recent measurements in the B850 system of the LH2 photosynthetic complexes. ¬© 1997 American Institute of Physics.</t>
  </si>
  <si>
    <t>3876-3893</t>
  </si>
  <si>
    <t>Journal of Chemical Physics</t>
  </si>
  <si>
    <t>60027165;60027165;60027165;60027165</t>
  </si>
  <si>
    <t>55157746800;8579132600;35511412700;35473361700</t>
  </si>
  <si>
    <t>Meier, T.;Zhao, Y.;Chernyak, V.;Mukamel, S.</t>
  </si>
  <si>
    <t>University of Rochester</t>
  </si>
  <si>
    <t>Meier T.</t>
  </si>
  <si>
    <t>Polarons, localization, and excitonic coherence in superradiance of biological antenna complexes</t>
  </si>
  <si>
    <t>10.1063/1.474746</t>
  </si>
  <si>
    <t>2-s2.0-0000575333</t>
  </si>
  <si>
    <t>['time response', 'surrounding protein', 'structured bacteriochlorophyll', 'spectrum peaks', 'slow scattering', 'slow pico', 'roughly estimated', 'protein trimer', 'protein monomer', 'probe spectrum', 'population decay', 'phenomenon may', 'oscillator strength', 'low temperatures', 'low density', 'glycerol matrix', 'fmo protein', 'exciton states', 'exciton solvation', 'dependent red', 'comparable strength', 'color pump', '160 k']</t>
  </si>
  <si>
    <t>A time response over almost 5 decades (from 10-13 to about 10-8 s) to a (sub)picosecond laser pulse excitation has been observed in the Fenna, Matthews, and Olson (FMO) antenna protein trimer. The FMO protein is unique in having a fine-structured bacteriochlorophyll a Qy exciton absorption spectrum over the whole investigated temperature range between 6 and 160 K. As measured by a two-color pump-probe differential absorption, the population decay of the exciton states of seven strongly coupled bacteriochlorophyll a molecules in a protein monomer is the dominant dynamical process in the subpicosecond time domain. The throughband scattering takes a few picoseconds and depends only weakly on temperature, probably because of a low density of exciton states. At low temperatures, evidence for a slow pico-nanosecond relaxation process has also been obtained via time-dependent red-shift and broadening of the exciton emission spectrum. Two nonexclusive tentative interpretations to this effect have been provided. The phenomenon may be due to exciton solvation in the surrounding protein and water-glycerol matrix or/and due to slow scattering of closely spaced bacteriochlorophyll a exciton states in a protein trimer. The shape of the excited-state absorption spectrum (arising from transitions between singly and doubly excited exciton states) and its oscillator strength has been roughly estimated from the analysis of the pump-probe spectrum. The spectrum peaks at around 805 nm and is less featured compared to the ground-state absorption spectrum. Both spectra have comparable strength.</t>
  </si>
  <si>
    <t>7211-7220</t>
  </si>
  <si>
    <t>60068876-60003892;60003892;60068876;60003892</t>
  </si>
  <si>
    <t>7005109792;7407162691;6701855945;57203046340</t>
  </si>
  <si>
    <t>Freiberg, Arvi;Lin, Su;Timpmann, K√µu;Blankenship, Robert E.</t>
  </si>
  <si>
    <t>Estonia;United States</t>
  </si>
  <si>
    <t>Tartu;Tempe</t>
  </si>
  <si>
    <t>Tartu √úlikooli F√º√ºsika Instituut;Arizona State University</t>
  </si>
  <si>
    <t>60068876;60003892</t>
  </si>
  <si>
    <t>Freiberg A.</t>
  </si>
  <si>
    <t>Exciton dynamics in FMO bacteriochlorophyll protein at low temperatures</t>
  </si>
  <si>
    <t>10.1021/jp9633761</t>
  </si>
  <si>
    <t>2-s2.0-0031215170</t>
  </si>
  <si>
    <t>['using phonon', 'superradiane measurements', 'purple bacteria', 'probe signal', 'oscillator equations', 'nonlinear exciton', 'negative peaks', 'nee ).', 'microscopic definition', 'localization size', 'differential absorption', 'diagonal elements', 'density matrix', 'analyzed using', '6 associated', '2 k']</t>
  </si>
  <si>
    <t>The pump-probe signal from the light-harvesting antenna LH2 of purple bacteria is analyzed using a Green function expression derived by solving the nonlinear exciton-oscillator equations of motion (NEE). A microscopic definition of the exciton mean free path (Lf) and localization size (Lp) is given in terms of the off-diagonal elements of the exciton Green function and density matrix, respectively. Using phonon-induced (homogeneous) and disorder-induced (inhomogeneous) line widths compatible with superradiane measurements, we find that at 4.2 K the localization size is Lp = 15 and that the shift ŒîŒ© between the positive and negative peaks in the differential absorption is determined by a different effective size Lf/2 = 5.6 associated with the exciton mean free path. Our model further predicts the recently observed superradiance coherence size determined by Lp.</t>
  </si>
  <si>
    <t>7332-7342</t>
  </si>
  <si>
    <t>60027165;60027165;60027165</t>
  </si>
  <si>
    <t>55157746800;35511412700;35473361700</t>
  </si>
  <si>
    <t>Meier, T.;Chernyak, V.;Mukamel, S.</t>
  </si>
  <si>
    <t>Multiple exciton coherence sizes in photosynthetic antenna complexes viewed by pump-probe spectroscopy</t>
  </si>
  <si>
    <t>10.1021/jp970045v</t>
  </si>
  <si>
    <t>2-s2.0-0031233117</t>
  </si>
  <si>
    <t>['œîœ ±', 'surrounding protein', 'strong pigment', 'small effects', 'shifted bands', 'rsp .)', 'rb .)', 'protein interactions', 'protein environment', 'pigment interactions', 'performed low', 'much larger', 'loss hydrogen', 'lh2 complexes', 'high ldao', 'f2 ).', 'especially important', 'ectothiorhodospira sp', 'difference polarizability', 'bonding interactions', 'bonding interaction', 'based models', 'b800 pigments', 'b800 band', 'acetyl carbonyl']</t>
  </si>
  <si>
    <t>We have performed low-temperature Stark spectroscopy on a variety of different LH2 complexes from four photosynthetic bacteria, with the aim of characterizing the electric field response of the B800 and B850 absorption properties as a function of the protein environment. The following LH2 complexes were investigated: B800-850 and B800-820 of Rhodopseudomonas (Rps) acidophila; B800-850, B800-840 (Œ±Tyr+13‚ÜíPhe), and B800-826 (Œ±Tyr+13‚ÜíPhe, Œ±Tyr+14‚ÜíLeu) of Rhodobacter (Rb.) sphaeroides; B800-850 and B800-830 (obtained at high LDAO) of Ectothiorhodospira sp.; and B800-850 of Rhodospirillum (Rsp.) molischianum. For all these cases the spectral blue shift of B850 has been assigned to the loss hydrogen-bonding interaction with the acetyl carbonyl of bacteriochlorophyll a. |ŒîŒº| values for the 850 nm bands as well as for the blue-shifted bands are all on the order of 3-4.5 D/f. The loss of hydrogen-bonding interactions has only small effects on |ŒîŒº| in these complexes. The values of the difference polarizability, Tr(ŒîŒ±a), are large (600-1400 √Ö3/f2). The results are discussed in terms of crystal-structure-based models for LH2, in which pigment-pigment and pigment-protein interactions are considered; strong pigment-pigment interactions were found to be especially important. The values of |ŒîŒº| for the 800 nm band are small, 1.0-1.5 D/f for LH2 complexes from Rb. sphaeroides and Rps. acidophila. However, in Rsp. molischianum and Ectothiorhodospira sp. |ŒîŒº| values are much larger, of the order of 3 D/f. The difference in the B800 band is assigned to the difference in orientation of the B800 pigments in Rsp. molischianum and Ectothiorhodospira sp., as compared to the Rps. acidophila and Rb. sphaeroides. Due to the difference in orientation, the interactions of the Bchl a with the surrounding protein and neighboring carotenoid pigments are also not identical.</t>
  </si>
  <si>
    <t>7293-7301</t>
  </si>
  <si>
    <t>60008734;60008734;60001881;60010939;60001490;60008734;60001881;60008734</t>
  </si>
  <si>
    <t>6602415545;6701652518;7103071035;56259745200;7006465617;7006261095;13105070700;35599806700</t>
  </si>
  <si>
    <t>Beekman, Lucas M.P.;Frese, Raoul N.;Fowler, Greg J.S.;Picorel, Raphael;Cogdell, Richard J.;Van Stokkum, Ivo H.M.;Hunter, C. Neil;Van Grondelle, Rienk</t>
  </si>
  <si>
    <t>Spain;Netherlands;United Kingdom;United Kingdom</t>
  </si>
  <si>
    <t>Zaragoza;Amsterdam;Sheffield;Glasgow</t>
  </si>
  <si>
    <t>CSIC - Estacion Experimental de Aula Dei EEAD;Vrije Universiteit Amsterdam;The University of Sheffield;University of Glasgow</t>
  </si>
  <si>
    <t>60010939;60008734;60001881;60001490</t>
  </si>
  <si>
    <t>Beekman L.M.P.</t>
  </si>
  <si>
    <t>Characterization of the light-harvesting antennas of photosynthetic purple bacteria by Stark spectroscopy. 2. LH2 complexes: Influence of the protein environment</t>
  </si>
  <si>
    <t>10.1021/jp963447w</t>
  </si>
  <si>
    <t>2-s2.0-0031233142</t>
  </si>
  <si>
    <t>['wideband bow', 'tie antenna', 'local weakly', 'finitedifference time', 'facilitates detection', 'exciting pulse', 'designed using', 'calculated reflections', 'antenna ends']</t>
  </si>
  <si>
    <t>Antennas | Biosensors</t>
  </si>
  <si>
    <t>A wideband bow-tie antenna has been designed using the finitedifference time-domain (FDTD) method. When positioned at the surface of a biological tissue half-space, the calculated reflections from the antenna ends are 106dB below the exciting pulse. This facilitates detection of local weakly-scattering tissue structures.</t>
  </si>
  <si>
    <t>1594-1595</t>
  </si>
  <si>
    <t>60007363;60007363;100449386</t>
  </si>
  <si>
    <t>7003809691;7006104679;7102617827</t>
  </si>
  <si>
    <t>Hagness, S. C.;Taflove, A.;Bridges, J. E.</t>
  </si>
  <si>
    <t>Evanston;Park Ridge</t>
  </si>
  <si>
    <t>Northwestern University;Interstitial, Inc.</t>
  </si>
  <si>
    <t>60007363;100449386</t>
  </si>
  <si>
    <t>Hagness S.</t>
  </si>
  <si>
    <t>Wideband ultra low reverberation antenna for biological sensing</t>
  </si>
  <si>
    <t>10.1049/el:19971106</t>
  </si>
  <si>
    <t>2-s2.0-0031233264</t>
  </si>
  <si>
    <t>['probe feed', 'line feed', 'inset microstrip', 'experimental results', 'antenna designs']</t>
  </si>
  <si>
    <t>Designs of a chip-resistor-loaded rectangular microstrip antenna fed using a probe feed or an inset microstrip-line feed are presented. These antenna designs have the advantages of small antenna size and wide antenna bandwidth, compared to a conventional rectangular microstrip antenna. Details of the experimental results are given.</t>
  </si>
  <si>
    <t>1593-1594</t>
  </si>
  <si>
    <t>Small broadband rectangular microstrip antenna with chip-resistor loading</t>
  </si>
  <si>
    <t>10.1049/el:19971111</t>
  </si>
  <si>
    <t>2-s2.0-0031234075</t>
  </si>
  <si>
    <t>['zero crossing', 'surrounding medium', 'structural changes', 'spectral properties', 'rhodopseudomonas acidophila', 'relative orientations', 'lh2 ring', 'lh2 complex', 'important parameter', 'excited state', 'dielectric properties', 'cd spectrum', 'cd spectra', 'calculate absorption', 'also investigated', 'absorption maximum']</t>
  </si>
  <si>
    <t>The published crystal structure of the LH2 complex of Rhodopseudomonas acidophila is used to calculate absorption and CD spectra of this system. An important parameter, the zero crossing of the CD spectrum with respect to the absorption maximum, is shown to be sensitive to structural changes. The changes in spectral properties as a function of varying excited state energy, variation in the dielectric properties of the surrounding medium, and changes in relative orientations of the chromophores are also investigated. It is shown that the experimentally observed red shift of the zero crossing can be explained by lifting the degeneracy of the excited state of the monomers and taking into account more than half of the LH2 ring.</t>
  </si>
  <si>
    <t>7262-7270</t>
  </si>
  <si>
    <t>6602767299;56228737600;6701652518;35599806700</t>
  </si>
  <si>
    <t>Koolhaas, M. H.C.;Van Der Zwan, G.;Frese, R. N.;Van Grondelle, R.</t>
  </si>
  <si>
    <t>Koolhaas M.H.C.</t>
  </si>
  <si>
    <t>Red shift of the zero crossing in the CD spectra of the LH2 antenna complex of Rhodopseudomonas acidophila: A structure-based study</t>
  </si>
  <si>
    <t>10.1021/jp963368k</t>
  </si>
  <si>
    <t>2-s2.0-0031234781</t>
  </si>
  <si>
    <t>['various mutants', 'static disorder', 'small differences', 'ring distortion', 'resonance condition', 'red shifts', 'red shift', 'raman spectra', 'pigments might', 'partially reflected', 'neither differences', 'molecular interaction', 'minor changes', 'methine bridge', 'may also', 'hydrogen bonding', 'c2 acetyl', 'bonding environment', 'absorption spectrum', 'absorption properties', 'absorption maximum', 'absorption maxima']</t>
  </si>
  <si>
    <t>Comparison of the absorption maxima with the hydrogen bonding of the C2 acetyl groups for various mutants and wild-type bacterial antenna complexes has demonstrated a role for this molecular interaction in the tuning of the absorption properties of these complexes. There is a consistent linear relationship, between the downshift in the bacteriochlorophyll a C2 acetyl stretching mode and the red shift in the absorption maximum, in both core and peripheral antenna complexes. This linear relationship allows us to estimate the contribution of H-bonding to the red shifts of these complexes and the sensitivity of the absorption to changes in the C2 acetyl group environment. Investigation of changes in the Raman spectra caused by altering the excitation conditions reveal either no or only minor changes in the positions of the methine bridge, the C2 acetyl, and the C9 keto stretching modes. We interpret the lack of sensitivity of these bands to the resonance condition as indicating that neither differences in ring distortion nor in the H-bonding environment of these groups are important in determining the heterogeneous absorption bandwidth of the absorption spectrum of these complexes. We suggest that the differences in coupling between the pigments might be responsible for the static disorder and this may also be partially reflected in the small differences in the C9 keto group stretching band we observe in the Raman spectra.</t>
  </si>
  <si>
    <t>7227-7231</t>
  </si>
  <si>
    <t>60019615;60019615</t>
  </si>
  <si>
    <t>7004230215;7103125115</t>
  </si>
  <si>
    <t>Sturgis, James N.;Robert, B.</t>
  </si>
  <si>
    <t>CEA Saclay</t>
  </si>
  <si>
    <t>Sturgis J.N.</t>
  </si>
  <si>
    <t>Pigment binding-site and electronic properties in light-harvesting proteins of purple bacteria</t>
  </si>
  <si>
    <t>10.1021/jp963363n</t>
  </si>
  <si>
    <t>2-s2.0-0031234813</t>
  </si>
  <si>
    <t>['temperature range', 'simple model', 'purple bacteria', 'proper description', 'probe experiments', 'next step', 'lh2 complexes', 'lh2 1', 'femtosecond pump', 'exciton theory', 'excitation motion', 'excitation hopping', 'energy transport', 'coherence length', 'calculations based', 'anisotropy kinetics', '5 ps', '296 k']</t>
  </si>
  <si>
    <t>We have studied excitation energy transfer in the photosynthetic antenna systems LH1 and LH2 of purple bacteria. Femtosecond pump-probe experiments are combined with computer simulations using the recently established crystal structure of these systems to assess the nature of excitation motion. We have measured the transient absorption kinetics and spectra of the LH1 and LH2 complexes in the temperature range from 4.2 to 296 K with femtosecond time resolution. The calculations based on the Pauli master equation disagreed with experimentally measured population and anisotropy kinetics, suggesting that the simple model of excitation hopping between bacteriochlorophyll a molecules is not a proper description for energy transport in LH1 and LH2. As a next step we have used the exciton theory to reproduce the transient absorption spectra of LH2, and we found that the coherence length of the exciton in B850 of LH2 1.5 ps after excitation of B800 is 4 ¬± 1.</t>
  </si>
  <si>
    <t>7275-7283</t>
  </si>
  <si>
    <t>60029170;60029170-60030718;60029170;60029170</t>
  </si>
  <si>
    <t>6603603940;7006641583;7004251319;7006706612</t>
  </si>
  <si>
    <t>Chachisvilis, Mirianas;K√ºhn, Oliver;Pullerits, T√µnu;Sundstr√∂m, Villy</t>
  </si>
  <si>
    <t>Germany;Sweden</t>
  </si>
  <si>
    <t>Berlin;Lund</t>
  </si>
  <si>
    <t>Freie Universit√§t Berlin;Lunds Universitet</t>
  </si>
  <si>
    <t>60030718;60029170</t>
  </si>
  <si>
    <t>Chachisvilis M.</t>
  </si>
  <si>
    <t>Excitons in photosynthetic purple bacteria: Wavelike motion or incoherent hopping?</t>
  </si>
  <si>
    <t>10.1021/jp963360a</t>
  </si>
  <si>
    <t>2-s2.0-0031235773</t>
  </si>
  <si>
    <t>['‚ âö', 'stark parameters', 'special pair', 'significant differences', 'reaction center', 'purple bacteria', 'present low', 'likely due', 'lh1 arises', 'harvesting complexes', 'form lh1', 'exciton states', 'excited states', 'electrooptic properties', 'dramatic increase', 'core light', 'bacterial light', 'b873 complex', 'b820 complex']</t>
  </si>
  <si>
    <t>We present low-temperature Stark measurements on the core light-harvesting complex 1 (LH1) of purple bacteria and the B820 subunit derived from LH1, which is a protein bound Bchl a dimer. It was found that the B820 dimer exhibits only a small Stark signal dominated by a difference dipole moment between ground and excited states, \ŒîŒº| ‚âÖ D/f. The B820 complex can be reassociated to form LH1-like (B873) complexes, and this aggregation process induces a dramatic increase in the Stark parameters; |ŒîŒº|as ‚âÖ D/f and Tr(ŒîŒ±) ‚âÖ 1300-1800 √Ö3/f2. No significant differences were found between the B873 complex and the native LH1 antenna. The electrooptic properties of LH1 are compared to those of the special pair of the reaction center and the peripheral antenna complex, LH2, and discussed in the context of the ringlike structures observed for bacterial light-harvesting complexes. It is argued that the strong Stark signal of LH1 arises from mixing of charge transfer states with the exciton states of closely interacting pigments, the smallest possible unit being a Bchl a dimer. The absence of a strong Stark signal in B820 is most likely due to a small structural rearrangement of the protein bound dimer and the loss of interactions with neighboring pigments compared to the case of LH1.</t>
  </si>
  <si>
    <t>7284-7292</t>
  </si>
  <si>
    <t>60008734;60012708;60008734;60001881;60001881;60012708;60008734</t>
  </si>
  <si>
    <t>6602415545;57206343433;7006261095;7403259482;13105070700;35473804100;35599806700</t>
  </si>
  <si>
    <t>Beekman, Lucas M.P.;Steffen, Martin;Van Stokkum, Ivo H.M.;Olsen, John D.;Hunter, C. Neil;Boxer, Steven G.;Van Grondelle, Rienk</t>
  </si>
  <si>
    <t>United States;Netherlands;United Kingdom</t>
  </si>
  <si>
    <t>Palo Alto;Amsterdam;Sheffield</t>
  </si>
  <si>
    <t>Stanford University;Vrije Universiteit Amsterdam;The University of Sheffield</t>
  </si>
  <si>
    <t>60012708;60008734;60001881</t>
  </si>
  <si>
    <t>Characterization of the light-harvesting antennas of photosynthetic purple bacteria by Stark spectroscopy. 1. LH1 antenna complex and the B820 subunit from Rhodospirillum rubrum</t>
  </si>
  <si>
    <t>10.1021/jp963445b</t>
  </si>
  <si>
    <t>2-s2.0-0031236351</t>
  </si>
  <si>
    <t>['kuhn algorithm', 'eigenvalue equation']</t>
  </si>
  <si>
    <t>Microstrip antennas | Numerical analysis</t>
  </si>
  <si>
    <t>The key to analysing a guided surface wave is to solve its eigenvalue equation. When the medium is dissipative, the eigenvalue equation is a complex transcendental equation. The Kuhn algorithm is applied to work out the eigenvalue equation.</t>
  </si>
  <si>
    <t>1592-1593</t>
  </si>
  <si>
    <t>60021182;60021182</t>
  </si>
  <si>
    <t>55911335300;6507402882</t>
  </si>
  <si>
    <t>Yunliang, Long;Hongyan, Jiang</t>
  </si>
  <si>
    <t>Guangzhou</t>
  </si>
  <si>
    <t>Sun Yat-Sen University</t>
  </si>
  <si>
    <t>Yunliang L.</t>
  </si>
  <si>
    <t>Numerical analysis of surface wave on microstrip antenna with lossy substrate</t>
  </si>
  <si>
    <t>10.1049/el:19971103</t>
  </si>
  <si>
    <t>2-s2.0-0031237357</t>
  </si>
  <si>
    <t>['thermal fluctuations', 'theoretical predictions', 'reaction center', 'protein control', 'photosynthetic light', 'overall transfer', 'harvesting antenna', 'experimental data', 'excited donor', 'energy transfer', 'energy gap', 'dynamical aspect', 'acceptor molecules']</t>
  </si>
  <si>
    <t>A model for the protein control of energy transfer in photosynthetic light-harvesting antenna is proposed. Thermal fluctuations of the energy gap between the excited donor and acceptor molecules for the pairwise energy transfer step are assumed when the latter is a bottleneck for the overall transfer from the antenna to the reaction center. The model is motivated by fluorescence decay experiments on photosystem I particles. It emphasizes the dynamical aspect of spectral heterogeneity rather than the conventionally employed static picture. A comparison and discussion between experimental data and theoretical predictions are given.</t>
  </si>
  <si>
    <t>7271-7274</t>
  </si>
  <si>
    <t>100510736;60072285</t>
  </si>
  <si>
    <t>Trinkunas, Gediminas;Holzwarth, Alfred R.</t>
  </si>
  <si>
    <t>Germany;Lithuania</t>
  </si>
  <si>
    <t>Mulheim an der Ruhr;Vilnius</t>
  </si>
  <si>
    <t>Max Planck Institute for Chemical Energy Conversion;Inst of Theoretical Physics and</t>
  </si>
  <si>
    <t>60072285;100510736</t>
  </si>
  <si>
    <t>A model for dynamic protein control of energy transfer to photosynthetic reaction centers</t>
  </si>
  <si>
    <t>10.1021/jp9633660</t>
  </si>
  <si>
    <t>2-s2.0-0031237647</t>
  </si>
  <si>
    <t>['resolved pump', 'probe experiments', 'previous work', 'higher pump', 'higher plants', 'heterodimer model', 'enables one', 'beam intensities']</t>
  </si>
  <si>
    <t>For an explanation of ultrafast spectroscopic data observed at the photosynthetic antenna complex LHC-II of higher plants, a density matrix theory is presented. It accounts for the dissipative exciton motion among the various chlorophyll molecules in the LHC-II and enables one to simulate the time-resolved pump-probe experiments of previous work in the literature. In order to model exciton annihilation effects appearing at higher pump-beam intensities, standard exciton theory is extended to the inclusion of a second higher excited singlet state and the internal conversion process from this state to the first excited singlet state. Concentrating on a heterodimer model of the LHC-II, the approach reproduces quite well the observed ultrafast pump-intensity dependent differential absorption.</t>
  </si>
  <si>
    <t>7232-7240</t>
  </si>
  <si>
    <t>Theory of multiple exciton effects in the photosynthetic antenna complex LHC-II</t>
  </si>
  <si>
    <t>10.1021/jp963372w</t>
  </si>
  <si>
    <t>2-s2.0-0031238321</t>
  </si>
  <si>
    <t>['‚ âà1', 'rf coupling', 'results demonstrate', 'plane size', 'noise performance', 'noise operation', 'noise bandwidth', 'nb hot', 'impedance measurements', '5 thz', '4 ghz', '2 thz', '15 œºm']</t>
  </si>
  <si>
    <t>The noise performance of a Nb hot-electron bolometer mixer at 2.5 THz has been investigated. The devices are fabricated from a 12-nm-thick Nb film, and have a 0.30 Œºm√ó0.15 Œºm in-plane size, thus exploiting diffusion as the electron cooling mechanism. The rf coupling was provided by a twin-slot planar antenna on an elliptical Si lens. The experimentally measured double sideband noise temperature of the receiver was as low as 2750¬±250 K with an estimated mixer noise temperature of ‚âà900 K. The mixer bandwidth derived from both noise bandwidth and IF impedance measurements was ‚âà1.4 GHz. These results demonstrate the low-noise operation of the diffusion-cooled bolometer mixer above 2 THz. ¬© 1997 American Institute of Physics.</t>
  </si>
  <si>
    <t>1567-1569</t>
  </si>
  <si>
    <t>Karasik, B. S.;Gaidis, M. C.;McGrath, W. R.;Bumble, B.;LeDuc, H. G.</t>
  </si>
  <si>
    <t>Karasik B.</t>
  </si>
  <si>
    <t>Low noise in a diffusion-cooled hot-electron mixer at 2.5 THz</t>
  </si>
  <si>
    <t>10.1063/1.119967</t>
  </si>
  <si>
    <t>2-s2.0-0000421580</t>
  </si>
  <si>
    <t>Association pour la Recherche sur le Cancer</t>
  </si>
  <si>
    <t>ARC</t>
  </si>
  <si>
    <t>['translational modification', 'specific expression', 'soluble protein', 'olfactory areas', 'lepidoptera odorant', 'higher expression', 'general odorant', 'biochemical features', 'binding proteins', 'binding protein', 'asp2 might']</t>
  </si>
  <si>
    <t>Antenna | Apis mellisera L | Odorant-binding protein | Post-translational modification | Sequence | Sexual dimorphism</t>
  </si>
  <si>
    <t>A honey bee antennal water-soluble protein, APS2, was purified and characterized as the first Hymenoptera putative odorant-binding protein. Comparison of its measured M(r) (13,695.2 ¬± 1.6) to that of the corresponding cDNA clone shows it does not undergo any post-translational modification other than a 19-residue signal peptide cleavage and formation of three disulfide bridges. These biochemical features are close to those of Lepidoptera odorant-binding proteins. In situ hybridization experiments demonstrated its specific expression in olfactory areas. Based on its higher expression in the worker than in the drone, ASP2 might be more involved in general odorant than in sex pheromone detection.</t>
  </si>
  <si>
    <t>595-598</t>
  </si>
  <si>
    <t>60008134;60008134;60111811;60008134;60111811;60008134</t>
  </si>
  <si>
    <t>6602943948;6507916595;57195567451;6506283683;7005103856;23668112000</t>
  </si>
  <si>
    <t>Danty, E.;Michard-Vanh√©e, C.;Huet, J. C.;Genecque, E.;Pernollet, J. C.;Masson, C.</t>
  </si>
  <si>
    <t>Jouy-en-Josas;Paris</t>
  </si>
  <si>
    <t>Centre de Recherche INRAE √éle-de-France - Jouy-en-Josas - Antony;CNRS Centre National de la Recherche Scientifique</t>
  </si>
  <si>
    <t>60111811;60008134</t>
  </si>
  <si>
    <t>Danty E.</t>
  </si>
  <si>
    <t>Biochemical characterization, molecular cloning and localization of a putative odorant-binding protein in the honey bee Apis mellifera L. (Hymenoptera: Apidea)</t>
  </si>
  <si>
    <t>S001457939701048X</t>
  </si>
  <si>
    <t>10.1016/S0014-5793(97)01048-X</t>
  </si>
  <si>
    <t>2-s2.0-0030822163</t>
  </si>
  <si>
    <t>['stray photocurrent', 'responsivity comparable', 'noise ratio', 'large amount', 'higher responsivity', 'detect terahertz', 'better signal', 'based detector']</t>
  </si>
  <si>
    <t>Long carrier lifetime | LT-GaAs | Photoconductive antenna | SI-GaAs | SI-InP</t>
  </si>
  <si>
    <t>Photoconductive dipole antennas fabricated on semi-insulating (SI) GaAs and SI-InP were used to detect terahertz (THz) pulses. The responses of these long-carrier-lifetime photoconductive detectors were compared to that of the photoconductive antenna fabricated on a low-temperature grown GaAs (LT-GaAs) with a subpicosecond carrier lifetime. The SI-InP-based photoconductive detector showed a higher responsivity and a better signal-to-noise ratio (SNR) than the LT-GaAs-based photoconductive detector at low gating laser powers. The SI-GaAs-based detector, however, showed a responsivity comparable to that of the LT-GaAs photoconductive detector only at very weak gating laser power, and the SNR of the SI-GaAs-based detector was poor for overall gating laser powers due to the high background noise originating from a large amount of stray photocurrent.</t>
  </si>
  <si>
    <t>9 A/B</t>
  </si>
  <si>
    <t>Japanese Journal of Applied Physics, Part 2: Letters</t>
  </si>
  <si>
    <t>60092258;60092258;60008435</t>
  </si>
  <si>
    <t>7202550229;7404662230;55732695700</t>
  </si>
  <si>
    <t>Tani, Masahiko;Sakai, Kiyomi;Mimura, Hidenori</t>
  </si>
  <si>
    <t>Koganei;Sendai</t>
  </si>
  <si>
    <t>Ministry of Posts and Telecommunications, Japan;Tohoku University</t>
  </si>
  <si>
    <t>60092258;60008435</t>
  </si>
  <si>
    <t>Ultrafast photoconductive detectors based on semi-insulating GaAs and InP</t>
  </si>
  <si>
    <t>10.1143/jjap.36.l1175</t>
  </si>
  <si>
    <t>2-s2.0-0031223250</t>
  </si>
  <si>
    <t>['‚ àº100', 'weakly absorbing', 'weak high', 'upward scattering', 'theoretical results', 'theoretical estimate', 'temperature dependence', 'structural heterogeneity', 'rhodopseudomonas acidophila', 'pressure dependencies', 'phonon absorption', 'oscillator strength', 'optical dynamics', 'mechanism suggested', 'lh2 complex', 'level systems', 'level structure', 'harvesting 2', 'energy disorder', 'employs symmetry', 'dependent data', 'burning data', 'b870 level', 'b850 ring', 'b 1997', 'analyzed using', 'analysis leads', 'activation energy', 'accompanying paper', '7641 ),', '50 cm', '225 ),', '200 cm', '15 k', '140 cm', '1 smaller', '1 difference', '1 based']</t>
  </si>
  <si>
    <t>Experimental and theoretical results are presented on the exciton level structure of the B850 ring of bacteriochlorophyll Œ± molecules for the light-harvesting 2 (LH2) complex of Rhodopseudomonas acidophila (strain 10 050) and the effects of energy disorder (due to structural heterogeneity) on the level structure. The work is an outgrowth of the accompanying paper (Wu et al. J. Phys. Chem. B 1997, 101, 7641), which reports on the temperature and pressure dependencies of the LH2 absorption spectrum and the zero-phonon hole action spectrum of the lowest energy exciton level of the complex, B870, as well as the structural (nondenaturing) change of the complex near 150 K. The effects of energy disorder are analyzed using the theory of Wu and Small (Chem. Phys. 1997, 218, 225), which employs symmetry-adapted energy defect patterns. The analysis leads to a room temperature value of ‚àº100 cm-1 for the splitting between B870 and the adjacent, strongly allowed E1 level in the absence of disorder. Using the temperature-dependent data of Wu et al., we arrive at a theoretical estimate for this splitting at temperatures below ‚àº150 K of ‚àº150 cm-1, which is 50 cm-1 smaller than the "apparent" value of 200 cm-1 based on the 4.2 K B870 action spectrum. The 50 cm-1 difference is explained in terms of a distribution of values for the energy disorder parameter(s), which leads to a distribution of values for the oscillator strength of B870. Hole-burning data on the temperature dependence of B870's optical dynamics are presented and analyzed. Below "15 K the dynamics are dominated by two-level systems of the protein with an effective dephasing frequency that carries a TŒ± dependence with Œ± ‚âà 1.3. At temperatures above ‚àº20 K the dephasing is strongly exponentially driven with an activation energy of ‚àº100-140 cm-1. A mechanism suggested for this dephasing is that it is due to upward scattering of the B870 level to the adjacent E1 level by one-phonon absorption. New satellite hole spectra for the LH2 complex (isolated and chromatophores) are presented that lead to the assignment of the weak high-energy tail absorption of the B800 and B850 absorption bands to B850 exciton levels of the B850 ring, which are either symmetry forbidden or predicted to be very weakly absorbing in the absence of energy disorder.</t>
  </si>
  <si>
    <t>7654-7663</t>
  </si>
  <si>
    <t>60008023;60008023;60103637;60001490;60008023</t>
  </si>
  <si>
    <t>55703737000;6701692882;35215638000;7006465617;7202142626</t>
  </si>
  <si>
    <t>Wu, H. M.;Ratsep, M.;Lee, I. J.;Cogdell, R. J.;Small, G. J.</t>
  </si>
  <si>
    <t>South Korea;United States;United Kingdom</t>
  </si>
  <si>
    <t>Gyeongju;Ames;Glasgow</t>
  </si>
  <si>
    <t>Dongguk University, Gyeongju;Ames Laboratory;University of Glasgow</t>
  </si>
  <si>
    <t>60103637;60008023;60001490</t>
  </si>
  <si>
    <t>Exciton level structure and energy disorder of the B850 ring of the LH2 antenna complex</t>
  </si>
  <si>
    <t>10.1021/jp971514w</t>
  </si>
  <si>
    <t>2-s2.0-0031235924</t>
  </si>
  <si>
    <t>['whole aggregate', 'vibrational coupling', 'singlet excitons', 'room temperature', 'rhodobacter sphaeroides', 'puts emphasis', 'peripheral antennae', 'new way', 'harvesting antennae', 'four pigments', 'focus attention', 'exciton localization', 'exciton eigenstates', 'dynamic exciton', 'dynamic character', 'coherent super', 'asymptotic limit']</t>
  </si>
  <si>
    <t>The photoinduced ultrafast dynamics of singlet excitons in light-harvesting antennae is investigated using multilevel Redfield theory. Formulating the equations of motion for the reduced exciton density operator in terms of one- and two-exciton eigenstates we focus attention on the influence of dynamic exciton-vibrational coupling and static diagonal disorder on transient absorption spectra of peripheral antennae in photosynthetic purple bacteria. The simulations are discussed in view of recent experimental results obtained for the B850 absorption band of Rhodobacter sphaeroides. Further, we suggest a new way of estimating the size of the exciton coherence domain in these systems which puts emphasis on the dynamic character of exciton localization. For the B850 pigment pool we find that at room temperature the pump-pulse initially prepares a coherent super-position of one-exciton eigenstates which can be delocalized over the whole aggregate. With increasing delay time the exciton coherence domain shrinks to cover about four pigments in the asymptotic limit. ¬© 1997 American Institute of Physics.</t>
  </si>
  <si>
    <t>4154-4164</t>
  </si>
  <si>
    <t>60029170-60030718;60029170</t>
  </si>
  <si>
    <t>K√ºhn, Oliver;Sundstr√∂m, Villy</t>
  </si>
  <si>
    <t>Pump-probe spectroscopy of dissipative energy transfer dynamics in photosynthetic antenna complexes: A density matrix approach</t>
  </si>
  <si>
    <t>10.1063/1.474803</t>
  </si>
  <si>
    <t>2-s2.0-0031571939</t>
  </si>
  <si>
    <t>['target glycoprotein', 'specified protein', 'spatial relocation', 'simultaneous overexpression', 'simulations indicate', 'simulations allow', 'several enzymes', 'recombinant glycoprotein', 'potentially lead', 'parameters gave', 'metabolic engineering', 'mathematical model', 'mass balances', 'main function', 'literature information', 'kinetic parameters', 'golgi complex', 'glycoprotein product', 'glycoform population', 'glycoform distributions', 'fashion similar', 'enzymes involved', 'effective engineering', 'different strategies', 'different numbers', 'different conditions', 'different compartments', 'clio cells', 'cho cells', 'catalyzed reactions', 'basal set', 'also obtained', 'acetylglucosaminyltransferase iii', 'accomplish n']</t>
  </si>
  <si>
    <t>CHO cells | Glycoform | Mathematical model | Metabolic engineering | N-linked glycosylation | Oligosaccharides</t>
  </si>
  <si>
    <t>Metabolic engineering of N-linked oligosaccharide biosynthesis to produce novel glycoforms or glycoform distributions of a recombinant glycoprotein can potentially lead to an improved therapeutic performance of the glycoprotein product. Effective engineering of this pathway to maximize the fractions of beneficial glycoforms within the glycoform population of a target glycoprotein can be aided by a mathematical model of the N-linked glycosylation process. A mathematical model is presented here, whose main function is to calculate the expected qualitative trends in the N-linked oligosaccharide distribution resulting from changes in the levels of one or more enzymes involved in the network of enzyme-catalyzed reactions that accomplish N-linked oligosaccharide biosynthesis. It consists of mass balances for 33 different oligosaccharide species N-linked to a specified protein that is being transported through the different compartments of the Golgi complex. Values of the model parameters describing Chinese hamster ovary (CHO) cells were estimated from literature information. A basal set of kinetic parameters for the enzyme-catalyzed reactions acting on free oligosaccharide substrates was also obtained from the literature. The solution of the system for this basal set of parameters gave a glycoform distribution consisting mainly of complex-galactosylated oligosaccharides distributed in structures with different numbers of antennae in a fashion similar to that observed for various recombinant proteins produced in Clio cells. Other simulations indicate that changes in the oligosaccharide distribution could easily result from alteration in glycoprotein productivity within the range currently attainable in industry. The overexpression of N- acetylglucosaminyltransferase III in CHO cells was simulated under different conditions to test the main function of the model. These simulations allow a comparison of different strategies, such as simultaneous overexpression of several enzymes or spatial relocation of enzymes, when trying to optimize a particular glycoform distribution.</t>
  </si>
  <si>
    <t>890-908</t>
  </si>
  <si>
    <t>Biotechnology and Bioengineering</t>
  </si>
  <si>
    <t>60025858;60025858</t>
  </si>
  <si>
    <t>8982399000;55664000000</t>
  </si>
  <si>
    <t>Uma√±a, Pablo;Bailey, James E.</t>
  </si>
  <si>
    <t>Uma√±a P.</t>
  </si>
  <si>
    <t>A mathematical model of N-linked glycoform biosynthesis</t>
  </si>
  <si>
    <t>10.1002/(SICI)1097-0290(19970920)55:6&lt;890::AID-BIT7&gt;3.0.CO;2-B</t>
  </si>
  <si>
    <t>2-s2.0-0343581263</t>
  </si>
  <si>
    <t>['two factors', 's1 state', 'photosynthetic antenna', 'molecular structures', 'fluorescence properties', 'fluorescence occurs', 'carbonyl group']</t>
  </si>
  <si>
    <t>Fluorescence properties of several synthetic carotenoid analogues have been investigated in order to assess the relationship between molecular structures and function as a photosynthetic antenna. The origin of fluorescence is determined by two factors; the length of the conjugated double bond system and the presence of a carbonyl group. For efficient energy transfer to chlorophyll a, eight conjugated double bonds and an associated carbonyl group are required, which ensures that fluorescence occurs from the S1 state.</t>
  </si>
  <si>
    <t>2713-2724</t>
  </si>
  <si>
    <t>0300922X</t>
  </si>
  <si>
    <t>Journal of the Chemical Society - Perkin Transactions 1</t>
  </si>
  <si>
    <t>60031582;60020739;60031582</t>
  </si>
  <si>
    <t>7101822840;7006461138;57212068161</t>
  </si>
  <si>
    <t>Yamano, Yumiko;Mimuro, Mamoru;Ito, Masayoshi</t>
  </si>
  <si>
    <t>Kobe;Yamaguchi</t>
  </si>
  <si>
    <t>Kobe Pharmaceutical University;Yamaguchi University</t>
  </si>
  <si>
    <t>60031582;60020739</t>
  </si>
  <si>
    <t>Yamano Y.</t>
  </si>
  <si>
    <t>Carotenoids and related polyenes. Part 4. Synthesis of carotenoid analogues containing a conjugated carbonyl group and their fluorescence properties</t>
  </si>
  <si>
    <t>10.1039/a702815f</t>
  </si>
  <si>
    <t>2-s2.0-33748619260</t>
  </si>
  <si>
    <t>Kn276/3-2</t>
  </si>
  <si>
    <t>['using monospecific', 'trace amounts', 'three chlorina', 'reduced amounts', 'reaction centre', 'ps ii', 'provided evidence', 'protein import', 'mutants allelic', 'monoclonal antibodies', 'locus chlorina', 'lhca proteins', 'intimately associated', 'harvesting chlorophyll', 'four light', 'chl b', 'carlsberg laboratory', 'binding proteins', 'b125 indicate', 'also impaired', 'accumulate independently', '742 nm', '730 complex']</t>
  </si>
  <si>
    <t>77 K long-wavelength fluorescence | Chlorina-a | Chlorina-b | Chlorina-f2 | Lhca | Lhcb</t>
  </si>
  <si>
    <t>Twenty-three chlorina (clo) mutants from the barley mutant collection of the Carlsberg Laboratory, Copenhagen, were tested for the presence of the four light-harvesting chlorophyll (Chl) a/b-binding proteins (LHC) of Photosystem I (Lhca1-4) and the PS II antenna proteins Lhcb1-3 (LHC II), Lhcb4-6 (CP29, CP26, CP24) and PsbS (CP22) using monospecific and monoclonal antibodies. Mutants allelic to barley mutant clo-f2, impaired in Chl b synthesis, provided evidence that Lhca4, Lhcb1 and Lhcb6 are unstable in the absence of Chl b, and the accumulation of Lhcb2, Lhcb3 and Lhcb4 is also impaired. Mutants at the locus chlorina-a (clo-a117, clo-a126 and clo-a134) lack or have only trace amounts of Lhca1, Lhca4, Lhcb1 and Lhcb3, whereas a mutant at the locus chlorina-b (clo-b125) had reduced amounts of all Lhca proteins. These two mutations could have an effect in protein import or assembly. Evidence is presented that Lhcb5 is the innermost LHC protein of PS II, and that Lhca1 and Lhca4, which have been supposed to be intimately associated in the LHCI-730 complex, can accumulate independently of each other. 77 K fluorescence emission spectra taken from leaves of clo-f2101, clo-a126 and clo-b125 indicate that chlorophyll(s) emitting at 742 nm are coupled to the presence of Lhca4 that is bound to the reaction centre, and those emitting around 730 nm are located on Lhca1.</t>
  </si>
  <si>
    <t>127-136</t>
  </si>
  <si>
    <t>60008293;60008293;60031040</t>
  </si>
  <si>
    <t>56899850300;6602072663;26643215000</t>
  </si>
  <si>
    <t>Bossmann, Bj√∂rn;Knoetzel, J√ºrgen;Jansson, Stefan</t>
  </si>
  <si>
    <t>Sweden;Germany</t>
  </si>
  <si>
    <t>Umea;Bremen</t>
  </si>
  <si>
    <t>Ume√• Universitet;Universit√§t Bremen</t>
  </si>
  <si>
    <t>60031040;60008293</t>
  </si>
  <si>
    <t>Bossmann B.</t>
  </si>
  <si>
    <t>Screening of chlorina mutants of barley (Hordeum vulgare L.) with antibodies against light-harvesting proteins of PS I and PS II: Absence of specific antenna proteins</t>
  </si>
  <si>
    <t>10.1023/A:1005823711838</t>
  </si>
  <si>
    <t>2-s2.0-0030749012</t>
  </si>
  <si>
    <t>Biotechnology and Biological Sciences Research Council</t>
  </si>
  <si>
    <t>BBSRC</t>
  </si>
  <si>
    <t>['structural arrangement', 'rps .)', 'reaction centers', 'rc inside', 'photosynthetic membrane', 'peripheral light', 'model suggested', 'linear chains', 'lh2 complexes', 'lh2 ).', 'lh1 complexes', 'lh complexes', 'integer number', 'harvesting complexes', 'gain information', 'excitonic connectivity', 'core complex', 'assume aggregates', 'antenna pigments', '(( 1996']</t>
  </si>
  <si>
    <t>Connectivity | Fluorescence induction | LH2 | Light-harvesting complexes | Purple bacteria | Rps. acidophila</t>
  </si>
  <si>
    <t>The photosynthetic membrane of the purple bacterium Rhodopseudomonas (Rps.) acidophila is composed of reaction centers (RCs) which are surrounded by closely connected light harvesting complexes (LH1) and peripheral light-harvesting complexes (LH2). Both LH1 and LH2 - which bind the antenna pigments between Œ±-, Œ≤-heterodimers - form rings composed of an integer number of Œ±-, Œ≤-subunits. Here we use the sigmoidicity of fluorescence induction curves to probe the excitonic connectivity of RCs in order to gain information on the structural arrangement of these LH complexes in the natural chromatophore membrane. The data exclude models of the Rps. acidophila photosynthetic unit that assume aggregates of RC-LH1 complexes or linear chains of RC-LH1 complexes to which LH2 complexes are attached on the periphery. Rather, they support the model suggested by Papiz et al. ((1996) Trends in Plant Science 1: 198-206) in which peripheral light-harvesting rings tightly surround each core complex (LH1-ring with the RC inside) circumferentially.</t>
  </si>
  <si>
    <t>157-165</t>
  </si>
  <si>
    <t>60001490;60001490;60009731</t>
  </si>
  <si>
    <t>7201607799;7006465617;57202396392</t>
  </si>
  <si>
    <t>Law, Christopher J.;Cogdell, Richard J.;Trissl, Hans Wilhelm</t>
  </si>
  <si>
    <t>Osnabruck;Glasgow</t>
  </si>
  <si>
    <t>Universit√§t Osnabr√ºck;University of Glasgow</t>
  </si>
  <si>
    <t>60009731;60001490</t>
  </si>
  <si>
    <t>Law C.</t>
  </si>
  <si>
    <t>Antenna organisation in the purple bacterium Rhodopseudomonas acidophila studied by fluorescence induction</t>
  </si>
  <si>
    <t>10.1023/A:1005853617251</t>
  </si>
  <si>
    <t>2-s2.0-0030850996</t>
  </si>
  <si>
    <t>Neotropical Ornithological Society</t>
  </si>
  <si>
    <t>NOS</t>
  </si>
  <si>
    <t>['vol 1', 'tronrud de', 'strong band', 'small blue', 'second type', 'san diego', 'resulting preparations', 'relative amounts', 'recently suggested', 'rapid procedures', 'purple bacteria', 'proteins contained', 'pp 13', 'position 8', 'polar bchl', 'pigment analysis', 'perhaps also', 'p aestuarii', 'norris j', 'matthews bw', 'major q', 'light conditions', 'intact cells', 'homologue composition', 'first type', 'esterifying alcohols', 'different species', 'deisenhofer j', 'contaminating pigments', 'considerably larger', 'comprised 1', 'clearly separated', 'chlorosomal bchl', 'cb .)', 'bchls c', 'bchl e', 'baseplate must', 'baseplate bchl', 'academic press', 'absorption spectroscopy', 'absorption maximum', 'absorption band', '815 nm', '806 nm', '802 nm', '6 k']</t>
  </si>
  <si>
    <t>Bacteriochlorophyll a, c, d and e | Chlorosome | FMO-protein | Green sulfur bacterium (Chlorobium phaeovibrioides, Chlorobium tepidum, Chlorobium vibrioforme and Prosthecochloris aestuarii) | Pigment composition</t>
  </si>
  <si>
    <t>New and rapid procedures were developed for the isolation of chlorosomes and FMO-protein from the green sulfur bacteria Prosthecochloris (P.) aestuarii, Chlorobium (Cb.) phaeovibrioides, Cb. tepidum and Cb. vibrioforme. The resulting preparations were free from contaminating pigments and proteins as was shown by absorption spectroscopy, pigment analysis and SDS-PAGE. Two spectrally different types of FMO-protein were found. The first type, present in P aestuarii and Cb. vibrioforme, has a main absorption band at 6 K at 815 nm, whereas the second type, isolated from Cb. tepidum and Cb. phaeovibrioides, has a strong band at 806 nm. In contrast to what was recently suggested (Tronrud DE and Matthews BW (1993) In: Deisenhofer J and Norris J (eds) The Photosynthetic Reaction Center, Vol 1, pp 13-21. Academic Press, San Diego, CA) the FMO-proteins contained no polar BChl a homologue. The isolated chlorosomes showed a small blue-shift of the Q(Y) absorption maximum with respect to intact cells. For the different species, grown under the same light conditions, the homologue composition of BChls c and d was approximately identical whereas for the BChl e in Cb. phaeovibrioides the relative amounts of homologues with larger alkyl substituents at position 8 were considerably larger. Baseplate BChl a was present in all chlorosomes and comprised 1-2% of the chlorosomal BChl. Its Q(Y) absorption band was located at about 802 nm and was clearly separated from the major Q(Y) absorption band at 6 K. The predominant esterifying alcohol of BChl a in the chlorosomes as well as in the FMO-proteins was phytol, but both antenna complexes also contained small amounts of BChl a esterified with the metabolic intermediates geranylgeraniol, dihydrogeranylgeraniol and tetrahydrogeranylgeraniol, like most purple bacteria. Since the esterifying alcohols of the chlorosomal BChl a and of the main chlorosomal pigments (BChls c, d and e) are different, esterification, and perhaps also the synthesis, of the BChls in the interior of the chlorosome and of the BChls in the baseplate must be spatially and genetically separated processes.</t>
  </si>
  <si>
    <t>60003878;60003878-60007903</t>
  </si>
  <si>
    <t>8682496000;7004456032</t>
  </si>
  <si>
    <t>Francke, Christof;Amesz, Jan</t>
  </si>
  <si>
    <t>Israel;Netherlands</t>
  </si>
  <si>
    <t>Jerusalem;Leiden</t>
  </si>
  <si>
    <t>Hebrew University of Jerusalem;Sterrewacht Leiden</t>
  </si>
  <si>
    <t>60007903;60003878</t>
  </si>
  <si>
    <t>Francke C.</t>
  </si>
  <si>
    <t>Isolation and pigment composition of the antenna system of four species of green sulfur bacteria</t>
  </si>
  <si>
    <t>10.1023/A:1005845828676</t>
  </si>
  <si>
    <t>2-s2.0-0030880018</t>
  </si>
  <si>
    <t>['water system', 'water interfaces', 'transition dipole', 'theoretical description', 'strongly suppressed', 'reflectivity data', 'possible implications', 'parallel case', 'modified significantly', 'liquid water', 'lipid layer', 'emission rates', 'emission rate', 'briefly discussed', 'antenna system', 'alignment dependence']</t>
  </si>
  <si>
    <t>A theoretical description of the quantum electromagnetic field in the lipid-water system is presented, and the spontaneous emission rate of an excited molecule bound in the lipid layer is calculated. By using the reflectivity data of liquid water, the emission rates as a function of the wavelength and the index of refraction of hydrocarbon are calculated. Depending on the alignment of the transition dipole, the spontaneous emission rate is found to be modified significantly. When the alignment of the transition dipole is perpendicular to the lipid-water interfaces, the emission rate is more strongly suppressed by the presence of the boundaries, in comparison to the parallel case. It is suggested that one could experimentally measure this alignment dependence of the spontaneous emission process in the lipid-water system, and some possible implications to the antenna system in the photosynthesis are briefly discussed. ¬© 1997 American Institute of Physics.</t>
  </si>
  <si>
    <t>4499-4506</t>
  </si>
  <si>
    <t>Cho, Minhaeng</t>
  </si>
  <si>
    <t>Korea University</t>
  </si>
  <si>
    <t>Cho M.</t>
  </si>
  <si>
    <t>Spontaneous emission in lipid-water system</t>
  </si>
  <si>
    <t>10.1063/1.474811</t>
  </si>
  <si>
    <t>2-s2.0-0031232536</t>
  </si>
  <si>
    <t>['space side', 'polycrystalline silicon', 'polarization ratio', 'measurements made', 'frequency responses', 'coupling efficiency', 'axis cross', 'approximately 5', 'airbridges coupled', '9 db', '5 db', '15 %.']</t>
  </si>
  <si>
    <t>Polycrystalline silicon (polysilicon) airbridges coupled to log-periodic and bow-tie planar antennas have been fabricated for mid-infrared radiation detection. The detectors in thermocouple and bolometer modes exhibit a higher electrical responsivity than previously reported metal based antenna-coupled thermal detectors. Measurements made at 10.2 Œºm wavelength indicate that the linearly polarized antennas have an on-axis cross-polarization ratio of about -4.5 dB and the pattern in the free-space side has a directivity of approximately 5-9 dB. The coupling efficiency is about 15%. Frequency responses for modulated optical signals agree with thermal transport models. ¬© 1997 American Institute of Physics.</t>
  </si>
  <si>
    <t>1607-1609</t>
  </si>
  <si>
    <t>60121115;60121115</t>
  </si>
  <si>
    <t>36880839700;7201680602</t>
  </si>
  <si>
    <t>Chong, N.;Ahmed, H.</t>
  </si>
  <si>
    <t>Chong N.</t>
  </si>
  <si>
    <t>Antenna-coupled polycrystalline silicon air-bridge thermal detector for mid-infrared radiation</t>
  </si>
  <si>
    <t>10.1063/1.119992</t>
  </si>
  <si>
    <t>2-s2.0-0031234730</t>
  </si>
  <si>
    <t>R01GM032715</t>
  </si>
  <si>
    <t>['z ).', 'z ),', 'widely used', 'two phases', 'transfer pathway', 'temperature steady', 'systematically varied', 'specific charge', 'slow phase', 'significant photoinhibition', 'significant changes', 'separated state', 'reversible oxidation', 'redox states', 'redox state', 'rapid photooxidation', 'quench 70', 'psii studied', 'potent quencher', 'photosystem ii', 'photoprotection mechanism', 'oxidized chl', 'one electron', 'low temperature', 'light conditions', 'irreversible photoinhibition', 'fluorescence quenching', 'fluorescence intensity', 'fast phase', 'evolving complex', 'energetically connected', 'electron donors', 'donor side', 'defined quencher', 'cytochrome b559', 'completely understood', 'chlorophyll fluorescence', 'chl concentrations', 'antenna systems', 'although fluorescence', 'active tyrosines', 'active components', 'active centers', '85 k', '7 mg', '150 k']</t>
  </si>
  <si>
    <t>Although fluorescence is widely used to study photosynthetic systems, the mechanisms that affect the fluorescence in photosystem II (PSII) are not completely understood. The aim of this study is to define the low-temperature steady-state fluorescence quenching of redox-active centers that function on the electron donor side of PSII. The redox states of the electron donors and acceptors were systematically varied by using a combination of pretreatments and illumination to produce and trap, at low temperature, a specific charge- separated state. Electron parmagnetic resonance spectroscopy and fluorescence intensity measurements were carried out on the same samples to obtain a correlation between the redox state and the fluorescence. It was found that illumination of PSII at temperatures between 85 and 260 K induced a fluorescence quenching state in two phases. At 85 K, where the fast phase was most prominent, only one electron-transfer pathway is active on the donor side of PSII. This pathway involves electron donation to the primary electron donor in PSII, P680, from cytochrome b559 and a redox-active chlorophyll molecule, Chl(Z). Oxidized Chl(Z) was found to be a potent quencher of chlorophyll fluorescence with 15%of oxidized Chl(Z) sufficient to quench 70% of the fluorescence intensity. This implies that neighboring PSII reaction centers are energetically connected, allowing oxidized Chl(Z) in a few centers to quench most of the fluorescence. The presence of a well-defined quencher in PSII may make it possible to study the connectivity between antenna systems in different sample preparations. The other redox-active components on the donor side of PSII studied were the O2-evolving complex, the redox-active tyrosines (Y(Z) and Y(D)), and cytochrome b559. No significant changes in fluorescence intensity could be attributed to changes in the redox state of these components. The fast phase of fluorescence quenching is attributed to the rapid photooxidation of Chl(Z), and the slow phase is attributed to multiple turnovers providing for further oxidation of Chl(Z) and irreversible photoinhibition. Significant photoinhibition only occurred at Chl concentrations below 0.7 mg/mL and above 150 K. The reversible oxidation of Chl(Z) in intact systems may function as a photoprotection mechanism under high-light conditions and account for a portion of the nonphotochemical fluorescence quenching.</t>
  </si>
  <si>
    <t>11351-11359</t>
  </si>
  <si>
    <t>60005455;60005455</t>
  </si>
  <si>
    <t>57210095473;54790507700</t>
  </si>
  <si>
    <t>Schweitzer, Robert H.;Brudvig, Gary W.</t>
  </si>
  <si>
    <t>Schweitzer R.H.</t>
  </si>
  <si>
    <t>Fluorescence quenching by chlorophyll cations in photosystem II</t>
  </si>
  <si>
    <t>10.1021/bi9709203</t>
  </si>
  <si>
    <t>2-s2.0-0030968584</t>
  </si>
  <si>
    <t>['statistical reliability', 'sensor malfunction', 'faulty array', 'effective aperture', 'authors propose', 'array suffers']</t>
  </si>
  <si>
    <t>Higher order statistics | MUSIC</t>
  </si>
  <si>
    <t>The authors propose a modified MUSIC algorithm which employs mixed second and fourth order statistics. When an array suffers from sensor malfunction, higher order statistics are used to extend the effective aperture of the faulty array. Simulation results support the potential of this approach which maximises the additional information available in fourth order statistics, while retaining the statistical reliability of second order sample estimates.</t>
  </si>
  <si>
    <t>1679-1680</t>
  </si>
  <si>
    <t>60015150;60015150;60015150</t>
  </si>
  <si>
    <t>15220962000;7402475745;57210082540</t>
  </si>
  <si>
    <t>Pora, W.;Chambers, J. A.;Constantinides, A. G.</t>
  </si>
  <si>
    <t>Imperial College London</t>
  </si>
  <si>
    <t>Pora W.</t>
  </si>
  <si>
    <t>Mitigating array sensor malfunctions with mixed second and fourth order statistics</t>
  </si>
  <si>
    <t>10.1049/el:19971124</t>
  </si>
  <si>
    <t>2-s2.0-0031221323</t>
  </si>
  <si>
    <t>['technique used', 'successful synthesis', 'scan angle', 'pattern corruption', 'mutual coupling', 'linear arrays']</t>
  </si>
  <si>
    <t>A pattern synthesis technique for low sidelobe arbitrarily scanned difference beams in small planar phased arrays is presented. The approach is based on adaptive array theory and is the development of a technique used for radiation pattern synthesis in linear arrays. The method has been applied to measured element pattern data from a small planar array, which includes the effects of pattern corruption by mutual coupling. The successful synthesis of low sidelobe difference beams is demonstrated, with arbitrary difference plane and scan angle.</t>
  </si>
  <si>
    <t>1664-1665</t>
  </si>
  <si>
    <t>6602709134;7202904160;7102890409</t>
  </si>
  <si>
    <t>Darwood, P.;Fletcher, P. N.;Hilton, G. S.</t>
  </si>
  <si>
    <t>Difference pattern synthesis in small planar phased arrays</t>
  </si>
  <si>
    <t>10.1049/el:19971158</t>
  </si>
  <si>
    <t>2-s2.0-0031222632</t>
  </si>
  <si>
    <t>['return loss', 'radiation pattern', 'proximity feed', 'perpendicular substrate', 'new configuration', 'investigated experimentally', 'antenna gain']</t>
  </si>
  <si>
    <t>The slot-coupled dielectric resonator antenna with a proximity feed on a perpendicular substrate is investigated experimentally. The return loss, radiation pattern, and antenna gain of the new configuration are measured and discussed.</t>
  </si>
  <si>
    <t>1665-1666</t>
  </si>
  <si>
    <t>Slot-coupled dielectric resonator antenna using a proximity feed on a perpendicular substrate</t>
  </si>
  <si>
    <t>10.1049/el:19971161</t>
  </si>
  <si>
    <t>2-s2.0-0031223042</t>
  </si>
  <si>
    <t>['upon excitation', 'transfer time', 'time resolution', 'time constant', 'study b800', 'sphaeroides ),', 'room temperature', 'results indicate', 'occur within', 'latter organism', 'energy transfer', 'earlier found', 'chromatium vinosum', 'chromatium tepidum', 'bleaching signal', 'b850 aggregate', 'b820 band', 'b800 molecules', 'aggregated b800', '9 ps', '850 complexes', '820 complexes', '820 complex', '80 fs', '795 nm', '5 ps', '20 nm']</t>
  </si>
  <si>
    <t>Polarized and magic angle two-color femtosecond spectroscopy was used to study B800-850 antenna complexes of the photosynthetic purple bacteria Rhodopseudomonas acidophila (Rps. acidophila), Rhodobacter sphaeroides (Rb. sphaeroides), and Chromatium tepidum (Chr. tepidum) and the B800-820 complex of Chromatium vinosum at room temperature. As was earlier found for Chr. tepidum, in the B800-850 complexes of Rps. acidophila and Rb. sphaeroides the bleaching signal of B850 was found to be several times larger than that of B800, indicating strong exciton interactions between the bacteriochlorophylls (BChls) in the B850 aggregate. Depolarization of the B850 excited state was found to occur within our time resolution of 80 fs. In all species, B800 to B850 or B820 transfer took place with a time constant of 0.7 to 0.9 ps. Depolarization studies indicated a transfer time of 1.5 ps between B800 molecules in Rps. acidophila. In Chr. tepidum, B800 depolarizes 2 to 4 times slower, dependent on the wavelength of excitation. Our results indicate that the double band structure of B800 of the latter organism is due to two separate pools of BChls, rather than dimeric exciton interaction. Upon excitation of the B800-820 complex of Chr. vinosum at 795 nm, the B820 absorbance difference spectrum shifted with time to the red by 20 nm, indicating that B820 is spectrally very heterogeneous. A 2 ps downhill energy transfer process within the B820 band is assigned to energy transfer between aggregated B800-820 complexes. Assuming that the B800-820 complex is similar to B800-850, we propose that the large spectral heterogeneity of B820 does not occur within individual B800-820 complexes.</t>
  </si>
  <si>
    <t>7827-7834</t>
  </si>
  <si>
    <t>60003878;60007457;60003878;60003878;60008435;60003878</t>
  </si>
  <si>
    <t>6701664153;57215471408;6602136756;7003777767;7103347251;7004456032</t>
  </si>
  <si>
    <t>Kennis, John T.M.;Streltsov, Alexandre M.;Vulto, Simone I.E.;Aartsma, Thijs J.;Nozawa, Tsunenori;Amesz, Jan</t>
  </si>
  <si>
    <t>Japan;Russian Federation;Netherlands</t>
  </si>
  <si>
    <t>Sendai;Moscow;Leiden</t>
  </si>
  <si>
    <t>Tohoku University;Lomonosov Moscow State University;Sterrewacht Leiden</t>
  </si>
  <si>
    <t>60008435;60007457;60003878</t>
  </si>
  <si>
    <t>Kennis J.T.M.</t>
  </si>
  <si>
    <t>Femtosecond dynamics in isolated LH2 complexes of various species of purple bacteria</t>
  </si>
  <si>
    <t>10.1021/jp963359b</t>
  </si>
  <si>
    <t>2-s2.0-0031233135</t>
  </si>
  <si>
    <t>['visual system', 'somata along', 'small subpopulation', 'several strata', 'potential coexpression', 'nitric oxide', 'mushroom bodies', 'locust cns', 'lobula complex', 'identifyable gaba', 'gabaergic circuits', 'extrinsic innervation', 'express gaba', 'distinct populations', 'diaphorase staining', 'conventional transmitters', 'characteristic cotransmitter', 'anterior rim', 'antennal lobe', '50 nadph', '4500 gaba']</t>
  </si>
  <si>
    <t>Antennal lobe | Insect nervous system | Mushroom body | Neurotransmitter | Nitric oxide | Olfactory information processing</t>
  </si>
  <si>
    <t>Nitric oxide synthesizing neurons of the locust CNS have been identified by NADPH-diaphorase staining. However, the conventional transmitters of these neurons are unknown. Here we use double labelling for NADPH-diaphorase and GABA-immunofluorescence on sections of the brain to investigate a potential coexpression of both markers. The antennal lobe is innervated by a cluster of about 45-50 NADPH-diaphorase positive local interneurons which express GABA- immunofluorescence. The mushroom bodies are a higher order olfactory center which receive an extrinsic innervation from GABA-immunoreactive and NADPH- diaphorase positive fiber systems. Each optic lobe contains about 4500 GABA- immunoreactive cell bodies. In the visual system, identifyable GABA- immunoreactive neurons arborize in the external plexiform layer of the lamina, in several strata of the medulla, and in the lobula complex. A survey of all NADPH-diaphorase positive cell groups detected a colocalization of GABA-immunoreactivity in a small subpopulation of somata along the anterior rim of the medulla. These cytochemical findings suggest that nitric oxide may be a characteristic cotransmitter of GABAergic circuits of the antennal lobe, while in mushroom bodies and the visual system the majority of nitric oxide and GABA releasing neurons are distinct populations.</t>
  </si>
  <si>
    <t>273-280</t>
  </si>
  <si>
    <t>Brain Research</t>
  </si>
  <si>
    <t>60030718;60011610</t>
  </si>
  <si>
    <t>36640421300;7006119207</t>
  </si>
  <si>
    <t>Seidel, Claudia;Bicker, Gerd</t>
  </si>
  <si>
    <t>Berlin;Hannover</t>
  </si>
  <si>
    <t>Freie Universit√§t Berlin;Tier√§rztliche Hochschule Hannover</t>
  </si>
  <si>
    <t>Seidel C.</t>
  </si>
  <si>
    <t>Colocalization of NADPH-diaphorase and GABA-immunoreactivity in the olfactory and visual system of the locust</t>
  </si>
  <si>
    <t>S0006899397007166</t>
  </si>
  <si>
    <t>10.1016/S0006-8993(97)00716-6</t>
  </si>
  <si>
    <t>2-s2.0-0030832632</t>
  </si>
  <si>
    <t>['various three', 'substantial effects', 'stimulus load', 'significantly less', 'significantly affected', 'results indicate', 'respond significantly', 'potential agonists', 'novel approaches', 'males exposed', 'male moths', 'male antennae', 'lymantriidae )],', 'lymantria dispar', 'least sensitive', 'knowledge obtained', 'intermediate response', 'gypsy moth', 'females moths', 'epoxy mixture', 'epoxy analogs', 'epoxide group', 'electrophysiological studies', 'cyclopropane analogs', 'aziridinyl analogs', 'antennal receptors', '2cic ),', '1e antennae', '1e ),', '(¬±)- aziridinyl', '(-)- az', '(-) az', '(+)- az']</t>
  </si>
  <si>
    <t>Adaptation | Analogs | Lymantria dispar | Neurophysiology | Olfaction gypsy moth | Receptor | Semiochemicals</t>
  </si>
  <si>
    <t>Reception and adaptation of antennal receptors in response to (+)disparlure [(+)-D], the sex attractant pheromone of the gypsy moth, Lymantria dispar (Lepidoptera: Lymantriidae)], its enantiomer, (-)-D, and analogs of disparlure in which the epoxide group is replaced with various three-membered rings [(¬±)-cyclopropyl (2HC), (¬±)-difluorocyclopropyl (2FC), (¬±)-dichlorocyclopropyl (2CIC), and (¬±)-aziridinyl (AZ), (+)-AZ, and (-)AZ] as well as a mixture of 1,1-epoxy analogs were investigated using electroantennograms. Antennal receptors of male moths were more responsive (5 Œºg stimulus load) to (+)-D than to (-)-D: while responses to each of the analogs were significantly less and did not differ from each other. Antennal receptors of females moths did not respond significantly to any of the compounds at this stimulus load. Dose-response curves revealed greater sensitivity of male antennae to (+)-D than (-)-D. Among the cyclopropane analogs and 1, 1 -epoxy mixture (1,1E), the order of sensitivity was 2FC &gt; 2CIC &gt; 2HC &gt; 1,1E Antennae were least sensitive to the aziridinyl analogs; however, (+)-AZ was more active than (-)-AZ, while an intermediate response was elicited by the racemate. Males exposed to (+)-D adapted to (+)-D, while responses to (+)-D were nor significantly affected by exposure to (-)-D, 2FC of (+)-AZ. After exposure to hexylacetate, males showed adaptation to (+)D of (-)-D, but not to the other odorants. Preliminary field data correlate well with knowledge obtained in our electrophysiological studies and demonstrate the usefulness of such studies. These results indicate that novel approaches to the design and synthesis of potential agonists of disparlure receptors ate necessary before substantial effects on the activity of disparlure are realized.</t>
  </si>
  <si>
    <t>2197-2210</t>
  </si>
  <si>
    <t>60000635;60000635;60000635</t>
  </si>
  <si>
    <t>7102100454;7401628143;6602550459</t>
  </si>
  <si>
    <t>Dickens, J. C.;Oliver, J. E.;Mastro, V. C.</t>
  </si>
  <si>
    <t>Dickens J.</t>
  </si>
  <si>
    <t>Response and adaptation to analogs of disparlure by specialist antennal receptor neurons of gypsy moth, Lymantria dispar</t>
  </si>
  <si>
    <t>10.1023/B:JOEC.0000006439.21448.53</t>
  </si>
  <si>
    <t>2-s2.0-0030874064</t>
  </si>
  <si>
    <t>['symmetrical contests', 'motor activity', 'male lobsters', 'investigated using', 'homarus americanus', 'discussion focuses', 'claw volume', 'claw length', 'claw dimensions', 'carapace length', 'ascending order', 'antenna length', '21 variables']</t>
  </si>
  <si>
    <t>Agonistic behavior | Homarus americanus | Symmetrical contests | Winner prediction</t>
  </si>
  <si>
    <t>The ability to predict the outcome of symmetrical contests between male lobsters (Homarus americanus) on the basis of 21 variables was investigated using a stepwise discriminant analysis. Measured variables included wet weight, carapace length, claw length, width and thickness, claw volume, claw contraction force, handedness, antenna length, color, plasma protein level, plasma calcium level, exoskeleton calcium concentration and motor activity. Plasma protein level, exoskeleton calcium concentration and claw dimensions were found to be important in the above ascending order for discrimination with an average squared canonical correlation of 0.55-0.65. The discussion focuses on the variables differentiating winners from losers and whether these variables could also aid competing lobsters when assessing the relative fighting ability of their rivals.</t>
  </si>
  <si>
    <t>19-29</t>
  </si>
  <si>
    <t>60010806;60010806;60010806;60005681;60006723;60006723</t>
  </si>
  <si>
    <t>6504534593;7202728769;35509238900;7004660909;57215959120;7004373467</t>
  </si>
  <si>
    <t>Vye, C.;Cobb, J. S.;Bradley, T.;Gabbay, J.;Genizi, A.;Karplus, I.</t>
  </si>
  <si>
    <t>United States;Israel;Israel</t>
  </si>
  <si>
    <t>Kingston;Bet Dagan;Tel Aviv-Yafo</t>
  </si>
  <si>
    <t>University of Rhode Island;Agricultural Research Organization of Israel;Tel Aviv University</t>
  </si>
  <si>
    <t>60010806;60006723;60005681</t>
  </si>
  <si>
    <t>Vye C.</t>
  </si>
  <si>
    <t>Predicting the winning or losing of symmetrical contests in the American lobster Homarus americanus (Milne-Edwards)</t>
  </si>
  <si>
    <t>S002209819700004X</t>
  </si>
  <si>
    <t>10.1016/S0022-0981(97)00004-X</t>
  </si>
  <si>
    <t>2-s2.0-0030669421</t>
  </si>
  <si>
    <t>PF 126/ 6</t>
  </si>
  <si>
    <t>['significant increase', 'several minutes', 'repeated presentations', 'removed object', 'presentation durations', 'object within', 'object presentation', 'object increased', 'motor learning', 'honeybees fixed', 'dependent learning', 'conditioning bees', 'behavioural plasticity', 'areas corresponding', 'antennal movements', 'animals showed', '30 min']</t>
  </si>
  <si>
    <t>Antennal system | Honeybee | Insect brain | Motor learning | Tactile learning</t>
  </si>
  <si>
    <t>Honeybees fixed in small tubes scan an object within the range of the antennae by touching it briefly and frequently. In our experiments the animals were able to scan an object for several minutes with the antennae. After moving the object out of the range of the antennae, the animals showed antennal movements for several minutes that were correlated with the position of the removed object. These changes of antennal movements are called 'behavioural plasticity' and are interpreted as a form of motor learning. Bees showed behavioural plasticity only for objects with relatively large surfaces. Plasticity was more pronounced in bees whose compound eyes were occluded. Behavioural plasticity was related to the duration of object presentation. Repeated presentations of the object increased the degree of plasticity. After presentation durations of 30 min the animals showed a significant increase of antennal positions related to the surface of the object and avoidance of areas corresponding to the edges. Behavioural plasticity was compared with reward-dependent learning by conditioning bees to objects. The results of motor learning and reward-dependent conditioning suggest that bees have tactile spatial memory.</t>
  </si>
  <si>
    <t>355-365</t>
  </si>
  <si>
    <t>60011604;60011604;60011604;60011604</t>
  </si>
  <si>
    <t>7006073714;6507537969;6506113206;6507779350</t>
  </si>
  <si>
    <t>Erber, J.;Pribbenow, B.;Grandy, K.;Kierzek, S.</t>
  </si>
  <si>
    <t>Technical University of Berlin</t>
  </si>
  <si>
    <t>Erber J.</t>
  </si>
  <si>
    <t>Tactile motor learning in the antennal system of the honeybee (Apis mellifera L.)</t>
  </si>
  <si>
    <t>10.1007/s003590050121</t>
  </si>
  <si>
    <t>2-s2.0-0030823504</t>
  </si>
  <si>
    <t>Corrugated horn antennas | Design automation software | Hybrid computational techniques</t>
  </si>
  <si>
    <t>60023256;60021859;60073283</t>
  </si>
  <si>
    <t>55406639100;7102464308;6602786326</t>
  </si>
  <si>
    <t>Gentili, G. G.;Pelosi, G.;Ravanelli, R.</t>
  </si>
  <si>
    <t>Rome;Milan;Florence</t>
  </si>
  <si>
    <t>Alenia Aeronautica;Politecnico di Milano;Universit√† degli Studi di Firenze</t>
  </si>
  <si>
    <t>60073283;60023256;60021859</t>
  </si>
  <si>
    <t>Gentili G.</t>
  </si>
  <si>
    <t>Design and optimization of corrugated feeds: X_HORN software package</t>
  </si>
  <si>
    <t>10.1109/74.637110</t>
  </si>
  <si>
    <t>2-s2.0-0031244950</t>
  </si>
  <si>
    <t>['various types', 'three types', 'solved via', 'several cases', 'resonance region', 'proposed method', 'planar ),', 'numerical results', 'moments technique', 'harmonic excitation', 'galerkin technique', 'function sets', 'frequency domain', 'equation formulation', 'dielectric materials', 'conductivity currents', 'conducting surfaces']</t>
  </si>
  <si>
    <t>Dielectric loaded antennas | Frequency domain analysis | Green's functions | Integral equations | Moment methods | Parallel machines</t>
  </si>
  <si>
    <t>The response of various types of dielectrically loaded radiators to a time-harmonic excitation is analyzed, by employing an integral-equation formulation in conjunction with an entire-domain Galerkin technique. Coupled integral equations are derived in the frequency domain. These are written in terms of the conductivity currents or/and the electric fields developed on the conducting surfaces or/and inside the dielectric materials, respectively. They are solved via the Method-of-Moments technique. In particular, an entire-domain Galerkin technique is employed, and proves very efficient, when rather specific geometries are considered and appropriate "intelligent" basis-function sets are chosen, accelerating the convergence of the method. To prove this claim, three representative antenna structures, of significant practical use, corresponding to the three types of geometries (cylindrical, spherical, and planar), are solved in the resonance region. Parallelization of the developed sequential code is employed, in order to extend the use of Galerkin technique to electrically large structures. The validity of the proposed method is checked, and numerical results are presented for several cases.</t>
  </si>
  <si>
    <t>30-53</t>
  </si>
  <si>
    <t>60002947-60104215-110117323;60002947-60022002-60001359-112496460-60020130</t>
  </si>
  <si>
    <t>35571264900;7102355233</t>
  </si>
  <si>
    <t>Kaklamani, Dimitra I.;Uzunoglu, Nikolaos K.</t>
  </si>
  <si>
    <t>Greece;Turkey;Ukraine;Greece;United Kingdom;United States;Greece</t>
  </si>
  <si>
    <t>Athens;Istanbul;Kharkiv;Athens;Colchester;Washington;</t>
  </si>
  <si>
    <t>Institute of Communications and Computer Systems;ƒ∞stanbul Teknik √úniversitesi;National Technical University Kharkiv Polytechnic Institute;National Technical University of Athens;University of Essex;Offices of Science and Technology;Hellenic Telecommunications Organization S.A</t>
  </si>
  <si>
    <t>60104215;60022002;60020130;60002947;60001359;112496460;110117323</t>
  </si>
  <si>
    <t>Kaklamani D.I.</t>
  </si>
  <si>
    <t>Analysis of dielectrically loaded radiators using entire-domain Galerkin technique</t>
  </si>
  <si>
    <t>10.1109/74.637105</t>
  </si>
  <si>
    <t>2-s2.0-0031244974</t>
  </si>
  <si>
    <t>['waveguide wavelength', 'solenoid coil', 'slot antenna', 'side wall', 'plasma source', 'permanent magnets', 'oxygen gas', 'improved super', 'dimensional distributed']</t>
  </si>
  <si>
    <t>ECR plasma | Oxygen plasma | Slot antenna | Super-wide plasma source</t>
  </si>
  <si>
    <t>In this paper we describe an improved super-wide electron cyclotron resonance (ECR) plasma source which consists of permanent magnets, a solenoid coil and an independently excited double-slot antenna. Each slot antenna is prepared in the side wall of the rectangular waveguide positioned so that the two slot antennas are parallel and shifted by the distance of Œªg/4 (Œªg: waveguide wavelength) from each other. An 800-mm-wide (one-dimensional distributed) plasma of oxygen gas is produced, and an ion current density uniformity within ¬±5% over 770mm in length can be obtained.</t>
  </si>
  <si>
    <t>10 PART A</t>
  </si>
  <si>
    <t>60085768;101221887;101221887;101221887</t>
  </si>
  <si>
    <t>7003851814;6507652267;6602779210;7005362945</t>
  </si>
  <si>
    <t>Yoshiki, Hiroyuki;Amadatsu, Shigeki;Itadani, Koji;Saijo, Tatsuya</t>
  </si>
  <si>
    <t>Tsuruoka;Osaka</t>
  </si>
  <si>
    <t>National Institute of Technology, Tsuruoka College;DAIHEN Corporation</t>
  </si>
  <si>
    <t>60085768;101221887</t>
  </si>
  <si>
    <t>Yoshiki H.</t>
  </si>
  <si>
    <t>Super-wide electron cyclotron resonance plasma source excited by an independent double-slot antenna</t>
  </si>
  <si>
    <t>10.1143/jjap.36.l1347</t>
  </si>
  <si>
    <t>2-s2.0-0031246082</t>
  </si>
  <si>
    <t>['waves launched', 'vacuum layer', 'toroidal spectra', 'ten folds', 'system consisting', 'system circuit', 'surface impedance', 'present model', 'power handling', 'plasma parameters', 'plasma ),', 'mutual coupling', 'maximum voltage', 'input impedance', 'idealized non', 'fwg unit', 'folded waveguide', 'fields inside', 'field structure', 'eight units', 'decay length', 'coupler front', 'corresponding dimensions', 'antenna array', 'analysed numerically']</t>
  </si>
  <si>
    <t>The power handling and coupling of a folded waveguide (FWG) antenna array in the ion cyclotron range of frequencies (ICRF) are analysed numerically for reactor plasma conditions. The fields inside the FWG unit are approximated in the model of the usual rectangular waveguide that will result from unfolding the FWG, keeping the corresponding dimensions. Including the surface impedance for a hot reactor sized plasma and the external current simulating the short probe source inside the waveguide allows one to investigate the coupling between units, the input impedance and the matching of a system consisting of several FWG units. Reconstructing the field structure both inside the waveguides and in the vacuum layer (between the coupler front and the plasma), the poloidal and toroidal spectra of the waves launched into the plasma are computed in the case where the effect of the poloidal magnetic field is neglected. Assuming 60 MHz frequency and specific ITER relevant waveguide and plasma parameters with 5 cm scrape-off decay length and 10 cm vacuum gap between the plasma and the waveguide, the present model with idealized non-perturbed feeder excitation predicts a voltage of less than 40 kV along the current probe source, a maximum electric field below 30 kV ¬∑ cm-1 and a maximum voltage of the order of 250 kV inside the FWG with ten folds for 10 MW radiated power per unit. For a waveguide complex composed of eight units, the mutual coupling between the units is found to be non-negligible, indicating a need for tuning in the system circuit.</t>
  </si>
  <si>
    <t>1477-1495</t>
  </si>
  <si>
    <t>60033191;60000297;60000297</t>
  </si>
  <si>
    <t>7102290215;6603600927;6603415983</t>
  </si>
  <si>
    <t>Heikkinen, J. A.;Irzak, M. A.;Shcherbinin, O. N.</t>
  </si>
  <si>
    <t>Finland;Russian Federation</t>
  </si>
  <si>
    <t>Espoo;Saint Petersburg (ex Leningrad)</t>
  </si>
  <si>
    <t>VTT Technical Research Centre of Finland;Ioffe Institute</t>
  </si>
  <si>
    <t>60033191;60000297</t>
  </si>
  <si>
    <t>Modelling of folded waveguide antennas</t>
  </si>
  <si>
    <t>10.1088/0029-5515/37/10/I13</t>
  </si>
  <si>
    <t>2-s2.0-0031246110</t>
  </si>
  <si>
    <t>['tdma cellular', 'reduces cost', 'pcs service', 'given area', 'article discusses']</t>
  </si>
  <si>
    <t>This article discusses the use of an adaptive array antenna technology in a TDMA cellular/personal communications services (PCS) system and demonstrates that the adaptive array antenna improves cell coverage, provides better signal quality, and reduces cost of deployment of cellular/PCS service in a given area.</t>
  </si>
  <si>
    <t>148-152</t>
  </si>
  <si>
    <t>60024590-60025038-60002873-60021378-60000745-60016464;60000745-60029278</t>
  </si>
  <si>
    <t>57215938713;6602765791</t>
  </si>
  <si>
    <t>Garg, Vijay K.;Huntington, Laura</t>
  </si>
  <si>
    <t>Chicago;Berkeley;Schaumburg;Murray;New York;Chicago;Urbana</t>
  </si>
  <si>
    <t>The University of Chicago;University of California, Berkeley;Motorola;Nokia Bell Labs;ASME International;Illinois Institute of Technology;University of Illinois Urbana-Champaign</t>
  </si>
  <si>
    <t>60029278;60025038;60024590;60021378;60016464;60002873;60000745</t>
  </si>
  <si>
    <t>Garg V.K.</t>
  </si>
  <si>
    <t>Application of adaptive array antenna to a TDMA cellular/PCS system</t>
  </si>
  <si>
    <t>10.1109/35.623999</t>
  </si>
  <si>
    <t>2-s2.0-0031248234</t>
  </si>
  <si>
    <t>['time domains', 'suitable choices', 'resultant materials', 'polarization vectors', 'equivalent susceptibilities', 'dispersion properties', 'dielectric materials', 'artificial dielectrics']</t>
  </si>
  <si>
    <t>The design of dielectric materials with artificial molecules formed by electrically small dipole antennas loaded with passive electrical circuit elements is considered. Variations in the antenna loads lead to known and generalizations of known dielectric material models. These artificial dielectrics are characterized in terms of their equivalent susceptibilities and polarization vectors both in the frequency and time domains. With suitable choices in the antenna loads one can design the loss and dispersion properties of the resultant materials. ¬© 1997 American Institute of Physics.</t>
  </si>
  <si>
    <t>3195-3198</t>
  </si>
  <si>
    <t>60010065;60028634</t>
  </si>
  <si>
    <t>7006392487;55248392100</t>
  </si>
  <si>
    <t>Ziolkowski, Richard W.;Auzanneau, Fabrice</t>
  </si>
  <si>
    <t>Le Barp;Tucson</t>
  </si>
  <si>
    <t>CEA Cesta;The University of Arizona</t>
  </si>
  <si>
    <t>60028634;60010065</t>
  </si>
  <si>
    <t>Ziolkowski R.</t>
  </si>
  <si>
    <t>Passive artificial molecule realizations of dielectric materials</t>
  </si>
  <si>
    <t>10.1063/1.365625</t>
  </si>
  <si>
    <t>2-s2.0-0031249561</t>
  </si>
  <si>
    <t>76-77</t>
  </si>
  <si>
    <t>Francis, Michael H.</t>
  </si>
  <si>
    <t>Gaithersburg</t>
  </si>
  <si>
    <t>National Institute of Standards and Technology</t>
  </si>
  <si>
    <t>Francis M.</t>
  </si>
  <si>
    <t>Aperture-sampling requirements</t>
  </si>
  <si>
    <t>10.1109/74.637108</t>
  </si>
  <si>
    <t>2-s2.0-0031249608</t>
  </si>
  <si>
    <t>['well established', 'velocity vector', 'vector hydrophones', 'vector hydrophone', 'underwater acoustics', 'three identical', 'spatially co', 'realized herein', 'paper introduces', 'novel esprit', 'like geometry', 'innovative scheme', 'hydrophone technology', 'great variety', 'earlier work', 'dimensional arrays', 'constituent hydrophones', 'based closed', 'array geometry', 'acoustic wavefield']</t>
  </si>
  <si>
    <t>Acoustic position measurement | Acoustic signal processing | Array signal processing | Direction of arrival estimation | Parameter estimation | Sonar arrays | Sonar signal processing | Underwater acoustic arrays</t>
  </si>
  <si>
    <t>This paper introduces a novel ESPRIT-based closed-form source localization algorithm applicable to arbitrarily spaced three-dimensional arrays of vector hydrophones, whose locations need not be known. Each vector hydrophone consists of two or three identical but orthogonally oriented velocity hydrophones plus one pressure hydrophone, all spatially co-located in a point-like geometry. A velocity hydrophone measures one Cartesian component of the incident sonar wavefield's velocity vector, whereas a pressure hydrophone measures the acoustic wavefield's pressure. Velocity-hydrophone technology is well established in underwater acoustics and a great variety of commercial models hate long been available. ESPRIT is realized herein by exploiting the nonspatial interrelations among each vector hydrophone's constituent hydrophones, such that ESPRIT's eigenvalues become independent of array geometry. Simulation results verify the efficacy and versatility of this innovative scheme. Aspects of this underwater acoustic algorithm are analogous to Li's earlier work with diversely polarized antennas.</t>
  </si>
  <si>
    <t>649-658</t>
  </si>
  <si>
    <t>60005248-60027550-60000221-60031707-60009254-60000501;60009254-60014662-60006297-60032503-60015623-114056991-60000251</t>
  </si>
  <si>
    <t>United States;United States;United States;United States;United States;United States;United States;United States;United States;United States;United States;</t>
  </si>
  <si>
    <t>San Diego;East Lansing;Los Angeles;Boston;Philadelphia;West Lafayette;Philadelphia;Baltimore;Detroit;New York;Boulder;</t>
  </si>
  <si>
    <t>Space and Naval Warfare Systems Center San Diego;Michigan State University;University of California, Los Angeles;General Electric Company;Drexel University;Purdue University;University of Pennsylvania;Johns Hopkins University;General Motors;IEEE;University of Colorado Boulder;Tech. Comm. Stat. Signal Array P</t>
  </si>
  <si>
    <t>60032503;60031707;60027550;60015623;60014662;60009254;60006297;60005248;60000501;60000251;60000221;114056991</t>
  </si>
  <si>
    <t>S036490599706425X</t>
  </si>
  <si>
    <t>10.1109/48.650831</t>
  </si>
  <si>
    <t>2-s2.0-0031249695</t>
  </si>
  <si>
    <t>In track-while-scan systems using phased array antennas, Œ±-Œ≤ filters have been employed. An Œ±-Œ≤ filter can estimate reliably the target position and velocity operating in real-time. However, when the target maneuvers, the quality of position and velocity estimates provided by Œ±-Œ≤ filters can degrade significantly. The target may be lost, since the filter uses only linear prediction. In this paper, we take notice of the fact that a maneuvering target trajectory can be regarded as an arc and propose the use of an Œ±-Œ≤ tracking filter combined with maneuver-driven circular prediction as a scheme to estimate target position using nonlinear prediction. Simulation results for three target profiles are included for comparison of the performance of our proposed scheme with that of a conventional Œ±-Œ≤ tracking filter and a Kalman filter. The effectiveness of our proposed scheme is examined by means of a computational simulation.</t>
  </si>
  <si>
    <t>60025997;60025997;60025997;60025997</t>
  </si>
  <si>
    <t>Alpha-beta tracking filter combined with maneuver-driven circular prediction</t>
  </si>
  <si>
    <t>10.1002/(SICI)1520-6424(199710)80:10&lt;1::AID-ECJA1&gt;3.0.CO;2-E</t>
  </si>
  <si>
    <t>2-s2.0-0031249789</t>
  </si>
  <si>
    <t>['unusually sensitive', 'resonance interactions', 'probe anisotropies', 'pigments belonging', 'olson trimers', 'future simulations', 'electronic structure', 'cd spectra', 'accurately describe', '1 ).']</t>
  </si>
  <si>
    <t>Circular dichroism spectra of Fenna-Matthews-Olson trimers (bacteriochlorophyll a-protein antenna complexes from green photosynthetic bacteria) are unusually sensitive to diagonal energy disorder because the resonance interactions between pigments belonging to different protein subunits are weak (‚â§20 cm-1). Substantial differences occur between CD spectra in exciton simulations performed with and without realistic inhomogeneous distribution functions for the input pigment diagonal energies. Future simulations of FMO optical properties such as CD and pump-probe anisotropies should consider diagonal disorder in order to accurately describe this antenna's electronic structure.</t>
  </si>
  <si>
    <t>8395-8397</t>
  </si>
  <si>
    <t>60004354;60004354;60004354</t>
  </si>
  <si>
    <t>Effect of diagonal energy disorder on circular dichroism spectra of Fenna-Matthews-Olson trimers</t>
  </si>
  <si>
    <t>10.1021/jp971758g</t>
  </si>
  <si>
    <t>2-s2.0-0031250035</t>
  </si>
  <si>
    <t>['waves launched', 'toroidal geometry', 'radial profiles', 'planck code', 'linear flux', 'electric field', 'calculated directly']</t>
  </si>
  <si>
    <t>The magnitude and radial profiles of non-inductive currents driven by fast magnetosonic waves in tokamaks have been calculated directly from the wave induced quasi-linear flux in a toroidal geometry and a Green's function for the current. An expression for the quasi-linear flux has been derived that accounts for coupling between modes in the spectrum of waves launched from the antenna. A Fokker-Planck code for the Green's function and a full wave code for the electric field in the quasi-linear flux are used to evaluate the current in a specified toroidal geometry.</t>
  </si>
  <si>
    <t>1349-1353</t>
  </si>
  <si>
    <t>60018020;60018020;60022195</t>
  </si>
  <si>
    <t>56768536300;7403136043;22033558700</t>
  </si>
  <si>
    <t>Wright, J. C.;Phillips, C. K.;Bonoli, P. T.</t>
  </si>
  <si>
    <t>Cambridge;Princeton</t>
  </si>
  <si>
    <t>Massachusetts Institute of Technology;Princeton Plasma Physics Laboratory</t>
  </si>
  <si>
    <t>60022195;60018020</t>
  </si>
  <si>
    <t>Wright J.</t>
  </si>
  <si>
    <t>A direct calculation of current drive by fast magnetosonic waves in toroidal geometry</t>
  </si>
  <si>
    <t>10.1088/0029-5515/37/10/I02</t>
  </si>
  <si>
    <t>2-s2.0-0031250494</t>
  </si>
  <si>
    <t>Whitehall Foundation</t>
  </si>
  <si>
    <t>['two days', 'tested using', 'small change', 'six hours', 'significantly lower', 'sensory input', 'removing antennae', 'observations suggest', 'manduca sexta', 'maintains feeding', 'little effect', 'food first', 'choice situations', 'chemosensory information', 'bite frequency', 'available food', 'amounts eaten', 'also followed', 'acute effects']</t>
  </si>
  <si>
    <t>Ablation | Caterpillars | Chemosensory | Feeding regulation | Manduca | Taste</t>
  </si>
  <si>
    <t>Models of feeding regulation postulate that chemosensory information from available food both initiates and maintains feeding. However, we find that removing antennae and maxillae (AM) from Manduca sexta and Diacrisia virginica larvae has little effect on amounts eaten, patterns of feeding, and the microstructure (each bite and pause) of feeding, as quickly as two days after the operation. However, there was a small change in the microstructure of feeding of AM D. virginica. Bite frequency of AM D. virginica was significantly lower than for controls when larvae began meals without exploring the food first. Exploring was also followed by longer chewing bouts. Acute effects of the ablution were tested using only Manduca. Six hours after the operation larvae ate less than most controls by eating fewer meals and by biting more slowly. Unilateral ablates also ate less 6 h post-operatively, by eating fewer meals; their bite frequency was not low. These observations suggest that chemosensory input affects bite frequency but not other aspects of feeding. As quickly as 24 h post-operatively other sensory input to the CNS of AM larvae may compensate for the reduction in chemosensory information, but overall, chemosensory input appears relatively unimportant in non-choice situations.</t>
  </si>
  <si>
    <t>1053-1063</t>
  </si>
  <si>
    <t>60014313;60014313</t>
  </si>
  <si>
    <t>6602575351;6603003077</t>
  </si>
  <si>
    <t>Bowdan, E.;Wyse, Gordon A.</t>
  </si>
  <si>
    <t>Amherst MA</t>
  </si>
  <si>
    <t>University of Massachusetts Amherst</t>
  </si>
  <si>
    <t>Bowdan E.</t>
  </si>
  <si>
    <t>Removing antennae and maxillae has little effect on feeding on normal host plants by two species of caterpillar</t>
  </si>
  <si>
    <t>S0022191097000656</t>
  </si>
  <si>
    <t>10.1016/S0022-1910(97)00065-6</t>
  </si>
  <si>
    <t>2-s2.0-0031252904</t>
  </si>
  <si>
    <t>['surface observations', 'substantially underestimate', 'shipboard antenna', 'reference polarizations', 'polar orbiters', 'lower ssm', 'ice pack', 'ice concentration', 'greater difficulty', 'generate maps', 'comparison suggests', 'cloud opacity', 'based algorithm', 'arctic summer', 'arctic ocean', 'affect emissivity', 'accurate estimates', '5 ghz', '25 km', '19 ghz']</t>
  </si>
  <si>
    <t>During the 1994 Arctic Ocean Section, a joint voyage across the Arctic Ocean by the U.S. Coast Guard Cutter Polar Sea and the Canadian Coast Guard Ship Louis S. St.-Laurent, telemetry from the Defense Meteorological Satellite Program (DMSP) polar orbiters was tracked by a shipboard antenna. Special Sensor Microwave Imager (SSM/I) data was used to generate maps of total sea ice concentration, using the NASA Team algorithm with the 19 GHz and 37 GHz channels, and using a polarization-based algorithm with the 85.5 GHz channels. When compared with shipboard ice observations, the total sea ice concentration estimates from the 85.5 GHz algorithm are at least as accurate as those from the algorithm that uses only the lower SSM/I frequencies, despite the potential for greater difficulty in dealing with cloud liquid water contamination in the 85.5 GHz signal during the Arctic summer. Near the edge of the ice pack, the 85.5 GHz algorithm often provided more accurate estimates of total ice concentration when compared with surface observations, most likely because of the finer grid spacing at 85.5 GHz (12.5 km vs. 25 km for 37 GHz). However, when using the 85.5 GHz algorithm over regions of lower ice concentration, the reference polarizations in a given image must be chosen with care because over lower sea ice concentration the polarization-based algorithm is more sensitive to cloud opacity and can easily and substantially underestimate the ice concentration. The 85.5 GHz total sea ice retrievals are compared with in situ snow wetness measurements. This comparison suggests that, despite the higher atmospheric opacity at 85.5 GHz, information about sea ice surface properties that affect emissivity can be obtained from these SSM/I channels.</t>
  </si>
  <si>
    <t>63-76</t>
  </si>
  <si>
    <t>60023018;100397771;100397771;60023018</t>
  </si>
  <si>
    <t>7006246996;6602755779;7003984079;6507616114</t>
  </si>
  <si>
    <t>Lubin, Dan;Garrity, Caren;Ramseier, Ren√© O.;Whritner, Robert H.</t>
  </si>
  <si>
    <t>San Diego;Ottawa</t>
  </si>
  <si>
    <t>Scripps Institution of Oceanography;Microwave Group-Ottawa River, Inc.</t>
  </si>
  <si>
    <t>60023018;100397771</t>
  </si>
  <si>
    <t>Lubin D.</t>
  </si>
  <si>
    <t>Total sea ice concentration retrieval from the SSM/I 85.5 GHz channels during the Arctic summer</t>
  </si>
  <si>
    <t>S0034425797000813</t>
  </si>
  <si>
    <t>10.1016/S0034-4257(97)00081-3</t>
  </si>
  <si>
    <t>2-s2.0-0031253037</t>
  </si>
  <si>
    <t>He 2434/1-1</t>
  </si>
  <si>
    <t>['well described', 'proved experimentally', 'parallel recordings', 'nervus cardioantennalis', 'myogenic automatism', 'muscle fibres', 'intercalated disks', 'insects supplying', 'fibre topology', 'electrical coupling', 'current injection', 'could actually', 'called antenna', 'action potentials']</t>
  </si>
  <si>
    <t>Antenna-heart | Conductance model | Coupling coefficient | Myogenic automatism | Periplaneta americana</t>
  </si>
  <si>
    <t>An accessory pulsatile organ of an open circulatory system in insects supplying the antennae with haemolymph was investigated. The rhythm of this so-called antenna-heart is generated by a myogenic automatism and can be neuronally influenced via the nervus cardioantennalis. The action potentials of the muscle fibres show typical pre-depolarization and mostly no overshoot. A specific membrane resistance (R(m)) of about 660 Œ© cm-2 was calculated for the fibres. Some electrical coupling between the muscle fibres is presumed for synchronization of any myogenically triggered heart beat which could actually be proved experimentally by current injection in the antenna-heart. However, intercalated disks or gap junctions could not be found. Nevertheless, a good coupling factor (U2/U1) between all fibres was demonstrated by parallel recordings and can be well described by a conductance model according to fibre topology.</t>
  </si>
  <si>
    <t>1015-1021</t>
  </si>
  <si>
    <t>60029507;60029507</t>
  </si>
  <si>
    <t>55422904700;6603597074</t>
  </si>
  <si>
    <t>Richter, Michael;Hertel, Wieland</t>
  </si>
  <si>
    <t>Richter M.</t>
  </si>
  <si>
    <t>Contributions to physiology of the antenna-heart in Periplaneta americana (L.) (Blattodea: Blattidae)</t>
  </si>
  <si>
    <t>S0022191097000735</t>
  </si>
  <si>
    <t>10.1016/S0022-1910(97)00073-5</t>
  </si>
  <si>
    <t>2-s2.0-0031254233</t>
  </si>
  <si>
    <t>['usual reliance', 'patch antennas', 'new family', 'etched substrates']</t>
  </si>
  <si>
    <t>A new family of patch antennas that meets the requirements of today's personal communication systems (PCS) and digital communication systems (DCS) has been developed. The DirectLink series antennas use MicroAir dielectric technology for increased efficiency without the usual reliance on etched substrates.</t>
  </si>
  <si>
    <t>Versatile PCS/DCS patch antennas</t>
  </si>
  <si>
    <t>2-s2.0-0031257208</t>
  </si>
  <si>
    <t>['wafer surface', 'v characteristic', 'stanford plasma', 'observable damage', 'methodology gives', 'intrinsic mos', 'fluence criteria', 'directly measure', 'charging probe', 'charging current', 'charge fluence', 'antenna dependence']</t>
  </si>
  <si>
    <t>The plasma processing induced wafer charging damage is predicted by the newly developed SPORT (Stanford Plasma On-wafer Real Time) charging probe. Such a probe can directly measure the spatial charging voltage built up on a wafer surface as well as the charging current from the plasma. Both antenna dependence of damage and charge fluence through a gate oxide due to charging can be calculated from the intersection between plasma I-V characteristic measured by the probe and intrinsic MOS I-V characteristic. This result agrees well with the real MOS capacitor damage data from O 2 plasma processing. Thus, given a fluence criteria, this methodology gives a means for predicting the minimum antenna ratio for observable damage.</t>
  </si>
  <si>
    <t>468-470</t>
  </si>
  <si>
    <t>7403725137;57208456003;35507936600</t>
  </si>
  <si>
    <t>Ma, Shawming;McVittie, James P.;Saraswat, Krishna C.</t>
  </si>
  <si>
    <t>Prediction of plasma charging induced gate oxide damage by plasma charging probe</t>
  </si>
  <si>
    <t>S0741310697073114</t>
  </si>
  <si>
    <t>10.1109/55.624913</t>
  </si>
  <si>
    <t>2-s2.0-0031258042</t>
  </si>
  <si>
    <t>['single antenna', 'high isolation', 'combiner mode', 'acceptable performance']</t>
  </si>
  <si>
    <t>A PIN diode switch assembly designed to combine and control an antenna array comprising six Yagi antennas and a single quadrifilar helix antenna has been developed. The switch is used to select a single antenna or two adjacent antennas in a combiner mode for determination of the antenna pattern direction. It has a low insertion loss, high isolation and good return loss at a 403 MHz center frequency for acceptable performance over a 20% bandwidth. It is designed for use in weather station receiver applications.</t>
  </si>
  <si>
    <t>100885066;100885066</t>
  </si>
  <si>
    <t>7401507188;6504507315</t>
  </si>
  <si>
    <t>Adams, Greg;Luen, Kong S.</t>
  </si>
  <si>
    <t>Philadelphia</t>
  </si>
  <si>
    <t>VIZ Manufacturing Co</t>
  </si>
  <si>
    <t>Adams G.</t>
  </si>
  <si>
    <t>PIN diode antenna switch that doubles as a combiner</t>
  </si>
  <si>
    <t>2-s2.0-0031258056</t>
  </si>
  <si>
    <t>['richard formato', 'design example']</t>
  </si>
  <si>
    <t>Richard Formato's guidelines for helping you optimise your impedance loaded wideband antennas include a design example that gives continuous coverage from 6 to 150MHz without resorting to tuning and matching.</t>
  </si>
  <si>
    <t>825-829</t>
  </si>
  <si>
    <t>Design wideband antennas</t>
  </si>
  <si>
    <t>2-s2.0-0031258284</t>
  </si>
  <si>
    <t>['series resistor', 'magnetic molecule', 'magnetic materials', 'capacitor load']</t>
  </si>
  <si>
    <t>The design of magnetic materials can be achieved with artificial magnetic molecules formed by electrically small loop antennas loaded with passive electrical circuit elements. A time derivative Lorentz material response is achieved with a series resistor and capacitor load. It is shown that the parameters of this magnetic molecule can be selected to yield a time derivative Lorentz material that acts as a highly conducting magnetic wall. ¬© 1997 American Institute of Physics.</t>
  </si>
  <si>
    <t>3192-3194</t>
  </si>
  <si>
    <t>Artificial molecule realization of a magnetic wall</t>
  </si>
  <si>
    <t>10.1063/1.365624</t>
  </si>
  <si>
    <t>2-s2.0-0038754431</t>
  </si>
  <si>
    <t>['rise time', 'paper describes', 'overall performance', 'measurement technique', 'measurement system', 'gain horn', 'field characteristics', 'experimental study', 'excellent agreement', 'error sources', 'domain pulses', 'domain measurements', 'domain measurement', 'domain gating', 'complete frequency', 'band standard', 'antenna time', '50 ps', '18 ghz']</t>
  </si>
  <si>
    <t>Antenna measurements | Frequency domain measurements | Time domain measurements | Timing jitter</t>
  </si>
  <si>
    <t>The results of an experimental study, in which time-domain pulses are used to measure the far-field characteristics of an antenna, are presented. Pulses with duration and rise time of the order of 50 ps are generated, in order to characterize the complete frequency (1-18 GHz) behavior of an antenna. An X-band standard-gain horn has been used to verify the overall performance of the measurement system. Excellent agreement between the time-domain and the frequency-domain measurements has been observed. This paper describes the Antenna Time-Domain Measurement (ATDM) technique, time-domain gating, the error sources, and the advantages and the disadvantages of such a measurement technique.</t>
  </si>
  <si>
    <t>60006288-112494796;60006288-60030931;60006288</t>
  </si>
  <si>
    <t>7004510554;32867606300;35563466100</t>
  </si>
  <si>
    <t>De Jongh, R. V.;Hajian, M.;Ligthart, L. P.</t>
  </si>
  <si>
    <t>United States;Netherlands;</t>
  </si>
  <si>
    <t>Norman;Delft;</t>
  </si>
  <si>
    <t>University of Oklahoma;Delft University of Technology;Royal Dutch Association of Engineers</t>
  </si>
  <si>
    <t>60030931;60006288;112494796</t>
  </si>
  <si>
    <t>De Jongh R.</t>
  </si>
  <si>
    <t>Antenna time-domain measurement techniques</t>
  </si>
  <si>
    <t>10.1109/74.637102</t>
  </si>
  <si>
    <t>2-s2.0-5244383069</t>
  </si>
  <si>
    <t>['proposed technique', 'paper presents', 'numerical implementation', 'jacobi decomposition', 'iterative scheme', 'iterative process', 'conditioned problems']</t>
  </si>
  <si>
    <t>Convergence acceleration algorithm | Iterative solution | Moment method | Printed arrays</t>
  </si>
  <si>
    <t>This paper presents an iterative scheme for the solution of the large matrix equations arising in the full-wave electromagnetic analysis of printed antenna arrays. The proposed technique is based on the Jacobi decomposition of a matrix linear equation which allows the construction of an iterative solution scheme. It is demonstrated that the coupling of the iterative process to a convergence accelerator algorithm guarantees convergence, even when ill-conditioned problems are treated. Numerical implementation is discussed, and the advantages of the proposed technique are illustrated through the analysis of a practical slot feed patch array. ¬© 1997 John Wiley &amp; Sons, Inc.</t>
  </si>
  <si>
    <t>106-115</t>
  </si>
  <si>
    <t>6603200704;6701417455;7006665188</t>
  </si>
  <si>
    <t>Brand, Yan;Skrivervik, Anja K.;Mosig, Juan R.</t>
  </si>
  <si>
    <t>Brand Y.</t>
  </si>
  <si>
    <t>An iterative scheme solution for the analysis of printed arrays</t>
  </si>
  <si>
    <t>10.1002/(SICI)1098-2760(19971005)16:2&lt;106::AID-MOP13&gt;3.0.CO;2-6</t>
  </si>
  <si>
    <t>2-s2.0-0031554930</t>
  </si>
  <si>
    <t>['theoretical prediction', 'significantly impact', 'several samples', 'rf reflectivity', 'radio frequency', 'optical baffle', 'field reflected', 'downlink pattern', 'beam peak', 'baffle made']</t>
  </si>
  <si>
    <t>Antenna pattern perturbation | Optical baffle | Reflector patterns | RF reflectivity | Shaped reflector antenna | Surface integral of antenna far-field pattern | Waveguide simulator measurement</t>
  </si>
  <si>
    <t>An assessment of the impact of the optical baffle on the NASA Earth Observing System (EOS) downlink antenna radiation pattern is described. The assessment was accomplished by theoretical prediction of the radio frequency (RF) field reflected from the baffle (and interfering with the downlink pattern) based upon measurements of the RF reflectivity of several samples of proposed baffle materials. The predicted results indicate that a baffle made of these materials will not significantly impact the downlink antenna radiation pattern above the -50 dB level relative to the beam peak. ¬© 1997 John Wiley &amp; Sons, Inc.</t>
  </si>
  <si>
    <t>93-97</t>
  </si>
  <si>
    <t>Redondo Beach</t>
  </si>
  <si>
    <t>Electronic Systems and Technology</t>
  </si>
  <si>
    <t>Impact of optical baffle on antenna pattern</t>
  </si>
  <si>
    <t>10.1002/(SICI)1098-2760(19971005)16:2&lt;93::AID-MOP10&gt;3.0.CO;2-9</t>
  </si>
  <si>
    <t>2-s2.0-0031554933</t>
  </si>
  <si>
    <t>['versatile compared', 'proposed technique', 'planar arrays', 'large number', 'large elements', 'illustrative examples', 'genetic algorithms', 'easily implemented', 'array nulls', 'analytic methods']</t>
  </si>
  <si>
    <t>Genetic algorithm | Null steering | Planar arrays</t>
  </si>
  <si>
    <t>In this paper, a technique to steer the array nulls for planar arrays by controlling only the excitation current amplitudes based on genetic algorithms is investigated. The proposed technique is found to be capable of steering the array nulls to the prescribed interference directions with prescribed null depth and simultaneous sidelobe level minimization. In addition, the technique is simple, easily implemented, and versatile compared with other analytic methods for this problem. To verify the validity of the technique, illustrative examples for both rectangular and circular planar arrays are demonstrated. Numerical results show that for planar arrays, even with large elements for cases of a large number of interferences, the proposed technique does succeed in steering the array nulls with satisfactory nulling performance, as desired. ¬© 1997 John Wiley &amp; Sons, Inc.</t>
  </si>
  <si>
    <t>97-103</t>
  </si>
  <si>
    <t>Null steering in planar arrays by controlling only current amplitudes using genetic algorithms</t>
  </si>
  <si>
    <t>10.1002/(SICI)1098-2760(19971005)16:2&lt;97::AID-MOP11&gt;3.0.CO;2-5</t>
  </si>
  <si>
    <t>2-s2.0-0031554937</t>
  </si>
  <si>
    <t>['optimization tool', 'method consists', 'genetic algorithm', 'fdtd code', 'computing time', 'antenna optimization']</t>
  </si>
  <si>
    <t>Antenna | FDTD | Genetic algorithm | Neural network | Optimization</t>
  </si>
  <si>
    <t>An original theoretical approach for antenna optimization and design is introduced in this paper. This method consists of coupling between the FDTD method applied to the study of microstrip patch antennas and the genetic algorithm (GA) as an optimization tool. A neural network allows the computing time to be deceased by acting as a database, thus avoiding multiple calls to the FDTD code. The principle of this approach is illustrated. ¬© 1997 John Wiley &amp; Sons, Inc.</t>
  </si>
  <si>
    <t>6506799305;7004363654;7006402070</t>
  </si>
  <si>
    <t>Eclercy, D.;Reineix, A.;Jecko, B.</t>
  </si>
  <si>
    <t>Eclercy D.</t>
  </si>
  <si>
    <t>FDTD genetic algorithm for antenna optimization</t>
  </si>
  <si>
    <t>10.1002/(SICI)1098-2760(19971005)16:2&lt;72::AID-MOP4&gt;3.0.CO;2-F</t>
  </si>
  <si>
    <t>2-s2.0-0031554938</t>
  </si>
  <si>
    <t>['transmission performance', 'single rings', 'metallic elements', 'fss consisting', 'correct choice', '1 db']</t>
  </si>
  <si>
    <t>Antennas | Dichroics | Frequency-selective surfaces | Radomes</t>
  </si>
  <si>
    <t>FSS consisting of arrays of single rings have been etched onto optically transparent, but microwave reflecting layers deposited on thin supporting substrates. The transmission performance is compared with that of arrays of metallic elements with the same dimensions. With the correct choice of materials, the relative passband losses were reduced to 1 dB. ¬© 1997 John Wiley &amp; Sons, Inc.</t>
  </si>
  <si>
    <t>61-63</t>
  </si>
  <si>
    <t>60010818;60010818;60010818</t>
  </si>
  <si>
    <t>7201840709;56902757000;7102519127</t>
  </si>
  <si>
    <t>Parker, E. A.;Antonopoulos, C.;Simpson, N. E.</t>
  </si>
  <si>
    <t>Parker E.A.</t>
  </si>
  <si>
    <t>Microwave band FSS in optically transparent conducting layers: Performance of ring element arrays</t>
  </si>
  <si>
    <t>10.1002/(SICI)1098-2760(19971005)16:2&lt;61::AID-MOP1&gt;3.0.CO;2-G</t>
  </si>
  <si>
    <t>2-s2.0-0031554942</t>
  </si>
  <si>
    <t>['temperature range', 'temperature dependence', 'report measurements', 'relaxation time', 'present results', 'model stating', 'macroscopic polarization', 'liquid water', 'infrared region', 'imaginary part', 'frequency dependence', 'excellent agreement', 'einstein relation', 'dielectric constant', 'debye time', 'debye model', '7 k', '228 k', '0 thz']</t>
  </si>
  <si>
    <t>We report measurements of the real and imaginary part of the dielectric constant of liquid water in the far-infrared region from 0.1 to 2.0 THz in a temperature range from 271.1 to 366.7 K. The data have been obtained with the use of THz time domain reflection spectroscopy, utilizing ultrashort electromagnetic pulses generated from a photoconductive antenna driven by femtosecond laser pulses. A Debye model with an additional relaxation time is used to fit the frequency dependence of the complex dielectric constants. We obtain a fast (fs) and a Debye (ps) relaxation time for the macroscopic polarization. The corresponding time correlation functions have been calculated with molecular dynamics simulations and are compared with experimental relaxation times. The temperature dependence of the Debye relaxation time is analyzed using three models: Transition state theory, a Debye - Stoke - Einstein relation between the viscosity and the Debye time, and a model stating that its temperature dependence can be extrapolated from a singularity of liquid water at 228 K. We find an excellent agreement between experiment and the two latter models. The simulations, however, present results with too large statistical error for establishing a relation for the temperature dependence. ¬© 1997 American Institute of Physics.</t>
  </si>
  <si>
    <t>5319-5331</t>
  </si>
  <si>
    <t>60029616;60029616-60011373;60033202;60024492;60033202;60029616</t>
  </si>
  <si>
    <t>6602251592;57198007292;57192824950;56218890000;7006370833;35560442800</t>
  </si>
  <si>
    <t>R√∏nne, Cecilie;Thrane, Lars;√Östrand, Per Olof;Wallqvist, Anders;Mikkelsen, Kurt V.;Keiding, S√∏ren R.</t>
  </si>
  <si>
    <t>Denmark;Denmark;United States;Denmark</t>
  </si>
  <si>
    <t>Copenhagen;Aarhus;Frederick;Lyngby</t>
  </si>
  <si>
    <t>H. C. √òrsted Institute;Aarhus Universitet;SAIC-Frederick;Danmarks Tekniske Universitet</t>
  </si>
  <si>
    <t>60033202;60029616;60024492;60011373</t>
  </si>
  <si>
    <t>R√∏nne C.</t>
  </si>
  <si>
    <t>Investigation of the temperature dependence of dielectric relaxation in liquid water by THz reflection spectroscopy and molecular dynamics simulation</t>
  </si>
  <si>
    <t>10.1063/1.474242</t>
  </si>
  <si>
    <t>2-s2.0-0031560015</t>
  </si>
  <si>
    <t>AEN96-1773</t>
  </si>
  <si>
    <t>['shower energy', 'radio antennas', 'lpm effect', 'eev regime', 'cherenkov radiation', '100 pev']</t>
  </si>
  <si>
    <t>Cherenkov radiation | Electromagnetic showers | LPM effect | Neutrino detection</t>
  </si>
  <si>
    <t>We study the implications of the LPM effect for the Cherenkov radiation of EeV electromagnetic showers in the coherent radiowave regime for ice. We show that for showers above 100 PeV the electric field scales with shower energy but has a markedly narrower angular distribution than for lower energy showers We give an electric field frequency and angular spectrum parameterization valid for showers having energy up to the EeV regime and discuss the implications for neutrino detectors based on arrays of radio antennas. Implications of the LPM effect for under water neutrino detectors in project are also briefly addressed. ¬© 1997 Elsevier Science B.V.</t>
  </si>
  <si>
    <t>6701597328;12809028600</t>
  </si>
  <si>
    <t>Alvarez-Mu√±iz, J.;Zas, E.</t>
  </si>
  <si>
    <t>Alvarez-Mu√±iz J.</t>
  </si>
  <si>
    <t>Cherenkov radio pulses from EeV neutrino interactions: The LPM effect</t>
  </si>
  <si>
    <t>S0370269397010095</t>
  </si>
  <si>
    <t>10.1016/S0370-2693(97)01009-5</t>
  </si>
  <si>
    <t>2-s2.0-0001067928</t>
  </si>
  <si>
    <t>['wave signals', 'two windows', 'tie antenna', 'monolithic chip', 'measured 2ghz', 'diode mixer']</t>
  </si>
  <si>
    <t>Antennas | MMIC | Monolithic integrated circuits</t>
  </si>
  <si>
    <t>A bow-tie antenna, a diode mixer and an IF amplifier were integrated as a monolithic chip and mounted on a case that had two windows for millimetre-wave signals. The measured 2GHz IF signal was -50dBm with a ‚àº90GHz LO signal.</t>
  </si>
  <si>
    <t>1800-1801</t>
  </si>
  <si>
    <t>100445950;100445950;100445950;100445950;100445950;100445950;100445950;60015970</t>
  </si>
  <si>
    <t>55627873895;7005974928;7102039577;7201926938;56307161600;7405806614;55167674600;7101976481</t>
  </si>
  <si>
    <t>Matsuura, H.;Tezuka, K.;Aoki, I.;Yamanaka, M.;Kobayashi, S.;Fujita, T.;Miura, A.;Nagayama, Y.</t>
  </si>
  <si>
    <t>Toki;Musashino</t>
  </si>
  <si>
    <t>National Institutes of Natural Sciences - National Institute for Fusion Science;Teratec Corporation</t>
  </si>
  <si>
    <t>60015970;100445950</t>
  </si>
  <si>
    <t>Matsuura H.</t>
  </si>
  <si>
    <t>Fully monolithic millimetre-wave mixer and if amplifier with bow-tie antenna on GaAs substrate</t>
  </si>
  <si>
    <t>10.1049/el:19971236</t>
  </si>
  <si>
    <t>2-s2.0-0031561221</t>
  </si>
  <si>
    <t>['transponder receives', 'glass superstrate', 'car windscreen']</t>
  </si>
  <si>
    <t>Experimental results obtained from an active transponder circuit mounted in a car windscreen are reported. The transponder receives a signal at 10GHz and doubles the frequency which is transmitted at 20GHz. The effect of glass superstrate on the active transponder circuit is reported.</t>
  </si>
  <si>
    <t>1799-1800</t>
  </si>
  <si>
    <t>Frequency doubling active transponder in car windscreen</t>
  </si>
  <si>
    <t>10.1049/el:19971210</t>
  </si>
  <si>
    <t>2-s2.0-0031561229</t>
  </si>
  <si>
    <t>['time constant', 'stimulated emission', 'static disorder', 'state dynamics', 'selective steady', 'reactions centers', 'reaction center', 'partly localized', 'optical signal', 'low temperature', 'exciton states', 'exciton delocalization', 'energy transfer', 'b850 band', 'b800 yields', '8 ps', '5 k', '10 k']</t>
  </si>
  <si>
    <t>Excited-state dynamics and exciton delocalization in the isolated LH2 antenna complex (B800-850) of the photosynthetic bacterium Rhodopseudomonas acidophila were studied at low temperature by means of femtosecond transient absorption spectroscopy. By comparing the contribution by stimulated emission to the absorbance difference signal of B850 with the bleaching of the primary donor P of reactions centers of Rhodobacter sphaeroides R26, we found that at 5 K the thermalized B850 transition has a 1.85 times larger oscillator strength than P. This corresponds to an oscillator strength equivalent to 3.4 reaction center pigments. With the in vivo extinction coefficients for the reaction center and LH2 from the literature, we arrive at an oscillator strength equivalent to 2.3 antenna pigments. Comparison of the stimulated emission band of B850 with the optical signal of B800 yields an oscillator strength equivalent with that of 2.7 B800 pigments. Our results strongly support a model in which the exciton states are partly localized as a result of static disorder. Energy-selective steady-state fluorescence measurements indeed indicate inhomogeneity of the B850 band. Energy transfer from B800 to B850 takes place with a time constant of 1.8 ps at 10 K.</t>
  </si>
  <si>
    <t>8369-8374</t>
  </si>
  <si>
    <t>60003878;60003878-60007776;60003878;60003878;60003878</t>
  </si>
  <si>
    <t>6701664153;57215471408;6602807808;7003777767;7004456032</t>
  </si>
  <si>
    <t>Kennis, John T.M.;Streltsov, Alexandre M.;Permentier, Hjalmar;Aartsma, Thijs J.;Amesz, Jan</t>
  </si>
  <si>
    <t>Ithaca;Leiden</t>
  </si>
  <si>
    <t>Cornell University;Sterrewacht Leiden</t>
  </si>
  <si>
    <t>60007776;60003878</t>
  </si>
  <si>
    <t>Exciton coherence and energy transfer in the LH2 antenna complex of Rhodopseudomonas acidophila at low temperature</t>
  </si>
  <si>
    <t>10.1021/jp971497a</t>
  </si>
  <si>
    <t>2-s2.0-0031561255</t>
  </si>
  <si>
    <t>['wider bandwidth', 'two times', 'similar design', 'shorting posts', 'new design', 'experimental results', 'design provides', 'antenna design']</t>
  </si>
  <si>
    <t>A new design of circularly-polarised square microstrip antenna fed along a diagonal with a pair of suitable chip resistors located along the centreline is presented. This design provides a wider bandwidth for circular polarisation radiation about two times that of a similar design with a pair of shorting posts. Details of the antenna design and experimental results are presented.</t>
  </si>
  <si>
    <t>1749-1751</t>
  </si>
  <si>
    <t>35460663000;56093321900</t>
  </si>
  <si>
    <t>Wong, Kin Lu;Wu, Jian Yi</t>
  </si>
  <si>
    <t>Bandwidth enhancement of circularly-polarised microstrip antenna using chipresistor loading</t>
  </si>
  <si>
    <t>10.1049/el:19971204</t>
  </si>
  <si>
    <t>2-s2.0-0031561297</t>
  </si>
  <si>
    <t>['wide variety', 'well known', 'typical case', 'theoretical grounds', 'since choosing', 'reflector antenna', 'recently given', 'mathematical notions', 'mach number', 'flexible rod', 'difficult task', 'definition exists', 'controllability notion']</t>
  </si>
  <si>
    <t>Controllability | Linear delay systems | Module theory | Tracking | Wave equation</t>
  </si>
  <si>
    <t>The controllability notion, well known for finite dimensional systems, has received a wide variety of extensions for systems with delays. An interpretation was recently given to most of the widely used definitions using a module theoretic framework. Since choosing between all of these mathematical notions on theoretical grounds is certainly a difficult task, we try, by inspecting several practical examples, to search for a notion that would appear quite frequently. We show that such a definition exists and seems to be new. We have named it Œ¥-freeness, a typical case of which is, two finite dimensional controllable systems interconnected with a delay. Some examples will be examined, including a wind tunnel model for the control of the Mach number, a two-reflector antenna and a flexible rod with a mass.</t>
  </si>
  <si>
    <t>911-925</t>
  </si>
  <si>
    <t>Journal Europeen des Systemes Automatises</t>
  </si>
  <si>
    <t>60006317-60106017-60110235;60030506;60018353-60106017-60015815</t>
  </si>
  <si>
    <t>6603884475;7004242724;56126241500</t>
  </si>
  <si>
    <t>Mounier, Hugues;Rouchon, Pierre;Rudolph, Joachim</t>
  </si>
  <si>
    <t>France;France;France;Germany;Germany;France</t>
  </si>
  <si>
    <t>Nantes;Saint-Aubin;Paris;Dresden;Stuttgart;Rueil-Malmaison</t>
  </si>
  <si>
    <t>IMT Atlantique;Universite Paris-Saclay;Mines ParisTech;Technische Universit√§t Dresden;Universit√§t Stuttgart;IFP Energies nouvelles</t>
  </si>
  <si>
    <t>60110235;60106017;60030506;60018353;60015815;60006317</t>
  </si>
  <si>
    <t>Mounier H.</t>
  </si>
  <si>
    <t>Some examples of linear systems with delays</t>
  </si>
  <si>
    <t>2-s2.0-0000109909</t>
  </si>
  <si>
    <t>['system demonstration', 'employs wavelength', 'element hardware', 'division multiplexing', 'compressive receivetrue', 'antenna range']</t>
  </si>
  <si>
    <t>Array antennas | Fiber optics | Fiber-optic delay lines | True time delay</t>
  </si>
  <si>
    <t>We describe the design and development of an eight-element hardware-compressive receivetrue-timedelay steering system that employs wavelength-division multiplexing. The laboratory system performance and results from the system demonstration at the antenna range are discussed. ¬© 1997 Optical Society of America.</t>
  </si>
  <si>
    <t>7315-7326</t>
  </si>
  <si>
    <t>60025209;60025209</t>
  </si>
  <si>
    <t>35616191300;6603252809</t>
  </si>
  <si>
    <t>Goutzoulis, Anastasios P.;Zomp, John M.</t>
  </si>
  <si>
    <t>Goutzoulis A.</t>
  </si>
  <si>
    <t>Development and field demonstration of an eight-element receive wavelength-multiplexed true-time-delay steering system</t>
  </si>
  <si>
    <t>10.1364/AO.36.007315</t>
  </si>
  <si>
    <t>2-s2.0-0000982568</t>
  </si>
  <si>
    <t>Verband der Chemischen Industrie</t>
  </si>
  <si>
    <t>VCI</t>
  </si>
  <si>
    <t>['three iron', 'third pair', 'sulphur centres', 'seven transmembrane', 'second pair', 'relative centre', 'psi complex', 'possibly functionally', 'nine c', 'maximal centre', 'likely location', 'k ),', 'first pair', 'energy transfer', 'electron transport', 'dual function', 'corresponding chla', 'core antenna', 'constituent elements', 'complete model', 'chla dimer', 'centre distance', 'b ).', 'antenna chla', '89 chla', '81 chla', '34 transmembrane', '20 chla', '11 subunits', '), a0']</t>
  </si>
  <si>
    <t>Light-harvesting core antenna | Oxygenic photosynthesis | Photosynthetic reaction centre | Thermophilic Cyanobacterium | X-ray crystal structure</t>
  </si>
  <si>
    <t>An improved structural model of the photosystem I complex from the thermophilic cyanobacterium Synechococcus elongatus is described at 4 √Ö resolution. This represents the most complete model of a photosystem presently available, uniting both a photosynthetic reaction centre domain and a core antenna system. Most constituent elements of the electron transfer system have been located and their relative centre-to-centre distances determined at an accuracy of ~ 1 √Ö. These include three pseudosymmetric pairs of Chla and three iron-sulphur centres, F(X), F(A) and F(B). The first pair, a Chla dimer, has been assigned to the primary electron donor P700. One or both Chla of the second pair, eC2 and eC'2, presumably functionally link P700 to the corresponding Chla of the third pair, eC3 and eC'3, which is assumed to constitute the spectroscopically-identified primary electron acceptor(s), A0, of PSI. A likely location of the subsequent phylloquinone electron acceptor, Q(K), in relation to the properties of the spectroscopically identified electron acceptor A1 is discussed. The positions of a total of 89 Chla, 83 of which constitute the core antenna system, are presented. The maximal centre-to-centre distance between antenna Chla is ‚â§ 16 √Ö; 81 Chla are grouped into four clusters comprising 21, 23, 17 and 20 Chla, respectively. Two 'connecting' Chla are positioned to structurally (and possibly functionally) link the Chla of the core antenna to those of the electron transfer system. Thus the second and third Chla pairs of the electron transfer system may have a dual function both in energy transfer and electron transport. A total of 34 transmembrane and nine surface Œ±-helices have been identified and assigned to the 11 subunits of the PSI complex. The connectivity of the nine C-terminal (seven transmembrane, two 'surface') Œ±-helices of each of the large core subunits PsaA and PsaB is described. The assignment of the amino acid sequence to the transmembrane Œ±-helices is proposed and likely residues involved in co-ordinating the Chla of the electron transfer system discussed.</t>
  </si>
  <si>
    <t>741-769</t>
  </si>
  <si>
    <t>Journal of Molecular Biology</t>
  </si>
  <si>
    <t>60030718;60030718;60030718;60030718;60011604;60011604</t>
  </si>
  <si>
    <t>7202740881;6602218088;35452825700;35448456500;7003500276;55667080600</t>
  </si>
  <si>
    <t>Schubert, Wolf Dieter;Klukas, Olaf;Krau√ü, Norbert;Saenger, Wolfram;Fromme, Petra;Witt, Horst Tobias</t>
  </si>
  <si>
    <t>Berlin;Berlin</t>
  </si>
  <si>
    <t>Freie Universit√§t Berlin;Technical University of Berlin</t>
  </si>
  <si>
    <t>60030718;60011604</t>
  </si>
  <si>
    <t>Schubert W.D.</t>
  </si>
  <si>
    <t>Photosystem I of Synechococcus elongatus at 4 √Ö resolution: Comprehensive structure analysis</t>
  </si>
  <si>
    <t>S0022283697912699</t>
  </si>
  <si>
    <t>10.1006/jmbi.1997.1269</t>
  </si>
  <si>
    <t>2-s2.0-0031563799</t>
  </si>
  <si>
    <t>['thz radiation', 'terahertz emission', 'radiation emitters', 'optic sampling', 'efficient terahertz', 'detectors enhanced', 'also study', '3 œºw']</t>
  </si>
  <si>
    <t>We present new designs of more efficient terahertz (THz) radiation emitters and detectors enhanced by electric field singularities using sharp and laterally offset electrodes. We compare the performances of the terahertz emission and different polarization properties resulting from these structures. An average THz radiation power of 3 ŒºW is achieved under 20 mW excitation, calibrated by free space electro-optic sampling. We also study the gap size dependence of the THz radiation, and find an absence of a positive electrode effect in the small gap limit. ¬© 1997 American Institute of Physics.</t>
  </si>
  <si>
    <t>2076-2078</t>
  </si>
  <si>
    <t>60022904;60021378;60021378;60021378;60021378;60022904</t>
  </si>
  <si>
    <t>57199779901;7006620746;7005643397;7102253473;35420992900;7003491165</t>
  </si>
  <si>
    <t>Cai, Y.;Brener, I.;Lopata, J.;Wynn, J.;Pfeiffer, L.;Federici, J.</t>
  </si>
  <si>
    <t>Newark;Murray</t>
  </si>
  <si>
    <t>New Jersey Institute of Technology;Nokia Bell Labs</t>
  </si>
  <si>
    <t>60022904;60021378</t>
  </si>
  <si>
    <t>Cai Y.</t>
  </si>
  <si>
    <t>Design and performance of singular electric field terahertz photoconducting antennas</t>
  </si>
  <si>
    <t>10.1063/1.119346</t>
  </si>
  <si>
    <t>2-s2.0-0031249523</t>
  </si>
  <si>
    <t>['vertebrate enzymes', 'transcriptionally activated', 'synechocystis sp', 'splicing mechanism', 'second role', 'reported hos', 'red algae', 'presumably expressed', 'porphyra purpurea', 'photosynthetic organisms', 'photosynthetic antennae', 'mobilizing agent', 'lesser extent', 'key enzyme', 'iron deprivation', 'heme ring', 'heme oxygenase', 'chromophoric part', 'chloroplast genome']</t>
  </si>
  <si>
    <t>Chloroplast | Genome | Intron | Phycobilin | Rhodophyta</t>
  </si>
  <si>
    <t>Heme oxygenase (HO) catalyzes the opening of the heme ring with the release of iron in both plants and animals. In cyanobacteria, red algae, and cryptophyceae, HO is a key enzyme in the synthesis of the chromophoric part of the photosynthetic antennae. In an attempt to study the regulation of this key metabolic step, we cloned and sequenced the pbsA gene encoding this enzyme from the red alga Rhodella violacea. The gene is located on the chloroplast genome, split into three distant exons, and is presumably expressed by a trans-splicing mechanism. The deduced polypeptide sequence is homologous to other reported HOs from organisms containing phycobilisomes (Porphyra purpurea and Synechocystis sp. strain PCC 6803) and, to a lesser extent, to vertebrate enzymes. The expression is transcriptionally activated under iron deprivation, a stress condition frequently encountered by algae, suggesting a second role for HO as an iron-mobilizing agent in photosynthetic organisms.</t>
  </si>
  <si>
    <t>11736-11741</t>
  </si>
  <si>
    <t>60000179;60000179</t>
  </si>
  <si>
    <t>7006319605;7801440824</t>
  </si>
  <si>
    <t>Richaud, Catherine;Zabulon, G√©rald</t>
  </si>
  <si>
    <t>√âcole Normale Sup√©rieure</t>
  </si>
  <si>
    <t>Richaud C.</t>
  </si>
  <si>
    <t>The heme oxygenase gene (pbsA) in the red alga Rhodella violacea is discontinuous and transcriptionally activated during iron limitation</t>
  </si>
  <si>
    <t>10.1073/pnas.94.21.11736</t>
  </si>
  <si>
    <t>2-s2.0-0030772001</t>
  </si>
  <si>
    <t>Indian National Science Academy</t>
  </si>
  <si>
    <t>INSA</t>
  </si>
  <si>
    <t>['√ ö3', '√ ö', 'œ ≤', 'solid state', 'reduction potentials', 'ray structures', 'pentavalent state', 'oxo oxygen', 'methylene protons', 'methanol solution', 'low v', 'h2ed added', 'general v', 'crystal data', 'coordinated vvo', 'alkoxides vvo', 'alkoxide bridging', 'aerial oxygen', 'acetone solution', '71 %.', '2 v']</t>
  </si>
  <si>
    <t>Alkoxide complexes | Crystal structures | Hydrazonato complexes | Oxovanadium(V) complexes</t>
  </si>
  <si>
    <t>The reaction of bis(acetylacetonato)oxovanadium(IV) with benzoylhydrazones of benzoylacetone and salicylaldehyde - H2babh and H2sabh, respectively - with ethane-1,2-diol (H2ed) in acetone solution has afforded the alkoxides VVO(babh)(Hed) and VVO(sabh)(Hed) in which the Hed- ligand is chelated both in the solid state and in solution. In methanol solution (no H2ed added) five-coordinated VVO(babh)(OMe) and six-coordinated VVO(sabh)(OMe)(OHMe) are formed. Aerial oxygen is the oxidant (VIV ‚Üí VV) in the synthesis. The X-ray structures of VO(babh) (Hed) and VO(sabh)(OMe)(OHMe) are reported. In the VO5N coordination sphere the alcohol oxygen lies trans to the oxo oxygen. The general V-O bond length order is oxo&lt;alkoxidic&lt;phenoxidic&lt;enolato&lt;alcoholic. The complexes are mononuclear but intermolecular O-H‚ãØN hydrogen bonding afford dimers. The Hed- complexes represent authentic examples of rare oxovanadium species incorporating ethane-1,2-diol chelation uncomplicated by alkoxide bridging. The complexes have low V(V)/V(IV) reduction potentials (E1/2, - 0.3 to - 0.2 V) corresponding to stabilization of the pentavalent state. The methylene protons of Hed- in the complexes are inequivalent in solution (1H NMR). Crystal data: VO(babh)(Hed): monoclinic, space group P21/c, a = 11.260(6), b = 7.672(3),c = 21.072(8) √Ö, Œ≤ = 91.95(4)¬∞, V = 1820(1.4) √Ö3, Z = 4, R = 4.12%, Rw = 4.67%; VO(sabh)(OMe)(OHMe): monoclinic, space group P21/c, a = 8.170(4), b = 16.984(10), c = 12.242(7) √Ö, Œ≤ = 104.24(4)¬∞, V = 1646(1.6) √Ö3, Z = 4, R = 3.64%, Rw = 4.71%. ¬© 1997 Elsevier Science S.A.</t>
  </si>
  <si>
    <t>247-253</t>
  </si>
  <si>
    <t>Inorganica Chimica Acta</t>
  </si>
  <si>
    <t>60014761;60014761;60014761</t>
  </si>
  <si>
    <t>7102404767;35461764400;7005083014</t>
  </si>
  <si>
    <t>Rath, Sankar Prasad;Mondal, Sujit;Chakravorty, Animesh</t>
  </si>
  <si>
    <t>Kolkata</t>
  </si>
  <si>
    <t>Indian Association for the Cultivation of Science</t>
  </si>
  <si>
    <t>Rath S.P.</t>
  </si>
  <si>
    <t>Chemistry of hydrazonato oxovanadium(V) alkoxides derived from dihydric/monohydric alcohols</t>
  </si>
  <si>
    <t>S0020169397056107</t>
  </si>
  <si>
    <t>10.1016/s0020-1693(97)05610-7</t>
  </si>
  <si>
    <t>2-s2.0-0001405962</t>
  </si>
  <si>
    <t>['three dipoles', 'terahertz radiation', 'significant difference', 'several designs', 'radiation spectrum', 'radiation spectra', 'power dependencies', 'photoconductive antennas', 'field screening', 'emission properties', 'design showed', 'bow tie', 'based antennas', 'also measured']</t>
  </si>
  <si>
    <t>Carrier-screening effect | Low-temperature-grown GaAs | Photoconductive antenna | Semiinsulating GaAs | Terahertz radiation</t>
  </si>
  <si>
    <t>Terahertz radiation was generated with several designs of photoconductive antennas (three dipoles, a bow tie, and a coplanar strip line) fabricated on low-temperature-grown (LT) GaAs and semi-insulating (SI) GaAs, and the emission properties of the photoconductive antennas were compared with each other. The radiation spectrum of each antenna was characterized with the photoconductive sampling technique. The total radiation power was also measured by a bolometer for comparison of the relative radiation power. The radiation spectra of the LT-GaAs-based and SI-GaAs-based photoconductive antennas of the same design showed no significant difference. The pump-power dependencies of the radiation power showed saturation for higher pump intensities, which was more serious in SI-GaAs-based antennas than in LT-GaAs-based antennas. We attributed the origin of the saturation to the field screening of the photocarriers. ¬© 1997 Optical Society of America.</t>
  </si>
  <si>
    <t>7853-7859</t>
  </si>
  <si>
    <t>60032325;60032325;60032325;60024322</t>
  </si>
  <si>
    <t>7202550229;56675377000;7404662230;7202560504</t>
  </si>
  <si>
    <t>Tani, Masahiko;Matsuura, Shuji;Sakai, Kiyomi;Nakashima, Shin Ichi</t>
  </si>
  <si>
    <t>Emission characteristics of photoconductive antennas based on low-temperature-grown GaAs and semi-insulating GaAs</t>
  </si>
  <si>
    <t>10.1364/AO.36.007853</t>
  </si>
  <si>
    <t>2-s2.0-0000418477</t>
  </si>
  <si>
    <t>['zone antenna', 'system scales', 'suitable detector', 'squid however', 'passive samples', 'level topography', 'device noise', 'detectable field', 'combined œºm', '300 k']</t>
  </si>
  <si>
    <t>We report a combined Œºm-level topography and high-frequency magnetic field probe, a 6 Œºm loop defined on a scanning-force microscope cantilever. Since it functions as a near-zone antenna, it can be used with any suitable detector, and can probe both active and passive samples. We demonstrate its performance by scanning a coplanar waveguide sample at 10 GHz using a microwave network analyzer. With this instrument, the device noise at this frequency is ‚àº2ŒºŒ¶0/Hz1/2 at T=300 K, comparable to that found for a superconducting quantum interference device (SQUID) at DC. Unlike the SQUID however, the thermally limited minimum-detectable field of this system scales with frequency. ¬© 1997 American Institute of Physics.</t>
  </si>
  <si>
    <t>2343-2345</t>
  </si>
  <si>
    <t>60023004;60023004-60012708;60023004</t>
  </si>
  <si>
    <t>57197963595;36778022900;7004109084</t>
  </si>
  <si>
    <t>Agrawal, V.;Neuzil, P.;Van Der Weide, D. W.</t>
  </si>
  <si>
    <t>Newark;Palo Alto</t>
  </si>
  <si>
    <t>University of Delaware;Stanford University</t>
  </si>
  <si>
    <t>60023004;60012708</t>
  </si>
  <si>
    <t>Agrawal V.</t>
  </si>
  <si>
    <t>A microfabricated tip for simultaneous acquisition of sample topography and high-frequency magnetic field</t>
  </si>
  <si>
    <t>10.1063/1.120073</t>
  </si>
  <si>
    <t>2-s2.0-0012291929</t>
  </si>
  <si>
    <t>Ho 1757/2-1</t>
  </si>
  <si>
    <t>['trimeric lighl', 'frequency domain', 'b q', '679 nm', '35 fs', ')- region', ')- band']</t>
  </si>
  <si>
    <t>Chlorophyll form | Dephasing | Energy transfer | Nonlinear laser spectroscopy | Photosynthetic antenna complex</t>
  </si>
  <si>
    <t>nThe unique high spectral resolution resulting from application of nonlinear polarisation spectroscopy in the frequency domain at 77 K directly reveals 6 subbands (at 649, 657, 667, 672, 675 and 679 nm) in the chlorophyll a/b Q(y)-region of trimeric lighl-harvesting complex II. A shortening (from about 90 to 35 fs) of the corresponding dephasing times towards the 'blue' edge of the Q(y)-band was observed.</t>
  </si>
  <si>
    <t>195-199</t>
  </si>
  <si>
    <t>60000762;60030732;60030732;60030732;60030732;60000762;60000762</t>
  </si>
  <si>
    <t>57197535505;7006518726;24551741200;6603937356;7004047590;56261415500;6701736302</t>
  </si>
  <si>
    <t>Schubert, Axel;Voigt, Bernd;Leupold, Dieter;Beenken, Wichard;Ehlert, J√ºrgen;Hoffmann, Paul;Lokstein, Heiko</t>
  </si>
  <si>
    <t>Max Born Institute;Humboldt-Universit√§t zu Berlin</t>
  </si>
  <si>
    <t>60030732;60000762</t>
  </si>
  <si>
    <t>Schubert A.</t>
  </si>
  <si>
    <t>Direct observation of spectral substructure in the Q(y)-absorption band of light harvesting complex II by nonlinear polarisation spectroscopy in the frequency domain at low temperature</t>
  </si>
  <si>
    <t>S0005272897000613</t>
  </si>
  <si>
    <t>10.1016/S0005-2728(97)00061-3</t>
  </si>
  <si>
    <t>2-s2.0-0030729909</t>
  </si>
  <si>
    <t>['waveguide show', 'thermal link', 'resistive termination', 'radiation within', 'operating temperature', 'he3 refrigerator', 'average absorption', 'antenna absorber', '50 ghz', '48 k']</t>
  </si>
  <si>
    <t>We present the design of a novel bolometer intended for measurement of radiation within a waveguide. The thermal link in the bolometer is a low-thermal conductance micromachined beam. Power is coupled from an antenna to a resistive termination at the center of the beam. The optimization of the design for an astronomical measurement leads to an operating temperature of 0.48 K, accessible with a He3 refrigerator. Measurements on the antenna absorber in a waveguide show an average absorption of 94% from 33 to 50 GHz. ¬© 1997 American Institute of Physics.</t>
  </si>
  <si>
    <t>2361-2363</t>
  </si>
  <si>
    <t>60019175;60019175;60019175;60027950</t>
  </si>
  <si>
    <t>6701611186;7005599717;57225681195;54790597800</t>
  </si>
  <si>
    <t>Osterman, D. P.;Patt, R.;Hunt, R.;Peterson, J. B.</t>
  </si>
  <si>
    <t>Pittsburgh;Elmsford</t>
  </si>
  <si>
    <t>Carnegie Mellon University;HYPRES, Inc.</t>
  </si>
  <si>
    <t>60027950;60019175</t>
  </si>
  <si>
    <t>Osterman D.P.</t>
  </si>
  <si>
    <t>Antenna-coupled bolometer with a micromachined-beam thermal link</t>
  </si>
  <si>
    <t>10.1063/1.120028</t>
  </si>
  <si>
    <t>2-s2.0-0031244864</t>
  </si>
  <si>
    <t>['thick substrates', 'substrates thicker', 'simple techniques', 'reported elsewhere', 'good agreement', 'effective dimensions', 'easily included', 'calculated results', 'cad system', 'antenna elements']</t>
  </si>
  <si>
    <t>Coupling coefficient | Mutual coupling | Rectangular microstrip arrays | Thick microstrip arrays</t>
  </si>
  <si>
    <t>Simple techniques have been developed for evaluating mutual coupling coefficients between two identical probe-fed rectangular antenna elements with thick substrates. They are based on the volume equivalence theorem and a theoretical model equivalent to a lossy transmission line, and they take into account surface wave contribution, mismatching, effective dimensions of the antenna elements, the relative dielectric constant, and thickness of the substrate. The measured and calculated mutual coupling coefficients are presented as a function of separations between two antenna elements with substrates thicker than those reported elsewhere in E- and H-plane coupling configurations for the dominant TM10 mode. These techniques are simple, and are easily included in a CAD system. The calculated results are in good agreement with the measurements. ¬© 1997 John Wiley &amp; Sons, Inc.</t>
  </si>
  <si>
    <t>Techniques for the computation of the mutual coupling between two rectangular microstrip antenna elements with thick substrates</t>
  </si>
  <si>
    <t>10.1002/(SICI)1098-2760(19971020)16:3&lt;169::AID-MOP13&gt;3.0.CO;2-0</t>
  </si>
  <si>
    <t>2-s2.0-0031257443</t>
  </si>
  <si>
    <t>['theoretical results', 'results achieved', 'radiation efficiency', 'plasma medium', 'plasma frequency', 'paramount significance', 'operating frequency', 'multiresonance peaks', 'good agreement', 'experimentally inside', 'experimental findings', 'dielectric substrate', 'based four', 'antenna arrays']</t>
  </si>
  <si>
    <t>Array | Microstrip antenna | Plasma | Radiation efficiency</t>
  </si>
  <si>
    <t>The radiation efficiency of a fenite-based four-element microstrip antenna array is studied both numerically and experimentally inside a plasma medium. Multiresonance peaks are observed with enhanced radiation efficiency in the region where the plasma frequency is less than the operating frequency of the array. This is contrary to the results achieved so far for other antenna arrays, including the microstrip antenna array on dielectric substrate. The experimental findings are in good agreement with the theoretical results. The finding is of paramount significance for satellite and space vehicle communications. ¬© 1997 John Wiley &amp; Sons, Inc.</t>
  </si>
  <si>
    <t>138-141</t>
  </si>
  <si>
    <t>Pattnaik, Shyam S.</t>
  </si>
  <si>
    <t>Effect of plasma medium on the radiation efficiency of a ferrite-based four-element microstrip antenna array</t>
  </si>
  <si>
    <t>10.1002/(SICI)1098-2760(19971020)16:3&lt;138::AID-MOP3&gt;3.0.CO;2-N</t>
  </si>
  <si>
    <t>2-s2.0-0031258515</t>
  </si>
  <si>
    <t>['weak electron', 'wavelength position', 'triplet chlorophyll', 'total number', 'thermodynamic analysis', 'spectral heterogeneity', 'spectral bands', 'remains constant', 'recombinant products', 'primarily associated', 'plus b', 'pigment interactions', 'pigment composition', 'pigment binding', 'native pigments', 'minor effects', 'mechanism involved', 'large increases', 'escherichia coli', 'energetically coupled', 'either chlorophyll', 'different chlorophyll', 'dependent broadening', 'decreased intensity', 'carotenoid coupling', 'bound chlorophylls', 'also conserved', 'absorption bands', 'absorption associated', '684 nm', '660 nm', '4 apoprotein', '300 k']</t>
  </si>
  <si>
    <t>The minor photosystem II antenna complex CP29(Lhcb-4) has been reconstituted in vitro with the Lhcb-4 apoprotein, overexpressed in Escherichia coli, and the native pigments. Modulation of the pigment composition during reconstitution yields binding products with markedly different chlorophyll a/b binding ratios even though the total number of bound chlorophylls (a plus b) remains constant at eight. A thermodynamic analysis of steady state absorption and fluorescence spectra demonstrates that all chlorophylls are energetically coupled, while the kinetics of chlorophyll photooxidation indicate that triplet chlorophyll-carotenoid coupling is also conserved during pigment binding in vitro. The influence of the chlorophyll a/b binding ratio on the absorption spectra measured at 72 and 300 K is analyzed for the QŒ≥ absorption region. Increased chlorophyll b binding leads to large increases in absorption in the 640-660 nm region, while absorption in the 675-690 nm interval decreases markedly. These changes are analyzed in terms of a Gaussian decomposition description in which the eight subbands display a temperature-dependent broadening in agreement with the weak electron-phonon coupling demonstrated for other antenna chlorophyll spectral forms. In this way, we demonstrate that increased chlorophyll b binding leads to increased absorption intensity associated with the subbands at 640, 648, 655, and 660 nm and decreased intensity for the long wavelength subbands at 678 and 684 nm. The wavelength position of all subbands is unchanged. The above data are interpreted to indicate that CP29 has eight chlorophyll binding sites, many or all of which can be occupied by either chlorophyll a or chlorophyll b according to the conditions in which pigment binding occurs. Chlorophyll b absorption is primarily associated with four subbands located at 640, 648, 655, and 660 nm. The invariance of the wavelength position of the absorption bands in recombinant products with different chlorophyll a/b binding stoichiometries is discussed in terms of the mechanism involved in the formation of spectral bands. We conclude that pigment-protein interactions dominate in the determination of spectral heterogeneity with probably only minor effects on absorption associated with pigment-pigment interactions.</t>
  </si>
  <si>
    <t>12984-12993</t>
  </si>
  <si>
    <t>60032256-60027152;60030318;60032256;60030318;60032256;60030318;60032256;60030318</t>
  </si>
  <si>
    <t>6603590035;7006530694;6603761118;7005812451;57217972311;6701308180;35553979700;7201971898</t>
  </si>
  <si>
    <t>Giuffra, Elisabetta;Zucchelli, Giuseppe;Sandona, Dorianna;Croce, Roberta;Cugini, Daniela;Garlaschi, Flavio M.;Bassi, Roberto;Jennings, Robert C.</t>
  </si>
  <si>
    <t>Italy;Italy;Sweden</t>
  </si>
  <si>
    <t>Verona;Milan;Uppsala</t>
  </si>
  <si>
    <t>Universit√† degli Studi di Verona;Universit√† degli Studi di Milano;Sveriges lantbruksuniversitet</t>
  </si>
  <si>
    <t>60032256;60030318;60027152</t>
  </si>
  <si>
    <t>Giuffra E.</t>
  </si>
  <si>
    <t>Analysis of some optical properties of a native and reconstituted photosystem II antenna complex, CP29: Pigment binding sites can be occupied by chlorophyll a or chlorophyll b and determine spectral forms</t>
  </si>
  <si>
    <t>10.1021/bi9711339</t>
  </si>
  <si>
    <t>2-s2.0-0030668099</t>
  </si>
  <si>
    <t>['synthesis method', 'related literature', 'obtained results', 'method minimises', 'fulfils various', 'elements able', 'beamforming processor', 'beam pattern', 'aperiodic array']</t>
  </si>
  <si>
    <t>Acoustic imaging | Beamfarming arrays</t>
  </si>
  <si>
    <t>A synthesis method is proposed that is aimed at designing a planar, sparse, and aperiodic array to be used in a beamforming processor. This method minimises the number of elements able to generate a beam pattern that fulfils various a priori fixed constraints. The obtained results are better than those proposed in related literature.</t>
  </si>
  <si>
    <t>1834-1835</t>
  </si>
  <si>
    <t>60025153;60025153;60025153</t>
  </si>
  <si>
    <t>7007035725;6505832316;57225676218</t>
  </si>
  <si>
    <t>Trucco, A.;Omodei, E.;Repetto, P.</t>
  </si>
  <si>
    <t>Trucco A.</t>
  </si>
  <si>
    <t>Synthesis of sparse planar arrays</t>
  </si>
  <si>
    <t>10.1049/el:19971261</t>
  </si>
  <si>
    <t>2-s2.0-0031245484</t>
  </si>
  <si>
    <t>['substrate area', 'shaped antenna', 'resonance frequency', 'find applications']</t>
  </si>
  <si>
    <t>Microstrip antennas | MMIC</t>
  </si>
  <si>
    <t>A novel miniaturised quarter wavelength, H-shaped antenna which will find applications in monolithic microwave integrated circuit (MMIC) design is presented. The antenna occupies approximately one tenth of the substrate area of a half wavelength patch antenna. The effect on the resonance frequency, bandwidth and gain of the antenna are reported.</t>
  </si>
  <si>
    <t>1830-1831</t>
  </si>
  <si>
    <t>Miniaturised microstrip antenna for MMIC applications</t>
  </si>
  <si>
    <t>10.1049/el:19971240</t>
  </si>
  <si>
    <t>2-s2.0-0031247077</t>
  </si>
  <si>
    <t>['shorted patch', 'pcs ).']</t>
  </si>
  <si>
    <t>Patch antennas | Personal communication networks | Printed circuits</t>
  </si>
  <si>
    <t>A printed antenna consisting of an annular ring coupled to a shorted patch is presented. The size of the antenna is compatible with typical mobile communications handset terminals and its impedance bandwidth satisfies the requirements for such systems as broadband personal communications systems (PCS).</t>
  </si>
  <si>
    <t>1831-1832</t>
  </si>
  <si>
    <t>Printed antenna suitable for mobile communication handsets</t>
  </si>
  <si>
    <t>10.1049/el:19971241</t>
  </si>
  <si>
    <t>2-s2.0-0031247078</t>
  </si>
  <si>
    <t>['various angles', 'radiating slots', 'provide zeros', 'low cross', 'h plane', 'e plane', 'designs show', 'coplanar waveguide', 'centred zero', '90 ¬∞', '270 ¬∞']</t>
  </si>
  <si>
    <t>Coplanar waveguides | Slot antennas</t>
  </si>
  <si>
    <t>The authors describe twin Vivaldi antennas directly fed by a coplanar waveguide. They have been designed and measured for various angles between the radiating slots. All the designs show a centred zero in the E plane with a low cross-polarisation. In the H plane they provide zeros for √∏ = 90¬∞ and 270¬∞ and are omnidirectional for other values.</t>
  </si>
  <si>
    <t>1835-1837</t>
  </si>
  <si>
    <t>60110693;60110693;60110693;60110693</t>
  </si>
  <si>
    <t>6508207017;6602159125;7003360986;7003385210</t>
  </si>
  <si>
    <t>Linardou, I.;Migliaccio, C.;Laheurte, J. M.;Papiernik, A.</t>
  </si>
  <si>
    <t>Linardou I.</t>
  </si>
  <si>
    <t>Twin Vivaldi antenna fed by coplanar waveguide</t>
  </si>
  <si>
    <t>10.1049/el:19971259</t>
  </si>
  <si>
    <t>2-s2.0-0031248372</t>
  </si>
  <si>
    <t>['square patch', 'microstrip antenna', 'cutting slits', 'circular polarisation']</t>
  </si>
  <si>
    <t>Antenna theory | Microstrip antennas</t>
  </si>
  <si>
    <t>The design of a single-feed small microstrip antenna with circular polarisation (CP) radiation is described. This design is achieved by cutting slits in the square patch and, by adjusting the lengths of the slits, the microstrip antenna can perform CP radiation with a reduced patch size at a fixed operating frequency. This design also provides a wide CP bandwidth and relaxed fabrication tolerances.</t>
  </si>
  <si>
    <t>1833-1834</t>
  </si>
  <si>
    <t>Single-feed small circularly polarised square microstrip antenna</t>
  </si>
  <si>
    <t>10.1049/el:19971299</t>
  </si>
  <si>
    <t>2-s2.0-0031250718</t>
  </si>
  <si>
    <t>['strongly dependent', 'spacer chain', 'paper reports', 'kbcwl ).', 'chemical synthesis']</t>
  </si>
  <si>
    <t>The use of coupling saccharide antenna onto cyclodextrins allows mobility for the biologically active galactose head group, and allows die recognition process by the lectin (KbCWL). This paper reports a chemical synthesis of Œ≤-CD derivatives using spacer arms 3, 4, 5, 6 and 9 carbon atoms. Preliminary results suggested that recognition is strongly dependent on the length of the spacer chain between the cyclodextrin and the sugar head group.</t>
  </si>
  <si>
    <t>7555-7558</t>
  </si>
  <si>
    <t>60023578;60023578;60023578;60104289</t>
  </si>
  <si>
    <t>7005180576;7102251513;6701540302;7005103722</t>
  </si>
  <si>
    <t>Kassab, Rima;Felix, Caroline;Parrot-Lopez, H√©l√®ne;Bonaly, Roger</t>
  </si>
  <si>
    <t>Nancy;Villeurbanne</t>
  </si>
  <si>
    <t>Universit√© de Lorraine;Universit√© Claude Bernard Lyon 1</t>
  </si>
  <si>
    <t>60104289;60023578</t>
  </si>
  <si>
    <t>Kassab R.</t>
  </si>
  <si>
    <t>Synthesis of cyclodextrin derivatives carrying bio-recognisable saccharide antennae</t>
  </si>
  <si>
    <t>S0040403997100338</t>
  </si>
  <si>
    <t>10.1016/S0040-4039(97)10033-8</t>
  </si>
  <si>
    <t>2-s2.0-0030791732</t>
  </si>
  <si>
    <t>['visible light', 'ultraviolet light', 'tio2 particles', 'phenolic function', 'fluorescein singlet', 'fluorescein side', 'fluorescein moiety', 'electron transfer', 'electron injection', 'direct excitation', 'diester formed', 'diester fl', 'conduction band', 'carboxylic acid', 'anthracene moiety', 'anthracene component', 'antennae device', '200 mol', '1 l', '1 ).']</t>
  </si>
  <si>
    <t>Electron transfer from an excited organic dye-antennae device, the diester formed between fluorescein and anthracene-9-carboxylic acid (FL-AN), to colloidal TiO2 particles has been examined by absorption, photoluminescence, and laser flash spectroscopies and by electron spin resonance techniques under steady-state laser excitation. This diester FL-AN is chemisorbed to the TiO2 particles through the phenolic function of the fluorescein moiety; the anthracene component of FL-AN acts as the energy donor component, which is not in contact with the semiconductor particle surface. The apparent association constant (Kapp) is ca. 200 mol-1 L. Exciting the fluorescein side with visible light (around 470 nm) induces electron injection from its singlet excited state onto the conduction band of TiO2 (ket = 2.30 √ó 108 s-1). Excitation of the anthracene moiety with ultraviolet light (Œª ‚âà 355 nm) first causes energy transfer from its singlet excited state to the lowest excited singlet state of fluorescein (Œ¶enT = 0.98, and kenT = 2.23 √ó 1010 s-1), following which electron injection occurs from the fluorescein singlet to the conduction band of TiO2 at a rate otherwise identical to direct excitation of fluorescein. This greatly improves sensitization efficiency in applications to solar energy conversion. Electron spin resonance and laser flash spectroscopies demonstrated formation of the radical cation FL‚Ä¢+-AN on electron injection.</t>
  </si>
  <si>
    <t>9027-9034</t>
  </si>
  <si>
    <t>60019499;60019499;60019499;60019247;60033154</t>
  </si>
  <si>
    <t>57196548727;7410312341;7202005743;7401607707;7005464134</t>
  </si>
  <si>
    <t>He, Jianjun;Zhao, Jincai;Shen, Tao;Hidaka, Hisao;Serpone, Nick</t>
  </si>
  <si>
    <t>Canada;China;Japan</t>
  </si>
  <si>
    <t>Montreal;Beijing;Ome</t>
  </si>
  <si>
    <t>Concordia University;Chinese Academy of Sciences;Meisei University</t>
  </si>
  <si>
    <t>60033154;60019499;60019247</t>
  </si>
  <si>
    <t>He J.</t>
  </si>
  <si>
    <t>Photosensitization of colloidal titania particles by electron injection from an excited organic dye-antennae function</t>
  </si>
  <si>
    <t>10.1021/jp971550v</t>
  </si>
  <si>
    <t>2-s2.0-0031244997</t>
  </si>
  <si>
    <t>['target market', 'service known', 'new generation', 'h antennas', 'aviation service', 'additional power', '3 spacecraft', '2 satellites']</t>
  </si>
  <si>
    <t>The Inmarsat-2 satellites are being replaced by a new generation of INmarsat-3 spacecraft, which are more powerful. That additional power is allowing a consortium to expand its aviation service to somewhat smaller commercial aircraft with a service known as Aero-I. The target market for Aero-I is short and medium-haul planes aboard which it is not practical to carry the relatively large Aero-H antennas.</t>
  </si>
  <si>
    <t>30-32</t>
  </si>
  <si>
    <t>Kiernan, Vincent</t>
  </si>
  <si>
    <t>Kiernan V.</t>
  </si>
  <si>
    <t>Data and voice for a high-flying network</t>
  </si>
  <si>
    <t>2-s2.0-0031261367</t>
  </si>
  <si>
    <t>['value signals', 'sum total', 'signal going', 'redundancy devices', 'multiplexing units', 'monitoring facilities', 'increasing number']</t>
  </si>
  <si>
    <t>The challenge to satellite service providers, and more specifically to satellite network equipment manufacturers, is to develop hardware capable of carrying the increasing number and variety of high-value signals. A satellite Earth station is the sum total of its uplinks, downlinks, redundancy devices, multiplexing units and monitoring facilities that carry and keep the signal going. A hybrid system using coaxial cable and fiber-optic cable technologies can make a high-performance Earth station complete.</t>
  </si>
  <si>
    <t>38-43</t>
  </si>
  <si>
    <t>Gordon, Sean</t>
  </si>
  <si>
    <t>Gordon S.</t>
  </si>
  <si>
    <t>Seeing the light</t>
  </si>
  <si>
    <t>2-s2.0-0031261369</t>
  </si>
  <si>
    <t>['widely scanning', 'trmm pr', 'track plane', 'rainfall along', 'precipitation radar', 'paper describes', 'obtain three', 'flight track', 'doppler capabilities', 'dimensional distribution', 'campr system', 'campr operates', 'antenna beam', '8 ghz']</t>
  </si>
  <si>
    <t>Airborne radar | Multiparameter radar | Rain radar | TRMM (Tropical Rainfall Measuring Mission)</t>
  </si>
  <si>
    <t>A new airborne rain radar named CAMPR (CRL Airborne Multiparamter Precipitation Radar) has been developed for the purpose of calibrating the PR (Precipitation Radar) onboard the TRMM (Tropical Rainfall Measuring Mission) satellite in orbit. This calibration is achieved by observing the same rain with both radars. CAMPR operates at 13.8 GHz, the same frequency as TRMM PR, and it has the capability of widely scanning its antenna beam in the cross-track plane. It can obtain three-dimensional distribution of rainfall along the flight track. Along with this, CAMPR has both polarimetric and Doppler capabilities. This paper describes the CAMPR system and presents an example of CAMPR data obtained in early flight experiments.</t>
  </si>
  <si>
    <t>417-421</t>
  </si>
  <si>
    <t>;;;;;</t>
  </si>
  <si>
    <t>6701800237;35414667900;7403938970;7201587916;7202149369;7006711251</t>
  </si>
  <si>
    <t>Hanado, Hiroshi;Satoh, Sinsuke;Takahashi, Nobuhiro;Iguchi, Toshio;Kumagai, Hiroshi;Kozu, Toshiaki</t>
  </si>
  <si>
    <t>Hanado H.</t>
  </si>
  <si>
    <t>Development of the CRL airborne multiparameter precipitation radar (CAMPR) and preliminary observation results</t>
  </si>
  <si>
    <t>2-s2.0-0031270042</t>
  </si>
  <si>
    <t>With a view to optimizing substrate thickness, its effect on the receiving gain of a single slot antenna is studied theoretically and experimentally at the frequencies of 94 GHz and 700 GHz. The receiving properties of antennae formed on a fused quartz substrate agree well with the theoretical values on both the air side and the dielectric side. The receiving gain of the antenna, fabricated on a substrate with thickness an odd integer multiple of one quarter the dielectric wavelength, is higher by about 6 dB than the one whose thickness is an even integer multiple.</t>
  </si>
  <si>
    <t>60004176;60004176;60004176</t>
  </si>
  <si>
    <t>Yokosuka</t>
  </si>
  <si>
    <t>National Defense Academy of Japan</t>
  </si>
  <si>
    <t>10.1002/(SICI)1520-6424(199711)80:11&lt;1::AID-ECJA1&gt;3.0.CO;2-C</t>
  </si>
  <si>
    <t>2-s2.0-0031270505</t>
  </si>
  <si>
    <t>['radiation pattern', 'polarization purity', 'patch antenna', 'particular attention', 'article describes']</t>
  </si>
  <si>
    <t>This article describes the development of a patch antenna, with particular attention to radiation pattern and polarization purity.</t>
  </si>
  <si>
    <t>24-34</t>
  </si>
  <si>
    <t>Applied Microwave and Wireless</t>
  </si>
  <si>
    <t>60012873-60011149</t>
  </si>
  <si>
    <t>Ammann, Max</t>
  </si>
  <si>
    <t>Ireland;Ireland</t>
  </si>
  <si>
    <t>Dublin;Dublin</t>
  </si>
  <si>
    <t>Technological University Dublin;Trinity College Dublin</t>
  </si>
  <si>
    <t>60012873;60011149</t>
  </si>
  <si>
    <t>Ammann M.</t>
  </si>
  <si>
    <t>Design of rectangular microstrip patch antennas for the 2.4 GHz band</t>
  </si>
  <si>
    <t>2-s2.0-0031270710</t>
  </si>
  <si>
    <t>['two pcs', 'rf monolithics', 'kits support', 'kits demonstrate', 'help facilitate', 'demonstration software']</t>
  </si>
  <si>
    <t>Two engineering development kits have been introduced for RF Monolithics' line of Virtual Wire products. These kits demonstrate the operation of these 19.2 kbps data transmitter/receivers, then help facilitate the design of the customer's end-products. Each development kit includes two data radio transceiver boards, batteries, demonstration software and a manual. The kits support ' out of box' operation between two PCs with RS-232 serial ports.</t>
  </si>
  <si>
    <t>Development kits aid in evaluation and design of short-range data links</t>
  </si>
  <si>
    <t>2-s2.0-0031270792</t>
  </si>
  <si>
    <t>['receiver consists', 'quadrature downmixer', 'ferrite antenna', 'ekd 500', 'demodulation etc', 'data transmission', '810 khz', '150 khz']</t>
  </si>
  <si>
    <t>The Berlin DTAG test transmitter, operating on 810 kHZ with 400 W power, has been in operation, presently the receiver consists of an array of components: a ferrite antenna, a commercial SW receiver (EKD 500) with an additional 200 kHz output, a quadrature downmixer, signal processor boards (TMS 320 C40) for demodulation etc. within a PC and a Fraunhofer audio decoder. With the single processor demodulator, the system will be applied to data transmission on a Long Wave channel below 150 kHz.</t>
  </si>
  <si>
    <t>100726060;100726060;100726060;100726060</t>
  </si>
  <si>
    <t>6506765924;36797892000;36925426200;7101736046</t>
  </si>
  <si>
    <t>Bochent, Daniel;Messer, H. Donald;Bureau, Patrick;Rudolph, Dietmar</t>
  </si>
  <si>
    <t>TeleDiffusion de France</t>
  </si>
  <si>
    <t>Bochent D.</t>
  </si>
  <si>
    <t>Progress towards the development of digital modulation in the longwave, mediumwave and shortwave bands</t>
  </si>
  <si>
    <t>2-s2.0-0031271212</t>
  </si>
  <si>
    <t>['various types', 'short wavelengths', 'plate voltage', 'part ii', 'great importance', 'frequency output', 'external connections', 'devoted chiefly', '200 cm', '12 cm']</t>
  </si>
  <si>
    <t>Part I of this paper is devoted to a description of various experiments performed at wavelengths below 200 cm. Curves are given to show the effect of the earth and various types of inductively excited antennas called 'wave directors.' Part I is concluded with a discussion of beam and horizontally polarized radiation. Part II is devoted chiefly to the magnetron tubes used for the production of very short wavelengths (as low as 12 cm) and the circuit arrangements employed. It is shown that the geometry of the tube and its external connections are of great importance. The effect of variation of plate voltage, magnetic field strength, and other factors on the high-frequency output is described.</t>
  </si>
  <si>
    <t>1864-1874</t>
  </si>
  <si>
    <t>Yagi, Hidetsugu</t>
  </si>
  <si>
    <t>Yagi H.</t>
  </si>
  <si>
    <t>Beam transmission of ultra short waves</t>
  </si>
  <si>
    <t>10.1109/JPROC.1997.649674</t>
  </si>
  <si>
    <t>2-s2.0-0031273313</t>
  </si>
  <si>
    <t>['v satellite', 'unknown direction', 'technique available', 'steering algorithm', 'stable tracking', 'space maximal', 'signal arrival', 'satellite comets', 'ratio combining', 'joint research', 'japanese ets', 'interference condition', 'ghz band', 'experimental results', 'experiment using', 'digital beamforming', 'board dsp', 'basic performances', 'atr optical', 'article overviews', 'also described']</t>
  </si>
  <si>
    <t>Digital beamforming | Maximal ratio combining | Mobile satellite communications | Smart antenna</t>
  </si>
  <si>
    <t>This article overviews the scheme and experimental results of a self-beam steering array antenna implemented by using a digital beamforming (DBF) technique available in mobile satellite communications systems. The work was conducted as a joint research with ATR Optical and Radio Communications Research Laboratories. This antenna allows automatic and open-loop beam steering toward the unknown direction of a signal arrival. Beam-space maximal-ratio combining was employed as the steering algorithm on a single-board DSP which consists of ASICs (application specific integrated circuits). Basic performances were demonstrated by receiving a signal in the 1.5-GHz band in a land-mobile satellite channel with the Japanese ETS-V satellite. The experiment showed fast beam steering and stable tracking under real mobile conditions. Moreover, the performance under the multipath and interference condition is studied. Finally, the plan of experiment using the satellite COMETS is also described.</t>
  </si>
  <si>
    <t>373-388</t>
  </si>
  <si>
    <t>Miura, Ryu</t>
  </si>
  <si>
    <t>Yokosuka Radio Commun. Research Ctr.</t>
  </si>
  <si>
    <t>Self-beam steering array antenna by digital beamforming - With a view to give intelligence to antennas</t>
  </si>
  <si>
    <t>2-s2.0-0031273368</t>
  </si>
  <si>
    <t>['two sections', 'separate computation', 'scattering matrix', 'reflection coefficient', 'proposed approach', 'planar balun', 'input port', 'feed stripline', 'experimental results', 'electromagnetic coupling', 'difference time', 'antenna section']</t>
  </si>
  <si>
    <t>In this paper, the Finite-Difference Time-Domain (FDTD) method was used to determine the reflection coefficient vs. frequency of a Vivaldi Tapered Dual-Slot Antenna fed through a planar balun. The reflection coefficient at the input port of the feed stripline was determined through the separate computation of the reflection coefficient of the antenna section and the scattering matrix of the balun, assuming that the electromagnetic coupling between these sections was negligible. Experimental results, which were obtained on a prototype of this structure, confirmed the validity of the proposed approach and demonstrate that the coupling between the two sections does not affect the accuracy of the model.</t>
  </si>
  <si>
    <t>26-30</t>
  </si>
  <si>
    <t>60021859;60021859;60021859;100413201</t>
  </si>
  <si>
    <t>55798245300;7801602956;56235319700;7004225926</t>
  </si>
  <si>
    <t>Biffi Gentili, G.;Braccini, R.;Leoncini, M.;Evangelisti, R.</t>
  </si>
  <si>
    <t>Florence;Roma</t>
  </si>
  <si>
    <t>Universit√† degli Studi di Firenze;Elettronica S.p.A.</t>
  </si>
  <si>
    <t>60021859;100413201</t>
  </si>
  <si>
    <t>Using the FDTD method to model the reflection coefficient of a Vivaldi Tapered Slot Antenna fed through a planar balun</t>
  </si>
  <si>
    <t>2-s2.0-0031273871</t>
  </si>
  <si>
    <t>N66001-96-C-8628</t>
  </si>
  <si>
    <t>['passive double', 'microstrip transitions', 'insertion loss', 'estimated efficiency', 'design frequency', 'db bandwidth', '2 db', '1 ghz', '1 db']</t>
  </si>
  <si>
    <t>Horn antenna | Ka-band | Microstrip antenna | MMIC | Spatial power combining</t>
  </si>
  <si>
    <t>A passive double-layer microstrip array for the construction of millimeter-wave quasioptical amplifiers has been demonstrated. A total insertion loss of 3.1 dB was measured for a 138 element divider/combiner at 35.1 GHz. The 3-dB bandwidth is larger than 1 GHz. The array incorporates microstrip-slot-microstrip transitions with an insertion loss of 0.2 dB at the design frequency and microstrip patch antennas with an estimated efficiency of approximately 72%.</t>
  </si>
  <si>
    <t>365-367</t>
  </si>
  <si>
    <t>60022144;60022144;60022144;60018836;60002959</t>
  </si>
  <si>
    <t>7005277290;7006042748;7006858788;6603688875;7202472634</t>
  </si>
  <si>
    <t>Ivanov, Toni;Ortiz, Sean;Mortazawi, Amir;Schlecht, Erich;Hubert, John</t>
  </si>
  <si>
    <t>Orlando;College Park;Bethesda</t>
  </si>
  <si>
    <t>University of Central Florida;Laboratory for Physical Sciences;Lockheed Martin Corporation</t>
  </si>
  <si>
    <t>60022144;60018836;60002959</t>
  </si>
  <si>
    <t>Ivanov T.</t>
  </si>
  <si>
    <t>A passive double-layer microstrip array for the construction of millimeter-wave spatial power-combining amplifiers</t>
  </si>
  <si>
    <t>S1051820797081828</t>
  </si>
  <si>
    <t>10.1109/75.641422</t>
  </si>
  <si>
    <t>2-s2.0-0031275166</t>
  </si>
  <si>
    <t>['wire model', 'wire antenna', 'vary significantly', 'standard formulations', 'results presented', 'proximity effects', 'numerical techniques', 'numerical results', 'numerical methods', 'new multi', 'new model', 'longitudinal current', 'like configuration', 'layer medium', 'important problem', 'cylindrical cage', 'antenna passes', 'angle around', 'analyzed using']</t>
  </si>
  <si>
    <t>In this paper, a new multi-wire model is developed to solve the important problem of the determination of the longitudinal current distribution along and around a wire antenna protruding through multi-layer medium. This problem is important because the longitudinal directed current distribution on a wire antenna near the interface between two layered medium is not uniform as a function of the angle around the antenna because of proximity effects and because the longitudinal current distribution along the antenna can vary significantly when the antenna passes through layers having different electrical properties. In the past, almost all numerical methods have treated this wire antenna problem by assuming a longitudinal current that was uniform in the azimuthal direction around the antenna. With the new model, the magnitude of the longitudinal current azimuthal around the wire antenna can be modeled in terms of many small thin wires in a cylindrical cage-like configuration. A moment method procedure based on this model and the mixed potential integral equation (MPIE) has also been developed for analysis of this problem which is fast and convenient as compared to standard formulations. The validity and convergence of the new model are verified by comparing with experimental and other numerical results. Several different cases are analyzed using the cage model presented in this paper for verification of the model. The results presented in this paper can also be considered as bench mark problems that can be used for verifications of other numerical techniques. ¬© 1997 Taylor &amp; Francis.</t>
  </si>
  <si>
    <t>537-562</t>
  </si>
  <si>
    <t>60010491;60010491;60010491;60010491</t>
  </si>
  <si>
    <t>37044620500;7004922524;7501895411;35556538100</t>
  </si>
  <si>
    <t>Zheng, Weiping;Kishk, Ahmed A.;Chen, Jingyang;Smith, Charles E.</t>
  </si>
  <si>
    <t>Zheng W.</t>
  </si>
  <si>
    <t>Computation of current distribution of cylindrical antennas and scatterers in multi-layer media using a multi-wire model</t>
  </si>
  <si>
    <t>10.1080/02726349708908561</t>
  </si>
  <si>
    <t>2-s2.0-0031275899</t>
  </si>
  <si>
    <t>TIC-95-0859-C02-01</t>
  </si>
  <si>
    <t>['wavelength stability', 'time delay', 'resolution performance', 'optical feeder', 'novel approach', 'ghz phased', 'fiber grating', 'dispersive element', 'array antennas', '3 ps', '005 nm']</t>
  </si>
  <si>
    <t>Gratings in fibers | OBFN | TTD beamformers</t>
  </si>
  <si>
    <t>A novel approach of true-time delay (TTD) optical feeder for phased-array antennas is proposed and demonstrated. A compact size continuously variable TTD is achieved by employing tunable lasers and one wide bandwidth chirped-fiber grating as dispersive element. A high-resolution performance (5.3 ps) is obtained for a 2-6-GHz phased-array antenna employing narrow tuning bandwidth lasers with a wavelength stability of 0.005 nm and a 4 nm bandwidth chirped grating.</t>
  </si>
  <si>
    <t>1529-1531</t>
  </si>
  <si>
    <t>60011476;60011476;60011476;60025225</t>
  </si>
  <si>
    <t>7102958075;55948266500;57205120343;7005396684</t>
  </si>
  <si>
    <t>Corral, J. L.;Marti, J.;Fuster, J. M.;Laming, R. I.</t>
  </si>
  <si>
    <t>University of Southampton;Universitat Polit√®cnica de Val√®ncia</t>
  </si>
  <si>
    <t>60025225;60011476</t>
  </si>
  <si>
    <t>Corral J.</t>
  </si>
  <si>
    <t>True time-delay scheme for feeding optically controlled phased-array antennas using chirped-fiber gratings</t>
  </si>
  <si>
    <t>S1041113597079287</t>
  </si>
  <si>
    <t>10.1109/68.634731</t>
  </si>
  <si>
    <t>2-s2.0-0031276311</t>
  </si>
  <si>
    <t>['useful lesson', 'report serves', 'information given', 'historical context', 'classic paper', 'antenna engineer']</t>
  </si>
  <si>
    <t>This report serves as an introduction of Yagi's classic paper. The Yagi-Uda array antenna is described and its significance is discussed in terms of both its historical context and its impact on later antenna development. The information given can give a useful lesson for today's antenna engineer.</t>
  </si>
  <si>
    <t>1857-1863</t>
  </si>
  <si>
    <t>Pozar, David M.</t>
  </si>
  <si>
    <t>Pozar D.</t>
  </si>
  <si>
    <t>Beam transmission of ultra short waves: an introduction to the classic paper by H. Yagi</t>
  </si>
  <si>
    <t>10.1109/JPROC.1997.649661</t>
  </si>
  <si>
    <t>2-s2.0-0031276659</t>
  </si>
  <si>
    <t>['water layer', 'water column', 'transmitter towed', 'speed profile', 'signals near', 'reconstruction procedure', 'profile reconstruction', 'paper describes', 'hydrology probe', 'geoacoustic parameters', 'experimental data', 'directly verify', 'direct beam', 'bottom sediments', 'beam reflected', 'autocorrelation functions', 'advance using']</t>
  </si>
  <si>
    <t>The paper describes an attempt of reconstruction of a sand-speed profile in a water column by means of a noise tomography technique. The sand-speed profile was measured in a water column in advance using a hydrology probe, and the profile reconstruction was carried out to directly verify the efficiency of the tomography technique developed by the authors for evaluating the geoacoustic parameters in the layer of bottom sediments. During the experiment, a transmitter towed at a depth of 306 m was used as a source of sound. A self-contained bottom buoy with a vertical acoustic antenna was used to receive the signals near the bottom. Measuring the cross-and autocorrelation functions for the sounds propagating along the direct beam and along the beam reflected from the sea surface enables one to reconstruct the sand-speed profile in the water layer. Requirements of the experimental data are discussed. The reconstruction procedure is described and its accuracy is estimated.</t>
  </si>
  <si>
    <t>763-768</t>
  </si>
  <si>
    <t>Oceanology</t>
  </si>
  <si>
    <t>60075230;60075230</t>
  </si>
  <si>
    <t>7801339162;7101776126</t>
  </si>
  <si>
    <t>Vedenev, A. I.;Goncharov, V. V.</t>
  </si>
  <si>
    <t>P.P.Shirshov Institute of Oceanology, Russian Academy of Sciences</t>
  </si>
  <si>
    <t>Vedenev A.</t>
  </si>
  <si>
    <t>Reconstruction of the sand-speed profile in the ocean water layer using the noise tomography technique</t>
  </si>
  <si>
    <t>2-s2.0-0031314370</t>
  </si>
  <si>
    <t>['trapped within', 'spectral composition', 'special pair', 'secondary photoreactions', 'rc back', 'rc ).', 'quantum yield', 'process takes', 'primary processes', 'polaron model', 'photoinduced oxidation', 'model meets', 'mathematical simulation', 'harvesting chlorophylls', 'excited states', 'excitation energy', 'energy trapping', 'criterion based', 'conventional model', 'bchl ).', 'antennal pigments', 'antennal bacteriochlorophyll', 'active rc', '400 fs', '3 ps']</t>
  </si>
  <si>
    <t>Computer simulation | Energy trapping | Femtosecond reactions | Photosynthetic reaction centers</t>
  </si>
  <si>
    <t>The water-polaron model proposed in this series is consistent with the currently available experimental data on the primary photosynthetic processes in bacterial reaction centers (RC). The body of experimental findings concerning energy migration from the light-harvesting chlorophylls (Chl) to RC and energy trapping in RC can be realistically interpreted within the framework of the water-polaron model. Mathematical simulation was carried out using eight groups of reliable experimental data on the energy migration rate, parameters of the primary and secondary photoreactions, fraction of trivial energy losses, and spectral composition and content of Chl. With these data, the output of our model meets the criterion based on the following reliable experimental values: (i) lifetime of excited states of antennal pigments; (ii) quantum yield of electron excitation trapping in active RC; and (iii) fraction of excitation energy migrating from RC back to antennal bacteriochlorophyll (BChl). According to the conventional model, excitation energy is trapped within about 3 ps during the photoinduced oxidation of a special pair of RC. According to the water-polaron model, this process takes no longer than 400 fs, and it precedes the photooxidation of the special RC pair. In contrast to the water-polaron model, the conventional model fails to meet all the requirements of this criterion under any combinations of reaction rate constants and parameters of the primary processes.</t>
  </si>
  <si>
    <t>15049241600;6603902468</t>
  </si>
  <si>
    <t>Borisov, A. Yu;Chamorovsky, S. K.</t>
  </si>
  <si>
    <t>Borisov A.</t>
  </si>
  <si>
    <t>Water-polaron model in bacterial photosynthesis. II. Interaction between reaction center and antenna bacteriochlorophyll</t>
  </si>
  <si>
    <t>2-s2.0-0031315327</t>
  </si>
  <si>
    <t>['unique amongst', 'second antennae', 'revised diagnosis', 'nov .,', 'new species', 'francis group', 'family anapronoidae', 'bowmani sp']</t>
  </si>
  <si>
    <t>Anapronoidae | Hyperiidea | New species | Redescription | Taxonomy</t>
  </si>
  <si>
    <t>A revised diagnosis for the family Anapronoidae is provided. The only previously described species Anapronoe reinhardti is redescribed and a new species, A. bowmani sp. nov., from off California is described. The orientation of the second antennae of the male, folded diagonally across the head, is unique amongst the Hyperiidea. ¬© 1997 Taylor &amp; Francis Group, LLC.</t>
  </si>
  <si>
    <t>133-150</t>
  </si>
  <si>
    <t>Ophelia</t>
  </si>
  <si>
    <t>Zeidler, Wolfgang</t>
  </si>
  <si>
    <t>South Australian Museum</t>
  </si>
  <si>
    <t>Zeidler W.</t>
  </si>
  <si>
    <t>A new species of anapronoe with a redescription of anapronoe reinhardti stephensen, 1925 (amphipoda: Hyperiidea: Anapronoidae)</t>
  </si>
  <si>
    <t>10.1080/00785236.1997.10427292</t>
  </si>
  <si>
    <t>2-s2.0-0031441761</t>
  </si>
  <si>
    <t>['wave zone', 'two functions', 'surface antenna', 'solution defines', 'rigorous formulation', 'radiation patterns', 'radiation pattern', 'plane wave', 'normal velocity', 'given distribution', 'fresnel integrals', 'calculated subject', 'aperture given', 'antenna aperture', 'angular coordinate']</t>
  </si>
  <si>
    <t>The problem of radiation of a surface antenna on a wedge is solved in a rigorous formulation with Neumann boundary conditions. In the wave zone, the field is defined by integrating the product of two functions over the antenna aperture. The former is the distribution of the normal velocity of the scalar acoustic field over the aperture; the latter is the solution of the diffraction of a plane wave at the acoustically stiff wedge. This solution defines the radiation pattern of a surface antenna (continuous in the angular coordinate) with a given distribution of the normal velocity of the scalar acoustic field over the aperture given in the form of a combination of well-studied exponential functions and Fresnel integrals. For the sake of illustration, the radiation patterns of certain radiating wedge surface apertures is calculated subject to Neumann boundary conditions.</t>
  </si>
  <si>
    <t>684-687</t>
  </si>
  <si>
    <t>100420920;100420920</t>
  </si>
  <si>
    <t>7004903129;7005805370</t>
  </si>
  <si>
    <t>Gabriel'yan, D. D.;Tarasenko, S. O.</t>
  </si>
  <si>
    <t>School of Missile Corps</t>
  </si>
  <si>
    <t>The Radiation Field of a Surface Antenna on a Wedge</t>
  </si>
  <si>
    <t>2-s2.0-0031484411</t>
  </si>
  <si>
    <t>['wide range', 'waveguide modes', 'secondary sources', 'quadratic optimization', 'point sources', 'numerical experiments', 'maximum suppression', 'considerable suppression', 'complex intensities', 'compensating array', 'approach consists']</t>
  </si>
  <si>
    <t>This paper is devoted to the nonlinear active control of the primary sound field in two dimensional regular waveguides. Our approach consists of finding the coordinates, complex intensities, and number of point sources of a secondary antenna array subject to the maximum suppression of the far primary noise field. A relevant solution algorithm is developed as an enumeration of the coordinates of secondary sources in the nodes of a grid and a quadratic optimization of their intensities. Results of numerical experiments are outlined for homogeneous, as well as planar and axially symmetric layered inhomogeneous, waveguides. A considerable suppression of the primary noise source in a wide range of main waveguide parameters is achievable when the number of sources in the compensating array is close to or equals the number of waveguide modes.</t>
  </si>
  <si>
    <t>639-645</t>
  </si>
  <si>
    <t>Alekseev, G. V.</t>
  </si>
  <si>
    <t>Institute of Applied Mathematics FEB RAS</t>
  </si>
  <si>
    <t>Alekseev G.V.</t>
  </si>
  <si>
    <t>Nonlinear Problems of Active Noise Control in Two-dimensional Layered Inhomogeneous Waveguides</t>
  </si>
  <si>
    <t>2-s2.0-0031506117</t>
  </si>
  <si>
    <t>['vertical array', 'various methods', 'received signal', 'northwestern pacific', 'noise fields', 'modeled numerically', 'mode composition', 'correlation functions', 'array aperture', 'anisotropic noise']</t>
  </si>
  <si>
    <t>The gain is calculated for a vertical array, which is assumed to receive a partly coherent signal in the presence of anisotropic noise with a discrete mode spectrum under actual hydrological conditions typical of the northwestern Pacific. The cross-correlation functions of the signal and noise fields on the array aperture are modeled numerically, and the results are used in a comparative performance analysis of various methods of linear and quadratic spatial signal processing, including optimal ones. It is shown that the array gain varies between broad limits according to the coherence of the received signal, the mode composition of noise, and the processing algorithm used.</t>
  </si>
  <si>
    <t>669-675</t>
  </si>
  <si>
    <t>6701498756;6603700638;6602377947;6701348445</t>
  </si>
  <si>
    <t>Vdovicheva, N. K.;Gorodetskaya, E. Yu;Malekhanov, A. I.;Sazontov, A. G.</t>
  </si>
  <si>
    <t>Vdovicheva N.K.</t>
  </si>
  <si>
    <t>Gain of a Vertical Antenna Array in a Randomly Inhomogeneous Oceanic Waveguide</t>
  </si>
  <si>
    <t>2-s2.0-0031516236</t>
  </si>
  <si>
    <t>Nederlandse Organisatie voor Wetenschappelijk Onderzoek</t>
  </si>
  <si>
    <t>90-4010</t>
  </si>
  <si>
    <t>NWO</t>
  </si>
  <si>
    <t>['unsettled elements', 'taking account', 'radio sources', 'northern sector', 'main reflector', 'generation archive', 'elements improves', 'antenna temperatures']</t>
  </si>
  <si>
    <t>The method is described for taking into account unsettled elements of the RATAN 600 main reflector in flux density measurements of discrete radio sources, using the data from a new-generation archive of the Automated Control System. Examples of recalculation, of antenna temperatures for some radio sources with allowance for unsettled elements of the Northern sector of the main reflector are considered. It is shown that taking account of such elements improves the accuracy of flux density measurements for discrete radio sources.</t>
  </si>
  <si>
    <t>929-935</t>
  </si>
  <si>
    <t>60012059;60012059;60012059;60012059</t>
  </si>
  <si>
    <t>6508351303;6505897279;57203353525;6602990778</t>
  </si>
  <si>
    <t>Botashev, A. M.;Zhekanis, G. V.;Mayorova, E. K.;Mingaliev, M. G.</t>
  </si>
  <si>
    <t>Nizhny Arkhyz</t>
  </si>
  <si>
    <t>Special Astrophysical Observatory, Russian Academy of Sciences</t>
  </si>
  <si>
    <t>Botashev A.</t>
  </si>
  <si>
    <t>Control of unsettled elements of the main reflector of the RATAN 600 radio telescope in flux density measurements for discrete radio sources</t>
  </si>
  <si>
    <t>10.1007/BF02676694</t>
  </si>
  <si>
    <t>2-s2.0-85051399668</t>
  </si>
  <si>
    <t>['using sest', 'selected sample', 'parkes antenna', 'observed galaxies', 'neutral gas', 'molecular form', 'merging galaxies', 'hi emission', 'detected hi', 'atomic form', '26 systems']</t>
  </si>
  <si>
    <t>Evolution | Galaxies | Galaxies: interaction | Galaxies: ISM | Radio lines: galaxies</t>
  </si>
  <si>
    <t>Using SEST, the Parkes antenna and the Australia Telescope Compact Array, we have made a survey of the 12CO(1-0) and HI emission of an optically-selected sample of ‚âà 60 southern interacting and merging galaxies. In this paper we present the data and determine global masses of neutral gas (in molecular and atomic form) for the observed galaxies. We have detected HI in 26 systems and found that these galaxies have less than 15% of their gas in molecular form.</t>
  </si>
  <si>
    <t>60007328;60007328</t>
  </si>
  <si>
    <t>6602105371;7202614585</t>
  </si>
  <si>
    <t>Horellou, C.;Booth, R.</t>
  </si>
  <si>
    <t>Onsala</t>
  </si>
  <si>
    <t>Onsala Space Observatory</t>
  </si>
  <si>
    <t>Horellou C.</t>
  </si>
  <si>
    <t>CO and HI in a southern sample of interacting galaxies: I. The data</t>
  </si>
  <si>
    <t>10.1051/aas:1997383</t>
  </si>
  <si>
    <t>2-s2.0-33746860424</t>
  </si>
  <si>
    <t>['undergoes locking', 'undergo locking', 'structural flexibility', 'strain gages', 'stowed configurations', 'space structures', 'space restrictions', 'solar panels', 'size ratio', 'simulation results', 'sensor readings', 'rotational degrees', 'rigid body', 'revolute joint', 'predefined angle', 'passively damped', 'mathematical model', 'low mass', 'locking vibrations', 'locking time', 'locking mechanism', 'links lock', 'link match', 'large inertias', 'large dimensions', 'lagrangian formulation', 'joint rotations', 'full size', 'flexible system', 'flexible mechanisms', 'experimental results', 'enables one', 'elastic motion', 'derived using']</t>
  </si>
  <si>
    <t>Space structures such as the solar panels or antenna, when deployed in space, have large dimensions, low mass to size ratio, large inertias and relatively low structural rigidity. Due to space restrictions, these structures are originally in stowed configurations and are deployed into their full size in space. Typically, these systems at the end of deployment undergo locking at the joints and lose their rotational degrees of freedom at the joints. In addition, during locking vibrations are induced in these light-weight, flexible mechanisms which have to be actively or passively damped. In this paper a mathematical model with an experiment is presented for a two-link flexible system, which undergoes locking during motion. The structural flexibility is modelled by the finite element method, and the equations of motion are derived using the Lagrangian formulation. The locking at the joints is modelled by the momentum balance method, which enables one to predict the rigid body as well as the elastic motion of the system after locking. The experimental setup consists of two flexible aluminum links with a revolute joint at the end of each link, and has a locking mechanism for each joint. The links lock at a predefined angle. The links are instrumented with strain gages and the joint rotations are measured by potentiometers. The sensor readings are acquired and stored on a PC based data acquisition system. The simulation results such as the locking time, response of each joint and the strain at the base of each link match very well with the experimental results. Thus, the momentum balance method is capable of predicting fairly accurately the dynamics of a flexible system which undergo locking during motion. ¬© 1997 Academic Press Limited.</t>
  </si>
  <si>
    <t>567-589</t>
  </si>
  <si>
    <t>0022460X</t>
  </si>
  <si>
    <t>Journal of Sound and Vibration</t>
  </si>
  <si>
    <t>60023345;60023345;60014097</t>
  </si>
  <si>
    <t>57196616143;6701536837;35586861300</t>
  </si>
  <si>
    <t>Nagaraj, B. P.;Nataraju, B. S.;Ghosal, A.</t>
  </si>
  <si>
    <t>Bengaluru;Bengaluru</t>
  </si>
  <si>
    <t>Indian Space Research Organization;Indian Institute of Science</t>
  </si>
  <si>
    <t>60023345;60014097</t>
  </si>
  <si>
    <t>Nagaraj B.</t>
  </si>
  <si>
    <t>Dynamics of a two-link flexible system undergoing locking: Mathematical modelling and comparison with experiments</t>
  </si>
  <si>
    <t>S0022460X97911949</t>
  </si>
  <si>
    <t>10.1006/jsvi.1997.1194</t>
  </si>
  <si>
    <t>2-s2.0-0000845955</t>
  </si>
  <si>
    <t>['using honeybees', 'temporal encoding', 'task requiring', 'several vertebrates', 'projection neurons', 'oscillatory synchronization', 'odour identity', 'neuronal assemblies', 'neural assemblies', 'messages encoded', 'memory formation', 'functionally relevant', 'dissimilar odorants', 'common reference', 'behavioural paradigm', 'affords provide', 'additional dimension', 'action potentials']</t>
  </si>
  <si>
    <t>Stimulus-evoked oscillatory synchronization of neural assemblies has been described in the olfactory(1-5) and visual(6-8) systems of several vertebrates and invertebrates. In locusts, information about odour identity is contained in the timing of action potentials in an oscillatory population response(9-11), suggesting that oscillations may reflect a common reference for messages encoded in time. Although the stimulus-evoked oscillatory phenomenon is reliable, its roles in sensation, perception, memory formation and pattern recognition remain to be demonstrated a task requiring a behavioural paradigm. Using honeybees, we now demonstrate that odour encoding involves, as it does in locusts, the oscillatory synchronization of assemblies of projection neurons and that this synchronization is also selectively abolished by picrotoxin, an antagonist of the GABA(A) (Œ≥- aminobutyric acid) receptor. By using a behavioural learning paradigm, we show that picrotoxin-induced desynchronization impairs the discrimination of molecularly similar odorants, but not that of dissimilar odorants. It appears, therefore, that oscillatory synchronization of neuronal assemblies is functionally relevant, and essential for fine sensory discrimination. This suggests that oscillatory synchronization and the kind of temporal encoding it affords provide an additional dimension by which the brain could segment spatially overlapping stimulus representations.</t>
  </si>
  <si>
    <t>70-74</t>
  </si>
  <si>
    <t>Nature</t>
  </si>
  <si>
    <t>60031581;60003500-60021191;60003500;60031581</t>
  </si>
  <si>
    <t>6602727348;6602782313;7501691923;7201921535</t>
  </si>
  <si>
    <t>Stopfer, Mark;Bhagavan, Seetha;Smith, Brian H.;Laurent, Gilles</t>
  </si>
  <si>
    <t>Pasadena;Washington, D.C.;Columbus</t>
  </si>
  <si>
    <t>California Institute of Technology;Georgetown University Medical Center;The Ohio State University</t>
  </si>
  <si>
    <t>60031581;60021191;60003500</t>
  </si>
  <si>
    <t>Stopfer M.</t>
  </si>
  <si>
    <t>Impaired odour discrimination on desynchronization of odour-encoding neural assemblies</t>
  </si>
  <si>
    <t>10.1038/36335</t>
  </si>
  <si>
    <t>2-s2.0-0030666028</t>
  </si>
  <si>
    <t>['two reflexes', 'subesophageal ganglion', 'stimulus perception', 'special reference', 'protective withdrawal', 'proprioceptive information', 'proprioceptive control', 'organ provide', 'neurons originating', 'natural conditions', 'monosynaptic coupling', 'mechanosensory sensilla', 'mandible strike', 'involved neuromeres', 'dorsal lobe', 'distal part', 'campaniform sensilla', 'artificially releasing', 'antennal retraction', 'afferent neurons']</t>
  </si>
  <si>
    <t>Ant, Odontomachus (Insecta) | Behavior | Fast movements | Morphology | Neuroanatomy | Trap-jaws</t>
  </si>
  <si>
    <t>In ants, antennal movements support the stimulus perception of olfactory and mechanosensory sensilla, most of which are located on the distal part of the antenna. In addition, sensory hair plates, campaniform sensilla, and Janet's organ provide the ant with proprioceptive information about the position, velocity, and acceleration of their antennae. We describe the morphology of these proprioceptors and their afferent neurons with special reference to the trap-jaw ant genus Odontomachus. All these sensory neurons terminate in the dorsal lobe, the part of the brain that also contains antennal motor neurons and that controls antennal movements. Neurons originating from campaniform sensilla and Janet's organ send additional collaterals into the subesophageal ganglion. Particularly fast antennal movements occur during protective withdrawal of the antenna. Under natural conditions, antennal retraction in Odontomachus always precedes the rapid mandible strike. We have found no indication of monosynaptic coupling between the antennal proprioceptive afferents and the trigger motor neurons that release the mandible strike. Instead, complex neuronal interactions in the involved neuromeres are more likely to control the timing of the two reflexes. The normal behavioral sequence of antennal retraction can be reversed by artificially releasing the mandible strike earlier than normal. The significance of fast antennal reflexes and of proprioceptive control is discussed.</t>
  </si>
  <si>
    <t>153-165</t>
  </si>
  <si>
    <t>Proprioceptors and fast antennal reflexes in the ant Odontomachus (Formicidae, Ponerinae)</t>
  </si>
  <si>
    <t>10.1007/s004410050917</t>
  </si>
  <si>
    <t>2-s2.0-0030772315</t>
  </si>
  <si>
    <t>['technique relies', 'simulation results', 'electric wall', 'authors demonstrate', 'approximately half']</t>
  </si>
  <si>
    <t>Antennas | Dielectric-loaded antennas</t>
  </si>
  <si>
    <t>The authors demonstrate that the volume of a conventional dielectric resonator antenna can be reduced by approximately half. The technique relies on employing an additional conducting plate in the DRA, which acts as an electric wall. Experimental and simulation results are provided for cylindrical and rectangular dielectric resonator antenna designs.</t>
  </si>
  <si>
    <t>1914-1916</t>
  </si>
  <si>
    <t>60008592;60008592</t>
  </si>
  <si>
    <t>7102267549;7006019510</t>
  </si>
  <si>
    <t>Tam, M. T.K.;Murch, R. D.</t>
  </si>
  <si>
    <t>Hong Kong University of Science and Technology</t>
  </si>
  <si>
    <t>Tam M.</t>
  </si>
  <si>
    <t>Half volume dielectric resonator antenna designs</t>
  </si>
  <si>
    <t>10.1049/el:19971334</t>
  </si>
  <si>
    <t>2-s2.0-0031556624</t>
  </si>
  <si>
    <t>['size dual', 'rectangular patch', 'new design', 'microstrip patch', 'mainly determined', 'frequency ratio', 'experimental results', 'equal length', 'cross slot', 'aspect ratio']</t>
  </si>
  <si>
    <t>Microstrip antennas | Slot antennas</t>
  </si>
  <si>
    <t>A new design of single-feed, reduced-size dual-frequency rectangular microstrip antenna with a cross slot of equal length is presented. The frequency ratio of the two operating frequencies is mainly determined by the aspect ratio of the rectangular patch, and the reduction in the two operating frequencies is achieved by cutting a cross slot in the microstrip patch. Details of the experimental results for such a design are presented and discussed.</t>
  </si>
  <si>
    <t>1916-1917</t>
  </si>
  <si>
    <t>35460663000;55478589300</t>
  </si>
  <si>
    <t>Wong, Kin Lu;Yang, Kai Ping</t>
  </si>
  <si>
    <t>Small dual-frequency microstrip antenna with cross slot</t>
  </si>
  <si>
    <t>10.1049/el:19971355</t>
  </si>
  <si>
    <t>2-s2.0-0031556666</t>
  </si>
  <si>
    <t>['taper design', 'specified band', 'reflected wave', 'optimum control', 'easily determined', 'conventional step', 'also demonstrated']</t>
  </si>
  <si>
    <t>Transmission lines</t>
  </si>
  <si>
    <t>The profile of a dispersive nonuniform line with arbitrary reflection properties within a specified band is easily determined by optimum control of the inherent null points of a reflected wave. The conventional step-by-step segmentation process for a taper design can be removed. The periodical reflective filter is also demonstrated for generality.</t>
  </si>
  <si>
    <t>1963-1964</t>
  </si>
  <si>
    <t>Park, Eui Joon</t>
  </si>
  <si>
    <t>Kyongsangbuk-do,</t>
  </si>
  <si>
    <t>Kumoh National Institute of Technology</t>
  </si>
  <si>
    <t>Park E.</t>
  </si>
  <si>
    <t>Design of nonuniform transmission lines with arbitrary reflection properties</t>
  </si>
  <si>
    <t>10.1049/el:19971353</t>
  </si>
  <si>
    <t>2-s2.0-0031556734</t>
  </si>
  <si>
    <t>['time delays', 'provide delays', 'multiple reflections', 'mirror configuration', 'made rugged', 'harsh environments', 'generating true', 'continuous refocusing', 'compact unit', 'block construction', 'bit resolution', 'beam steering', 'beam shaping', 'array antennas', 'amplitude control']</t>
  </si>
  <si>
    <t>Phased-array antennas | True-time delay</t>
  </si>
  <si>
    <t>A device is described for generating true-time delays optically for microwave signals used in beam steering and beam shaping in phased-array antennas. The device can be adapted to provide delays from picoseconds to nanoseconds. A single, compact unit should provide parallel delays for more than 64 independent antenna elements with a greater than 6-bit resolution. The time delays are produced by multiple reflections in a mirror configuration with continuous refocusing. A single spatial light modulator selects independent optical path lengths for each of the parallel antenna elements. Amplitude control for beam shaping can be integrated into the device. The unit can be made rugged for harsh environments by use of solid-block construction. The operation of the true-time delay device is described, along with the overall system configuration. Preliminary experimental data are given. ¬© 1997 Optical Society of America.</t>
  </si>
  <si>
    <t>8493-8503</t>
  </si>
  <si>
    <t>60003500;60003500;60003500;60003500;60003500</t>
  </si>
  <si>
    <t>35582722200;7402535605;35777389100;7402771241;57199192003</t>
  </si>
  <si>
    <t>Anderson, Betty Lise;Collins, Stuart A.;Beecher, Elizabeth A.;Klein, Charles A.;Brown, Stephen B.</t>
  </si>
  <si>
    <t>Anderson B.</t>
  </si>
  <si>
    <t>Optically produced true-time delays for phased antenna arrays</t>
  </si>
  <si>
    <t>10.1364/AO.36.008493</t>
  </si>
  <si>
    <t>2-s2.0-0010054973</t>
  </si>
  <si>
    <t>['thz frequencies', 'spiral antenna', 'gaas substrate', 'frequencies offset', 'fracture seemed', 'epitaxial low', 'bath temperature', 'approximately twice', '5 thz', '2 œºw']</t>
  </si>
  <si>
    <t>Optical heterodyne conversion, or photomixing, occurs in an epitaxial low-temperature-grown GaAs layer with voltage-biased metal electrodes on which two laser beams are focused with their frequencies offset by a desired difference frequency. Difference-frequency power couples out of the photomixer through a log-spiral antenna at THz frequencies. Pumping such a device with the maximum optical power of ‚àº90 mW at 77 K led to a measured output power of 0.2 ŒºW at 2.5 THz, approximately twice the maximum output power of a photomixer operated near 300 K. Photomixers that were operated above the maximum optical power were destroyed, often because of a thermally induced fracture in the GaAs substrate. The fracture seemed to occur at high pump power when the temperature of the photomixer active area was elevated by roughly 110 K, independent of the bath temperature. ¬© 1997 American Institute of Physics.</t>
  </si>
  <si>
    <t>2743-2745</t>
  </si>
  <si>
    <t>60022195;60022195;60022195-60002642</t>
  </si>
  <si>
    <t>7007152447;7101984059;57223745182</t>
  </si>
  <si>
    <t>Verghese, S.;McIntosh, K. A.;Brown, E. R.</t>
  </si>
  <si>
    <t>Cambridge;Arlington</t>
  </si>
  <si>
    <t>Massachusetts Institute of Technology;Defense Advanced Research Projects Agency</t>
  </si>
  <si>
    <t>60022195;60002642</t>
  </si>
  <si>
    <t>Verghese S.</t>
  </si>
  <si>
    <t>Optical and terahertz power limits in the low-temperature-grown GaAs photomixers</t>
  </si>
  <si>
    <t>10.1063/1.120445</t>
  </si>
  <si>
    <t>2-s2.0-0031268113</t>
  </si>
  <si>
    <t>['single point', 'reference frames', 'novel method', 'method allows', 'axis intersection']</t>
  </si>
  <si>
    <t>A novel method to determine the axis intersection and offset of the Hartebeesthoek Radio Astronomy Observatory (HartRAO) radio telescope using GPS is described. This method allows the very long baseline interferometry (VLBI), satellite laser ranging (SLR) and Global Positioning System (GPS) reference frames to be tied to a single point.</t>
  </si>
  <si>
    <t>24741-24743</t>
  </si>
  <si>
    <t>60026053;60000356</t>
  </si>
  <si>
    <t>6506965863;7006702613</t>
  </si>
  <si>
    <t>Combrinck, W. L.;Merry, C. L.</t>
  </si>
  <si>
    <t>South Africa;South Africa</t>
  </si>
  <si>
    <t>Krugersdorp;Cape Town</t>
  </si>
  <si>
    <t>Hartebeesthoek Radio Astronomy Observatory;University of Cape Town</t>
  </si>
  <si>
    <t>Combrinck W.L.</t>
  </si>
  <si>
    <t>Very long baseline interferometry antenna axis offset and intersection determination using GPS</t>
  </si>
  <si>
    <t>10.1029/97jb02081</t>
  </si>
  <si>
    <t>2-s2.0-0031413157</t>
  </si>
  <si>
    <t>['source response', 'solid motion', 'horizontal polarization', 'generating interface', 'frequency content', 'fluid electrolyte', 'effective vertical', 'coupled electromagnetics', 'chemistry properties', 'antennas close', 'antenna offset']</t>
  </si>
  <si>
    <t>In a porous material saturated by a fluid electrolyte, mechanical and electromagnetic (EM) disturbances are coupled. The coupling is electrokinetic in nature. The seismic waves generate relative fluid-solid motion that induces an electrical streaming current. When a seismic pulse traverses contrasts in elastic and/or fluid-chemistry properties, the streaming-current imbalance creates dipolar and multipolar charge separations across the interface that, in turn, produce EM disturbances that are measurable at the earth's surface. This paper numerically determines a full-waveform electroseismic point-source response in a stratified porous medium. It is shown that the macroscopic governing equations controlling the coupled electromagnetics and acoustics of porous media decouple into two sets corresponding to vertical or horizontal polarization of the transverse wave fields. The frequency content of the converted EM field has the same frequency content (at the generating interface) as the incident seismic pulse. Snapshots in time and converted EM amplitudes versus source to antenna offset are calculated for contrasts in mechanical and/or electrical medium properties. The converted EM radiation pattern away from the interface is similar to having an effective vertical-electric dipole centered right beneath the source on the contrast. The transverse magnetic mode amplitudes fall off rapidly with distance, from the generating interface thus suggesting the importance of a vertical electroseismic profiling geometry to record the converted EM signal at antennas close to an interface of interest.</t>
  </si>
  <si>
    <t>24745-24769</t>
  </si>
  <si>
    <t>60022195-117950788;60001970</t>
  </si>
  <si>
    <t>6602642395;7004303910</t>
  </si>
  <si>
    <t>Haartsen, Matthijs W.;Pride, Steven R.</t>
  </si>
  <si>
    <t>United States;France;United Kingdom</t>
  </si>
  <si>
    <t>Cambridge;Paris;Aberdeen</t>
  </si>
  <si>
    <t>Massachusetts Institute of Technology;Institut de Physique du Globe de Paris;Shell UK Exploration and Production</t>
  </si>
  <si>
    <t>60022195;60001970;117950788</t>
  </si>
  <si>
    <t>Haartsen M.W.</t>
  </si>
  <si>
    <t>Electroseismic waves from point sources in layered media</t>
  </si>
  <si>
    <t>10.1029/97jb02936</t>
  </si>
  <si>
    <t>2-s2.0-0031427309</t>
  </si>
  <si>
    <t>R01GM055362</t>
  </si>
  <si>
    <t>['vital role', 'szabo model', 'secondary structure', 'residues 1', 'residue protein', 'pheromones play', 'order parameters', 'olfactory system', 'lipophilic messengers', 'internal motions', 'insect pheromone', 'initial step', 'hydrophobic interactions', 'homonuclear three', 'good correlation', 'four 4', 'exchange measurements', 'dipolar connectivities', 'dimensional 1h', 'chemical communication', 'characteristic patterns', 'carrier proteins', 'bond j', 'binding proteins', 'backbone structure', 'backbone protons', 'backbone dynamics', 'antennae toward', 'amphipathic helices', '15n relaxation']</t>
  </si>
  <si>
    <t>Pheromones play a vital role in the survival of insects and are used for chemical communication between members of the same species by their olfactory system. The selection and transportation of these lipophilic messengers by carrier proteins through the hydrophilic sensillum lymph in the antennae toward their membrane receptors remains the initial step for the signal transduction pathway. A moderately abundant 12.4 kDa hydrophilic protein present in hemolymph from the mealworm beetle Tenebrio molitor is ~38% identical to a family of insect pheromone-binding proteins. The backbone structure and dynamics of the 108-residue protein have been characterized using three-dimensional 1H-15N NMR spectroscopy, combined with 15N relaxation and 1H/D exchange measurements. The secondary structure, derived from characteristic patterns of dipolar connectivities between backbone protons, secondary chemical shifts, and homonuclear three-bond J(HNHŒ±) coupling constants, consists of a predominantly disordered N-terminus from residues 1 to 10 and six Œ±-helices connected by four 4-7 residue loops and one Œ≤-hairpin structure. The up-and-down arrangement of Œ±-helices is stabilized by two disulfide bonds and hydrophobic interactions between amphipathic helices. The backbone dynamics were characterized by the overall correlation time, order parameters, and effective correlation times for internal motions. Overall, a good correlation between secondary structure and backbone dynamics was found. The 15N relaxation parameters T1 and T2 and steady-state NOE values of the six Œ±-helices could satisfactorily fit the Lipari-Szabo model. In agreement with their generalized order parameters (&gt;0.88), residues in helical regions exhibited restricted motions on a picosecond time scale. The stability of this highly helical protein was confirmed by thermal denaturation studies.</t>
  </si>
  <si>
    <t>13791-13801</t>
  </si>
  <si>
    <t>60000305;60016005;60016005;60000305</t>
  </si>
  <si>
    <t>6701610753;7102949426;8523161900;7003665704</t>
  </si>
  <si>
    <t>Rothemund, Sven;Liou, Yih Cherng;Davies, Peter L.;S√∂nnichsen, Frank D.</t>
  </si>
  <si>
    <t>Kingston;Cleveland</t>
  </si>
  <si>
    <t>Queen‚Äôs University;Case Western Reserve University</t>
  </si>
  <si>
    <t>60016005;60000305</t>
  </si>
  <si>
    <t>Rothemund S.</t>
  </si>
  <si>
    <t>Backbone structure and dynamics of a hemolymph protein from the mealworm beetle Tenebrio molitor</t>
  </si>
  <si>
    <t>10.1021/bi971529k</t>
  </si>
  <si>
    <t>2-s2.0-0030665487</t>
  </si>
  <si>
    <t>['two residues', 'specific mechanism', 'reactions render', 'reactants present', 'pyranine anion', 'pumping protein', 'protons discharged', 'proton uptake', 'photoexcited pyranine', 'photocycle turnover', 'one carboxylate', 'numeric integration', 'nat acad', 'microsecond resolution', 'halobacterium salinarum', 'extracts protons', 'exposed carboxylates', 'experimental signals', 'driven proton', 'discharged protons', 'cytoplasmic surface', 'cytoplasmic channel', 'conducting channel', 'collecting area', 'collecting antenna', '10752 ).', '., kiryati']</t>
  </si>
  <si>
    <t>Bacteriorhodopsin is the light-driven proton-pumping protein of Halobacterium salinarum that extracts protons from the well-buffered cytoplasmic space within the time limits set by the photocycle turnover. The specific mechanism of the proton uptake by the cytoplasmic surface of the protein was investigated in this study by the laser-induced proton pulse technique. The purple membrane preparations were labeled by fluorescein at two residues (36 or 38) of the cytoplasmic surface of the protein, sites that are close to the orifice of the proton-conducting channel. The membranes were pulsed by protons discharged from photoexcited pyranine [Nachliel, E., Gutman, M., Kiryati, S., and Dencher, N. A. (1996) Proc. Nat Acad. Sci. U.S.A. 93, 10747-10752). The reaction of the discharged protons with the pyranine anion and the fluorescein was measured with sub-microsecond resolution. The experimental signals were reconstructed through numeric integration of differential rate equations which quantitated the rates of all proton transfer reactions between all reactants present in the system. The interaction of protons with the orifice of the cytoplasmic channel is enhanced by the exposed carboxylates of the protein. A cluster of three carboxylates acts as a strong proton attractor site while one carboxylate, identified as D36, acts as a mediator that delivers the proton to the channel. The combination of these reactions render the surface of the protein with properties of a proton-collecting antenna. The size of the collecting area is less than that of the protein's surface.</t>
  </si>
  <si>
    <t>13919-13928</t>
  </si>
  <si>
    <t>60005681;60005681;60011226;60005681</t>
  </si>
  <si>
    <t>6507599102;7003762509;7006154420;35592126200</t>
  </si>
  <si>
    <t>Checover, Sharon;Nachliel, Esther;Dencher, Norbert A.;Gutman, Menachem</t>
  </si>
  <si>
    <t>Darmstadt;Tel Aviv-Yafo</t>
  </si>
  <si>
    <t>Technische Universit√§t Darmstadt;Tel Aviv University</t>
  </si>
  <si>
    <t>60011226;60005681</t>
  </si>
  <si>
    <t>Checover S.</t>
  </si>
  <si>
    <t>Mechanism of proton entry into the cytoplasmic section of the proton- conducting channel of bacteriorhodopsin</t>
  </si>
  <si>
    <t>10.1021/bi9717542</t>
  </si>
  <si>
    <t>2-s2.0-0030665489</t>
  </si>
  <si>
    <t>['triton x', 'substantially different', 'spirulina platensis', 'spirulina membranes', 'smaller one', 'similar lifetimes', 'reversible changes', 'resolved fluorescence', 'region 680', 'redox state', 'psi trimers', 'prominent peaks', 'monomeric complexes', 'longwave region', 'longwave chls', 'intense band', 'good fit', 'fluorescence kinetics', 'f760 intensity', 'f760 decreases', 'f725 );', 'energy transfer', 'core antenna', 'complexes show', 'chls bound', '740 nm', '738 nm', '730 nm', '725 nm', '715 nm', '710 nm', '295 k', '287 k', '2200 ps', '15 times']</t>
  </si>
  <si>
    <t>The organization and interaction of chlorophylls (Chl) and the kinetics of the energy transfer in the core antenna of photosystem I (PSI) trimeric and monomeric complexes, isolated from Spirulina platensis with Triton X-100 have been studied by stationary and time-resolved fluorescence. At 295 K both complexes show an unusually intense long-wavelength emission band with prominent peaks at 730 nm (trimers) or 715 nm (monomers), whose intensity is independent of the redox state of P700. A broad band extending from 710 to 740 nm in the absorption and fluorescence excitation spectra of trimers also indicates the existence of the longwave Chls at 295 K. The 77 K fluorescence emission of PSI trimers frozen after addition of dithionite under illumination (P700 and the PSI acceptor side reduced) shows an intense band at 760 (F760) and a smaller one at 725 nm (F725); when P700 is oxidized, the intensity of F760 decreases about 15 times. In the 77 K spectrum of monomers only F725 is present in the longwave region, and its intensity does not depend on the redox state of P700. Bands of Chls with maxima near 680, 710, and 738 nm were found in the 77 K excitation spectrum of trimers, and bands near 680 and 710 nm were seen in the spectrum of monomers. Five spectrally different red Chl forms in PSI trimers and three red Chl in monomers have been resolved by deconvolution of their 77 K absorption spectra. The difference absorption spectrum, trimers-minus-monomers, shows that the appearance of the 735 nm band in trimers is accompanied by a decrease of 708, 698, and 688 nm bands present in monomers. The reversible changes of F760 intensity of Spirulina membranes as a result of their salt treatment confirm the idea that the most longwave Chl form originates from an interaction of Chls bound to different monomeric PSI subunits forming the trimer. The time- resolved fluorescence spectra of PSI trimers and monomers, measured at 287 K in the region 680-770 am, are substantially different, although a set of similar lifetimes (9, ~30, ~66, and 1400-2200 ps) was necessary for a good fit. No effect of P700 index state was observed on the fluorescence kinetics of both complexes at 287 K.</t>
  </si>
  <si>
    <t>13830-13837</t>
  </si>
  <si>
    <t>60072285-60096201;60072285;60072285-60025063;60096201;60072285</t>
  </si>
  <si>
    <t>7004405778;7801378161;7005182244;6507242243;35501122300</t>
  </si>
  <si>
    <t>Karapetyan, Navassard V.;Dorra, Dieter;Schweitzer, Gerd;Bezsmertnaya, Irina N.;Holzwarth, Alfred R.</t>
  </si>
  <si>
    <t>Russian Federation;Germany;Belgium</t>
  </si>
  <si>
    <t>Moscow;Mulheim an der Ruhr;3000 Leuven</t>
  </si>
  <si>
    <t>Bach Institute of Biochemistry;Max Planck Institute for Chemical Energy Conversion;KU Leuven</t>
  </si>
  <si>
    <t>60096201;60072285;60025063</t>
  </si>
  <si>
    <t>Karapetyan N.</t>
  </si>
  <si>
    <t>Fluorescence spectroscopy of the longwave chlorophylls in trimeric and monomeric photosystem I core complexes from the cyanobacterium Spirulina platensis</t>
  </si>
  <si>
    <t>10.1021/bi970386z</t>
  </si>
  <si>
    <t>2-s2.0-0030694780</t>
  </si>
  <si>
    <t>['waves observed', 'theoretical relations', 'moment magnitude', 'long distances', 'log œîv', 'kobe earthquake', 'hypocenter due', 'granite slab', 'fault zone', 'empirical one', 'dipolar charges', 'detector antenna', 'conductive earth']</t>
  </si>
  <si>
    <t>Earthquake | Electromagnetic wave | Scaling law | SES | Simulation | Waveguide</t>
  </si>
  <si>
    <t>Electromagnetic (EM) waves observed by telecommunication engineers ahead of earthquakes are controversial because they should not propagate over long distances from the hypocenter due to dissipation in the conductive Earth. A model of an earth crust dielectric waveguide was proposed and discussed with an earth atmospheric waveguide and tested in a laboratory scaling simulation experiment using a granite slab and an EM generator antenna at the hypocenter for the Kobe Earthquake. The mappings of evanescent and wave-ripple standing waves were obtained by scanning a detector antenna over the Japanese island archipelago model. Theoretical relations of the field intensity ŒîV, such as log ŒîV = 0.375Mw + c, where Mw and c are the moment magnitude and a constant, respectively have been derived by considering EM waves from an ensemble of dipolar charges at a fault zone. The theoretical scaling law is consistent with the empirical one.</t>
  </si>
  <si>
    <t>11 SUPPL. B</t>
  </si>
  <si>
    <t>60024322;60024322;60024322;60024322;60024322</t>
  </si>
  <si>
    <t>7102851682;35430322400;35379305800;7103321353;56209367200</t>
  </si>
  <si>
    <t>Ikeya, Motoji;Kinoshita, Yoshihisa;Matsumoto, Hiroshi;Takaki, Shunji;Yamanaka, Chihiro</t>
  </si>
  <si>
    <t>Osaka University</t>
  </si>
  <si>
    <t>Ikeya M.</t>
  </si>
  <si>
    <t>A model experiment of electromagnetic wave propagation over long distances using waveguide terminology</t>
  </si>
  <si>
    <t>10.1143/jjap.36.l1558</t>
  </si>
  <si>
    <t>2-s2.0-0031272961</t>
  </si>
  <si>
    <t>['therefore include', 'mutual coupling']</t>
  </si>
  <si>
    <t>Antenna arrays | Antennas</t>
  </si>
  <si>
    <t>The broadband beam scanning characteristics of a 64 element volumetric array antenna are examined. Main beam patterns are synthesised from the measured embedded element patterns and therefore include the effects of mutual coupling. The performance of the array is examined over a wide angular range at frequencies between 8 and 12GHz.</t>
  </si>
  <si>
    <t>2001-2002</t>
  </si>
  <si>
    <t>60030469;60026242;60011897;60011897</t>
  </si>
  <si>
    <t>35390344800;7003442370;57217572612;7006987468</t>
  </si>
  <si>
    <t>Tennant, A.;Fray, A. F.;Adamson, D. B.;Shelley, M. W.</t>
  </si>
  <si>
    <t>United Kingdom;United Kingdom;United Kingdom</t>
  </si>
  <si>
    <t>Hull;Salisbury;Leatherhead</t>
  </si>
  <si>
    <t>University of Hull;Defence Science and Technology Laboratory;ERA Technology Ltd</t>
  </si>
  <si>
    <t>60030469;60026242;60011897</t>
  </si>
  <si>
    <t>Tennant A.</t>
  </si>
  <si>
    <t>Beam scanning characteristics of 64 element broadband volumetric array</t>
  </si>
  <si>
    <t>10.1049/el:19971388</t>
  </si>
  <si>
    <t>2-s2.0-0031268287</t>
  </si>
  <si>
    <t>['modelled using', 'active antennas']</t>
  </si>
  <si>
    <t>Active antennas</t>
  </si>
  <si>
    <t>A microstrip patch oscillator is modelled using a dual LCR Van der Pol oscillator. Closed form expressions are obtained for the fundamental and first harmonic voltage amplitudes and results show reasonably good agreement with a commercial circuit simulator. These type of expressions will be useful for computer aided design of active antennas and give circuit designers greater physical insight into their operation.</t>
  </si>
  <si>
    <t>1998-1999</t>
  </si>
  <si>
    <t>Analysis of harmonic radiation from an integrated active antenna</t>
  </si>
  <si>
    <t>10.1049/el:19971389</t>
  </si>
  <si>
    <t>2-s2.0-0031268339</t>
  </si>
  <si>
    <t>['technique uses', 'sidelobe region', 'radiating elements', 'power pattern', 'greater number', 'filling nulls', 'elliott method', 'conventional method', 'authors show', 'aperture distribution']</t>
  </si>
  <si>
    <t>Antenna radiation patterns | Antennas</t>
  </si>
  <si>
    <t>The authors show that it is possible to diminish the ripple in shaped beam patterns by filling nulls in the sidelobe region, yielding a small variability within the aperture distribution, which is important for alleviating mutual coupling effects between radiating elements. The technique uses an extension of the Orchard-Elliott method to obtain this null-filling, providing a greater number of solutions for the same power pattern than the conventional method. Application to a cosec2(Œ∏) √ó cos(Œ∏) pattern is presented.</t>
  </si>
  <si>
    <t>2004-2005</t>
  </si>
  <si>
    <t>57217764562;7006865572</t>
  </si>
  <si>
    <t>Rodriguez, J. A.;Ares, F.</t>
  </si>
  <si>
    <t>Rodriguez J.A.</t>
  </si>
  <si>
    <t>Synthesis of shaped beam antenna patterns with null-filling in the sidelobe region</t>
  </si>
  <si>
    <t>10.1049/el:19971371</t>
  </si>
  <si>
    <t>2-s2.0-0031273287</t>
  </si>
  <si>
    <t>['novel e', 'metallic strip', 'authors report']</t>
  </si>
  <si>
    <t>Dielectric-loaded antennas | Horn antennas</t>
  </si>
  <si>
    <t>The authors report the development of a novel E-plane sectoral horn. A metallic strip of optimum length loaded on the horn is capable of giving symmetric patterns both in the E and H-planes with low sidelobe levels.</t>
  </si>
  <si>
    <t>2002-2004</t>
  </si>
  <si>
    <t>60031544;60029694;60029694;60029694;60031544</t>
  </si>
  <si>
    <t>57197108714;7102021457;23090981800;6602886884;7006666505</t>
  </si>
  <si>
    <t>Joseph, V. P.;Mathew, S.;Jacob, J.;Raveendranath, U.;Mathew, K. T.</t>
  </si>
  <si>
    <t>Kochi;Kottayam</t>
  </si>
  <si>
    <t>Cochin University of Science and Technology;Mahatma Gandhi University</t>
  </si>
  <si>
    <t>60031544;60029694</t>
  </si>
  <si>
    <t>Joseph V.</t>
  </si>
  <si>
    <t>Radiation characteristics of strip loaded hollow dielectric E-plane sectoral horn antennas</t>
  </si>
  <si>
    <t>10.1049/el:19971333</t>
  </si>
  <si>
    <t>2-s2.0-0031273421</t>
  </si>
  <si>
    <t>['total array', 'significant reduction', 'radiation patterns', 'microstrip elements', 'elements provide', 'design considerations', 'array elements', '20 %.']</t>
  </si>
  <si>
    <t>Microstrip antenna arrays</t>
  </si>
  <si>
    <t>An E-plane aperture coupled microstrip patch array antenna is presented which incorporates novel microstrip reflector elements in its design. These elements provide a significant reduction in back radiation levels over a bandwidth in excess of 20%. Design considerations for the array elements are given and radiation patterns for the microstrip elements and the total array are presented.</t>
  </si>
  <si>
    <t>2005-2006</t>
  </si>
  <si>
    <t>60011362;60011362;60014313</t>
  </si>
  <si>
    <t>6603820268;35478779700;7006061921</t>
  </si>
  <si>
    <t>Targonski, S. D.;Waterhouse, R. B.;Pozar, D. M.</t>
  </si>
  <si>
    <t>Amherst MA;Melbourne</t>
  </si>
  <si>
    <t>University of Massachusetts Amherst;RMIT University</t>
  </si>
  <si>
    <t>60014313;60011362</t>
  </si>
  <si>
    <t>Targonski S.D.</t>
  </si>
  <si>
    <t>Wideband aperture coupled microstrip patch array with backlobe reduction</t>
  </si>
  <si>
    <t>10.1049/el:19971399</t>
  </si>
  <si>
    <t>2-s2.0-0031275581</t>
  </si>
  <si>
    <t>['surface waves', 'radiation characteristics', 'modified patch', 'impedance behaviour', 'higher gain', 'good agreement']</t>
  </si>
  <si>
    <t>An annular ring loaded circular microstrip patch antenna is presented which reduces the excitation of surface waves. This configuration, as compared to a conventional circular patch, is no more difficult to fabricate, has a greater impedance bandwidth, much higher surface wave efficiency and higher gain. Both impedance behaviour and radiation characteristics of the modified patch are considered. Very good agreement between experiment and theory is achieved.</t>
  </si>
  <si>
    <t>2000-2001</t>
  </si>
  <si>
    <t>60011362;60011362;60003892;60003892</t>
  </si>
  <si>
    <t>6701802528;35478779700;57208464375;7005725769</t>
  </si>
  <si>
    <t>Kokotoff, D. M.;Waterhouse, R. B.;Birtcher, C. R.;Aberle, J. T.</t>
  </si>
  <si>
    <t>Melbourne;Tempe</t>
  </si>
  <si>
    <t>RMIT University;Arizona State University</t>
  </si>
  <si>
    <t>60011362;60003892</t>
  </si>
  <si>
    <t>Kokotoff D.M.</t>
  </si>
  <si>
    <t>Annular ring coupled circular patch with enhanced performance</t>
  </si>
  <si>
    <t>10.1049/el:19971411</t>
  </si>
  <si>
    <t>2-s2.0-0031276538</t>
  </si>
  <si>
    <t>['transitional zone', 'structure similar', 'scrapers 4', 'parthenogenic females', 'new species', 'neotropic regions', 'macrothrix smirnovi', 'like appearance', 'irregular margin', 'external surface', 'copulatory hook', 'also distinct', 'adult males']</t>
  </si>
  <si>
    <t>Macrothrix smirnovi, new species, is described from a small reservoir located at a transitional zone between neartic and neotropic regions in Mexico. It resembles taxa related to M. triserialis, mainly the South-American M. superaculeata, but parthenogenic females are characterized by differences in spinulation of the antennae. Trunk limb II has a unique lobe carrying a stout conical seta densely ciliated at its distal portion located at the external surface of the endopod, near to the insertion of scrapers 4 and 5. The postabdomen is also distinct. The ephippium has a structure similar to M. rosea. Adult males have a postabdomen fairly similar to females and a copulatory hook with one crescentic ridge at the tip of an irregular margin which gives a spoon-like appearance to this portion.</t>
  </si>
  <si>
    <t>115-127</t>
  </si>
  <si>
    <t>0006324X</t>
  </si>
  <si>
    <t>Proceedings of the Biological Society of Washington</t>
  </si>
  <si>
    <t>60032442;60032442</t>
  </si>
  <si>
    <t>Ciros-P√©rez, J.;El√≠as-Guti√©rrez, M.</t>
  </si>
  <si>
    <t>Mexico</t>
  </si>
  <si>
    <t>Ciudad de M√©xico</t>
  </si>
  <si>
    <t>Universidad Nacional Aut√≥noma de M√©xico</t>
  </si>
  <si>
    <t>Macrothrix smirnovi, a new species (Crustacea: Anomopoda: Macrothricidae) from Mexico, a member of the M. triserialis-group</t>
  </si>
  <si>
    <t>2-s2.0-0000702112</t>
  </si>
  <si>
    <t>['wide use', 'trapping studies', 'trap generation', 'technological points', 'substrate hot', 'pmos transistors', 'plasma stress', 'plasma etching', 'oxide due', 'nordheim stress', 'induced charging', 'gate oxide', 'electrical stress', 'damaged nmos', 'damaged devices', 'current flow', 'commonly observed', 'basic understanding', 'assisted processes']</t>
  </si>
  <si>
    <t>With aggressive device scaling and the wide use of plasma-assisted processes, the device damage caused by process-induced charging is receiving growing attention, from both basic understanding and technological points of view. The paper presents results of hole-trapping studies in the thin gate oxide of plasma-damaged NMOS and PMOS transistors. In addition to neutral electron traps and passivated interface damage, which are commonly observed in plasma charging latent damage, we observed and identified hole traps, generated by plasma stress. Enhanced hole trapping in the gate oxide of plasma-damaged devices was studied using Fowler-Nordheim stress and substrate hot-hole injection applied to antenna test structures sensitive to process-induced charging. The number of hole traps increases with increasing antenna ratio, indicating that the mechanism of hole-trap generation is based on electrical stress and current flow, forced through the oxide due to charging under plasma etching or ion implantation conditions.</t>
  </si>
  <si>
    <t>1551-1558</t>
  </si>
  <si>
    <t>Semiconductor Science and Technology</t>
  </si>
  <si>
    <t>60005145;60027550</t>
  </si>
  <si>
    <t>7006743311;22977839100</t>
  </si>
  <si>
    <t>Brozek, Tomasz;Viswanathan, Chand R.</t>
  </si>
  <si>
    <t>Los Angeles;Austin</t>
  </si>
  <si>
    <t>University of California, Los Angeles;Motorola Austin</t>
  </si>
  <si>
    <t>60027550;60005145</t>
  </si>
  <si>
    <t>Brozek T.</t>
  </si>
  <si>
    <t>Increased hole trapping in gate oxides as latent damage from plasma charging</t>
  </si>
  <si>
    <t>S0268124297842058</t>
  </si>
  <si>
    <t>10.1088/0268-1242/12/12/002</t>
  </si>
  <si>
    <t>2-s2.0-0001311869</t>
  </si>
  <si>
    <t>['wire loop', 'well known', 'used worldwide', 'unfavourable conditions', 'unfavourable case', 'thick layer', 'therefore must', 'test site', 'subsurface water', 'special features', 'situated close', 'short signal', 'saturated rocks', 'routine tool', 'reliably detected', 'receiving antenna', 'rather new', 'proton magnetometer', 'possible variations', 'pmr signal', 'pmr method', 'numerical modelling', 'nmr theory', 'mean size', 'may affect', 'large volume', 'large enough', 'investigated samples', 'important parameter', 'groundwater investigation', 'geomagnetic field', 'following factors', 'fold change', 'favourable conditions', 'experimental data', 'electrical conductivity', 'early eighties', 'decay time', 'chemical analysis', 'best conditions', 'aquifers )).', 'aquifer situated', 'aquifer depth', 'antenna diameter', 'antenna 100', '10 ohm']</t>
  </si>
  <si>
    <t>Aquifer | Groundwater | Magnetic resonance | Near-surface | NMR | Non-invasive | PMR</t>
  </si>
  <si>
    <t>Applications of the nuclear magnetic resonance phenomenon (NMR) in geophysics (proton magnetometer, NMR logging), chemistry (chemical analysis, study of the kinetics of chemical reactions), and medicine (diagnostics) are well known. The surface proton magnetic resonance (PMR) method for groundwater investigation is another, rather new, application of NMR. It was developed in the early eighties in Russia and is now is becoming a routine tool for use in geophysics. The method has some special features which may affect the PMR signal amplitude and which therefore must be investigated. First of all, to act as a static magnetic field, which is an important parameter in the NMR theory, the geomagnetic field is used. Secondly, while a wire loop of diameter around 100 m is employed as a transmitting/receiving antenna, subsurface water-saturated layers act as investigated samples of a large volume. Both numerical modelling and experimental data were used for the analysis of the influence of the following factors on the PMR signal: the magnitude and the inclination of the geomagnetic field, the decay time of the signal (which depends on the mean size of pores of the water-saturated rocks), the electrical conductivity of the subsurface, and the antenna diameter (which should be selected in accordance with the geometry of a target (aquifers)). The most favourable conditions for the application of the method were set down as follows: the test site should be situated close to the North (or South) pole, rocks should be nonconductive, the decay time of the signal should be long (for example, the water-saturated rocks should to be composed of gravel or coarse sands). The most unfavourable conditions were taken as: a test site situated close to the equator, an aquifer situated in a 10 Ohm-m half-space, and a short signal (for example, water-saturated rocks composed of clays and very fine sands). Assuming that an antenna is 100 m in diameter, these cases were compared in between the worst and best conditions. It was found that even in the most unfavourable conditions the signal is large enough to be reliably detected, but possible variations in the investigated natural factors may result in a fivefold to ten-fold change in the signal amplitude depending on aquifer depth. Practically, this means that the PMR method can be used worldwide, but its performance may vary. For example, currently available PMR equipment with an antenna 100 m in diameter is able to detect a one-meter-thick layer of water down to a depth of 150 m in the most favourable conditions and only down to 40 m in the most unfavourable case. ¬© 1997 Geophysical Press Ltd.</t>
  </si>
  <si>
    <t>173-190</t>
  </si>
  <si>
    <t>European Journal of Environmental and Engineering Geophysics</t>
  </si>
  <si>
    <t>60004967;60004967;60004967;102018187;102018187</t>
  </si>
  <si>
    <t>6602747982;6603253991;7007032094;55920369300;7403164895</t>
  </si>
  <si>
    <t>Legchenko, Anatoly;Beauce, Alain;Guillen, Antonio;Valla, Pierre;Bernard, Jean</t>
  </si>
  <si>
    <t>Orleans;Orleans</t>
  </si>
  <si>
    <t>BRGM;IRIS Instruments</t>
  </si>
  <si>
    <t>60004967;102018187</t>
  </si>
  <si>
    <t>Legchenko A.</t>
  </si>
  <si>
    <t>Natural variations in the magnetic resonance signal used in PMR groundwater prospecting from the surface</t>
  </si>
  <si>
    <t>2-s2.0-0001408942</t>
  </si>
  <si>
    <t>['various methods', 'temperature superconductors', 'stable oscillators', 'simulation tools', 'selected examples', 'realistic systems', 'promising applications', 'progress profits', 'physical basis', 'optimum performance', 'mri antennas', 'improved design', 'important facets', 'become mature', '10 ghz']</t>
  </si>
  <si>
    <t>The technology of high-temperature superconductors has become mature. Various methods to analyse and optimize the temperature and microwave field dependent surface impedance have been developed. Promising applications of passive microwave devices have been identified between 0.01 and 10 GHz. This progress profits from improved design and simulation tools, aimed at miniaturizing the circuits at optimum performance and integrating them into realistic systems. Important facets of these developments are sketched in terms of their physical basis and illustrated with selected examples of filters, stable oscillators and MRI antennas.</t>
  </si>
  <si>
    <t>867-871</t>
  </si>
  <si>
    <t>Superconductor Science and Technology</t>
  </si>
  <si>
    <t>Hein, M. A.</t>
  </si>
  <si>
    <t>Hein M.</t>
  </si>
  <si>
    <t>Progress, properties and prospects of passive high-temperature superconductive microwave devices in Europe</t>
  </si>
  <si>
    <t>S0953204897880980</t>
  </si>
  <si>
    <t>10.1088/0953-2048/10/12/001</t>
  </si>
  <si>
    <t>2-s2.0-0001642926</t>
  </si>
  <si>
    <t>['transmitting antennas', 'three dimensional', 'subsurface imaging', 'receiving antennas', 'radar frequency', 'multifrequency multi', 'dt require', 'dimensional cases', 'buried objects', 'born approximation', 'attenuating background', 'arbitrary transmitting', 'algorithm places', 'algorithm described']</t>
  </si>
  <si>
    <t>A generalized diffraction tomographic (DT) algorithm is derived for subsurface imaging from multifrequency multi-monostatic ground penetrating radar (GPR) data. The algorithm is based on the Born approximation for vector electromagnetic scattering and incorporates realistic nearfield models for the receiving and transmitting antennas. The forward scattering model is inverted analytically using the regularized pseudoinverse operator to yield an algorithm for imaging the underground region based on scattered field measurements at a set of receiving antennas. Whereas the usual inversion algorithms of DT require a lossless background medium and ideal point sources and receivers, the algorithm described here allows an attenuating background and arbitrary transmitting and receiving antennas. The algorithm places no restrictions on the radar frequency, and can thus include shallow imaging applications where the wavelengths are on the same order as the depth of buried objects of interest. Versions of the algorithm are given for both the three dimensional and the 2.5-dimensional cases. Results are given of computer simulations designed to test the algorithm.</t>
  </si>
  <si>
    <t>29-45</t>
  </si>
  <si>
    <t>Inverse Problems</t>
  </si>
  <si>
    <t>60028628-60019634;60028628</t>
  </si>
  <si>
    <t>13808361700;7005402043</t>
  </si>
  <si>
    <t>Deming, Ross W.;Devaney, Anthony J.</t>
  </si>
  <si>
    <t>Boston;Falls Church</t>
  </si>
  <si>
    <t>Northeastern University;Computer Sciences Corporation - USA</t>
  </si>
  <si>
    <t>60028628;60019634</t>
  </si>
  <si>
    <t>Deming R.</t>
  </si>
  <si>
    <t>Diffraction tomography for multi-monostatic ground penetrating radar imaging</t>
  </si>
  <si>
    <t>10.1088/0266-5611/13/1/004</t>
  </si>
  <si>
    <t>2-s2.0-0002045610</t>
  </si>
  <si>
    <t>['uropods uniramous', 'uniramous pleopods', 'six pleomeres', 'pseudione parviramus', 'pseudione indica', 'pseudione chiloensis', 'pseudione affinis', 'oostegite 1', 'nov .,', 'new species', 'morphological differences', 'internal crest', 'eyes present', 'biramous pleopods', 'although males', '5 pairs', '1891 ).']</t>
  </si>
  <si>
    <t>Pseudione chiloensis sp. nov., is described from the central-southern Chilean region, parasitic on the hippolytid shrimp Nauticaris magellanica (A. Milne-Edwards, 1891). Females of Pseudione chiloensis are similar to Pseudione affinis (Sars, 1882), Pseudione indica Chopra, 1930 and Pseudione parviramus Adkison, 1988 in having a wide frontal lamina, first antennae 3-segmented, 5 pairs of biramous pleopods, uropods uniramous, and eyes present; Pseudione chiloensis differ from these species in the absence of ornamentations on internal crest of oostegite 1, female's size, and setose maxillipedal palp. Males of Pseudione chiloensis are similar to those of Pseudione affinis, Pseudione indica, and Pseudione parviramus in having eyes present, first antennae 3-segmented, pleon of six pleomeres, midventral tubercules present on pereomeres, 5 pairs of uniramous pleopods, and last pleomere bifurcated; but differ from these species in having the second antennae 6-segmented, (7-segmented in the former species). Although males and females of Pseudione chiloensis share some characters with these species, the morphological differences and host lead us to propose a new species.</t>
  </si>
  <si>
    <t>242-248</t>
  </si>
  <si>
    <t>;60023131</t>
  </si>
  <si>
    <t>6602896380;7004077683</t>
  </si>
  <si>
    <t>Rom√°n-Contreras, Ramiro;Wehrtmann, Ingo</t>
  </si>
  <si>
    <t>Bremerhaven</t>
  </si>
  <si>
    <t>Alfred-Wegener-Institut Helmholtz-Zentrum f√ºr Polar- und Meeresforschung</t>
  </si>
  <si>
    <t>Rom√°n-Contreras R.</t>
  </si>
  <si>
    <t>A new species of bopyrid isopod, Pseudione chiloensis, a parasite of Nauticaris magellanica (A. Milne-Edwards, 1891) (Crustacea: Decapoda: Hippolytidae)</t>
  </si>
  <si>
    <t>2-s2.0-0009465957</t>
  </si>
  <si>
    <t>['solved approximately', 'solution method', 'singular solution', 'seems promising', 'reflector antennas', 'particular solutions', 'investigated mathematically', 'infinite system', 'elastic plate', 'closed form', 'boundary condition', 'adjustable surface']</t>
  </si>
  <si>
    <t>An adjustable surface which seems promising for the design of reflector antennas is investigated mathematically, by deriving the partial differential equation and the boundary condition. The singular solution and an infinite system of particular solutions are given in closed form. The stated boundary value problem is solved approximately by means of the boundary collocation method with oversampling. The solution method is illustrated by some examples, chosen to emphasize the fact that the surface behaves like an orthotropic, elastic plate.</t>
  </si>
  <si>
    <t>115-132</t>
  </si>
  <si>
    <t>0169121X</t>
  </si>
  <si>
    <t>Mathematical Engineering in Industry</t>
  </si>
  <si>
    <t>60011373;60011373;60027972;60027972</t>
  </si>
  <si>
    <t>35617230200;7103368914;6701737754;7201971544</t>
  </si>
  <si>
    <t>Albertsen, N. C.;Christiansen, S.;Pontoppidan, K.;S√∏rensen, S. B.</t>
  </si>
  <si>
    <t>Denmark;Denmark</t>
  </si>
  <si>
    <t>Copenhagen K;Lyngby</t>
  </si>
  <si>
    <t>TICRA;Danmarks Tekniske Universitet</t>
  </si>
  <si>
    <t>60027972;60011373</t>
  </si>
  <si>
    <t>Mathematical treatment of an adjustable surface formed by a fabric of interwoven flexible wires</t>
  </si>
  <si>
    <t>2-s2.0-0030672563</t>
  </si>
  <si>
    <t>['two scenarios', 'tae modes', 'second scenario', 'plasma applicable', 'numerical simulations', 'multiple spectrum', 'modes appear', 'mhd spectrum', 'mhd spectroscopy', 'low shear', 'fusion experiments', 'frequency range', 'external antenna', 'cluster spectrum', 'castor code', 'become susceptible']</t>
  </si>
  <si>
    <t>We investigate the effect of the shape of the safety factor profile on the MHD spectrum. Results from numerical simulations with the CASTOR code are presented. Two scenarios are discussed. Firstly, finite beta plasmas with a non-monotonic safety factor profile for which it will be shown that a cluster spectrum of global Alfv√©n waves can exist. When these modes appear in the frequency range of the toroidicity-induced Alfv√©n gap they are undamped and become susceptible to excitation by, for example, an external antenna. The second scenario is that of small aspect ratio plasmas with a region of low shear. In these plasmas a multiple spectrum of TAE modes is shown to occur. We show a simulation of a plasma applicable to the proposed USTX experiment. The relevance to fusion experiments, in particular in the context of MHD spectroscopy, are discussed. ¬© 1997 IOP Publishing Ltd.</t>
  </si>
  <si>
    <t>60029419;60029419;60025104;60025104</t>
  </si>
  <si>
    <t>6602396088;7006790611;7006695965;24440646200</t>
  </si>
  <si>
    <t>Holties, H. A.;Goedbloed, J. P.;Huysmans, G. T.A.;Kerner, W.</t>
  </si>
  <si>
    <t>Netherlands;United Kingdom</t>
  </si>
  <si>
    <t>Nieuwegein;</t>
  </si>
  <si>
    <t>FOM Institute for Plasma Physics - Rijnhuizen;EFDA-JET</t>
  </si>
  <si>
    <t>60029419;60025104</t>
  </si>
  <si>
    <t>Holties H.</t>
  </si>
  <si>
    <t>Dependence of the MHD spectrum on the safety factor profile</t>
  </si>
  <si>
    <t>S0741333597751698</t>
  </si>
  <si>
    <t>10.1088/0741-3335/39/1/005</t>
  </si>
  <si>
    <t>2-s2.0-0030676964</t>
  </si>
  <si>
    <t>['without multipliers', 'viterbi algorithm', 'use multipliers', 'radio environment', 'proposed ddfse', 'preamble sequence', 'multipath fading', 'hardware scale', 'frequency offset', 'easily realized', 'also compensated', 'adopted instead', 'absolute operation']</t>
  </si>
  <si>
    <t>Antenna Diversity | DDFSE (Delayed Decision Feedback Sequence Estimator) | DFE (Decision Feedback Equalizer) | GMSK (Gaussian Minimum Shift Keying) | HIPERLAN (High Performance Radio LAN) | MLSE (Maximum Likelihood Sequence Estimator) | PN code | Wireless ATM</t>
  </si>
  <si>
    <t>Delayed Decision Feedback Sequence Estimator (DDFSE) without multipliers is proposed for Gaussian Minimum Shift Keying (GMSK) wireless ATM modem in an indoor radio environment with multipath fading and noise. In the wireless ATM data sequence, preamble sequence is composed of repeated 31 bit PN code sequence. With this preamble sequence, DDFSE is able to initialize its internal coefficients within 31 bit period. Furthermore, frequency offset is also compensated by using this preamble sequence. In the proposed DDFSE, maximum operating speed is expanded by improving feedback loop section, and absolute operation is adopted instead of two-dimensional square operation in Viterbi algorithm to decrease power consumption and hardware scale. Computer simulation shows that less than 0.1% of Packet Error Rate (PER) is achieved by the proposed DDFSE with two-antenna selection diversity at 24 Mbps data transmission speed in a radio environment over delay spread 200 ns. Since the proposed DDFSE does not use multipliers, it is easily realized by a low power CMOS LSI.</t>
  </si>
  <si>
    <t>74-79</t>
  </si>
  <si>
    <t>0547051X</t>
  </si>
  <si>
    <t>NEC Research and Development</t>
  </si>
  <si>
    <t>Matsui, Hitoshi</t>
  </si>
  <si>
    <t>Personal C and C Devmt. Laboratories</t>
  </si>
  <si>
    <t>Matsui H.</t>
  </si>
  <si>
    <t>Delayed decision feedback sequence estimator for GMSK wireless ATM modem</t>
  </si>
  <si>
    <t>2-s2.0-0030702320</t>
  </si>
  <si>
    <t>['space tele', 'reflected master', 'program written', 'paper describes', 'manipulation experiments', 'interpreter language', 'interactive operations', 'hole tests', 'fact effective', 'basic functions', 'actual ets']</t>
  </si>
  <si>
    <t>Assembly task | Predictive bilateral master-slave control | Real-time graphic simulation | Space robot | Tele-operation | Virtual Reality (VR) | Visual sensing</t>
  </si>
  <si>
    <t>This PaPer describes a space tele-robotics experiment system using a predictive bilateral control and the results of simulated space tele-manipulation experiments. The predictive bilateral control provides both the predictive and virtual contact forces/torque along six degrees of freedom by a force-reflected master-arm. The virtual contact forces are produced by the collision with a virtual guide model to move the slave-arm to a desired position quickly and safely. Ground simulation models can be calibrated by means of visual sensing using target marks. The simulator for previewing is designed to be re-configurable by modularizing the basic functions. The system executes tasks including manual operations according to a program written in an interpreter language for interactive operations. Coupling experiments using ETS-VII Antenna Assembling Mechanism (AAM) and peg-in-hole tests were carried out to evaluate the system's effectiveness, and the results obtained demonstrate that it is in fact effective. Currently, the predictive bilateral control method is scheduled to be evaluated to actual ETS-VII space experiments in 1998.</t>
  </si>
  <si>
    <t>48-59</t>
  </si>
  <si>
    <t>100374543;100374543</t>
  </si>
  <si>
    <t>36804139900;7003517223</t>
  </si>
  <si>
    <t>Morikawa, Hajime;Takanashi, Nobuaki</t>
  </si>
  <si>
    <t>Funct. Devices Research Laboratories</t>
  </si>
  <si>
    <t>Morikawa H.</t>
  </si>
  <si>
    <t>Space tele-robotics experiment system using predictive bilateral control</t>
  </si>
  <si>
    <t>2-s2.0-0030705828</t>
  </si>
  <si>
    <t>['vector forms', 'satellite systems', 'remote calibration', 'received signals', 'ideally suited', 'hadamard matrix', 'digital beamforming', 'corresponding values', 'complete set', 'coherently detected', 'cce algorithms', 'calibration parameters', 'calibration must', 'asymptotic forms', 'array antenna', 'analog implementation', 'analog beamformers']</t>
  </si>
  <si>
    <t>This work describes two algorithms designed for remote calibration of an Ne -element active phased-array antenna. These algorithms involve transmission of N ‚â• Ne time multiplexed orthogonal encoded signals. The received signals are coherently detected, accumulated in vector forms, and decoded with the inverse of the orthogonal encoding matrix. The unitary transform encoding (UTE) algorithm is most suited for digital beamforming as it requires additional encoding hardware for an analog implementation. The control circuit encoding (CCE) algorithm is ideally suited for analog beamformers as it requires no additional encoding hardware. The CCE method encodes phased-array elemental signals using a Hadamard matrix to control the switching of intrinsic phase shifter delay circuits. The UTE and CCE algorithms can reduce the average measurement integration times for the complete set of calibration parameters by ‚àºNe relative to the corresponding values for single-element calibration procedures. This is significant for satellite systems as calibration must be performed in a short enough time window that the process can be treated as being stationary. Proofs are given that the orthogonal codes satisfy the mathematical lower bounds for the asymptotic forms of calibration parameter estimation variances. ¬© 1997 IEEE.</t>
  </si>
  <si>
    <t>206-218</t>
  </si>
  <si>
    <t>Silverstein, Seth D.</t>
  </si>
  <si>
    <t>Niskayuna</t>
  </si>
  <si>
    <t>GE Global Research</t>
  </si>
  <si>
    <t>Silverstein S.D.</t>
  </si>
  <si>
    <t>Application of orthogonal codes to the calibration of active phased array antennas for communication satellites</t>
  </si>
  <si>
    <t>S1053587X97005138</t>
  </si>
  <si>
    <t>10.1109/78.552217</t>
  </si>
  <si>
    <t>2-s2.0-0030733387</t>
  </si>
  <si>
    <t>['windscreen surface', 'windscreen superstrate', 'wave modes', 'vehicle windscreens', 'radiation nulls', 'forward gain']</t>
  </si>
  <si>
    <t>Patch antennas</t>
  </si>
  <si>
    <t>A solution to the problem of radiation nulls for patch antennas integrated with vehicle windscreens is presented. The nulls, attributable to surface waves within the windscreen superstrate, are removed by the addition of a thin resistive film to the windscreen surface. Analysis of the surface-wave modes at 5.8 GHz within two typical laminated windscreen structures coated with a resistive film shows a sheet resistance value of 50 ¬£2/sq to be appropriate. Polar-pattern results demonstrate the effectiveness of the technique in removing the radiation nulls without significantly reducing the forward gain. ¬© 1997 IEEE.</t>
  </si>
  <si>
    <t>176-177</t>
  </si>
  <si>
    <t>60004636;60004636;60004636</t>
  </si>
  <si>
    <t>9239877500;14048885500;57218868885</t>
  </si>
  <si>
    <t>Sambell, Alistair;Lowes, Philip;Korolkiewicz, Edward</t>
  </si>
  <si>
    <t>Newcastle</t>
  </si>
  <si>
    <t>University of Northumbria</t>
  </si>
  <si>
    <t>Sambell A.</t>
  </si>
  <si>
    <t>Removal of surface-wave induced radiation nulls for patch antennas integrated with vehicle windscreens</t>
  </si>
  <si>
    <t>S0018926X97004523</t>
  </si>
  <si>
    <t>10.1109/8.554255</t>
  </si>
  <si>
    <t>2-s2.0-0030735097</t>
  </si>
  <si>
    <t>MIP-9502885</t>
  </si>
  <si>
    <t>['trellis coding', 'transmit antennas', 'sufficient number', 'selective ones', 'resulting schemes', 'popular error', 'intersymbol interference', 'fading channels', 'efficiently combined', 'delay considerations', 'correcting codes', 'convenient interpretations', 'additional power']</t>
  </si>
  <si>
    <t>A class of powerful and computationally efficient strategies for exploiting transmit antenna diversity on fading channels is developed. These strategies, which require simple linear processing at the transmitter and receiver, have attractive asymptotic characteristics. In particular, given a sufficient number of transmit antennas, these techniques effectively transform a nonselective Rayleigh fading channel into a nonfading, simple white marginally Gaussian noise channel with no intersymbol interference. These strategies, which we refer to as linear antenna preceding, can be efficiently combined with trellis coding and other popular error-correcting codes for bandwidth-constrained Gaussian channels. Linear antenna preceding requires no additional power or bandwidth and is attractive in terms of robustness and delay considerations. The resulting schemes have powerful and convenient interpretations in terms of transforming nonselective fading channels into frequency- and time-selective ones. ¬© 1997 IEEE.</t>
  </si>
  <si>
    <t>191-205</t>
  </si>
  <si>
    <t>60022195;60022195</t>
  </si>
  <si>
    <t>7003798695;7003263155</t>
  </si>
  <si>
    <t>Wornell, Gregory W.;Trott, Mitchell D.</t>
  </si>
  <si>
    <t>Wornell G.</t>
  </si>
  <si>
    <t>Efficient signal processing techniques for exploiting transmit antenna diversity on fading channels</t>
  </si>
  <si>
    <t>S1053587X97005308</t>
  </si>
  <si>
    <t>10.1109/78.552216</t>
  </si>
  <si>
    <t>2-s2.0-0030735497</t>
  </si>
  <si>
    <t>Chrysler</t>
  </si>
  <si>
    <t>['update time', 'target maneuvering', 'state estimator', 'state estimation', 'solved using', 'residual error', 'new approach', 'neural tracker', 'neural network', 'adaptively varying']</t>
  </si>
  <si>
    <t>A state estimator based on neural network is applied to phased array tracking. The state estimation is formulated as a dynamic optimization problem, and solved using a Iloplielcl neural network. This neural tracker has the flexibility for adaptively varying the target-track update rate as a function of target maneuvering. The value of the update time is dependent on the magnitude of the residual error of the state estimator. Simulation results show improvement of the new approach over the standard variable update time a- filter for phased array tracking. ¬© 1997 IEEE.</t>
  </si>
  <si>
    <t>301-307</t>
  </si>
  <si>
    <t>IEEE Transactions on Aerospace and Electronic Systems</t>
  </si>
  <si>
    <t>Leung, Henry</t>
  </si>
  <si>
    <t>Defence Research and Development Canada</t>
  </si>
  <si>
    <t>Leung H.</t>
  </si>
  <si>
    <t>A hopfield neural tracker for phased array antenna</t>
  </si>
  <si>
    <t>10.1109/7.570790</t>
  </si>
  <si>
    <t>2-s2.0-0030735750</t>
  </si>
  <si>
    <t>NSC85-2213-E002-008</t>
  </si>
  <si>
    <t>['two terms', 'two methods', 'steering errors', 'proposed methods', 'probabilistic distribution', 'phase perturbation', 'optimization problem', 'minimized consists', 'method yields', 'implementation algorithm', 'first formulate', 'cost function', 'also presented', 'also investigate']</t>
  </si>
  <si>
    <t>Adaptive arrays</t>
  </si>
  <si>
    <t>This paper considers adaptive array beaniforrning in the presence of random steering vector errors. We first formulate the problem of finding an optimal steering vector as an optimization problem. The cost function to be minimized consists of two terms which utilize a posteriori information due to the received signal data and a priori information due to the probabilistic distribution of steering errors, respectively. Two methods are then presented to find the optimal steering constraint vector. It is shown that each method yields a closed-form optimal solution if the steering error vector is an additive Gaussian random vector. We also investigate the performance for each method. Modification of the proposed methods and an implementation algorithm for dealing with the case of steering vector errors due to phase perturbation are also presented. Finally, several computer simulation examples are presented for illustration. ¬© 1997 IEEE.</t>
  </si>
  <si>
    <t>168-175</t>
  </si>
  <si>
    <t>60005429;60005429</t>
  </si>
  <si>
    <t>7410157980;56948251900</t>
  </si>
  <si>
    <t>Lee, Cheng Chou;Lee, Ju Hong</t>
  </si>
  <si>
    <t>National Taiwan University</t>
  </si>
  <si>
    <t>Robust adaptive array beamforming under steering vector errors</t>
  </si>
  <si>
    <t>S0018926X97010570</t>
  </si>
  <si>
    <t>10.1109/8.554254</t>
  </si>
  <si>
    <t>2-s2.0-0030735817</t>
  </si>
  <si>
    <t>['urgent requirement', 'uniform trajectory', 'sustained research', 'space restrictions', 'rsar technique', 'radar system', 'production platforms', 'operational hf', 'memorial university', 'low velocity', 'large area', 'industrial developers', 'ice hazards', 'horizon detection', 'gwr systems', 'gwr system', 'flying aircraft', 'coastal surveillance', 'based system', 'also anticipated']</t>
  </si>
  <si>
    <t>Sustained research and development at Memorial University of Newfoundland has led to an operational High Frequency Ground Wave Radar (HF-GWR) system for coastal surveillance. This radar system has demonstrated over-the-horizon detection of targets such as vessels, ice hazards and low-flying aircraft, and performed ocean parameter measurements over a large area. The industrial developers of offshore hydrocarbon reserves in ice infested regions have an urgent requirement for the long range detection and tracking of icebergs from their production platforms. However, due to space restrictions, a rig- or ship-based system can only accommodate a compact antenna array. The uniform trajectory and low velocity of icebergs is ideal for Reciprocal Synthetic Aperture Radar (RSAR) processing with long target dwell times. The proven ice detection capability of HF-GWR systems, coupled with the compact antennas suggested by the RSAR technique, can be used to develop a rig- or ship-based all-weather surveillance device for ice hazards. It is also anticipated that the results of this research will allow the use of shorter antenna arrays for many other applications. Preliminary results using real data from the operational HF-GWR system are presented. C-Core.</t>
  </si>
  <si>
    <t>40-43</t>
  </si>
  <si>
    <t>Khan, Rafaat H.</t>
  </si>
  <si>
    <t>St John's</t>
  </si>
  <si>
    <t>Memorial University of Newfoundland</t>
  </si>
  <si>
    <t>Khan R.</t>
  </si>
  <si>
    <t>Target detection and tracking with HF radar using reciprocal SAR techniques</t>
  </si>
  <si>
    <t>10.1109/62.560336</t>
  </si>
  <si>
    <t>2-s2.0-0030735826</t>
  </si>
  <si>
    <t>European Space Agency</t>
  </si>
  <si>
    <t>ESA</t>
  </si>
  <si>
    <t>['wide field', 'visibility samples', 'view required', 'triangularshaped arrays', 'technologically attractive', 'shaped arrays', 'sampling strategy', 'revisit time', 'reduced mass', 'receiver phase', 'radiometric resolution', 'ocean salinity', 'nondirective antennas', 'noise ratio', 'mutual coupling', 'minimum number', 'main contribution', 'interpolation processes', 'induced artifacts', 'ideal case', 'hardware requirements', 'hardware calibrated', 'complex correlation', 'antenna errors', 'amplitude errors', 'allows us', '3 days', '3 ].', '20 km', '1 ].']</t>
  </si>
  <si>
    <t>Hexagonal fourier transform | Interferometry | Reciprocal basis | Visibilities</t>
  </si>
  <si>
    <t>In Earth observation programs there is a need of passive low frequency (L-band) measurements to monitor soil moisture and ocean salinity with high spatial resolution 10-20 Km, a radiometric resolution of IK and a revisit time of 1-3 days [1]. Compared to total power radiometers aperture synthesis interferometric radiometers are technologically attractive because of their reduced mass and hardware requirements. In this field it should be mentioned the one-dimensional (1-D) linear interferometer ESTAR developed by NASA [2] and MIRAS a two-dimensional (2-D) Y-shaped interferometer currently under study by European Space Agency (ESA) [3]. Interferometer radiometers measure the correlation between pairs of nondirective antennas. Each complex correlation is a sample of the "visibility" function which, in the ideal case, is the spatial Fourier transform of the brightness temperature distribution. Since most receiver phase and amplitude errors can be hardware calibrated, Fourier based iterative inversion methods will be useful when antenna errors are small, their radiation voltage patterns are not too different, and mutual coupling is small. In order to minimize on-board hardware requirements-antennas, receivers and correlators-the choice of the interferometer array shape is of great importance since it determines the (it, v) sampling strategy and the minimum number of visibility samples required for a determined aliasing level. In this sense, Y-shaped and triangularshaped arrays with equally spaced antennas are optimal. The main contribution of this paper is a technique that allows us to process the visibility samples over the hexagonal sampling grids given by Y-shaped and triangular-shaped arrays with standard rectangular FFT routines. Since no interpolation processes are involved, the risk of induced artifacts in the recovered brightness temperature over the wide field of view required in Earth observation missions is minimized and signal to noise ratio (SNR) is preserved. ¬© 1997 IEEE.</t>
  </si>
  <si>
    <t>183-190</t>
  </si>
  <si>
    <t>60007592;60007592;60007592;60007592</t>
  </si>
  <si>
    <t>7005018006;7005053049;7003676233;7102336728</t>
  </si>
  <si>
    <t>Camps, Adriano;Bar√¢, Javier;Sanahuja, Ignasi Corbella;Torres, Francesc</t>
  </si>
  <si>
    <t>The processing of hexagonally sampled signals with standard rectangular techniques: application to 2-d large aperture synthesis interferometric radiometers</t>
  </si>
  <si>
    <t>S0196289297003641</t>
  </si>
  <si>
    <t>10.1109/36.551946</t>
  </si>
  <si>
    <t>2-s2.0-0030736054</t>
  </si>
  <si>
    <t>['wave uriels', 'wave mode', 'vector integral', 'strong leaky', 'reciprocity theorem', 'photonic band', 'observation suggests', 'microstrip antenna', 'high gain', 'greatly enhanced', 'grating structure', 'equation analysis', 'beam angle']</t>
  </si>
  <si>
    <t>Photonic band-gap | Printed antennas</t>
  </si>
  <si>
    <t>It is found through a vector integral-equation analysis and the reciprocity theorem that the gain of a microstrip antenna can be greatly enhanced with a photonic band-gap (PBG) material layer either as the substrate or the superstrate. The beam angle is found to coincide with that of a leaky-wave mode of a planar-grating structure. This observation suggests that high gain is due to the excitation of strong leaky-wave Uriels. ¬© 1997 IEEE.</t>
  </si>
  <si>
    <t>185-187</t>
  </si>
  <si>
    <t>60027561;60027561;60027561</t>
  </si>
  <si>
    <t>7406565241;7004468161;7006814090</t>
  </si>
  <si>
    <t>Yang, Hung Yu David;Alexopoulos, Nicolaos G.;Yablonovitch, Eli</t>
  </si>
  <si>
    <t>University of Illinois at Chicago</t>
  </si>
  <si>
    <t>Yang H.</t>
  </si>
  <si>
    <t>Photonic band-gap materials for high-gain printed circuit antennas</t>
  </si>
  <si>
    <t>S0018926X97004584</t>
  </si>
  <si>
    <t>10.1109/8.554261</t>
  </si>
  <si>
    <t>2-s2.0-0030736440</t>
  </si>
  <si>
    <t>NSG-1613</t>
  </si>
  <si>
    <t>['two types', 'serrated edge', 'proposed measurements', 'edge termination', 'better able', 'accurately providing']</t>
  </si>
  <si>
    <t>Measurements | Reflector antennas</t>
  </si>
  <si>
    <t>Compact range measurements with a serrated edge and a blended, rolled edge reflector are compared in this paper. This is done by using simulated antenna pattern and backscattered field measurements. The measurement errors caused by stray signals emanating from the edge termination of reflector are discussed. It has been found that different stray signal sources impact measurement accuracy from different aspect angles. In addition, the measurement accuracy achievable with different reflector systems is dependent on the characteristics of the antenna or scatterer under test. From these findings, one will be better able to understand how well these two types of reflectors will perform in terms of accurately providing the proposed measurements. Consequently, one will be able to choose the best reflector design for his/her application. ¬© 1997 IEEE.</t>
  </si>
  <si>
    <t>57-65</t>
  </si>
  <si>
    <t>8362621300;7004270570</t>
  </si>
  <si>
    <t>Lee, Teh Hong;Burnside, Walter D.</t>
  </si>
  <si>
    <t>Lee T.</t>
  </si>
  <si>
    <t>Compact range reflector edge treatment impact on antenna and scattering measurements</t>
  </si>
  <si>
    <t>S0018926X97004419</t>
  </si>
  <si>
    <t>10.1109/8.554241</t>
  </si>
  <si>
    <t>2-s2.0-0030736795</t>
  </si>
  <si>
    <t>['verified experimentally', 'total population', 'sample population', 'sample configuration', 'radiation pattern', 'powerful tool', 'possible lengths', 'performed satisfactorily', 'optimal solution', 'one another', 'nec ).', 'monopole loaded', 'genetic algorithm', 'frequency range', 'electromagnetic code', 'desired pattern', 'computed using', 'computational results', 'best solutions', 'analyzed using', '8 ghz', '6 ghz']</t>
  </si>
  <si>
    <t>Antennas | Genetic algorithms</t>
  </si>
  <si>
    <t>A genetic algorithm is used to design a monopole loaded with a modified folded dipole so that it radiates uniform power over the hemisphere. Each of the wires that make up the antenna are given a range of possible lengths. The genetic algorithm randomly selects a sample population of possible antenna configurations from the total population of all configurations. The radiation pattern of each sample configuration is computed using the numerical electromagnetics code (NEC). The solutions are compared with the desired pattern and ranked in terms of performance. The best solutions are retained and mated with one another and the process is repeated until an optimal solution is obtained. The genetic algorithm quickly produced an antenna that has a nearly uniform power over the hemisphere. Although the antenna was designed to operate at a frequency of 1.6 GHz, it performed satisfactorily over the frequency range from 1.4 to 1.8 GHz. The antenna was fabricated and the computational results were verified experimentally. We have shown that the genetic algorithm is a very powerful tool for designing wire antennas; it is expected that this process can be used to design any antenna that can be analyzed using an electromagnetic code.</t>
  </si>
  <si>
    <t>60001247;60001247</t>
  </si>
  <si>
    <t>Design of a loaded monopole having hemispherical coverage using a genetic algorithm</t>
  </si>
  <si>
    <t>S0018926X97004328</t>
  </si>
  <si>
    <t>10.1109/8.554232</t>
  </si>
  <si>
    <t>2-s2.0-0030737021</t>
  </si>
  <si>
    <t>['theoretical predictions', 'radio lan', 'normal direction', 'antenna pattern', '2 ghz']</t>
  </si>
  <si>
    <t>Patch antennas | Radio lan</t>
  </si>
  <si>
    <t>A TM02-mode circular patch antenna for the application of radio LAN's is reported. An experimental prototype operating at 5.2 GHz is designed and tested. The antenna pattern is omnidirectional in azimuth and has a notch in the normal direction. A 3.3% bandwidth of VSWR &lt; 2 and 4.2-dB antenna gain were measured. Experimental results agree well with theoretical predictions. ¬©1997 IEEE.</t>
  </si>
  <si>
    <t>177-178</t>
  </si>
  <si>
    <t>60008524;60008524;60008524;60008524</t>
  </si>
  <si>
    <t>55911871600;7004827867;6603101867;7201743596</t>
  </si>
  <si>
    <t>Quo, Y. J.;Paez, A.;Sadeghzadeh, R. A.;Barton, S. K.</t>
  </si>
  <si>
    <t>Quo Y.</t>
  </si>
  <si>
    <t>A circular patch antenna for radio LAN's</t>
  </si>
  <si>
    <t>S0018926X97004535</t>
  </si>
  <si>
    <t>10.1109/8.554256</t>
  </si>
  <si>
    <t>2-s2.0-0030737444</t>
  </si>
  <si>
    <t>MIP 9308919</t>
  </si>
  <si>
    <t>['wiener model', 'theoretical results', 'state analysis', 'stages causes', 'stage captures', 'square error', 'signal cross', 'parallel implementation', 'minimum mean', 'initialization strategy', 'different source', 'correlation causes', 'convergence properties', 'computer simulations', 'cascade structure', 'adaptive cancellers']</t>
  </si>
  <si>
    <t>A steady-state analysis of the multistage constant modulus (CM) array is presented for the case of correlated source signals. Using a Wiener model for the converged adaptive algorithms, it is demonstrated that because of the cascade structure, signal cross-correlation causes "phantom" sources to be present. The resulting signal leakage in the adaptive cancellers between stages causes an increase in the minimum mean-square error. A parallel implementation that overcomes this loss in performance is described; it requires an initialization strategy to ensure that each stage captures a different source. Computer simulations are presented to illustrate the convergence properties of the cascade and parallel CM array systems and to verify the theoretical results. ¬© 1997 IEEE.</t>
  </si>
  <si>
    <t>280-286</t>
  </si>
  <si>
    <t>60029241-60076836;60029241;60026638;60029241</t>
  </si>
  <si>
    <t>55432128000;6602531600;7005641508;7005702908</t>
  </si>
  <si>
    <t>Mathur, Amit;Keerthi, Arvind V.;Shynk, John J.;Gooch, Richard P.</t>
  </si>
  <si>
    <t>United States;United States;Finland</t>
  </si>
  <si>
    <t>Sunnyvale;Santa Barbara;Espoo</t>
  </si>
  <si>
    <t>Applied Signal Technology;University of California, Santa Barbara;Nokia Corporation</t>
  </si>
  <si>
    <t>60076836;60029241;60026638</t>
  </si>
  <si>
    <t>Mathur A.</t>
  </si>
  <si>
    <t>Convergence properties of the multistage constant modulus array for correlated sources</t>
  </si>
  <si>
    <t>S1053587X97005242</t>
  </si>
  <si>
    <t>10.1109/78.552231</t>
  </si>
  <si>
    <t>2-s2.0-0030781827</t>
  </si>
  <si>
    <t>NSC 82-0420-E006-467</t>
  </si>
  <si>
    <t>['rl ),', 'radio frequency', 'numerically determined', 'microwave applicator', 'hyperthermia heating', 'human body', 'field radiation', 'field exposure', 'dipole wire', 'antenna applicator', 'also important', 'abdomen part', '915 mhz']</t>
  </si>
  <si>
    <t>Numerical computation results of fat layer effects on the microwave near field radiation to the abdomen of a threedimensional (3-D) full-scale human body model are presented. The human body is modeled as a 3-D homogeneous muscle phantom with a fat layer covering the abdomen part. The dipole wire-antenna located proximate to the abdomen is used as the microwave radiation source at 915 MHz. This is to study the effects on hyperthermia heating by using the microwave applicator (at 915 MHz) or the near-field exposure from the proximate handset antenna to the human body at ISM band wireless communication band (902-928 MHz). Coupled integral equations (CIE) and the method of moments (MoM) are employed to numerically compute electromagnetic (EM) energy deposition specific absorption rate (SAR) from the radio frequency (RF) antenna applicator into the proximate fat layer covered abdomen. The antenna input impedance (proximate to the body), return loss (RL), and the resonant antenna length (proximate to the body) will also be numerically determined to increase the microwave power delivered into the body. The study of fat layer effects is important for microwave hyperthermia applications. It is also important for the investigation of the potential health hazard from the near-field radiation of a wireless communication antenna. ¬© 1997 IEEE.</t>
  </si>
  <si>
    <t>118-125</t>
  </si>
  <si>
    <t>Chuang, H. R.</t>
  </si>
  <si>
    <t>Chuang H.</t>
  </si>
  <si>
    <t>Numerical computation of fat layer effects on microwave near-field radiation to the abdomen of a full-scale human body model</t>
  </si>
  <si>
    <t>S0018948097002822</t>
  </si>
  <si>
    <t>10.1109/22.552040</t>
  </si>
  <si>
    <t>2-s2.0-0030781841</t>
  </si>
  <si>
    <t>['true settlement', 'scanning case', 'proposed method', 'parabolic reflector', 'multibeam reflector', 'initial condition', 'continuous beam', 'cluster feeds', 'beam former', 'array feeds', 'antenna design', 'also applied']</t>
  </si>
  <si>
    <t>Optimization methods | Reflector antennas</t>
  </si>
  <si>
    <t>We study pattern optimization of a parabolic reflector with planar-array feeds and cluster feeds. The optimization is carried out within conjugate gradient method (CGM) in which optimum weight vector of linearly constrained minimum variance (LCMV) beam former is used as the initial condition. The optimization with CGM to determine element weights is found to yield better sidelobe suppression and true settlement of desired scan direction compared to the LCMV beam former and conjugate field matching (CFM) techniques for a continuous beam-scanning case. The proposed method is also applied to the multibeam reflector-antenna design. ¬© 1997 IEEE.</t>
  </si>
  <si>
    <t>60020484;60020484</t>
  </si>
  <si>
    <t>7003873500;7003893885</t>
  </si>
  <si>
    <t>Saka, Birsen;Yazgan, Erdem</t>
  </si>
  <si>
    <t>Pattern optimization of a reflector antenna with planar-array feeds and cluster feeds</t>
  </si>
  <si>
    <t>S0018926X97004456</t>
  </si>
  <si>
    <t>10.1109/8.554245</t>
  </si>
  <si>
    <t>2-s2.0-0030781935</t>
  </si>
  <si>
    <t>MIP9309506</t>
  </si>
  <si>
    <t>['temporal equalizer', 'temporal equalization', 'modulus algorithm', 'cma ).', 'antenna arrays']</t>
  </si>
  <si>
    <t>Adaptive equalizer | Blind equalization | Spatial-temporal processing</t>
  </si>
  <si>
    <t>Spatial-temporal equalizer can be used in the wireless communication systems with antenna arrays to improve the performance. This article introduces two blind adaptive algorithms for spatial-temporal equalization. Computer simulation demonstrates that the new algorithms converge faster than fractionally spaced constant-modulus algorithm (FS-CMA).</t>
  </si>
  <si>
    <t>25-27</t>
  </si>
  <si>
    <t>IEEE Communications Letters</t>
  </si>
  <si>
    <t>60020304-60014300;60020304</t>
  </si>
  <si>
    <t>57195633181;57218985068</t>
  </si>
  <si>
    <t>Li, Ye;Liu, K. J.Ray</t>
  </si>
  <si>
    <t>College Park;San Antonio</t>
  </si>
  <si>
    <t>University of Maryland, College Park;AT&amp;T Inc.</t>
  </si>
  <si>
    <t>60020304;60014300</t>
  </si>
  <si>
    <t>Li Y.</t>
  </si>
  <si>
    <t>Blind adaptive spatial-temporal equalization algorithms for wireless communications using antenna arrays</t>
  </si>
  <si>
    <t>10.1109/4234.552146</t>
  </si>
  <si>
    <t>2-s2.0-0030782844</t>
  </si>
  <si>
    <t>['signal strength', 'signal scintillation', 'microwave propagation', 'large nonuniformities', 'field region', 'cloudy conditions', 'clear weather', 'antenna focused', 'antenna aperture']</t>
  </si>
  <si>
    <t>Aperture antennas</t>
  </si>
  <si>
    <t>At low-beam elevation angles, measurements of microwave propagation from satellite to ground have exhibited large variations in signal strength under clear weather and cloudy conditions. Large nonuniformities in the three-dimensional (3-D) near-field region of an antenna focused to infinity have been computed. These field nonuniformities interacting with a dynamic turbulent troposphere can introduce phase errors at the antenna aperture, resulting in signal scintillation and loss. ¬© 1997 IEEE.</t>
  </si>
  <si>
    <t>181-183</t>
  </si>
  <si>
    <t>Tomiyasu, K.</t>
  </si>
  <si>
    <t>Tomiyasu K.</t>
  </si>
  <si>
    <t>Power densities in the near field of a large antenna focused to infinity</t>
  </si>
  <si>
    <t>S0018926X97004560</t>
  </si>
  <si>
    <t>10.1109/8.554259</t>
  </si>
  <si>
    <t>2-s2.0-0030783541</t>
  </si>
  <si>
    <t>['singular vectors', 'proposed 2', 'proper dimension', 'partial adaptivity', 'paper considers', 'optimal solution', 'namely determining', 'found analytically', 'first show', 'efficient method', 'detection formulas', 'design problem', 'also investigate']</t>
  </si>
  <si>
    <t>This paper considers the problem of designing a two-dimensional (2-D) rectangular array beamformer with partial adaptivity. Using the eigenstructure of the signal data received by a 2-D rectangular array beamformer, we first show that the optimal weight matrix when using full adaptivity can be obtained from a set of singular vectors. Then the design problem of using partial adaptivity is formulated. As a result, the optimal solution for the partially adaptive weight matrix can be found by solving two basic problems, namely determining the proper dimension of the partially adaptive weight matrix and the set of the singular vectors. We develop the detection formulas for the information theoretic criteria AIC and MDL to find the proper dimension. Next, an efficient method is presented so that the optimal solution for the set of the singular vectors can be found analytically. We also investigate the required computational complexity. It is shown that 2-D partially adaptive beamforming using the proposed technique requires less computational complexity than 2-D fully adaptive beamforming using conventional techniques. Moreover, computer simulations demonstrate that the proposed 2-D partially adaptive technique provides satisfactory array performance when compared with conventional fully adaptive techniques. ¬© 1997 IEEE.</t>
  </si>
  <si>
    <t>157-167</t>
  </si>
  <si>
    <t>7405731683;56948251900</t>
  </si>
  <si>
    <t>Yu, Shiann Jeng;Lee, Ju Hong</t>
  </si>
  <si>
    <t>Yu S.</t>
  </si>
  <si>
    <t>Design of two-dimensional rectangular array beamformers with partial adaptivity</t>
  </si>
  <si>
    <t>S0018926X97010569</t>
  </si>
  <si>
    <t>10.1109/8.554253</t>
  </si>
  <si>
    <t>2-s2.0-0030783542</t>
  </si>
  <si>
    <t>['tab monopole', 'readily integrated', 'quarter wavelength', 'measured sii', 'gain patterns', '50 %.']</t>
  </si>
  <si>
    <t>Printed antennas</t>
  </si>
  <si>
    <t>A new, compact, broadband printed antenna called the tab monopole is described. The tab monopole is a small antenna designed primarily for applications requiring antennas that can be readily integrated with printed circuit boards. The tab monopole is smaller than a quarter wavelength in size but provides a 2:1 VSWR bandwidth of greater than 50%. Measured Sii and gain patterns are provided. ¬© 1997 IEEE.</t>
  </si>
  <si>
    <t>187-188</t>
  </si>
  <si>
    <t>6507818858;7102110120</t>
  </si>
  <si>
    <t>Michael Johnson, J.;Rahmat-Samii, Yahya</t>
  </si>
  <si>
    <t>Michael Johnson J.</t>
  </si>
  <si>
    <t>The tab monopole</t>
  </si>
  <si>
    <t>S0018926X97004596</t>
  </si>
  <si>
    <t>10.1109/8.554262</t>
  </si>
  <si>
    <t>2-s2.0-0030783613</t>
  </si>
  <si>
    <t>['square error', 'output signal', 'minimum mean', 'form expression', 'constrained beamformers']</t>
  </si>
  <si>
    <t>In this paper, the closed-form expression is derived which relates the output signal-to-interference plus noise ratio to the minimum mean-square error of constrained beamformers for narrowband and wideband signal environments. ¬© 1997 IEEE.</t>
  </si>
  <si>
    <t>60019228;60019228</t>
  </si>
  <si>
    <t>14062513400;7102915755</t>
  </si>
  <si>
    <t>Scott Goldstein, J.;Reed, Irving S.</t>
  </si>
  <si>
    <t>Air Force Research Laboratory</t>
  </si>
  <si>
    <t>Scott Goldstein J.</t>
  </si>
  <si>
    <t>Performance measures for optimal constrained beamformers</t>
  </si>
  <si>
    <t>S0018926X97004341</t>
  </si>
  <si>
    <t>10.1109/8.554234</t>
  </si>
  <si>
    <t>2-s2.0-0030783615</t>
  </si>
  <si>
    <t>NSC86-2221-E005-021</t>
  </si>
  <si>
    <t>['reflected signal', 'radiation properties', 'outer conductor', 'multiple slots', 'matching methods', 'coaxial cable', 'circumferential slot', 'also studied', 'also included', 'accumulated effect']</t>
  </si>
  <si>
    <t>Coaxial cable | Galerkin's method | Modematching | Monte carlo simulation | Slot radiation</t>
  </si>
  <si>
    <t>Both the Galerkin's and mode-matching methods are used to analyze the reflection and radiation properties of a coaxial cable with a circumferential slot on the outer conductor. The effects of higher order modes are also included. The accumulated effect of multiple slots on the reflected signal is also studied by using a Monte Carlo simulation. ¬© 1997 IEEE.</t>
  </si>
  <si>
    <t>102-107</t>
  </si>
  <si>
    <t>Radiation properties of circumferential slots on a coaxial cable</t>
  </si>
  <si>
    <t>S001894809700272X</t>
  </si>
  <si>
    <t>10.1109/22.552038</t>
  </si>
  <si>
    <t>2-s2.0-0030784010</t>
  </si>
  <si>
    <t>['unique aspects', 'transmit pulse', 'signal processing', 'seawinds instrument', 'seawinds employs', 'sea winds', 'relative advantages', 'nasa scatterometer', 'beam technique', 'antenna rather', 'advanced follow', '11 ],']</t>
  </si>
  <si>
    <t>Radar | Scatterometry | Seawinds | Wind measurement</t>
  </si>
  <si>
    <t>Sea Winds is a spaceborne wind scatterometer to be flown on the second Japanese Advanced Earth Observing Satellite (ADEOS-II) in 1999. An important international element of NASA's earth observing system (EOS), Sea Winds is an advanced follow-on to the NASA scatterometer (NSCAT) on the first ADEOS platform. Unlike previous operational spaceborne scatterometer systems, SeaWinds employs a scanning "pencilbeam" antenna rather than a "fan-beam" antenna, making the instrument more compact and yielding greater ocean coverage. The goals of this paper are twofold. First, the overall SeaWinds functional design and backscatter measurement approach are described, and the relative advantages of the pencil-beam technique are outlined. Second, the unique aspects of measurement accuracy optimization and signal processing for the SeaWinds instrument are discussed. Applying the results of a separate companion paper [11], a technique to significantly improve measurement accuracy by modulating the transmit pulse is described. Trade-offs to optimize the transmit modulation bandwidth are presented. ¬© 1997 IEEE.</t>
  </si>
  <si>
    <t>115-126</t>
  </si>
  <si>
    <t>60009037;60009037;60009037</t>
  </si>
  <si>
    <t>7202030186;36438793500;35508257500</t>
  </si>
  <si>
    <t>Spencer, Michael W.;Wu, Chialin;Long, David G.</t>
  </si>
  <si>
    <t>Spencer M.</t>
  </si>
  <si>
    <t>Tradeoffs in the design of a spaceborne scanning pencil beam scatterometer: application to seawinds</t>
  </si>
  <si>
    <t>S0196289297009698</t>
  </si>
  <si>
    <t>10.1109/36.551940</t>
  </si>
  <si>
    <t>2-s2.0-0030787705</t>
  </si>
  <si>
    <t>['xu introduced', 'unique determination', 'systems transmitting', 'synchronous cdma', 'suppress mai', 'structure information', 'spreading factor', 'signature waveforms', 'signature waveform', 'provides estimates', 'overloaded systems', 'multiuser channels', 'multipath channels', 'intersymbol interference', 'interchip interference', 'easily eliminated', 'directly applied', 'desired users', 'data output', 'asynchronous cdma', 'algorithm cannot', '1 recently']</t>
  </si>
  <si>
    <t>In asynchronous code division multiple access (ACDMA) systems transmitting over multipath channels, both intersymbol interference (ISI) as a result of interchip interference (ICI) and multiple access interference (MAI) cannot be easily eliminated. Although it is possible to design multiuser detectors that suppress MAI and ISI, these detectors often require explicit knowledge of at least the desired users' signature waveform.1 Recently, Liu and Xu introduced a blind estimation algorithm for synchronous CDMA (S-CDMA) systems to estimate the multiuser channels. However, this algorithm cannot be directly applied to an asynchronous CDMA (A-CDMA) system. In this paper, we study a similar blind estimation scheme that provides estimates of the multiuser channels by exploiting the structure information of the data output and the users' delays. In particular, we show that the subspace of the data matrix contains sufficient information for unique determination of channels and, hence, the signature waveforms. By utilizing antenna arrays, we extended our approach to overloaded systems, where the number of users may exceed the spreading factor. ¬© 1997 IEEE.</t>
  </si>
  <si>
    <t>137-147</t>
  </si>
  <si>
    <t>60013372;60013372</t>
  </si>
  <si>
    <t>7003360436;7404265004</t>
  </si>
  <si>
    <t>Torlak, Murat;Xu, Guanghan</t>
  </si>
  <si>
    <t>Torlak M.</t>
  </si>
  <si>
    <t>Blind multiuser channel estimation in asynchronous CDMA systems</t>
  </si>
  <si>
    <t>S1053587X97005369</t>
  </si>
  <si>
    <t>10.1109/78.552212</t>
  </si>
  <si>
    <t>2-s2.0-0030818931</t>
  </si>
  <si>
    <t>DAAHO4-95-1-0246</t>
  </si>
  <si>
    <t>['transmitted signals', 'time model', 'spreading sequences', 'primary way', 'present work', 'novel aspect', 'multipath channels', 'major obstacle', 'interference ratio', 'full exploitation', 'estimation framework', 'detailed knowledge', 'desired user', 'counter fading', 'aperiodic pseudorandom', 'alters waveforms']</t>
  </si>
  <si>
    <t>Multipath induced interchip-interference (ICI) alters waveforms of transmitted signals and presents a major obstacle to direct-sequence (DS) code-division-multiple-access (CDMA) communications. For systems with aperiodic pseudorandom (PN) spreading sequences, the primary way to counter fading is through employing RAKE receivers that enhance the signalto-interference ratio (SIR) by combining multipath signals from the desired user. In this paper, we formulate a discrete-time model for antenna array CDMA systems and study the 2-D RAKE receiver problem by casting it into an optimum vector FIR equalizer design and estimation framework. A novel aspect of the present work is the full exploitation of the potential of 2-D RAKE receivers without requiring any detailed knowledge of the multipath channels. ¬© 1997 IEEE.</t>
  </si>
  <si>
    <t>161-172</t>
  </si>
  <si>
    <t>60021918;60021918</t>
  </si>
  <si>
    <t>36100496000;55664103800</t>
  </si>
  <si>
    <t>Liu, Hui;Zoltowski, Michael D.</t>
  </si>
  <si>
    <t>Liu H.</t>
  </si>
  <si>
    <t>Blind equalization in antenna array CDMA systems</t>
  </si>
  <si>
    <t>S1053587X9700514X</t>
  </si>
  <si>
    <t>10.1109/78.552214</t>
  </si>
  <si>
    <t>2-s2.0-0030819785</t>
  </si>
  <si>
    <t>NSC-83-NSPO-B-RDD-002-02</t>
  </si>
  <si>
    <t>['system performance', 'serve calls', 'satellite network', 'regional network', 'numerical examples', 'novel two', 'lower altitude', 'layer network', 'heavy traffic', 'fully utilize', 'adjustable beams', 'additional functions']</t>
  </si>
  <si>
    <t>A novel two-layer low Earth orbiting (LEO) satellite network is proposed. Comparing with a single layer global network, not only the system performance is improved but also the number of satellites can be reduced. The main ideas include 1) to raise the altitude of the original global network, and 2) to add several satellites at lower altitude to form a regional network to serve calls from the areas of heavy traffic. In order to fully utilize the benefits of the two-layer network, additional functions such as adjustable beams and dynamic channel management are added. Call blocking rate is derived. Numerical examples are provided to demonstrate several interesting phenomena. ¬© 1997 IEEE.</t>
  </si>
  <si>
    <t>225-231</t>
  </si>
  <si>
    <t>101429555;101429555;101429555</t>
  </si>
  <si>
    <t>57137692000;14040268500;57138765800</t>
  </si>
  <si>
    <t>Chin, L. E.Pond;Chang, Jin F.U.;Huang, Chun Ming</t>
  </si>
  <si>
    <t>Shih-Chien Coll</t>
  </si>
  <si>
    <t>Chin L.</t>
  </si>
  <si>
    <t>Performance of a two-layer LEO satellite communication network</t>
  </si>
  <si>
    <t>10.1109/7.570750</t>
  </si>
  <si>
    <t>2-s2.0-0030821057</t>
  </si>
  <si>
    <t>['resulting database', 'path scintillation', 'paper presents', 'interesting discrepancy', 'elevation slant', 'conclusions drawn', '2 ghz']</t>
  </si>
  <si>
    <t>Radio propagation</t>
  </si>
  <si>
    <t>This paper presents the results of and conclusions drawn from two experimental studies of low-elevation slant-path scintillation. Part I describes observations made on an 11.2 GHz, 3.3¬∞ path over a two and a half year period. Received signal strength and a variety of concurrent meteorological parameters were recorded. The resulting database has enabled the veracity of the 1990 International Telecommunications Union-Radio [(ITU-R)-formerly International Consultative Radio Committee (CCIR)] model to be determined. An interesting discrepancy between the CCIR prediction procedure and the experimental data suggests an as yet unmodeled scintillation mechanism operating in wet summer weather. ¬© 1997 IEEE.</t>
  </si>
  <si>
    <t>Mohd Yusoff, M. M.B.</t>
  </si>
  <si>
    <t>Malaysia</t>
  </si>
  <si>
    <t>Minden</t>
  </si>
  <si>
    <t>Universiti Sains Malaysia</t>
  </si>
  <si>
    <t>Mohd Yusoff M.M.B.</t>
  </si>
  <si>
    <t>Evidence for the presence of turbulent attenuation on low-elevation angle earth-space paths-part i: comparison of CCIR recommendation and scintillation observations on a 3.3¬∞ path</t>
  </si>
  <si>
    <t>S0018926X97004432</t>
  </si>
  <si>
    <t>10.1109/8.554243</t>
  </si>
  <si>
    <t>2-s2.0-0030822445</t>
  </si>
  <si>
    <t>['type integrals', 'surface error', 'rms amplitude', 'reflector antennas', 'radiationtype integrals', 'radiation patterns', 'radiation integral', 'physical optics', 'perturbation term', 'pattern data', 'often used', 'integrals presented', 'error profiles', 'error profile', 'aperture integration', 'amplitude coefficients', 'amplitude coefficient']</t>
  </si>
  <si>
    <t>Reflector antennas</t>
  </si>
  <si>
    <t>The physical optics/aperture integration (PO/AI) formulation is often used to analyze the radiation patterns of reflector antennas. In this study, the PO/AI radiation integrals for distorted reflector antennas are addressed. The surface error of the antennas is approximated by a series of surface expansion functions. The radiation integral is decomposed into a series of radiation-type integrals, each of which corresponds to one of the surface expansion functions. Each of these radiationtype integrals is then weighted by amplitude coefficients. The advantage of performing the decomposition is that each of the radiation-type integrals can be computed and the pattern data stored. The computation of the pattern for a distorted reflector antenna with a changing error profile is performed by recalling the pattern data for each perturbation term and weighting it with the amplitude coefficient. This facilitates rapid evaluation of the radiation integral in cases where the error profile is changing (for example, time-varying errors). The superposition of integrals presented in this paper was shown to be valid for surface-error profiles up to 0.1 A rms amplitude. ¬© 1997 IEEE.</t>
  </si>
  <si>
    <t>7406473521;7006495315</t>
  </si>
  <si>
    <t>Smith, William T.;Bastian, Richard James</t>
  </si>
  <si>
    <t>Smith W.</t>
  </si>
  <si>
    <t>An approximation of the radiation integral for distorted reflector antennas using surface-error decomposition</t>
  </si>
  <si>
    <t>S0018926X9700433X</t>
  </si>
  <si>
    <t>10.1109/8.554233</t>
  </si>
  <si>
    <t>2-s2.0-0030822446</t>
  </si>
  <si>
    <t>N-00014-92-J-1253</t>
  </si>
  <si>
    <t>['results show', 'proposed method', 'prefllter controls', 'postfllter design', 'mimo communications', 'joint design', 'greatly reduces', 'error rate']</t>
  </si>
  <si>
    <t>A joint FIR pre and postfllter design for MIMO communications is proposed. The prefllter controls the transmitted signal spectrum and greatly reduces the error rate. We use random search to minimize the mean square error. The proposed method is applied to ocean acoustic channels with an array of spatially diverse antennas. Our results show that the joint design of the pre and postfllter dramatically improves both SISO and especially MIMO channels. ¬© 1997 IEEE.</t>
  </si>
  <si>
    <t>276-280</t>
  </si>
  <si>
    <t>7402560529;7006447110</t>
  </si>
  <si>
    <t>Song, Bong Gee;Ritcey, James A.</t>
  </si>
  <si>
    <t>Song B.G.</t>
  </si>
  <si>
    <t>Joint pre and postfilter design for spatial diversity equalization</t>
  </si>
  <si>
    <t>S1053587X97005254</t>
  </si>
  <si>
    <t>10.1109/78.552230</t>
  </si>
  <si>
    <t>2-s2.0-0030834657</t>
  </si>
  <si>
    <t>['wireless world', 'united states', 'system definition', 'results led', 'period 1974', 'period 1963', 'national academy', 'nas studies', 'define direct', 'cts programs', 'commercial systems', 'colleagues described', 'broadcast satellites', 'author participated', 'arthur c']</t>
  </si>
  <si>
    <t>Arthur C. Clarke's fanions 1945 paper in Wireless World was the first technical attempt to define direct-to-honie satellite broadcasting. The author and colleagues described a technically feasible satellite to demonstrate this in 1965, and in 1966 the author described market services that could be offered. Studies by the National Academy of Sciences for NASA in 1967 defined three classes of broadcast satellites, leading to ATS-6 and CTS satellite programs and a series of service demonstration experiments using them over the period 1974-1979. Results led to operational satellite broadcasting systems in Japan, India and Europe in the 1980s. The United States, having developed the technology and disseminated it internationally, launched its own commercial systems in 1993-1995. The author participated in the NAS studies, ATS-6 and CTS programs, the India National Satellite procurement, and system definition of satellite digital radio broadcasting over the period 1963-1993. This paper is a history of developments in response to the 1996 Pioneer Award. ¬© 1997 IEEE.</t>
  </si>
  <si>
    <t>361-381</t>
  </si>
  <si>
    <t>Marsten, Richard B.</t>
  </si>
  <si>
    <t>Marsten R.</t>
  </si>
  <si>
    <t>A dream come true: satellite broadcasting</t>
  </si>
  <si>
    <t>10.1109/7.570837</t>
  </si>
  <si>
    <t>2-s2.0-0030835110</t>
  </si>
  <si>
    <t>NSC82-F-SP-002-02(1993</t>
  </si>
  <si>
    <t>['two versions', 'satellite networks', 'rarely addressed', 'delicate problem', 'coordination among']</t>
  </si>
  <si>
    <t>The problem of crosslink time slot assignment in low Earth orbiting (LEO) satellite networks is addressed. A crosslink channel connects two neighboring satellites through half-duplexed directional antennas. Coordination among the crosslinks between a satellite and all its neighbors in a dynamic LEO network is a delicate problem and rarely addressed in the literature. The problem is solved here using bipartite graphs. Two versions of slot assignment algorithm are given: distributed and centralized. ¬© 1997 IEEE.</t>
  </si>
  <si>
    <t>60005429;60005429;60005429;60005429</t>
  </si>
  <si>
    <t>7407189745;55557492200;14040268500;57138765800</t>
  </si>
  <si>
    <t>Huang, Jeng J.I.;Tsai, Zse Hong;Chang, Jin F.U.;Huang, Chun Ming</t>
  </si>
  <si>
    <t>Huang J.J.I.</t>
  </si>
  <si>
    <t>Crosslink slot assignment in LEO networks</t>
  </si>
  <si>
    <t>10.1109/7.570707</t>
  </si>
  <si>
    <t>2-s2.0-0030835125</t>
  </si>
  <si>
    <t>['significantly reduced', 'scanning reflector', 'result shows', 'planar reflector', 'deteriorate severely']</t>
  </si>
  <si>
    <t>A dielectric lens antenna with a scanning reflector that is coaxial to the lens is described, and its aberrations are analyzed. The result shows that aberrations of the system will deteriorate severely when a planar reflector is used, but the aberrations can be significantly reduced when a corrected phase reflector is used. ¬© 1997 IEEE.</t>
  </si>
  <si>
    <t>98-101</t>
  </si>
  <si>
    <t>Qin, Yaokun</t>
  </si>
  <si>
    <t>Shanghai</t>
  </si>
  <si>
    <t>Shanghai Transmission Lines Research</t>
  </si>
  <si>
    <t>Qin Y.</t>
  </si>
  <si>
    <t>Dielectric lens antenna with scan reflector</t>
  </si>
  <si>
    <t>10.1109/7.570712</t>
  </si>
  <si>
    <t>2-s2.0-0030846983</t>
  </si>
  <si>
    <t>['waveguide mode', 'truncation scheme', 'surrounding medium', 'radiation patterns', 'radiation modeling', 'radiating structure', 'penetrating portion', 'outer surface', 'matching technique', 'integral equation', 'general shape', 'feeding waveguide', 'ended waveguide', 'element technique', 'cross section', 'computational domain', 'choke ring', 'available measurements']</t>
  </si>
  <si>
    <t>Electromagnetic radiation | Mode-matching methods</t>
  </si>
  <si>
    <t>A method is presented to model electromagnetic radiation, combining the finite-element technique in the penetrating portion of a three-dimensional (3-D) radiating structure with an integral equation on the outer surface of the computational domain, and with a waveguide mode-matching technique on a cross section of the feeding waveguide. The antenna can be of general shape, provided a portion of the surrounding medium up to a surface of revolution is chosen as part of the computational domain. This truncation scheme and the accurate source representation are more general than those existing in the literature for radiation modeling. An open-ended waveguide and a waveguide with a choke ring are analyzed and their radiation patterns are obtained and compared with available measurements. ¬© 1997 IEEE.</t>
  </si>
  <si>
    <t>34-39</t>
  </si>
  <si>
    <t>6701677824;7004364211;6701419948</t>
  </si>
  <si>
    <t>Zuffada, Cinzia;Cwik, Tom;Jamnejad, Vahraz</t>
  </si>
  <si>
    <t>Zuffada C.</t>
  </si>
  <si>
    <t>Modeling radiation with an efficient hybrid finite-element integral-equation waveguide mode-matching technique</t>
  </si>
  <si>
    <t>S0018926X97004389</t>
  </si>
  <si>
    <t>10.1109/8.554238</t>
  </si>
  <si>
    <t>2-s2.0-0030853090</t>
  </si>
  <si>
    <t>NSC85-2213-E-002-020</t>
  </si>
  <si>
    <t>['work reported', 'vectoreffective height', 'technique applies', 'propagation loss', 'numerical results', 'multiple reflection', 'modifled shooting', 'images coherently', 'good approximation', 'deterministic approach', 'corresponding images']</t>
  </si>
  <si>
    <t>In this paper, we will propose a deterministic approach to model the radio wave propagation channels in complex indoor environments. This technique applies the modifled shooting-and-bouncing-ray (SBR) method to find equivalent sources (images) for each launched ray tube. In addition, the first-order wedge diffraction from furniture is included and the diffracted rays also can be attributed to corresponding images. By summing the contributions of all these images coherently, we can obtain the total received field at a receiver. Besides, vectoreffective height (VEH) of an antenna is introduced to consider the polarization coupling effect resulting from the multiple reflection inside the rooms. We verify this approach by comparing the numerical results in three canonical examples where closed-form solutions exist. The good agreement indicates that our method can provide a good approximation of high-frequency radio propagation inside rooms where multiple reflection is dominant. Work reported in this paper has shown that the propagation loss in indoor environments varies considerably according to furniture and polarizations. ¬© 1997 IEEE.</t>
  </si>
  <si>
    <t>98-106</t>
  </si>
  <si>
    <t>7410258526;26023218700</t>
  </si>
  <si>
    <t>Chen, Shin Hon;Jeng, Shyh Kang</t>
  </si>
  <si>
    <t>Chen S.</t>
  </si>
  <si>
    <t>An SBR/image approach for radio wave propagation in indoor environments with metallic furniture</t>
  </si>
  <si>
    <t>S0018926X97004468</t>
  </si>
  <si>
    <t>10.1109/8.554246</t>
  </si>
  <si>
    <t>2-s2.0-0030869815</t>
  </si>
  <si>
    <t>NCR-9410227</t>
  </si>
  <si>
    <t>[]</t>
  </si>
  <si>
    <t>We propose a reduced complexity antenna diversity combiner-equalizer receiver structure to combat multipath fading in cellular mobile radio (CMR) communications. The technique utilizes block adaptation based on interpolated channel estimates and linear or decision feedback equalization. The receiver offers complexity redaction relative to previously proposed block adaptation methods without sacrificing performance.</t>
  </si>
  <si>
    <t>60004923;60004923</t>
  </si>
  <si>
    <t>6602914950;7004157137</t>
  </si>
  <si>
    <t>Eyce√∂z, Tugay;Duel-Hallen, Alexandra</t>
  </si>
  <si>
    <t>Raleigh</t>
  </si>
  <si>
    <t>NC State University</t>
  </si>
  <si>
    <t>Eyce√∂z T.</t>
  </si>
  <si>
    <t>Simplified block adaptive diversity equalizer for cellular mobile radio</t>
  </si>
  <si>
    <t>10.1109/4234.552143</t>
  </si>
  <si>
    <t>2-s2.0-0030871149</t>
  </si>
  <si>
    <t>['rao bound', 'multipath signals', 'method uses', 'antenna array']</t>
  </si>
  <si>
    <t>We propose a novel subspace approach to estimate the angles-of-arrival and delays of multipath signals from digitally modulated sources arriving at an antenna array. Our method uses a collection of estimates of a space-time vector channel. The Cramer-Rao bound (CRB) and simulations are provided.</t>
  </si>
  <si>
    <t>60012708;60012708;60012708</t>
  </si>
  <si>
    <t>6603136961;8751989500;7004920065</t>
  </si>
  <si>
    <t>Vanderveen, Michaela C.;Papadias, Constantinos B.;Paulraj, Arogyaswami</t>
  </si>
  <si>
    <t>Vanderveen M.</t>
  </si>
  <si>
    <t>Joint angle and delay estimation (JADE) for multipath signals arriving at an antenna array</t>
  </si>
  <si>
    <t>10.1109/4234.552142</t>
  </si>
  <si>
    <t>2-s2.0-0030871150</t>
  </si>
  <si>
    <t>F-30602-93-C-0036</t>
  </si>
  <si>
    <t>['various effects', 'reciprocity theorem', 'radiation patterns', 'numerical examples', 'measured data', 'host cylinder', 'element method', 'dimensional method', 'cylindrical body', 'characterized using', 'calculated using', 'also presented']</t>
  </si>
  <si>
    <t>A simplified approach based on reciprocity is presented to calculate the radiation patterns of microstrip patch antennas or arrays on a cylindrical body having an arbitrary cross section. In this approach, the microstrip patch antennas are characterized using the finite-element method, and their radiation patterns are then calculated using a two-dimensional method of moments in conjunction with the reciprocity theorem. The validity of the calculation is demonstrated by comparison with measured data for a microstrip patch antenna on a circular cylinder attached to a plate. Other numerical examples are also presented to show the capability of the method as well as various effects of the host cylinder on radiation patterns. ¬© 1997 IEEE.</t>
  </si>
  <si>
    <t>126-132</t>
  </si>
  <si>
    <t>7403588231;6603567262</t>
  </si>
  <si>
    <t>Jin, Jian Ming;Berrie, Jeffery A.</t>
  </si>
  <si>
    <t>Jin J.M.</t>
  </si>
  <si>
    <t>Calculation of radiation patterns of microstrip antennas on cylindrical bodies of arbitrary cross section</t>
  </si>
  <si>
    <t>S0018926X97004493</t>
  </si>
  <si>
    <t>10.1109/8.554249</t>
  </si>
  <si>
    <t>2-s2.0-0030871515</t>
  </si>
  <si>
    <t>['tropical atlantic', 'std surveys', 'spatiotemporal characteristics', 'shear flows', 'northwestern part', 'initial data', 'golstein problem', 'free sea', 'drifting antennas', 'dispersion curves', 'black sea']</t>
  </si>
  <si>
    <t>The influence of flows with a vertical velocity shear on the formation of spatiotemporal characteristics of short-period internal waves (IW) in three different ocean areas - the shelf of Morocco, the shelf of the Black Sea, and the northwestern part of the tropical Atlantic - was studied. Data of STD surveys and current meters positioned at automatic buoy stations were used as initial data for calculations of eigenfunctions and dispersion curves when solving the Taylor-Golstein problem. Results of these calculations were compared to the spatiotemporal characteristics of short-period internal waves measured in the three sea areas by drifting antennas and antennas under tow with distributed temperature gages. It was shown that the role of shear flows with a vertical velocity shear in the formation of short-period internal waves in a tide-free sea is important.</t>
  </si>
  <si>
    <t>140-145</t>
  </si>
  <si>
    <t>Izvestiya - Atmospheric and Ocean Physics</t>
  </si>
  <si>
    <t>60011313;60011313</t>
  </si>
  <si>
    <t>8284177100;6507283444</t>
  </si>
  <si>
    <t>Ivanov, V. A.;Lisichenok, A. D.</t>
  </si>
  <si>
    <t>Ivanov V.</t>
  </si>
  <si>
    <t>The influence of flows with a vertical velocity shear on the characteristics of short-period internal waves</t>
  </si>
  <si>
    <t>2-s2.0-0030900418</t>
  </si>
  <si>
    <t>['synchronized push', 'subharmonic synchronization', 'strong signal', 'reference signal', 'pull self', 'phase stabilization', 'phase shifting', 'phase locking', 'phase information', 'phase error', 'phase comparator', 'oscillating mixer', 'local oscillator', 'frequency multiplier', 'frequency locking', 'first time', 'experimental demonstration', 'analytical modeling', '12 ghz']</t>
  </si>
  <si>
    <t>Injection-locked oscillators | Phase shifters | Phase-locked oscillators | Phased array antennas | Push-pull oscillator | Self-oscillating mixer</t>
  </si>
  <si>
    <t>The analytical and experimental demonstration of subharmonic synchronization and phase shifting of a push-pull self-oscillating mixer is presented for the first time. Inherent high mixing gain of the self-oscillating mixer circuit is exploited to generate a strong signal at the same frequency of the reference signal, which is related to the local oscillator's (LO) phase information. A phase error between this signal and the reference signal is extracted in a phase comparator before phase locking. Analytical modeling of frequency and phase stabilization of the push-pull self-oscillating mixer is presented, which is also experimentally verified for a self-oscillating mixer at 12 GHz. This self-oscillating mixer circuit demonstrates efficient phase locking, 0¬∞-180¬∞ continuous phase shifting capability in addition to the reported large locking range (&gt;10 MHz), low close-in to carrier phase noise (&lt;7 dB degradation of a 6 GHz synthesized reference signal), and a high mixer conversion gain (&gt;17 dB at 17 GHz). The demonstrated subharmonic phase locking approach replaces the need for a frequency multiplier or divider before the phase comparator. The synchronized push-pull self-oscillating mixer circuit is applicable to the millimeter-wave frequency distributed transmitters and receivers, where low-loss phase shifting and efficient subharmonic phase and frequency locking are hard to achieve. ¬© 1997 IEEE.</t>
  </si>
  <si>
    <t>196-204</t>
  </si>
  <si>
    <t>60014662;60014662;60014662</t>
  </si>
  <si>
    <t>56463134200;55715256300;7006552817</t>
  </si>
  <si>
    <t>Zhou, Xue Song;Zhang, Xiangdong;Daryoush, Afshin S.</t>
  </si>
  <si>
    <t>Drexel University</t>
  </si>
  <si>
    <t>Zhou X.</t>
  </si>
  <si>
    <t>A new approach for a phase controlled self-oscillating mixer</t>
  </si>
  <si>
    <t>S0018948097008235</t>
  </si>
  <si>
    <t>10.1109/22.557600</t>
  </si>
  <si>
    <t>2-s2.0-0031070067</t>
  </si>
  <si>
    <t>['quadrature hybrids', 'quadrature hybrid', 'paper introduces', 'matching networks', 'good performance', 'fringing uriels', 'disk patches', 'available designs', 'appropriate corrections']</t>
  </si>
  <si>
    <t>Elliptic microstrip path | Quadrature hybrid</t>
  </si>
  <si>
    <t>Available designs of quadrature hybrids have used transmission lines, and recently, circular-disk patches. This paper introduces a four-port quadrature hybrid using a microstrip elliptic patch. It is shown that this configuration has good performance as a quadrature hybrid over a fairly large bandwidth. The performance is improved by the introduction of matching networks. The analysis is carried out using the cavity model Green's function with appropriate corrections for the fringing Uriels. A comparison of experimental and theoretical results show good agreement. ¬© 1997 IEEE.</t>
  </si>
  <si>
    <t>307-310</t>
  </si>
  <si>
    <t>60030469;60030469;60030469</t>
  </si>
  <si>
    <t>7406033630;54679423300;6604014057</t>
  </si>
  <si>
    <t>Chan, Kin Lung;Alhargan, Payez A.;Judah, Sunil R.</t>
  </si>
  <si>
    <t>Hull</t>
  </si>
  <si>
    <t>University of Hull</t>
  </si>
  <si>
    <t>Chan K.</t>
  </si>
  <si>
    <t>A quadrature-hybrid design using a four-port elliptic patch</t>
  </si>
  <si>
    <t>S0018948097008442</t>
  </si>
  <si>
    <t>10.1109/22.557619</t>
  </si>
  <si>
    <t>2-s2.0-0031073079</t>
  </si>
  <si>
    <t>['theoretical predictions', 'sw field', 'sustained discharges', 'spectroscopic diagnostics', 'reduced pressure', 'langmuir probe', 'experimental study', 'experimental data', 'conducting inner', 'annular tube', 'accompanying paper', 'absolute measurements']</t>
  </si>
  <si>
    <t>We present an experimental study of azimuthally symmetric surface wave (SW) sustained discharges in argon at reduced pressure in an annular tube with a conducting inner. The presence of this conducting cylinder makes it possible to calibrate the field measuring antennas and perform absolute measurements of the SW field. The experimental data from these absolute measurements, and from Langmuir probe and spectroscopic diagnostics, are compared with the theoretical predictions of an accompanying paper. ¬© 1997 IOP Publishing Ltd.</t>
  </si>
  <si>
    <t>101-110</t>
  </si>
  <si>
    <t>Plasma Sources Science and Technology</t>
  </si>
  <si>
    <t>60004956;60004956;60004956</t>
  </si>
  <si>
    <t>7410273522;35510727400;7202112413</t>
  </si>
  <si>
    <t>Zhang, X. L.;Dias, F. M.;Ferreira, C. M.</t>
  </si>
  <si>
    <t>Zhang X.</t>
  </si>
  <si>
    <t>A self-contained modelling and experimental study of surface wave produced argon discharges in a coaxial setup with a central metallic cylinder: II. Experiment</t>
  </si>
  <si>
    <t>S096302529780429X</t>
  </si>
  <si>
    <t>10.1088/0963-0252/6/1/015</t>
  </si>
  <si>
    <t>2-s2.0-0031073532</t>
  </si>
  <si>
    <t>['wave field', 'order mode', 'axial profile', 'axial component', 'amplitude arises']</t>
  </si>
  <si>
    <t>The axial profile of the axial component of the wave magnetic field Bz has been measured for m = 0 helicon waves. A dip in Bz is observed at z ‚âÉ 25 cm from the antenna, and is explained as a result of the beat between the fundamental and the second-order radial modes of the m = 0 helicon wave. The measured imaginary part of Bz, which consists only of the wave field, is compared with that of the calculated wave field using the theory of the uniform plasma case. It is found that ‚âÉ 40% of the amplitude arises from the second-order mode and the axial damping length of the fundamental mode 1/kiz1 ‚âÉ 70 cm. ¬© 1997 IOP Publishing Ltd.</t>
  </si>
  <si>
    <t>96-100</t>
  </si>
  <si>
    <t>60000264;60000264-60027313;60000264</t>
  </si>
  <si>
    <t>55192589400;55225053700;57197863875</t>
  </si>
  <si>
    <t>Sakawa, Y.;Koshikawa, N.;Shoji, T.</t>
  </si>
  <si>
    <t>Tokyo;Nagoya</t>
  </si>
  <si>
    <t>Tokyo Electric Power Company Holdings, Incorporated;Nagoya University</t>
  </si>
  <si>
    <t>60027313;60000264</t>
  </si>
  <si>
    <t>Sakawa Y.</t>
  </si>
  <si>
    <t>A higher-order radial mode of m = 0 helicon waves</t>
  </si>
  <si>
    <t>S096302529780480X</t>
  </si>
  <si>
    <t>10.1088/0963-0252/6/1/014</t>
  </si>
  <si>
    <t>2-s2.0-0031074373</t>
  </si>
  <si>
    <t>['useful approximations', 'system performance', 'switching times', 'switching time', 'signals measured', 'second phase', 'results indicate', 'relative powers', 'reference case', 'performance tradeoffs', 'parameter selection', 'multibeam antennas', 'multibeam antenna', 'hysterisis level', 'heavy urban', 'gain improvement', 'gain enhancement', 'diversity receivers', 'directional beam', 'characterized based', 'beam azimuths', 'base station', 'also examined', '5 db']</t>
  </si>
  <si>
    <t>Experimental test results are used to determine the performance that can be achieved from a multibeam antenna array, with fixed-beam azimuths, relative to a traditional dualdiversity three-sector antenna configuration. The performance tradeoffs between the hysterisis level, switching time, and gain improvement for a multibeam antenna are also examined. The multibeam antenna uses selection combining to switch the signals from the two strongest directional beams to the base station's main and diversity receivers. To assess the impact of beamwidth on overall system performance, the following two multibeam antennas were tested: a 12-beam 30¬∞ beamwidth array and a 24-beam 15¬∞ beamwidth array. Both multibeam antennas were field-tested in typical cellular base station sites located in heavy urban and light urban environments. Altogether, the system performance is evaluated by investigating three fundamental aspects of multibeam antenna behavior. First, the relative powers of the signals measured in each directional beam of the multibeam antenna are characterized. Then, beam separation statistics for the strongest two signals are examined. Gain improvements achievable with a multibeam antenna compared to the traditional sector configuration are determined in the second phase of the analysis. Results indicate that in excess of 5 dB of gain enhancement can be achieved with a 24-beam base station antenna in a cellular mobile radio environment. Finally, the effects of hysterisis level and switching time are characterized based on gain reductions relative to a reference case with no hysterisis and a 0.5-s switching decision time. Useful approximations are developed for the gain effects associated with varying hysterisis levels and switching times. The resulting design curves and empirical rules allow engineers to quantify multibeam antenna performance while making appropriate tradeoffs for parameter selection. ¬© 1997 IEEE.</t>
  </si>
  <si>
    <t>IEEE Transactions on Vehicular Technology</t>
  </si>
  <si>
    <t>100451964-60026638;100451964;100451964</t>
  </si>
  <si>
    <t>55718933700;7005366806;6701824497</t>
  </si>
  <si>
    <t>Li, Yingjie;Feuerstein, Martin J.;Reudink, Douglas O.</t>
  </si>
  <si>
    <t>Finland;United States</t>
  </si>
  <si>
    <t>Espoo;Bellevue</t>
  </si>
  <si>
    <t>Nokia Corporation;U S WEST NewVector Group Inc.</t>
  </si>
  <si>
    <t>60026638;100451964</t>
  </si>
  <si>
    <t>Performance evaluation of a cellular base station multibeam antenna</t>
  </si>
  <si>
    <t>S0018954597013236</t>
  </si>
  <si>
    <t>10.1109/25.554732</t>
  </si>
  <si>
    <t>2-s2.0-0031075222</t>
  </si>
  <si>
    <t>['v output', 'v array', 'successfully used', 'space available', 'short double', 'scaling calculation', 'range 2', 'optimal antenna', 'novel approach', 'new array', 'nb junctions', 'line type', 'josephson junctions', 'improved coupling', 'device chip', 'crossing steps', 'antenna size', '94 ghz', '8 ghz', '6 ghz', '5 v', '25944 nb']</t>
  </si>
  <si>
    <t>10-v array of josephson junctions | Characteristic impedance | Low-frequency scaling simulation | Millimeter-wave coupling | Propagation delay time | Short-fin-line antenna</t>
  </si>
  <si>
    <t>A novel approach is described for the design of improved coupling of millimeter-waves in a 10-V array of Josephson junctions. In this approach microwave structures were fabricated and tested in the range 2.8 GHz to 3.6 GHz and a scaling calculation was then used to transform them to 94 GHz. By optimizing the trade-off between antenna size and efficiency it was possible to make more space available on the device chip to increase the number of Josephson junctions. Simulation results showed that the optimal antenna is a short double-fin-line type. This antenna type allowed us to fabricate a Josephson junction array that had 25944 Nb/Al-AlO-4/Nb junctions. For this new array zero-crossing steps were observed up to 18.5 V. The new array was then successfully used to calibrate a Zener voltage standard that had a 10-V output. ¬© 1997 IEEE.</t>
  </si>
  <si>
    <t>72-78</t>
  </si>
  <si>
    <t>IEEE Transactions on Instrumentation and Measurement</t>
  </si>
  <si>
    <t>60081240;60031701;60031701</t>
  </si>
  <si>
    <t>7408719577;7202793814;54679440800</t>
  </si>
  <si>
    <t>Yoshida, Haruo;Murayama, Yasushi;Endo, Tadashi</t>
  </si>
  <si>
    <t>Tokyo;Tsukuba</t>
  </si>
  <si>
    <t>Advantest Corporation;Electrotechnical Laboratory</t>
  </si>
  <si>
    <t>60081240;60031701</t>
  </si>
  <si>
    <t>Yoshida H.</t>
  </si>
  <si>
    <t>A new 10-v array of josephson junctions based on low-frequency designs scaled up to 94 ghz</t>
  </si>
  <si>
    <t>S0018945697009261</t>
  </si>
  <si>
    <t>10.1109/19.552160</t>
  </si>
  <si>
    <t>2-s2.0-0031075647</t>
  </si>
  <si>
    <t>['systematic mechanism', 'scattering problems', 'representative example', 'po approximation', 'permits one', 'paper presents', 'moment method', 'mfie ).', 'method uses', 'metallic surfaces', 'metallic structures', 'large platform', 'inherent limitations', 'including wires', 'hybrid techniques', 'hybrid efie', 'hem overcomes', 'hem formulation', 'hem ),', 'fundamental elements', 'errors introduced', 'effectively utilize', 'difficult problem', 'coupled electric', 'closed surfaces', 'based improvements', 'antennas mounted']</t>
  </si>
  <si>
    <t>This paper presents a general unified hybrid method for radiation and scattering problems such as antennas mounted on a large platform. The method uses a coupled electric-field integral equation (EFIE) and magnetic-field integral equation (MFIE) formulation, referred to as the hybrid EFIE-MFIE (HEM), in which the EFIE and MFIE are applied to geometrically distinct regions of an object. HEM is capable of modeling arbitrary three-dimensional (3-D) metallic structures, including wires and both open and closed surfaces. We show that current-based hybrid techniques that utilize physical optics (PO) are an approximation of the HEM formulation. A numerical solution procedure is given that combines the moment method (EFIE) with an iterative Neumann series technique (MFIE). This permits one to effectively utilize the PO approximation when appropriate, and provides a general and systematic mechanism to correct the errors introduced by PO. Consequently, HEM overcomes the inherent limitations of hybrid techniques which rely upon ansatz-based improvements of PO. The method is applied to the problem of radiation from objects that can be modeled using wires and metallic surfaces as fundamental elements. A representative example is given to demonstrate that the method can handle the difficult problem of a parasitic monopole located in the deep shadow region. ¬© 1997 IEEE.</t>
  </si>
  <si>
    <t>265-276</t>
  </si>
  <si>
    <t>7201718319;7102110120</t>
  </si>
  <si>
    <t>Hodges, Richard E.;Rahmat-Samii, Yahya</t>
  </si>
  <si>
    <t>Hodges R.</t>
  </si>
  <si>
    <t>An iterative current-based hybrid method for complex structures</t>
  </si>
  <si>
    <t>S0018926X97014518</t>
  </si>
  <si>
    <t>10.1109/8.560345</t>
  </si>
  <si>
    <t>2-s2.0-0031075859</t>
  </si>
  <si>
    <t>['wave treatment', 'variable size', 'theoretical modeling', 'practical design', 'phase errors', 'paper discusses', 'microstrip patches', 'critical parameters', 'aperture efficiency', 'also discussed', '77 ghz']</t>
  </si>
  <si>
    <t>Microstrip arrays</t>
  </si>
  <si>
    <t>This paper discusses the theoretical modeling and practical design of millimeter wave reflectarrays using microstrip patch elements of variable size. A full-wave treatment of plane wave reflection from a uniform infinite array of microstrip patches is described and used to generate the required patchdesign data and to calculate radiation patterns of the reflectarray. The critical parameters of millimeter wave reflectarray design, such as aperture efficiency, phase errors, losses, and bandwidth are also discussed. Several reflectarray feeding techniques are described, and measurements from four reflectarray design examples at 28 and 77 GHz are presented. ¬© 1997 IEEE.</t>
  </si>
  <si>
    <t>60014313-100312557;60014313-100312557;60014313-100312557</t>
  </si>
  <si>
    <t>7006061921;6603820268;6505938229</t>
  </si>
  <si>
    <t>Pozar, David M.;Targonski, Stephen D.;Syrigos, H. D.</t>
  </si>
  <si>
    <t>Amherst MA;Woburn</t>
  </si>
  <si>
    <t>University of Massachusetts Amherst;Alpha Industries Inc</t>
  </si>
  <si>
    <t>60014313;100312557</t>
  </si>
  <si>
    <t>Pozar D.M.</t>
  </si>
  <si>
    <t>Design of millimeter wave microstrip reflectarrays</t>
  </si>
  <si>
    <t>S0018926X97014555</t>
  </si>
  <si>
    <t>10.1109/8.560348</t>
  </si>
  <si>
    <t>2-s2.0-0031076081</t>
  </si>
  <si>
    <t>['spectral domain', 'side walls', 'planar element', 'mode series', 'fine agreement', 'experimental results', 'eigenfunction technique', 'boundary conditions', 'analyzed using']</t>
  </si>
  <si>
    <t>Antenna theory</t>
  </si>
  <si>
    <t>-A planar element-waveguide mixture structure antenna is analyzed using a spectral domain approach and eigenfunction technique. The difficulty to satisfy the boundary conditions on the side walls of cavities and waveguides in spectral domain is overcome. The confidence in our method is strengthened further by the convergence of mode series and the fine agreement between theoretical and experimental results. ¬© 1997 IEEE.</t>
  </si>
  <si>
    <t>216-220</t>
  </si>
  <si>
    <t>113068765;113068765</t>
  </si>
  <si>
    <t>7202927995;7403279736</t>
  </si>
  <si>
    <t>Jin, Ronghong;Qiu, Yuanheng</t>
  </si>
  <si>
    <t>University P.R China</t>
  </si>
  <si>
    <t>Jin R.</t>
  </si>
  <si>
    <t>Full-wave analysis for antennas with mixture structure of planar elements and waveguides</t>
  </si>
  <si>
    <t>0018926X97014415</t>
  </si>
  <si>
    <t>10.1109/8.560339</t>
  </si>
  <si>
    <t>2-s2.0-0031076226</t>
  </si>
  <si>
    <t>['wider bandwidth', 'two cases', 'structure consists', 'single slot', 'single element', 'radiation patterns', 'new configuration', 'microstrip line', 'measured impedance', 'ground plane', 'frequency operation', 'band operation', 'achieve dual']</t>
  </si>
  <si>
    <t>Dielectric resonator antennas</t>
  </si>
  <si>
    <t>To achieve dual-band operation or wider bandwidth, a new configuration of dielectric resonator antenna is proposed. This structure consists of two rectangular dielectric resonators displaced near two edges of a single slot in the ground plane of a microstrip line. The measured impedance and radiation patterns for two cases are presented. The results for typical examples indicate that impedance bandwidth twice that of a single element or dual-frequency operation at two separate bands can be achieved. ¬© 1997 IEEE.</t>
  </si>
  <si>
    <t>306-308</t>
  </si>
  <si>
    <t>60026338;60026338</t>
  </si>
  <si>
    <t>7402099663;35566584200</t>
  </si>
  <si>
    <t>Fan, Z.;Antar, Y. M.M.</t>
  </si>
  <si>
    <t>Kingston</t>
  </si>
  <si>
    <t>Royal Military College of Canada</t>
  </si>
  <si>
    <t>Fan Z.</t>
  </si>
  <si>
    <t>Slot-coupled DR antenna for dual-frequency operation</t>
  </si>
  <si>
    <t>S0018926X97014579</t>
  </si>
  <si>
    <t>10.1109/8.560351</t>
  </si>
  <si>
    <t>2-s2.0-0031076272</t>
  </si>
  <si>
    <t>['useful closed', 'theoretical model', 'spatial correlation', 'space diversity', 'signal statistics', 'separation reduces', 'results indicate', 'required spacings', 'received signal', 'mean direction', 'mean angle', 'incoming signals', 'incoming beam', 'hybrid space', 'form approximations', 'envelope correlation', 'complex signals', 'base antennas', 'antenna separation', 'also proposed', '7 ¬∞,', '3 ¬∞.']</t>
  </si>
  <si>
    <t>Diversity | Mobile communications | Mobile propagation</t>
  </si>
  <si>
    <t>In this paper, a model is proposed to estimate the signal statistics for urban-area base stations with highly elevated antennas. Based on the model, the envelope correlation of the received signal is estimated in the case of hybrid space-frequency diversity reception at the base. It is shown that the spatial correlation of the complex signals is determined by the mean angle of arrival and the width of the incoming beam. Useful closed-form approximations for inline and broadside antenna orientations are obtained. Comparisons between the theoretical model and available experimental data provide adequate justification for the model. It is shown that the lowest spatial correlations among all the possible angular orientations are obtained when the mean direction of incoming signals is perpendicular to the axis of the base antennas. For this case, an antenna separation of 26A is required to achieve an envelope correlation of 0.7 when the width of the incoming beam is 0.7¬∞, and this separation reduces to 9A for a width of 3¬∞. The results indicate that the required spacings can be further reduced by using frequency diversity in conjunction with space diversity. Generalization of the model to incorporate local scattering effects is also proposed. ¬© 1997 IEEE.</t>
  </si>
  <si>
    <t>176-184</t>
  </si>
  <si>
    <t>60022002;60022002</t>
  </si>
  <si>
    <t>6701851637;55432714600</t>
  </si>
  <si>
    <t>Kalkan, Mine;Clarke, Richard H.</t>
  </si>
  <si>
    <t>Istanbul</t>
  </si>
  <si>
    <t>ƒ∞stanbul Teknik √úniversitesi</t>
  </si>
  <si>
    <t>Kalkan M.</t>
  </si>
  <si>
    <t>Prediction of the Space-Frequency Correlation Function for Base Station Diversity Reception</t>
  </si>
  <si>
    <t>S0018954597006506</t>
  </si>
  <si>
    <t>10.1109/25.554750</t>
  </si>
  <si>
    <t>2-s2.0-0031076393</t>
  </si>
  <si>
    <t>['urban areas', 'transmission channel', 'toradiobase link', 'special case', 'sense stationary', 'paper deals', 'nongeostationary satellite', 'multipath scattering', 'multipath distribution', 'mathematical modeling', 'doppler spectrum', 'detailed knowledge', 'derives formulas', 'densely built', 'calculated using', 'autocorrelation function', 'approach presented']</t>
  </si>
  <si>
    <t>This paper provides analytical expressions for the time-autocorrelation function and the Doppler spectrum in a mobile radio channel in the presence of three-dimensional (3-D) multipath scattering. Mathematical modeling of the transmission channel is based on the assumption of wide-sense stationary (WSS) scattering. This paper deals with the case of a mobileto-mobile radio link and derives formulas for the mobile-toradiobase link as a special case. The Doppler spectrum examples provided are typical when assuming mobile terminal(s) located in densely built-up urban areas and simple dipole terminal antenna(s). Furthermore, the Doppler spectrum for transmission between a nongeostationary satellite and a mobile terminal located on the ground is analyzed. If different antenna patterns are to be considered and detailed knowledge is available on the multipath distribution, realistic Doppler spectra may be calculated using the approach presented in this paper. ¬© 1997 IEEE.</t>
  </si>
  <si>
    <t>Vatalaro, Francesco</t>
  </si>
  <si>
    <t>Vatalaro F.</t>
  </si>
  <si>
    <t>Doppler Spectrum in Mobile-to-Mobile Communications in the Presence of Three-Dimensional Multipath Scattering</t>
  </si>
  <si>
    <t>S0018954597013078</t>
  </si>
  <si>
    <t>10.1109/25.554754</t>
  </si>
  <si>
    <t>2-s2.0-0031076402</t>
  </si>
  <si>
    <t>['theoretical resuts', 'simple method', 'radiation field', 'pulse radiation', 'parabolic mirror', 'far zones', 'experimental investigation', 'exciting v', 'antenna reflected']</t>
  </si>
  <si>
    <t>A simple method for calculating the pulse radiation of an antenna with a reflector is proposed both in the near and far zones. The method is based on a substitution of the radiation field from a parabolic mirror by the radiation field from an exciting V-antenna reflected from the mirror. An experimental investigation of the system radiation field and a comparison with the theoretical resuts have been performed.</t>
  </si>
  <si>
    <t>48-54</t>
  </si>
  <si>
    <t>60075427;60000251-60075427;60075427;60000251-60075427;60000251-60075427;60075427</t>
  </si>
  <si>
    <t>6507201569;6602523526;6602616496;55424194100;6506019327;6603950899</t>
  </si>
  <si>
    <t>Mikheev, Oleg V.;Podosenov, Stanislav A.;Sakharov, Konstantin Y.;Sokolov, Alexander A.;Svekis, Yanis G.;Turkin, Vladimir A.</t>
  </si>
  <si>
    <t>Moscow;New York</t>
  </si>
  <si>
    <t>All-Russian Research Institute for Optical and Physical Measurements;IEEE</t>
  </si>
  <si>
    <t>60075427;60000251</t>
  </si>
  <si>
    <t>Mikheev O.</t>
  </si>
  <si>
    <t>New method for calculating pulse radiation from an antenna with a reflector</t>
  </si>
  <si>
    <t>S0018937597017821</t>
  </si>
  <si>
    <t>10.1109/15.554694</t>
  </si>
  <si>
    <t>2-s2.0-0031076673</t>
  </si>
  <si>
    <t>['time excitations', 'time domain', 'thereby avoiding', 'step response', 'slope discontinuities', 'skin effect', 'ramp response', 'probe coupling', 'integrated term', 'included within', 'include piecewise', 'ground plane', 'finite rise', 'edge reflections', 'easily obtained', 'direct closed', 'digital circuits', 'convenient formulas', 'characterize via']</t>
  </si>
  <si>
    <t>Convenient formulas which characterize via or probe coupling are presented for both frequency-domain mutual impedance and time-domain voltage waveforms. These expressions are valid for arbitrary via locations and take into account all edge reflections. Skin effect is included within the frequency domain formulas. These results have application to power/ground plane "bounce" in digital circuits. They also provide insight into more general transient behavior. A direct closed-form Fourier inversion back into the time domain is detailed for the negligible loss case. To determine the behavior for finite rise-time excitations, the step response is integrated term-by-term to obtain a ramp response. Responses of other excitations, such as a finite rise-time step current, and various pulse currents, are easily obtained through superposition of appropriately delayed ramp responses. This process is extended to include piecewise-quadratic current excitation waveforms, thereby avoiding all slope discontinuities. These somewhat more involved expressions give "smoother" results which may have greater esthetic appeal.</t>
  </si>
  <si>
    <t>60000251-60014708</t>
  </si>
  <si>
    <t>Parker, James C.</t>
  </si>
  <si>
    <t>Santa Clara;New York</t>
  </si>
  <si>
    <t>Sun Microsystems;IEEE</t>
  </si>
  <si>
    <t>60014708;60000251</t>
  </si>
  <si>
    <t>Parker J.</t>
  </si>
  <si>
    <t>Via coupling within parallel rectangular planes</t>
  </si>
  <si>
    <t>S0018937597017869</t>
  </si>
  <si>
    <t>10.1109/15.554691</t>
  </si>
  <si>
    <t>2-s2.0-0031077053</t>
  </si>
  <si>
    <t>['temporal diversities', 'taking advantage', 'special structure', 'simultaneously transmitting', 'sdma system', 'remote users', 'proposed approach', 'proposed algorithm', 'practical applications', 'intersymbol interference', 'field experiments', 'division multiple', 'channel signals', 'channel interference', 'blind channel', 'array output', 'alphabet property', '1 ],']</t>
  </si>
  <si>
    <t>Equalization | Multiple-access</t>
  </si>
  <si>
    <t>Recently, space-division multiple-access (SDMA) schemes [1], [2] have been proposed to increase the capacity of wireless communication systems by simultaneously transmitting and receiving multiple co-channel signals through different spatial channels. In this paper, we address the uplink (remote users to the base station antenna array) blind channel and sequence identification problem for an SDMA system. We show that multiuser blind identification can be accomplished by exploiting the spatial and temporal diversities of an antenna array system. In particular, a recursive estimation algorithm is developed to recover multiple signals from intersymbol interference (ISI) and co-channel interference (CCI) by taking advantage of a special structure of the array output and the finite-alphabet property of digital communication signals. The implementation of the proposed approach in practical applications is discussed, and field experiments have been conducted to demonstrate the effectiveness of the proposed algorithm. ¬© 1997 IEEE.</t>
  </si>
  <si>
    <t>187-199</t>
  </si>
  <si>
    <t>IEEE Transactions on Communications</t>
  </si>
  <si>
    <t>60021918;60021918-60013372</t>
  </si>
  <si>
    <t>36100496000;7404265004</t>
  </si>
  <si>
    <t>Liu, Hui;Xu, Guanghan</t>
  </si>
  <si>
    <t>Charlottesville;Austin</t>
  </si>
  <si>
    <t>University of Virginia;The University of Texas at Austin</t>
  </si>
  <si>
    <t>60021918;60013372</t>
  </si>
  <si>
    <t>Smart antennas in wireless systems: uplink multiuser blind channel and sequence detection</t>
  </si>
  <si>
    <t>S0090677897014074</t>
  </si>
  <si>
    <t>10.1109/26.554367</t>
  </si>
  <si>
    <t>2-s2.0-0031077331</t>
  </si>
  <si>
    <t>['weak coupling', 'scanned using', 'reasonable agreement', 'radiated wave', 'qualitatively predict', 'potential use', 'phase shifting', 'phase offsetting', 'phase control', 'passive radiator', 'new principle', 'new form', 'measured results', 'integrated oscillator', 'injection locked', 'good control', 'external source', 'experimental fourelement', 'coupling mechanism', 'comprehensively reported', 'beam scanning', 'array elements', 'array element', 'achieve configurations', '360 ¬∞']</t>
  </si>
  <si>
    <t>An active antenna consisting of an integrated oscillator with a passive radiator has been arrayed and beam-scanned using a new principle for phase shifting. The radiating elements consist of a transistor oscillator whose frequency is controlled by a rectangular microstrip patch antenna. Each oscillator is injection locked to an external source. The phase control of the radiated wave is achieved by varying the bias on the transistor. Individual element performance has been characterized for potential use as an array element and is comprehensively reported. Methods to achieve configurations with full 360¬∞ phase control have been investigated utilizing novel configurations and cascaded oscillator pairs. Close to 360¬∞ of radiated phase control from each element has been achieved. Measured results on an experimental fourelement S-band array indicate that beam scanning in excess of ¬±60¬∞ can be achieved. Mutual coupling affects on this new form of array are studied both experimentally and theoretically. A Van der Pol model for the weak coupling that is occurring on the array is developed and used to qualitatively predict the phase offsetting on array elements. Reasonable agreement between theory and experiment is obtained and it is observed that good control of the coupling mechanism is essential to array performance within this new form of active integrated phase shifterless array. ¬© 1997 IEEE.</t>
  </si>
  <si>
    <t>297-304</t>
  </si>
  <si>
    <t>60009658-60019702;60009658-60019702;60009658-60019702</t>
  </si>
  <si>
    <t>7003507268;57213425197;7403018268</t>
  </si>
  <si>
    <t>Morrow, Ivor L.;Hall, Peter S.;James, Jim R.</t>
  </si>
  <si>
    <t>Birmingham;Swindon</t>
  </si>
  <si>
    <t>University of Birmingham;Defence College of Management and Technology</t>
  </si>
  <si>
    <t>60019702;60009658</t>
  </si>
  <si>
    <t>Morrow I.</t>
  </si>
  <si>
    <t>Measurement and modeling of a microwave active-patch phased array for wide-angle scanning</t>
  </si>
  <si>
    <t>S0018926X97010582</t>
  </si>
  <si>
    <t>10.1109/8.560349</t>
  </si>
  <si>
    <t>2-s2.0-0031077363</t>
  </si>
  <si>
    <t>['unique words', 'theoretically analyzed', 'stage mechanism', 'smaller values', 'simple three', 'signal validation', 'propagation conditions', 'power ratio', 'pibs derivation', 'periodic transmission', 'paper investigates', 'overall snr', 'matched filter', 'latter half', 'largest output', 'larger improvements', 'first half', 'based upon', 'averaging process']</t>
  </si>
  <si>
    <t>Digital cellular system | Switched niultibeani antenna | TDMA | Time diversity | Unique word detection</t>
  </si>
  <si>
    <t>The probability of incorrect beam selection (PIBS) with a switched niultibeani antenna system is theoretically analyzed under power-limited and interference-limited mobile communication environments. Periodic transmission of unique word sequence followed by information symbol sequence is assumed. The model of beam selection used in this paper is based upon a simple three-stage mechanism: 1) signal validation; 2) averaging; and 3) selection of the largest output. Complex correlation peaks corresponding to the unique words, detected by the matched filter for the signal validation, are averaged over several consecutive unique words, and a beam having the largest output is selected. Equally weighted noncoherent integration is assumed for the averaging process. The beam selection takes place frame-byframe. The first half of this paper is devoted to the PIBS derivation for a simple switched two-beam antenna system. Numerical calculation results are then presented. The latter half of this paper investigates the impact of the incorrect beam selection on overall average signal-to-noise (SNR) power ratio and signal-tointerference (SIR) power ratio. The amount of the overall SNR (or SIR) improvement over the omnidirectional antenna depends on the propagation conditions. In general, larger improvements can be achieved by smaller values of PIBS. ¬© 1997 IEEE.</t>
  </si>
  <si>
    <t>60074974-60025555-100755318;60074974;60074974</t>
  </si>
  <si>
    <t>35570176700;7102995878;6603054099</t>
  </si>
  <si>
    <t>Matsumoto, Tadashi;Nishioka, Seiji;Hodder, David J.</t>
  </si>
  <si>
    <t>New York;Tokyo;New York</t>
  </si>
  <si>
    <t>NTT America, Inc.;Nippon Telegraph and Telephone Corporation;NTT</t>
  </si>
  <si>
    <t>60074974;60025555;100755318</t>
  </si>
  <si>
    <t>Matsumoto T.</t>
  </si>
  <si>
    <t>Beam-selection performance analysis of a switched multibeam antenna system in mobile communications environments</t>
  </si>
  <si>
    <t>S001895459701308X</t>
  </si>
  <si>
    <t>10.1109/25.554733</t>
  </si>
  <si>
    <t>2-s2.0-0031077844</t>
  </si>
  <si>
    <t>['usual three', 'truncated one', 'truncated models', 'third model', 'six degrees', 'realistic analysis', 'numerical simulation', 'mri scans', 'male volunteer', 'large amount', 'human head', 'handset may', 'em coupling', 'cellular telephones', 'carefully analyzed', 'best fitting', '835 mhz', '1900 mhz']</t>
  </si>
  <si>
    <t>Realistically tilted models of the human head have been developed to improve the accuracy of the numerical simulation of coupling between the human head and cellular telephones for the likely tilted positions of the antennas vis √† vis the head. A "best fitting" technique is used to rotate an approximately 2 √ó 2 √ó 3 mm resolution model of the human head based on MRI scans of a male volunteer so that the handset may be modeled in the vertical position without stairstep approximation. With this technique, it is possible to move the head with six degrees of freedom in space, instead of the usual three, due to the simple translation therby allowing a more realistic analysis of the EM coupling between cellular telephones and the human head. Furthermore, to avoid the problem of the large amount of computer memory required for the whole head simulations, we introduced new truncated head models, and the possibility of using them was carefully analyzed. Comparisons of the SAR distributions show that it should be possible to use half head models at 835 MHz and even smaller one-third head models at the Personal Communications Services (PCS) frequency of 1900 MHz. It is shown that, by using the truncated one-third model, it is possible to run with just 42 M bytes of memory a case that originally needed 85 M bytes. The truncated models should help to render these large SAR analyses doable by most of the commonly available workstations.</t>
  </si>
  <si>
    <t>55-61</t>
  </si>
  <si>
    <t>60025488;60025488</t>
  </si>
  <si>
    <t>7003666534;7103082601</t>
  </si>
  <si>
    <t>Lazzi, Gianluca;Gandhi, Om P.</t>
  </si>
  <si>
    <t>Lazzi G.</t>
  </si>
  <si>
    <t>Realistically tilted and truncated anatomically based models of the human head for dosimetry of mobile telephones</t>
  </si>
  <si>
    <t>S001893759701781X</t>
  </si>
  <si>
    <t>10.1109/15.554695</t>
  </si>
  <si>
    <t>2-s2.0-0031077845</t>
  </si>
  <si>
    <t>MIP-9502695</t>
  </si>
  <si>
    <t>['modest degradation', 'fast sequential', 'estimation algorithm', 'convergence speed', 'antenna array', 'additive noise']</t>
  </si>
  <si>
    <t>We propose a fast sequential-estimation algorithm for separating multiple cochannel digital signals using an antenna array with unknown array response. We present simulation results comparing speed and bit error rate (BER) performance with an existing fast joint-estimation algorithm, the iterative least squares with projection (ILSP) algorithm. The new algorithm proves to he faster with only a modest degradation in BER. In addition, convergence speed is very robust with respect to additive noise.</t>
  </si>
  <si>
    <t>58-61</t>
  </si>
  <si>
    <t>IEEE Signal Processing Letters</t>
  </si>
  <si>
    <t>55710438000;7404265004</t>
  </si>
  <si>
    <t>Hansen, Lars K.;Xu, Guanghan</t>
  </si>
  <si>
    <t>Hansen L.</t>
  </si>
  <si>
    <t>A fast sequential source separation algorithm for digital cochannel signals</t>
  </si>
  <si>
    <t>10.1109/97.554474</t>
  </si>
  <si>
    <t>2-s2.0-0031078242</t>
  </si>
  <si>
    <t>['system operating', 'system capacity', 'simple expressions', 'range communications', 'power requirements', 'maximum number', 'ghz band', 'first introduced', 'favorably compared', 'e .,', 'different cases', 'computer simulations', 'cellular systems', 'atmospheric conditions', 'analytically derived']</t>
  </si>
  <si>
    <t>In this paper a cellular asynchronous code-division multiple access (A-CDMA) system operating in the 63-64-GHz band for short-range communications is analyzed. A simple propagation model for the 63-64-GHz band is first introduced and discussed. The system capacity, expressed as the maximum number of users per cell, is then analytically derived and favorably compared with other CDMA schemes operating in conventional frequency bands (i.e., below 2 GHz). Also, simple expressions for the system bit error rate (BER) are analytically derived for different cases and validated through computer simulations. Finally, power requirements are derived and the impact of atmospheric conditions is evaluated. It turns out that the use of 63-64-GHz band significantly increases the capacity of A-CDMA, and proves to be suitable for cellular systems and personal communication networks (PCN's) provided that adequate power margins are taken into account in the design of the system. ¬©1997 IEEE.</t>
  </si>
  <si>
    <t>55-64</t>
  </si>
  <si>
    <t>Giannetti, Filippo</t>
  </si>
  <si>
    <t>Pisa</t>
  </si>
  <si>
    <t>Universit√† di Pisa</t>
  </si>
  <si>
    <t>Giannetti F.</t>
  </si>
  <si>
    <t>Capacity Evaluation of a Cellular CDMA System Operating in the 63-64-GHz Band</t>
  </si>
  <si>
    <t>S001895459700649X</t>
  </si>
  <si>
    <t>10.1109/25.554737</t>
  </si>
  <si>
    <t>2-s2.0-0031078391</t>
  </si>
  <si>
    <t>['typical bandwidths', 'transmission rate', 'system performance', 'shadowing characteristics', 'relative variations', 'provide users', 'path loss', 'paper investigates', 'multipath diversity', 'multimedia services', 'larger bandwidths', 'indoor applications', 'generation systems', 'generation mobile', 'future third', 'frequency division', 'diversity antennas', 'different combinations', 'considering large', 'assessed via', 'analytically rigorous', 'analytical approach']</t>
  </si>
  <si>
    <t>Third-generation mobile and portable radio systems will require higher transmission rates than recent secondgeneration systems in order to provide users with access to multimedia services. The typical bandwidths of second-generation systems are generally such that, for indoor applications, multipath diversity can be exploited by code division multiple access (CDMA) schemes, but not by frequency division-time division multiple access (FD-TDMA) schemes. However, for the larger bandwidths of future third-generation systems, multipath diversity can also be exploited by means of FD-TDMA. This paper investigates the influence of such an increase in transmission rate and various other radio link parameters on the capacity of an indoor wireless FD-TDMA cellular system. System performance is assessed via an analytically rigorous and statistically relevant semi-analytical approach: using radio link performance results obtained as a function of small-scale signal variations and without any assumptions with respect to the distribution of interference, the overall average system outage rate and binary error rate are evaluated by considering large-scale signal variations over a hexagonal cellular layout. Results are expressed in terms of the relative variations of the required handoff threshold, path loss and shadowing characteristics, for different combinations of cellular reuse factor, transmission rate and number of diversity antennas at the receiver, both in the presence and absence of equalization. ¬© 1997 IEEE.</t>
  </si>
  <si>
    <t>60083461-100830311;60083461;60083461</t>
  </si>
  <si>
    <t>21933816400;6603700924;7006002142</t>
  </si>
  <si>
    <t>Bergeron, Eric;Despins, Charles L.;Delisle, Gilles Y.</t>
  </si>
  <si>
    <t>Montreal;Montreal</t>
  </si>
  <si>
    <t>Bell Canada;Microcell Labs</t>
  </si>
  <si>
    <t>60083461;100830311</t>
  </si>
  <si>
    <t>Bergeron E.</t>
  </si>
  <si>
    <t>Impact of radio link parameters on the capacity of UHF and millimeter-wave indoor cellular systems</t>
  </si>
  <si>
    <t>S0018954597013157</t>
  </si>
  <si>
    <t>10.1109/25.554734</t>
  </si>
  <si>
    <t>2-s2.0-0031078487</t>
  </si>
  <si>
    <t>Carleton University</t>
  </si>
  <si>
    <t>['thereby resulting', 'standard deviation', 'single antenna', 'paper presents', 'normal shadowing', 'diversity reception', 'directional antenna', 'cell size', 'cell approach', 'capacity improvement', 'also suggested', 'also found']</t>
  </si>
  <si>
    <t>CDMA | Diversity | Indoor radio communication</t>
  </si>
  <si>
    <t>This paper presents the effects of cell size, directional antenna, diversity reception, and log-normal shadowing on the reverse-link operated code division multiple access (CDMA) capacity. The capacity improvement by a small-cell approach associated with the directional terminal antenna is also suggested. The simulation results show that the directional terminal antenna suppresses the outside cell cochannel interference caused by the small-cell approach, thereby resulting in significant capacity improvement. It is also found that two-branch antenna diversity reception improves the capacity by 2.0 ~ 2.5 times relative to a single antenna, and the log-normal shadowing with a standard deviation of 10 dB decreases the capacity by 10 ~ 13% in comparison with that for 2-dB standard deviation. ¬©1997 IEEE.</t>
  </si>
  <si>
    <t>242-247</t>
  </si>
  <si>
    <t>Kajiwara, Akihiro</t>
  </si>
  <si>
    <t>Japan Ministry of Defense</t>
  </si>
  <si>
    <t>Kajiwara A.</t>
  </si>
  <si>
    <t>Effects of Cell Size, Directional Antenna, Diversity, and Shadowing on Indoor Radio CDMA Capacity</t>
  </si>
  <si>
    <t>S0018954597006555</t>
  </si>
  <si>
    <t>10.1109/25.554757</t>
  </si>
  <si>
    <t>2-s2.0-0031078547</t>
  </si>
  <si>
    <t>['well suited', 'time information', 'time domain', 'time constant', 'power consumption', 'instantaneous motion', 'help systems']</t>
  </si>
  <si>
    <t>Doppler spectrum | Microstrip antennas | Microwave monolithic integrated circuit | Multilayer | Sensor</t>
  </si>
  <si>
    <t>In order to increase the safety of intelligent road vehicles of the future and to automate their driving, priority is being given to help systems for drivers. One critical need is the determination of real-time information about the instantaneous motion of the vehicles. Small-sized, low-cost, low-time constant, low-power consumption, contactless microwave sensors are well suited to these applications and give reliable measures in the real-time domain. ¬© 1997 IEEE.</t>
  </si>
  <si>
    <t>220-228</t>
  </si>
  <si>
    <t>Descamps, Philippe</t>
  </si>
  <si>
    <t>Descamps P.</t>
  </si>
  <si>
    <t>Microwave Doppler Sensors for Terrestrial Transportation Applications</t>
  </si>
  <si>
    <t>S001895459701325X</t>
  </si>
  <si>
    <t>10.1109/25.554755</t>
  </si>
  <si>
    <t>2-s2.0-0031078549</t>
  </si>
  <si>
    <t>['signal distribution', 'power consumption', 'output power', 'optoelectronic devices', 'optical fiber', 'manifold interfaces', 'large dualband', 'fiberoptic manifolds', 'fiberoptic manifold', 'electrical domains', 'designs meet', 'conventional manifold', 'coaxial cables', 'array antenna']</t>
  </si>
  <si>
    <t>Phased arrays</t>
  </si>
  <si>
    <t>We compare the weight, size, and power consumption of conventional and fiberoptic manifolds for a large dualband (S and UHF) array antenna. The conventional manifold is based on a corporate feed comprised of coaxial cables and stripline combiner circuits. In the fiberoptic manifold, optoelectronic devices are used to convert the signals between the optical and electrical domains at the manifold interfaces, and then the signal distribution and combination are implemented with optical fiber. Both designs meet the same bandwidth, output power, and signal-to-noise ratio requirements. ¬© 1997 IEEE.</t>
  </si>
  <si>
    <t>246-253</t>
  </si>
  <si>
    <t>60025209-102022597;60025209-102022597</t>
  </si>
  <si>
    <t>35616191300;6508029454</t>
  </si>
  <si>
    <t>Goutzoulis, Anastasios P.;Gouse, Ronald P.</t>
  </si>
  <si>
    <t>Los Angeles;Utica</t>
  </si>
  <si>
    <t>Northrop Grumman corporation;Integrated Sensors Incorporated</t>
  </si>
  <si>
    <t>60025209;102022597</t>
  </si>
  <si>
    <t>Comparison of conventional and fiberoptic manifolds for a dual band (UHF and S) phased-array antenna</t>
  </si>
  <si>
    <t>0018926X9701449X</t>
  </si>
  <si>
    <t>10.1109/8.560343</t>
  </si>
  <si>
    <t>2-s2.0-0031079062</t>
  </si>
  <si>
    <t>['moving along', 'local mean', 'linear trajectory', 'indoor environments', 'explore techniques', 'chosen depending', '900 mhz', '2 ghz']</t>
  </si>
  <si>
    <t>We explore techniques for the measurement of local mean signal strength at 900 MHz and 2 GHz. In particular, we characterize the impact of transmitter and receiver antenna rotation on the estimated local mean. Then, we explore collecting high resolution data while moving along a linear trajectory and using linear averaging techniques to estimate the local mean. With this information, the best measurement techniques can be chosen depending on the required speed versus accuracy tradeoff. Finally, we use a ray tracing propagation model to evaluate different methods of calculating the local mean signal strength for indoor environments. ¬© 1997 IEEE.</t>
  </si>
  <si>
    <t>203-212</t>
  </si>
  <si>
    <t>Valenzuela, Reinaldo A.</t>
  </si>
  <si>
    <t>Valenzuela R.</t>
  </si>
  <si>
    <t>Estimating Local Mean Signal Strength of Indoor Multipath Propagation</t>
  </si>
  <si>
    <t>S0018954597013108</t>
  </si>
  <si>
    <t>10.1109/25.554753</t>
  </si>
  <si>
    <t>2-s2.0-0031079094</t>
  </si>
  <si>
    <t>['variational method', 'probe layer', 'patch layer', 'overall gsm', 'obtained using', 'modular technique', 'individual gsm', 'galerkin method', 'floquet modes', 'finite number', 'combined appropriately', 'available data', 'array antennas', 'analyzing probe', 'also presented', 'agree favorably']</t>
  </si>
  <si>
    <t>Antenna arrays | Microstrip antennas</t>
  </si>
  <si>
    <t>In this paper, we present a modular technique for analyzing probe-fed, multilayered microstrip phased-array antennas. Each patch layer is assumed to be infinite in extent and represented by its generalized scattering matrix (GSM) with respect to a finite number of Floquet modes. For multilayer patch analysis, the individual GSM's are combined appropriately to yield the overall GSM of the structure. The individual GSM are obtained using the Galerkin method. The probe layer is represented by its generalized impedance matrix (GIM) which is deduced using Floquet modal analysis and the variational method. The GSM's and GIM are combined appropriately to yield the input impedance seen by the probe. Numerical results computed with this technique are shown to agree favorably with available data. Results for two-layered patch arrays and capacitively coupled patches are also presented. ¬© 1997 IEEE.</t>
  </si>
  <si>
    <t>193-202</t>
  </si>
  <si>
    <t>Bhattacharyya, Arun K.</t>
  </si>
  <si>
    <t>A modular approach for probe-fed and capacitively coupled multilayered patch arrays</t>
  </si>
  <si>
    <t>S0018926X97014397</t>
  </si>
  <si>
    <t>10.1109/8.560337</t>
  </si>
  <si>
    <t>2-s2.0-0031079247</t>
  </si>
  <si>
    <t>['tracing method', 'square root', 'room size', 'results indicate', 'reduced significantly', 'indoor channel', 'delay spread', 'antenna directivity', 'also found']</t>
  </si>
  <si>
    <t>Circular polarization | Delay spread | Indoor radio communication</t>
  </si>
  <si>
    <t>This paper presents results of experiment and computer simulation based on a three-dimensional (3-D) ray-tracing method for various directional polarized antennas, where the effects of polarization, antenna directivity, and room size on delay spread are investigated in the line-of-sight (LOS) indoor channel. These results indicate that the delay spread can be reduced significantly by the directional circularly polarized antenna. It is also found that the delay spread increases almost proportionally with the square root of the room floor area. ¬© 1997 IEEE.</t>
  </si>
  <si>
    <t>169-175</t>
  </si>
  <si>
    <t>Effects of Polarization, Antenna Directivity, and Room Size on Delay Spread in LOS Indoor Radio Channel</t>
  </si>
  <si>
    <t>S0018954597013169</t>
  </si>
  <si>
    <t>10.1109/25.554749</t>
  </si>
  <si>
    <t>2-s2.0-0031079313</t>
  </si>
  <si>
    <t>NSC 85-2221-E-009-030</t>
  </si>
  <si>
    <t>['widest bandwidth', 'tie antenna', 'input characteristics', 'good agreement', 'experimental data', 'coplanar waveguide', 'coplanar strips', 'bowtie antennas']</t>
  </si>
  <si>
    <t>Coplanar waveguides</t>
  </si>
  <si>
    <t>The design of coplanar waveguide (CPW)-fed bow-tie antenna for the 2.4-GHz ISM band is described in this letter. A coplanar waveguide-to-coplanar strips (CPW-to-CPS) balun is used to obtain the balanced feed line for the printed bow tie. Analysis method based on the mixed potential integral equation method is used to characterize the input characteristics of the bow-tie antenna. Obtained numerical results are in good agreement with experimental data. Through experiments with bowtie antennas of various extended angles, the bow-tie antenna with a 90¬∞ extended angle exhibits the widest bandwidth in the desired frequency band which has a bandwidth of 17% for VSWR &lt;1.5:1. ¬© 1997 IEEE.</t>
  </si>
  <si>
    <t>305-306</t>
  </si>
  <si>
    <t>60012370;60012370</t>
  </si>
  <si>
    <t>57209831312;7403478846</t>
  </si>
  <si>
    <t>Lin, Yu De;Tsai, Syh Nan</t>
  </si>
  <si>
    <t>Lin Y.</t>
  </si>
  <si>
    <t>Coplanar waveguide-fed uniplanar bow-tie antenna</t>
  </si>
  <si>
    <t>S0018926X97014567</t>
  </si>
  <si>
    <t>10.1109/8.560350</t>
  </si>
  <si>
    <t>2-s2.0-0031079531</t>
  </si>
  <si>
    <t>['well known', 'multipath components', 'mobile within', 'mobile unit', 'doppler spectrum', 'doppler fading', 'directional antennas', 'base station', '1 ],']</t>
  </si>
  <si>
    <t>In this letter we analyze the effect of directional antennas at the base station on the Doppler spectrum. It is well known that the Doppler spectrum is dependent on the probability density function (pdf) of the angle-of-arrival (AOA) of the multipath components at the mobile unit and the direction of the motion of the mobile. The Doppler spectrum is U-shaped as noted by Clark [1], when the pdf of the AOA of the multipath components at the mobile is uniform. Here, however, we study the Doppler fading at the base station and assume that the scatterers are uniformly located around the mobile within a circle and derive the pdf of the AOA of the multipath components at the mobile when directional antennas are used at the base station.</t>
  </si>
  <si>
    <t>40-42</t>
  </si>
  <si>
    <t>60027090;60027090;60027090</t>
  </si>
  <si>
    <t>6603681283;7403641959;7006091503</t>
  </si>
  <si>
    <t>Petrus, Paul;Reed, Jeffrey H.;Rappaport, Theodore S.</t>
  </si>
  <si>
    <t>Petrus P.</t>
  </si>
  <si>
    <t>Effects of directional antennas at the base station on the doppler spectrum</t>
  </si>
  <si>
    <t>10.1109/4234.559358</t>
  </si>
  <si>
    <t>2-s2.0-0031094197</t>
  </si>
  <si>
    <t>['uniformly distributed', 'simple analysis', 'service areas', 'greater variability', 'greater ratio', 'geographic size', 'data shows', 'call traffic', 'average demand']</t>
  </si>
  <si>
    <t>Cellular system capacity calculations are based on the assumption that traffic is uniformly distributed. A simple analysis of hourly cellular cell site usage statistics is performed to assess the validity of this assertion. The data shows that call traffic is not uniform across geography or time of day. For the particular data set used there is a 9% capacity penalty incurred by reducing the geographic size of the service areas by a factor of three. Smaller service areas show a greater variability in demand and a greater ratio of peak to average demand.</t>
  </si>
  <si>
    <t>43-45</t>
  </si>
  <si>
    <t>Rudokas, Ron</t>
  </si>
  <si>
    <t>Rudokas R.</t>
  </si>
  <si>
    <t>Capacity losses in sector and microcell cellular systems</t>
  </si>
  <si>
    <t>10.1109/4234.559359</t>
  </si>
  <si>
    <t>2-s2.0-0031094284</t>
  </si>
  <si>
    <t>MIP-9103286</t>
  </si>
  <si>
    <t>['wide variety', 'thereby offering', 'perform linear', 'paper presents', 'nonlinear arithmetic', 'high speed', 'high accuracy', 'generic cells', 'device implementation', 'b chip', 'absolute value']</t>
  </si>
  <si>
    <t>The development of generic cells to perform linear and nonlinear arithmetic is critical to cost-effective rapid prototyping. Our LARP architecture deploys generic cells, thereby offering the capability of mapping a wide variety of signal and image processing algorithms on to the same pool of resources. This paper presents a further advance in this direction. Specifically, it reports on the development of a complex-argument nonlinear universal cell, which achieves both high speed and high accuracy. To accomplish this, low-degree MIP polynomials are used, as explained in the paper. Four specific functions, namely the reciprocal, absolute value, logarithm, and the square-root, are considered, but the procedure is extendible to other functions as well. A 24- and a 16-b chip are described. Finally, their application to an antenna array processor is presented which is amenable to large-area-device implementation. ¬© 1997 IEEE.</t>
  </si>
  <si>
    <t>15-27</t>
  </si>
  <si>
    <t>IEEE Transactions on Very Large Scale Integration (VLSI) Systems</t>
  </si>
  <si>
    <t>60007740;60007740</t>
  </si>
  <si>
    <t>7401469439;54679867000</t>
  </si>
  <si>
    <t>Jain, Vijay K.;Lin, Lei</t>
  </si>
  <si>
    <t>Tampa</t>
  </si>
  <si>
    <t>University of South Florida, Tampa</t>
  </si>
  <si>
    <t>Jain V.</t>
  </si>
  <si>
    <t>Complex-argument universal nonlinear cell for rapid prototyping</t>
  </si>
  <si>
    <t>S1063821097007440</t>
  </si>
  <si>
    <t>10.1109/92.555983</t>
  </si>
  <si>
    <t>2-s2.0-0031094368</t>
  </si>
  <si>
    <t>['surrounding buildings', 'ideal position', 'adjacent structures']</t>
  </si>
  <si>
    <t>Mobile test systems intended for cellular phone coverage measurements suffer from uncertainties, which are caused by the unpredictable radiation pattern of the measuring antenna installation. Not only do adjacent structures and very common multiple antennas disturb the characteristics, but also in the case of an ideal position does the vertical lobing introduce errors exceeding 10 dB. The problems are likely to be worse in dense urban areas, where multipath from surrounding buildings is the dominating propagation mode.</t>
  </si>
  <si>
    <t>100338347;100338347</t>
  </si>
  <si>
    <t>7005966238;6508084758</t>
  </si>
  <si>
    <t>Eskelinen, P.;Salpala, A.</t>
  </si>
  <si>
    <t>Kotka</t>
  </si>
  <si>
    <t>Kotka Inst of Technology</t>
  </si>
  <si>
    <t>Eskelinen P.</t>
  </si>
  <si>
    <t>Effects of test vehicle patterns on cellular coverage measurements</t>
  </si>
  <si>
    <t>10.1109/62.579202</t>
  </si>
  <si>
    <t>2-s2.0-0031094739</t>
  </si>
  <si>
    <t>DAAH04-95-1-0249</t>
  </si>
  <si>
    <t>['symbol sequence', 'simultaneously estimate', 'signal estimates', 'recently proposed', 'iterative least', 'ilse ).', 'good approximation', 'finite alphabet', 'digital signals', 'blind algorithms', 'array responses', 'array response', 'approach exploits', 'antenna array', 'algorithms using']</t>
  </si>
  <si>
    <t>We have recently proposed a blind maximum likelihood approach for demodulating multiple co-channel digital signals received synchronously at an antenna array. This approach exploits the finite alphabet (FA) property of digital signals to simultaneously estimate the array response and symbol sequence for each signal. We have presented two computationally efficient block algorithms for computing the array response and signal estimates: iterative least-squares with projection (ILSP) and iterative least-squares with enumeration (ILSE). In this paper, we study the performance of these algorithms using both analysis and simulation. We derive the probability of error in detecting the signals under the assumption that the array responses are known. We use this probability to estimate the probability of error in the algorithms. Simulation results confirm that the detection error probability yields a good approximation to the performance of the blind algorithms. ¬© 1997 IEEE.</t>
  </si>
  <si>
    <t>706-718</t>
  </si>
  <si>
    <t>60000251;60012708</t>
  </si>
  <si>
    <t>57216999310;7004920065</t>
  </si>
  <si>
    <t>Talwar, Shilpa;Paulraj, Arogyaswami</t>
  </si>
  <si>
    <t>Talwar S.</t>
  </si>
  <si>
    <t>Blind separation of synchronous co-channel digital signals using an antenna array-part ii: performance analysis</t>
  </si>
  <si>
    <t>S1053587X97018667</t>
  </si>
  <si>
    <t>10.1109/78.558489</t>
  </si>
  <si>
    <t>2-s2.0-0031095075</t>
  </si>
  <si>
    <t>4A161 102AT24</t>
  </si>
  <si>
    <t>['scattering losses', 'results suggest', 'northern regions', 'ice grounded', 'ground interfaces', 'gain antenna', 'clear returns', 'bottom signals', 'band ice', 'band fm', 'airborne platform']</t>
  </si>
  <si>
    <t>X- and C-band FM-CW radar reflection profiles were obtained across frozen lakes in northern Alaska using a single elevated high-gain antenna. Clear returns were obtained from the air/snow, snow/ice, ice/water, and ice/ground interfaces. Surface-to-bottom signal intensity ratios are within ranges predicted by plane wave reflection theory, use of which also gives plausible permittivity values for the ice-rich bottom silts. Scattering losses are interpreted for the X-band ice-bottom signals, but evidence of increased volumetric scattering loss with increasing ice thickness may have been masked by changes in bottom dielectric contrasts. The results suggest that this type of radar is superior to conventional transient GPR systems for this application and ice grounded to almost any type of bottom sediments could be profiled from an airborne platform. Such a system could help inventory wetland water volume in northern regions. ¬© 1997 IEEE.</t>
  </si>
  <si>
    <t>436-443</t>
  </si>
  <si>
    <t>60006051;60006051;60006051</t>
  </si>
  <si>
    <t>7005508584;6701836951;6602149727</t>
  </si>
  <si>
    <t>Arcone, Steven A.;Yankielun, Norbert E.;Chacho, Edward F.</t>
  </si>
  <si>
    <t>U.S. Army Cold Regions Research and Engineering Laboratory</t>
  </si>
  <si>
    <t>Arcone S.</t>
  </si>
  <si>
    <t>Reflection profiling of arctic lake ice using microwave fm-cw radar</t>
  </si>
  <si>
    <t>S0196289297003707</t>
  </si>
  <si>
    <t>10.1109/36.563282</t>
  </si>
  <si>
    <t>2-s2.0-0031095131</t>
  </si>
  <si>
    <t>DAAH04-95-1-0436</t>
  </si>
  <si>
    <t>['unknown vector', 'receive filters', 'potential usefulness', 'oversampled maximum', 'linearly parametrized', 'letter describes']</t>
  </si>
  <si>
    <t>This letter describes a channel estimator using known prior information about the transmit and receive filters. It is shown that the composite channel lies in the subspace of the transmit and receive filter impulse responses. A structured linear channel model is then developed that is linearly parametrized by an unknown vector. To illustrate the potential usefulness of such an approach, the estimated structured channel is used in a multisensor and oversampled maximum-likelihood sequence estimation (MLSE) receiver.</t>
  </si>
  <si>
    <t>52-55</t>
  </si>
  <si>
    <t>60012708;60003858;60012708</t>
  </si>
  <si>
    <t>7101727343;57191950670;7004920065</t>
  </si>
  <si>
    <t>Ng, Boon Chong;Cedervall, Mats;Paulraj, A.</t>
  </si>
  <si>
    <t>United States;Sweden</t>
  </si>
  <si>
    <t>Palo Alto;Uppsala</t>
  </si>
  <si>
    <t>Stanford University;Uppsala Universitet</t>
  </si>
  <si>
    <t>60012708;60003858</t>
  </si>
  <si>
    <t>Ng B.</t>
  </si>
  <si>
    <t>A structured channel estimator for maximum-likelihood sequence detection</t>
  </si>
  <si>
    <t>10.1109/4234.559362</t>
  </si>
  <si>
    <t>2-s2.0-0031095158</t>
  </si>
  <si>
    <t>['wideband receiver', 'whistlermode waves', 'wave spectra', 'vlf waves', 'vlf instruments', 'unique features', 'two electric', 'successfully measured', 'propagation characteristics', 'poynting vectors', 'instruments measured', 'february 21', 'dynamic spectra', 'antenna impedance', 'also reviewed', '50 hz', '5 khz', '15 khz']</t>
  </si>
  <si>
    <t>The Akebono (EXOS-D) satellite has been successfully observing earth's magnetosphere since launched on February 21, 1989. The objectives of VLF instruments on board the satellite were designed to investigate the behavior of plasma waves associated with accelerated auroral particles, wave-particle interaction mechanisms, and propagation characteristics of whistlermode waves in the magnetosphere. The instruments measured not only the dynamic spectra of VLF waves up to 15 kHz by a wideband receiver, but also their absolute field intensities, wave normal vectors, and Poynting vectors. Two electric and three magnetic components with a bandwidth of about 50 Hz up to 12. 5 kHz are sent to measure the wave normal vectors and Poynting vectors. The antenna impedance is measured to determine the correct absolute electric field intensities. The instruments have successfully measured the wave spectra, the wave normal vectors, Poynting vectors, the precise wave intensities, the antenna impedance, etc. The present paper describes such the unique features of the instruments, especially the Poynting flux analyzers in more detail. Obtained scientific results are also reviewed. ¬© 1997 IEEE.</t>
  </si>
  <si>
    <t>278-286</t>
  </si>
  <si>
    <t>60011001-60024784-60032632;60011001;60011001;60011001;60011001;60011001;60011001-60024784</t>
  </si>
  <si>
    <t>55477173900;7006203498;15823290900;7403893404;7402952086;7404313846;7003709281</t>
  </si>
  <si>
    <t>Hashimoto, Kozo;Nagano, Isamu;Yamamoto, Masayuki;Okada, Toshimi;Kimura, Iwane;Matsumoto, Hiroshi;Oki, Hidetaka</t>
  </si>
  <si>
    <t>Imizu;Kanazawa;Kyoto</t>
  </si>
  <si>
    <t>Toyama Prefectural University;Kanazawa University;Kyoto University</t>
  </si>
  <si>
    <t>60032632;60024784;60011001</t>
  </si>
  <si>
    <t>Hashimoto K.</t>
  </si>
  <si>
    <t>Exos-d (akebono) very low frequency plasma wave instruments (vlf)</t>
  </si>
  <si>
    <t>S0196289297021050</t>
  </si>
  <si>
    <t>10.1109/36.563267</t>
  </si>
  <si>
    <t>2-s2.0-0031095563</t>
  </si>
  <si>
    <t>['theoretical prediction', 'temperature superconductor', 'significant reduction', 'port bfn', 'paper presents', 'line couplers', 'four bfn', 'experimental results', 'experimental prototype', 'db branch', 'conventional counterpart', 'communication systems', 'also indicated', '95 ghz', '4 db', '14 db']</t>
  </si>
  <si>
    <t>Beam forming | Branch line | Intermodulation | Power divider | Power handling</t>
  </si>
  <si>
    <t>This paper presents an application of the high-temperature superconductor (HTS) technology to the development of a high-performance antenna beam forming network (BFN) for communication systems. Design and measurements are made in Ku-band with a multiple power divider technique involving a cascade of 3-dB branch-line couplers. Three microstrip couplers are integrated to form a one-to-four BFN. An experimental prototype is fabricated with TlBaCaCuO thin film deposited onto LaAlO 3; substrate. Power handling capability of related HTS components such as line, bend, and BFN are also studied together with third-order intermodulation characteristics. It is shown that theoretical prediction is consistent with experimental results, presenting insertion loss of the four output ports ranging from 6.1-6.4 dB and return loss better than 14 dB at 11.95 GHz. These preliminary results demonstrate the potential of extending such a power divider technique in designing an N-port BFN. It is also indicated that the proposed HTS BFN scheme can offer advantages compared to its conventional counterpart, namely, a significant reduction in size/weight and low power loss. ¬© 1997 IEEE.</t>
  </si>
  <si>
    <t>60019141-60089889;60018714;60018714-60013983-60089889;60018714;60013506;60013506-60030821</t>
  </si>
  <si>
    <t>6602760730;7004512700;9042159400;24484081100;14320027100;7404179299</t>
  </si>
  <si>
    <t>Kobeissi, Hassan;Drolet, Daniel J.;Wu, Ke;Stubbs, Malcolm G.;Larralde, Ginette;Rao, Sudhakar K.</t>
  </si>
  <si>
    <t>Canada;United States;Canada;Canada;Hong Kong;Canada</t>
  </si>
  <si>
    <t>Dundas;Chicago;Montreal;Ottawa;Kowloon;Edmonton</t>
  </si>
  <si>
    <t>IEEE Canada;Boeing Corporation;Polytechnique Montr√©al;Communications Research Centre;City University of Hong Kong;L-3 Communications SPAR Aerospace Limited</t>
  </si>
  <si>
    <t>60089889;60030821;60019141;60018714;60013983;60013506</t>
  </si>
  <si>
    <t>Kobeissi H.</t>
  </si>
  <si>
    <t>High-temperature superconducting beam forming network for communication system applications</t>
  </si>
  <si>
    <t>S1051822397045041</t>
  </si>
  <si>
    <t>10.1109/77.585886</t>
  </si>
  <si>
    <t>2-s2.0-0031096025</t>
  </si>
  <si>
    <t>['primary impediments', 'powerful tools', 'new results', 'mathematical techniques', 'difference time', 'current generalizations', 'conformai fdtd', 'complex geometries']</t>
  </si>
  <si>
    <t>Fdtd methods</t>
  </si>
  <si>
    <t>The finite-difference time-domain (FDTD) and its current generalizations have been demonstrated to be useful and powerful tools for the calculation of the radar cross section (RCS) of complicated objectsthe radiation of antennas in the presence of other structures, and other applications. The mathematical techniques for conformai FDTD have matured; the primary impediments to its implementation are the complex geometries and material properties associated with the problem. Even under these circumstances, FDTD is more flexible to implement because it is based on first principles instead of a clever mathematical trick. It is the purpose of this paper to give an account of some new results on conformai FDTD obtained by the authors and their associates at Lockheed Martin Space Company since 1988. The emphasis is on nonsmooth boundary condition simulation. This topic, to the best of our knowledge, has not been widely investigated due to its complexity. M. ¬© 1997 IEEE.</t>
  </si>
  <si>
    <t>354-363</t>
  </si>
  <si>
    <t>7103029662;7501885600</t>
  </si>
  <si>
    <t>Yee, Kane S.;Chen, Jei S.</t>
  </si>
  <si>
    <t>Yee K.</t>
  </si>
  <si>
    <t>The finite-difference time-domain (FDTD) and the finite-volume time-domain (FVTD) methods in solving Maxwell's equations</t>
  </si>
  <si>
    <t>S0018926X97022850</t>
  </si>
  <si>
    <t>10.1109/8.558651</t>
  </si>
  <si>
    <t>2-s2.0-0031096315</t>
  </si>
  <si>
    <t>['unknown two', 'transmission line', 'three positions', 'scattering parameters', 'port inserted', 'port dut', 'minor problem', 'method particularly', 'lnn method', 'inflxture calibration', 'electrical wavelength', 'corrected measurement', 'calibration technique', 'arbitrary number', 'alternative method']</t>
  </si>
  <si>
    <t>Calibration of a network analyzer | Deembedding | In-flxture measurements | Microwave device</t>
  </si>
  <si>
    <t>An alternative method for a network analyzer calibration is evaluated. This line network network (LNN) method avoids de-embedding of the device under test (DUT) and it allows the characterization of an unknown two-port inserted between an arbitrary number of cascaded unknown two-ports. An unknown obstacle must be moved on a transmission line into three positions. The LNN calibration technique delivers the electrical wavelength or the relative dielectric constant of the transmission line and the scattering parameters of the obstacle. Since the connectors do not have to be exchanged, nonreproducibilities of the connectors are only a minor problem. Additionally, a double-calibration technique is presented. The double-calibration technique is used to employ the LNN method on both sides of the two-port DUT in order to perform an error-corrected measurement. Experimental results compare the LNN method with the tru-reflect-line (TRL) method particularly for an inflxture calibration. ¬© 1997 IEEE.</t>
  </si>
  <si>
    <t>60075187-60005322;60075187</t>
  </si>
  <si>
    <t>6602581726;7005632930</t>
  </si>
  <si>
    <t>Heuermann, Holger;Schiek, Burkhard</t>
  </si>
  <si>
    <t>Tittmoning;Bochum</t>
  </si>
  <si>
    <t>Rosenberger Hochfrequenztechnik GmbH &amp; Co. KG;Ruhr-Universitat Bochum</t>
  </si>
  <si>
    <t>60075187;60005322</t>
  </si>
  <si>
    <t>Heuermann H.</t>
  </si>
  <si>
    <t>Line network network (LNN): An alternative in-fixture calibration procedure</t>
  </si>
  <si>
    <t>S0018948097017109</t>
  </si>
  <si>
    <t>10.1109/22.563340</t>
  </si>
  <si>
    <t>2-s2.0-0031097607</t>
  </si>
  <si>
    <t>DE-FG-92-90ER-61060</t>
  </si>
  <si>
    <t>['wavelength ratio', 'regiondependent attenuation', 'reflectivity estimate', 'radar system', 'phase hydrometers', 'paper evaluates', 'paper describes', 'neural net', 'measuring dual', 'labeled regions', 'frequency parameters', 'depolarization ratio', 'data products', 'data product', 'correction algorithm', 'corrected data', 'cloud droplets', 'classified using']</t>
  </si>
  <si>
    <t>This paper describes the identification of regions of ice, cloud droplets, rain, mixed-phase hydrometers, and insects in stratiform clouds using 33 and 95 GHz radar measurements of reflectivity, linear-depolarization ratio (LDR), dual-wavelength ratio, and velocity from a single-antenna radar system. First, the radar system, experiment, and data products are described. Then, regions are classified using a rule-based classifier derived primarily from LDR, velocity, and altitude. Next, a regiondependent attenuation-correction algorithm is developed to remove attenuation biases in the reflectivity estimate, and histograms of the corrected data are presented for each data product and class. The labeled regions and attenuation-corrected data are then used to train a neural net and maximum likelihood classifier. These agree with the rule-based classifier 96% and 94% of the time, respectively. Finally, the paper evaluates the importance of measuring dual-frequency parameters, velocity, and depolarization ratio. ¬© 1997 IEEE.</t>
  </si>
  <si>
    <t>256-270</t>
  </si>
  <si>
    <t>60014313;60014313;60014313;60014313;60014313</t>
  </si>
  <si>
    <t>6602978551;7004110988;6506505286;6603130189;14320240700</t>
  </si>
  <si>
    <t>Lohmeier, Stephen P.;Sekelsky, Stephen M.;Firda, John M.;Sadowy, Gregory A.;Mclntosh, Robert E.</t>
  </si>
  <si>
    <t>Lohmeier S.P.</t>
  </si>
  <si>
    <t>Classification of particles in stratiform clouds using the 33 and 95 ghz polarimetric cloud Profiling Radar System (CPRS)</t>
  </si>
  <si>
    <t>S019628929700380X</t>
  </si>
  <si>
    <t>10.1109/36.563264</t>
  </si>
  <si>
    <t>2-s2.0-0031098207</t>
  </si>
  <si>
    <t>['radiation problems', 'particular emphasis', 'new developments', 'new applications', 'mesh truncation', 'feed modeling', 'element method', 'electromagnetic scattering', 'brief review']</t>
  </si>
  <si>
    <t>Finite-element methods</t>
  </si>
  <si>
    <t>This paper is an overview of the finite-element method (FEM) as applied to electromagnetic scattering and radiation problems. A brief review of the methodology is given with particular emphasis on new developments over the past five years relating to feed modeling, parallelization, and mesh truncation. New applications which illustrate the method's capabilities, versatility, and utility for general purpose application are discussed. ¬© 1997 IEEE.</t>
  </si>
  <si>
    <t>493-507</t>
  </si>
  <si>
    <t>60025778;60025778;60025778</t>
  </si>
  <si>
    <t>7102576479;7003792158;7402707970</t>
  </si>
  <si>
    <t>Volakis, John L.;√ñzdemir, Tayfun;Gong, Jian</t>
  </si>
  <si>
    <t>Volakis J.L.</t>
  </si>
  <si>
    <t>Hybrid finite-element methodologies for antennas and scattering</t>
  </si>
  <si>
    <t>S0018926X97022989</t>
  </si>
  <si>
    <t>10.1109/8.558664</t>
  </si>
  <si>
    <t>2-s2.0-0031098727</t>
  </si>
  <si>
    <t>['rigorous analysis', 'potter horn', 'measurements verify', 'excellent agreement', 'conical horn', 'boundary contour', 'aperture diameter']</t>
  </si>
  <si>
    <t>Boundary integral equations | Mode-matching methods</t>
  </si>
  <si>
    <t>A hybrid boundary contour mode-matching (BCMM) method is described for the rigorous analysis of circular waveguide horns which combines the flexibility of the boundary contour (BC) technique for modeling the outer horn region with the efficiency of the mode-matching (MM) method for the internal horn section. A conical horn and a potter horn with an aperture diameter of about 3 A are analyzed as examples. Excellent agreement with measurements verify the accuracy of the method. ¬© 1997 IEEE.</t>
  </si>
  <si>
    <t>568-570</t>
  </si>
  <si>
    <t>60008293;60008293</t>
  </si>
  <si>
    <t>7006266983;7006748393</t>
  </si>
  <si>
    <t>Reiter, J. M.;Arndt, F.</t>
  </si>
  <si>
    <t>Bremen</t>
  </si>
  <si>
    <t>Universit√§t Bremen</t>
  </si>
  <si>
    <t>Reiter J.</t>
  </si>
  <si>
    <t>Efficient hybrid boundary contour mode-matching technique for the accurate full-wave analysis of circular horn antennas including the outer wall geometry</t>
  </si>
  <si>
    <t>S0018926X97023089</t>
  </si>
  <si>
    <t>10.1109/8.558676</t>
  </si>
  <si>
    <t>2-s2.0-0031099454</t>
  </si>
  <si>
    <t>['wave modes', 'wave antennas', 'surface waves', 'rectangular air', 'propagation constants', 'photonic band', 'paper presents', 'multilayer structures', 'mode characteristics', 'medium approach', 'linear gratings', 'leaky waves', 'layered structures', 'irregular implants', 'guided waves', 'frequency effective', 'equation formulation', 'anisotropie properties', 'analysis deals']</t>
  </si>
  <si>
    <t>Dielectric films | Gratings | Leaky waves | Photonics | Surface waves</t>
  </si>
  <si>
    <t>This paper presents the characteristics of guided (surface) waves and leaky waves on multilayer structures with planar implanted periodic dielectric blocks. A three-dimensional (3-D) integral-equation formulation in conjunction with the method of moments (MoM's) is used to find the propagation constants of the surface-wave and leaky-wave modes. The analysis deals with layered structures with irregular implants. Photonic band-gaps of both guided waves and leaky waves for rectangular air-implants are identified. Anisotropie properties of the surface waves and leaky waves are investigated. The design of leaky-wave antennas with the information of mode characteristics is discussed. The analysis is validated through the comparison with a low-frequency effective-medium approach and results for linear gratings. ¬© 1997 IEEE.</t>
  </si>
  <si>
    <t>428-435</t>
  </si>
  <si>
    <t>Yang, Hung Yu David</t>
  </si>
  <si>
    <t>Yang H.Y.D.</t>
  </si>
  <si>
    <t>Characteristics of guided and leaky waves on multilayer thin-film structures with planar material gratings</t>
  </si>
  <si>
    <t>S0018948097017110</t>
  </si>
  <si>
    <t>10.1109/22.563343</t>
  </si>
  <si>
    <t>2-s2.0-0031099899</t>
  </si>
  <si>
    <t>['via extraction', 'two options', 'technique transforms', 'te modes', 'singular operators', 'regularized second', 'printed antennas', 'numerical inversion', 'magneticwall cavity', 'kind equation', 'independent operators', 'flrstkind electric', 'edge singularities']</t>
  </si>
  <si>
    <t>Numerical methods | Printed antennas</t>
  </si>
  <si>
    <t>In this letter, a novel numerical technique [1] is applied to the analysis of printed antennas. The technique transforms the flrstkind electric-fleld integral equation (EFIE) into a regularized second-kind equation, via extraction of two singular frequency-independent operators and their numerical inversion. Two options are presented in which the inversion is based on the eigenfunctions of these singular operators, that appear to be the generalization of the TM and TE modes of a magneticwall cavity, coupled by the edge singularities. The example of application shows favorable convergence properties. ¬© 1997 IEEE.</t>
  </si>
  <si>
    <t>570-572</t>
  </si>
  <si>
    <t>Application of numerical regularization options to the integral-equation analysis of printed antennas</t>
  </si>
  <si>
    <t>S0018926X97023090</t>
  </si>
  <si>
    <t>10.1109/8.558677</t>
  </si>
  <si>
    <t>2-s2.0-0031100495</t>
  </si>
  <si>
    <t>['three types', 'stationary maxwell', 'state estimation', 'inverse problems', 'electromagnetic parameters']</t>
  </si>
  <si>
    <t>For non-stationary Maxwell's equations, we survey results concerning the uniqueness and the stability in three types of inverse problems: (i) state estimation, (ii) determination of antennas and (iii) determination of electromagnetic parameters.</t>
  </si>
  <si>
    <t>77-98</t>
  </si>
  <si>
    <t>International Journal of Applied Electromagnetics and Mechanics</t>
  </si>
  <si>
    <t>Yamamoto, Masahiro</t>
  </si>
  <si>
    <t>The University of Tokyo</t>
  </si>
  <si>
    <t>A mathematical aspect of inverse problems for non-stationary Maxwell's equations</t>
  </si>
  <si>
    <t>2-s2.0-0031101205</t>
  </si>
  <si>
    <t>ECS-9222391</t>
  </si>
  <si>
    <t>['simple array', 'point methods', 'particular problem', 'great efficiency', 'field patterns', 'element directivity', 'broadband arrays', 'arbitrary geometry']</t>
  </si>
  <si>
    <t>We show that a variety of antenna array pattern synthesis problems can be expressed as convex optimization problems, which can be (numerically) solved with great efficiency by recently developed interior-point methods. The synthesis problems involve arrays with arbitrary geometry and element directivity, constraints on far- and near-field patterns over narrow or broad frequency bandwidth, and some important robustness constraints. We show several numerical simulations for the particular problem of constraining the beam pattern level of a simple array for adaptive and broadband arrays. ¬© 1997 IEEE.</t>
  </si>
  <si>
    <t>526-532</t>
  </si>
  <si>
    <t>60019904-60012708;60019904-60012708</t>
  </si>
  <si>
    <t>6603438958;35509523300</t>
  </si>
  <si>
    <t>Lebret, Herv√©;Boyd, Stephen</t>
  </si>
  <si>
    <t>Palaiseau;Palo Alto</t>
  </si>
  <si>
    <t>ENSTA Paris;Stanford University</t>
  </si>
  <si>
    <t>60019904;60012708</t>
  </si>
  <si>
    <t>Lebret H.</t>
  </si>
  <si>
    <t>Antenna array pattern synthesis via convex optimization</t>
  </si>
  <si>
    <t>S1053587X97018680</t>
  </si>
  <si>
    <t>10.1109/78.558465</t>
  </si>
  <si>
    <t>2-s2.0-0031101492</t>
  </si>
  <si>
    <t>94-005</t>
  </si>
  <si>
    <t>['substrate layer', 'spatial domain', 'significant value', 'section overlay', 'radialstub microstrip', 'published data', 'potential integral', 'patch proximity', 'multilayered structure', 'multilayered media', 'microstrip elements', 'good agreement', 'form useful', 'end microstrip', 'efficient computation', 'coupled filter', 'arbitrary shape']</t>
  </si>
  <si>
    <t>Microstrip elements of arbitrary shape are modeled in multilayered media. The Green's function for the multilayered structure is developed in a form useful for efficient computation for interacting microstrip elements, which may be located at any substrate layer and separated by an arbitrarily large distance. This result is of significant value to a variety of applications in wave propagation besides those discussed in this paper. The mixed-potential integral-equation (MPIE) method is developed in the spatial domain. Examples for regularly/arbitrarily shaped geometries in single and multilayered media are presented. These involve the optimization of an open-end microstrip, a radialstub microstrip, a five-section overlay-gap-coupled filter, and a circular-patch proximity-coupled microstrip antenna. Very good agreement with measurement and other published data is observed. ¬©1997 IEEE.</t>
  </si>
  <si>
    <t>330-337</t>
  </si>
  <si>
    <t>60027550-60021378-60030759;60027550;60027550;60027550</t>
  </si>
  <si>
    <t>7403548953;7003924393;57217922015;7004468161</t>
  </si>
  <si>
    <t>Tsai, Ming Ju;De Flaviis, Franco;Fordham, Owen;Alexopoulos, Nicolaos G.</t>
  </si>
  <si>
    <t>Los Angeles;Los Angeles;Murray</t>
  </si>
  <si>
    <t>California State University, Los Angeles;University of California, Los Angeles;Nokia Bell Labs</t>
  </si>
  <si>
    <t>60030759;60027550;60021378</t>
  </si>
  <si>
    <t>Tsai M.J.</t>
  </si>
  <si>
    <t>Modeling planar arbitrarily shaped microstrip elements in multilayered media</t>
  </si>
  <si>
    <t>S0018948097017262</t>
  </si>
  <si>
    <t>10.1109/22.563330</t>
  </si>
  <si>
    <t>2-s2.0-0031101529</t>
  </si>
  <si>
    <t>['wave excitation', 'symmetric excitation', 'short devices', 'power absorption', 'plasma resistance', 'monotonic variation', 'give rise']</t>
  </si>
  <si>
    <t>The excitation of a helicon plasma source by an azimuthally symmetric antenna is considered in comparison with anti-symmetric excitation. The resonances and anti-resonances at the wave excitation, as well as the peculiarities of the power absorption, are shown to be very similar for symmetric and anti-symmetric excitation. The plasma resistance turns out to be higher in the case of symmetric excitation for very short devices. The non-monotonic variation of plasma resistance with density is found to be intrinsic for both methods of excitation as a result of decreasing the power absorption at anti-resonances. This is shown to give rise to abrupt density jumps at varying input power. ¬© 1997 IOP Publishing Ltd.</t>
  </si>
  <si>
    <t>505-529</t>
  </si>
  <si>
    <t>60005722;60003858-109957430;60005722</t>
  </si>
  <si>
    <t>6701557700;7102811396;6701490821</t>
  </si>
  <si>
    <t>Shamrai, K. P.;Pavlenko, V. P.;Taranov, V. B.</t>
  </si>
  <si>
    <t>Ukraine;Sweden;</t>
  </si>
  <si>
    <t>Kiev;Uppsala;</t>
  </si>
  <si>
    <t>Institute of Nuclear Research, National Academy of Sciences in Ukraine;Uppsala Universitet;EURATOM/NFR Fusion Association</t>
  </si>
  <si>
    <t>60005722;60003858;109957430</t>
  </si>
  <si>
    <t>Excitation, conversion and damping of waves in a helicon plasma source driven by an m = 0 antenna</t>
  </si>
  <si>
    <t>S0741333597749054</t>
  </si>
  <si>
    <t>10.1088/0741-3335/39/3/011</t>
  </si>
  <si>
    <t>2-s2.0-0031102789</t>
  </si>
  <si>
    <t>['tower requiring', 'tower meet', 'tower issue', 'tower analysis', 'structural engineer', 'station prepared', 'start today', 'site considerations', 'paper reconstruction', 'immense amount', 'ground work', 'enormous number', 'eia specifications', 'detailed planning', 'critical importance', 'could begin', 'construction process', 'careful analysis']</t>
  </si>
  <si>
    <t>There are an enormous number of items to consider when planning, designing, and constructing a DTV transmitter facility. However, the process should start with the basics such as the NTSC coverage area and "Target" DTV audience demographic information. Then move to tower and site considerations, antenna system design and configuration, and then consider the transmitter configuration best suited to your situation. Then design the system to meet the needs of your station. Of critical importance is the tower issue. Does your tower meet the EIA specifications? What modifications are required? The tower is often the longest lead item and the most often overlooked item. It requires a careful analysis by an experienced tower designer or structural engineer and if drawings are not available, the alternative is sometimes a lengthy and expensive "paper reconstruction" of your tower requiring an inspection and possibly materials analysis. Start today with your tower analysis and lay the ground work for a successful DTV Transmitter facility. The successful project requires an immense amount of detailed planning and now is the time to start the planning. DTV is on the horizon and could begin before the end of 1997. Is your station prepared to begin the planning, design, and construction process? ¬© 1997 IEEE.</t>
  </si>
  <si>
    <t>IEEE Transactions on Broadcasting</t>
  </si>
  <si>
    <t>Wallace, Dennis</t>
  </si>
  <si>
    <t>Louisville</t>
  </si>
  <si>
    <t>LARCAN, Inc.</t>
  </si>
  <si>
    <t>Wallace D.</t>
  </si>
  <si>
    <t>A primer for digital television rf facility design and construction</t>
  </si>
  <si>
    <t>S001893169702605X</t>
  </si>
  <si>
    <t>10.1109/11.566818</t>
  </si>
  <si>
    <t>2-s2.0-0031103278</t>
  </si>
  <si>
    <t>['various locations', 'results illustrating', 'providing examples', 'propagation prediction', 'paper describes', 'paper concludes', 'information necessary', 'geographic region', 'carrier frequency', 'also provides']</t>
  </si>
  <si>
    <t>This paper describes the development of an adaptive RF propagation prediction program for land mobile radio systems. The program, which allows the user to specify transmitted signal strength, carrier frequency, base station antenna height, and mobile vehicle antenna height, also provides the information necessary to determine a level of confidence for its predictions. In lieu of detailed topographical data (which is unavailable for many regions), the program makes use of data files containing the results of received signal strength measurements previously taken within the geographic region of interest at various locations, various carrier frequencies, and various base station antenna heights. This paper concludes by providing examples of results illustrating the performance of the adaptive propagation prediction program, showing that the proposed program yields significant improvement in propagation prediction and level of confidence when compared to currently available tools. ¬© 1997 IEEE.</t>
  </si>
  <si>
    <t>56-63</t>
  </si>
  <si>
    <t>60025371;101729636;60017366</t>
  </si>
  <si>
    <t>7202088015;7003264525;7003818058</t>
  </si>
  <si>
    <t>Stern, Harold P.;Hermes, Jihad G.;Darbha, Subrahmanyam</t>
  </si>
  <si>
    <t>Tuscaloosa;Yorktown Heights;Honolulu</t>
  </si>
  <si>
    <t>The University of Alabama;IBM Thomas J. Watson Research Center;PrimeCo Persona Communications</t>
  </si>
  <si>
    <t>60025371;60017366;101729636</t>
  </si>
  <si>
    <t>Stern H.</t>
  </si>
  <si>
    <t>An adaptive propagation prediction program for land mobile radio systems</t>
  </si>
  <si>
    <t>S0018931697026115</t>
  </si>
  <si>
    <t>10.1109/11.566825</t>
  </si>
  <si>
    <t>2-s2.0-0031103691</t>
  </si>
  <si>
    <t>['surface charge', 'respond appropriately', 'radiating antenna', 'radial field', 'radial component', 'personal monitor', 'person wearing', 'monitor uses', 'low frequencies', 'illuminating field', 'farther distances', 'electromagnetic field', 'displacement current', 'current induced', 'close distances', 'approximately 1', 'antenna induces']</t>
  </si>
  <si>
    <t>A personal electromagnetic radiation monitor having a surface area sensor to detect the radial electric field component directly from the radiating antenna or a secondary radial field component created by the current induced in the wearer of the personal monitor who is illuminated by the electromagnetic field. The measurement of low frequency electric (E) fields in the presence of a human is difficult because of the field perturbation caused by the human. This monitor uses the very same mechanism for the perturbation of the field to monitor the level of the illuminating field. The radial field is the major energy component of the electromagnetic field near a radiator. It predominates for approximately 1/6 of a wavelength. At low frequencies and at close distances to the radiating antenna, the radial field from the antenna induces a surface charge on the sensor, which results in a displacement current which is measured and compared to a preset threshold value, above which will trigger the alarm. At farther distances from the radiating antenna, where the radial component is not as prominent, the vertical E field becomes the significant field illuminating the person wearing the monitor. The field will induce a current in the person which, in turn, will create a secondary radial E field close to the surface ofthat person. The surface area sensor will sense this secondary radial E field and cause the personal monitor to respond appropriately. ¬©1997 IEEE.</t>
  </si>
  <si>
    <t>83-88</t>
  </si>
  <si>
    <t>Asian, Edward</t>
  </si>
  <si>
    <t>Lockheed Martin Microwave</t>
  </si>
  <si>
    <t>Asian E.</t>
  </si>
  <si>
    <t>A personal monitor using a surface area sensor</t>
  </si>
  <si>
    <t>S00018931697026140</t>
  </si>
  <si>
    <t>10.1109/11.566828</t>
  </si>
  <si>
    <t>2-s2.0-0031103707</t>
  </si>
  <si>
    <t>['¬© 1997', 'test structure', 'simple implementation', 'simple circuit', 'semiconductor devices', 'results compared', 'obtained using', 'gain block', 'fdtd method', 'electrical engineers', 'considerable complexity']</t>
  </si>
  <si>
    <t>The FDTD method is a full wave numerical method which has been extended to analyse hybrid systems incorporating lumped elements and semiconductor devices (using equivalent circuits). A simple implementation of a matched gain block in the extended FDTD algorithm is proposed. The behaviour of the gain block is examined through a simple circuit to validate its characteristics. As a test structure of considerable complexity, a novel microstrip active circulator is analysed. Results compared with those obtained using the HP-MDS circuit simulator show good agreement. ¬© 1997 The Institution of Electrical Engineers. Printed and published by the IEE.</t>
  </si>
  <si>
    <t>6602726590;16554512900;7201658579;57213425197</t>
  </si>
  <si>
    <t>Kalialakis, C.;Cryan, M. J.;Gardner, P.;Hall, P. S.</t>
  </si>
  <si>
    <t>FDTD analysis of microstrip configurations incorporating gain blocks</t>
  </si>
  <si>
    <t>2-s2.0-0031108372</t>
  </si>
  <si>
    <t>['¬© 1997', 'two outputs', 'second harmonic', 'receiving antenna', 'push configuration', 'harmonics generated', 'frequency doubling', 'electrical engineers', 'amplified non']</t>
  </si>
  <si>
    <t>A new frequency doubling active microstrip transponder is presented. The frequency doubling is achieved from harmonics generated by non-linear devices connected in push-push configuration. Two rectangular half wavelength microstrip antennas are used for transmitting and receiving. The frequency doubling circuit and receiving antenna are integrated to minimise the losses and for compactness of the transponder. Two outputs in anti-phase from the receiving patch antenna are amplified non-linearly using MMICs and combined in phase, which suppresses the fundamental and enhances the second harmonic which is transmitted from a second patch antenna. The experimental results achieved are presented in the paper. ¬© 1997 The Institution of Electrical Engineers. Printed and published by the IEE.</t>
  </si>
  <si>
    <t>A novel frequency doubling active microstrip transponder</t>
  </si>
  <si>
    <t>2-s2.0-0031108420</t>
  </si>
  <si>
    <t>60008524;60008524</t>
  </si>
  <si>
    <t>7103187079;55952532900</t>
  </si>
  <si>
    <t>Ibrahim, E. M.;McEwan, N. J.</t>
  </si>
  <si>
    <t>Ibrahim E.</t>
  </si>
  <si>
    <t>Compact printed disc antennas for wireless LAN's</t>
  </si>
  <si>
    <t>2-s2.0-0031108747</t>
  </si>
  <si>
    <t>['¬© 1997', 'theoretically demonstrated', 'paper considers', 'low noise', 'intimately integrating', 'electrical engineers', 'design approach']</t>
  </si>
  <si>
    <t>This paper considers how a compact low noise active antenna may be constructed. The design approach is to achieve a highly compact design by intimately integrating the d.c. and r.f. requirements. Low noise is theoretically demonstrated and design topologies identified. ¬© 1997 The Institution of Electrical Engineers. Printed and published by the IEE.</t>
  </si>
  <si>
    <t>A novel highly compact low noise active antenna</t>
  </si>
  <si>
    <t>2-s2.0-0031109072</t>
  </si>
  <si>
    <t>Bayerisches Staatsministerium f√ºr Bildung und Kultus, Wissenschaft und Kunst</t>
  </si>
  <si>
    <t>HSS</t>
  </si>
  <si>
    <t>['subsequently calculated', 'squares method', 'quasiplane wave', 'planar sample', 'nonlinear least', 'multiple reflections', 'millimeter wavelengths', 'measurement setup', 'measured data', 'horn antenna', 'gaussian beam', 'field pattern', 'errors induced', 'diffraction effects', 'complex permittivity', '75 ghz']</t>
  </si>
  <si>
    <t>Complex permittivity | Dielectric properties | Free-space method | Free-space transmission measurements | Gaussian beam | Millimeter wave frequencies | Quasioptical method</t>
  </si>
  <si>
    <t>A free-space system operating in the 75 GHz to 95 GHz range for measurement of the complex permittivity of matter is presented. The complex transmission coefficient of a parallel polarized quasiplane wave through a planar sample is determined for different incidence angles. The quasiplane wave is realized by a collimated Gaussian beam. The complex permittivity is subsequently calculated from the measured data by applying a nonlinear least-squares method. Errors induced by multiple reflections between the transmitting and receiving horn antennas are removed by a time-domain gating technique. The design of the quasioptical measurement setup is based on Gaussian beam optics. A dielectric lens collimates the beam of the transmitting horn antenna for minimization of diffraction effects at the edges of the sample. In order to verify the Gaussian beam and thin lens approximations at millimeter wavelengths, the far-field pattern of the horn antenna and the dielectric lens system has been measured. The performance of the measurement setup has been tested using glass samples. ¬© 1997 IEEE.</t>
  </si>
  <si>
    <t>515-518</t>
  </si>
  <si>
    <t>60019722;60000251-60019722</t>
  </si>
  <si>
    <t>6602934275;7004736208</t>
  </si>
  <si>
    <t>Friedsam, Gerhard L.;Biebl, Erwin M.</t>
  </si>
  <si>
    <t>Munich;New York</t>
  </si>
  <si>
    <t>Technical University of Munich;IEEE</t>
  </si>
  <si>
    <t>60019722;60000251</t>
  </si>
  <si>
    <t>Friedsam G.</t>
  </si>
  <si>
    <t>A broadband free-space dielectric properties measurement system at millimeter wavelengths</t>
  </si>
  <si>
    <t>S0018945697016239</t>
  </si>
  <si>
    <t>10.1109/19.571899</t>
  </si>
  <si>
    <t>2-s2.0-0031117447</t>
  </si>
  <si>
    <t>['sharp slope', 'receiving antenna', 'radio navigation', 'radiation pattern', 'polarization rejection', 'multipath signals', 'important parts', 'high rejection', 'hemispherical coverage', 'helical antennas', 'gps antenna', 'frequency coverage', 'elevation angles', 'desired specifications', 'desired beamwidth', 'design process', 'design based', 'demanded precision', 'crosspolarized signals', 'confirmed experimentally', 'antenna system', 'antenna array', '130 ¬∞']</t>
  </si>
  <si>
    <t>Antennas | Global positioning system</t>
  </si>
  <si>
    <t>The FAA decision allowing the use of the global positioning system (GPS) as a radio navigation and landing help system in the United States commercial airports boosts the need for a high-performance GPS receiver which provides the demanded precision. The design of the receiving antenna is one of the most important parts in the design process, as it has to face significant challenges including uniform coverage of all satellites and the rejection of the multipath signals. The rejection of the multipath signals is accomplished by specifying restrictive criteria to the GPS antenna. This includes a high rejection of the crosspolarized signals and a radiation pattern with a sharp slope for low-elevation angles; that is, near the horizon. In this paper, the feasibility of using different types of antennas to satisfy restrictive criteria such as dual-frequency coverage (LI and L2 frequencies), - 15 dB cross-polarization rejection, and a beamwidth of more than 130¬∞ is discussed. The antenna designs examined in this study include patch antennas, helical antennas, and conical spiral antennas. Two different receiver designs were also examined including a single-antenna system with a hemispherical coverage and an antenna array which may provide independent sectoral coverage of the desired beamwidth. It is shown that a design based on a conical spiral antenna backed with absorbing material may be used to satisfy all the desired specifications. This result was confirmed experimentally. ¬© 1997 IEEE.</t>
  </si>
  <si>
    <t>698-706</t>
  </si>
  <si>
    <t>60025488;60025488;60005304;60025488;60005304</t>
  </si>
  <si>
    <t>6508183466;6701819903;56390897400;34769915200;6506304486</t>
  </si>
  <si>
    <t>Padros, Neus;Ortigosa, Juan I.;Baker, James;Iskander, Magdy F.;Thornberg, Bryce</t>
  </si>
  <si>
    <t>Salt Lake City;Waltham</t>
  </si>
  <si>
    <t>The University of Utah;Raytheon</t>
  </si>
  <si>
    <t>60025488;60005304</t>
  </si>
  <si>
    <t>Padros N.</t>
  </si>
  <si>
    <t>Comparative study of high-performance gps receiving antenna designs</t>
  </si>
  <si>
    <t>S0018926X97025052</t>
  </si>
  <si>
    <t>10.1109/8.564096</t>
  </si>
  <si>
    <t>2-s2.0-0031117521</t>
  </si>
  <si>
    <t>['larger cities', 'earth stations', 'also computed']</t>
  </si>
  <si>
    <t>Calculation of the angle Œ± | Multibeam antenna | Parabolic torus reflector antenna</t>
  </si>
  <si>
    <t>In this paper, the equations for determining the important parameter Œ± are developed for a parabolic torus reflector antenna with multibeam. The values of the angle Œ± are also computed for most larger cities' earth stations to communicate with several synchronous satellites simultaneously.</t>
  </si>
  <si>
    <t>Chinese Journal of Electronics</t>
  </si>
  <si>
    <t>100511651;100511651;60023813</t>
  </si>
  <si>
    <t>7102831699;55478588900;7202152603</t>
  </si>
  <si>
    <t>Du, Biao;Yang, Kezhong;Zhong, Shunshi</t>
  </si>
  <si>
    <t>Shanghai;Shijiazhuang</t>
  </si>
  <si>
    <t>Shanghai University;Fifty Fourth Institute of CETC</t>
  </si>
  <si>
    <t>60023813;100511651</t>
  </si>
  <si>
    <t>Du B.</t>
  </si>
  <si>
    <t>Calculation of the angle Œ± of a parabolic torus reflector antenna with multibeam</t>
  </si>
  <si>
    <t>2-s2.0-0031118320</t>
  </si>
  <si>
    <t>['waves incoming', 'unitary esprit', 'time delay', 'secondary lobes', 'scattering function', 'results confirm', 'received power', 'propagation mechanisms', 'privileged doa', 'paths comprising', 'particularly important', 'incoming waves', 'impinging power', 'guiding property', 'exponential part', 'excess delay', 'especially pronounced', 'elevation dependence', 'elevation angle', 'depth knowledge', 'delayed paths', 'angular resolution', 'accurate method', '0 ¬∞']</t>
  </si>
  <si>
    <t>Direction-of-arrrival estimation | Mobile communication</t>
  </si>
  <si>
    <t>The in-depth knowledge of the mobile radio channel is particularly important for radio communication modeling and advanced technology system design. We propose an accurate method to determine jointly azimuth and elevation angle and the delay of waves incoming at the receiver. The method is applied to measurements of the complex impulse response of the mobile radio channel, performed on a planar array placed on a mobile in an urban cellular environment. The directionsof-arrival (DOA) were obtained by the means of a recently presented direction finding algorithm-Two-Dimensional (2-D) Unitary ESPRIT. Two-dimensional spatial smoothing as an extension of ordinary spatial smoothing is utilized to decorrelate coherent waves. The application of 2-D Unitary ESPRIT increases the angular resolution over conventional Fourier analysis or the scattering function by an order of magnitude and overcomes difficulties due to secondary lobes. The time delay is determined from wideband channel sounder measurements. The results confirm some assumptions on propagation mechanisms: 1) The wave-guiding property of streets (canyon effect), which is especially pronounced for long-delayed paths; 2) the variation of the number of incoming waves with their excess delay-the larger the excess delay, the lower the number of paths comprising an echo in the power delay profile; 3) if a single path remains, the privileged DOA is the direction of the street; 4) the exponential part of the power delay profile due to scatterers all around the receiver; and 5) the elevation dependence of the impinging power. In the tested receiver locations, paths with elevations between 0¬∞ and 40¬∞ dominate, containing about 90 % of the received power. ¬© 1997 IEEE.</t>
  </si>
  <si>
    <t>672-682</t>
  </si>
  <si>
    <t>60018163;60018163;102065213</t>
  </si>
  <si>
    <t>6701392503;16025353900;7007067644</t>
  </si>
  <si>
    <t>F√ºhl, Josef;Rossi, Jean Pierre;Bonek, Ernst</t>
  </si>
  <si>
    <t>Austria;France</t>
  </si>
  <si>
    <t>Vienna;</t>
  </si>
  <si>
    <t>Technische Universit√§t Wien;CNET/BEL/POH/URR</t>
  </si>
  <si>
    <t>60018163;102065213</t>
  </si>
  <si>
    <t>F√ºhl J.</t>
  </si>
  <si>
    <t>High-resolution 3-d direction-of-arrival determination for urban mobile radio</t>
  </si>
  <si>
    <t>S0018926X97025027</t>
  </si>
  <si>
    <t>10.1109/8.564093</t>
  </si>
  <si>
    <t>2-s2.0-0031119006</t>
  </si>
  <si>
    <t>['two methods', 'low end', 'frequency spectrum', 'frequency region', 'free parts', 'electrically small', 'certain examples']</t>
  </si>
  <si>
    <t>Microstrip antenna | Scattering</t>
  </si>
  <si>
    <t>A new numerical procedure is developed for the solution of the electric field integral equation (EFIE) for arbitraryshaped microstrip structures. This approach is superior over conventional EFIE techniques particularly in the low-frequency region or where the structure to be analyzed is electrically small. A pair of new basis functions is presented which are essential to the solution in the entire frequency range of interest. The new basis functions decompose the surface current density into divergenceless and curl-free parts which essentially get decoupled at the very low end of the frequency spectrum. Typical numerical results are presented for certain examples to illustrate the difference in the results between the two methods. ¬© 1997 IEEE.</t>
  </si>
  <si>
    <t>485-491</t>
  </si>
  <si>
    <t>Uckun, Savas</t>
  </si>
  <si>
    <t>Syracuse University</t>
  </si>
  <si>
    <t>Uckun S.</t>
  </si>
  <si>
    <t>A novel technique for analysis of electromagnetic scattering from microstrip antennas of arbitrary shape</t>
  </si>
  <si>
    <t>S0018948097025313</t>
  </si>
  <si>
    <t>10.1109/22.566627</t>
  </si>
  <si>
    <t>2-s2.0-0031119179</t>
  </si>
  <si>
    <t>['structural deformations', 'optical interferometry', 'feed point']</t>
  </si>
  <si>
    <t>The performance of a conventional microwave parabolic dish reflector can be estimated from a 35 mm photo, which is taken when the dish is illuminated by a small light bulb mounted at its feed point. Both random surface errors, structural deformations and feed positioning problems can be analyzed. If only go/no go-information is needed, no optical interferometry is necessary.</t>
  </si>
  <si>
    <t>100338347-100570422-60033191-112494344;100338347</t>
  </si>
  <si>
    <t>7005966238;6507050785</t>
  </si>
  <si>
    <t>Eskelinen, P.;Ponka, K.</t>
  </si>
  <si>
    <t>Finland;;United States;Finland</t>
  </si>
  <si>
    <t>Espoo;;Pomona;Kotka</t>
  </si>
  <si>
    <t>VTT Technical Research Centre of Finland;National Board of Aviation;Electrical Engineering Department;Kotka Inst of Technology</t>
  </si>
  <si>
    <t>60033191;112494344;100570422;100338347</t>
  </si>
  <si>
    <t>Reflector antenna analysis by simple photography</t>
  </si>
  <si>
    <t>10.1109/62.575993</t>
  </si>
  <si>
    <t>2-s2.0-0031119272</t>
  </si>
  <si>
    <t>['true error', 'training process', 'study employs', 'real time', 'primary concerns', 'paraboloidal antennas', 'industrial production']</t>
  </si>
  <si>
    <t>The emergence of adaptive "smart" materials has led to the design of active aperture antennas. Inherent in these antennas is the ability to change their shape in real time to meet various performance characteristics. When examining the usefulness of these antennas, one of the primary concerns is the antenna shape needed for a particular radiation pattern. Aperture antenna shape prediction is also a concern in the industrial production of semi-paraboloidal antennas. The work in this study employs an artificial neural network to model the aperture antenna shape in real time. To test the accuracy of the network, the "threefold holdout technique" was employed. In this technique, sets of examples are "held out" of the training process and used to obtain the "true error" of the network. The network accurately predicted the aperture shape exactly, to within three significant digits, 96% of the time. ¬© 1997 IEEE.</t>
  </si>
  <si>
    <t>683-688</t>
  </si>
  <si>
    <t>Washington, Gregory</t>
  </si>
  <si>
    <t>Washington G.</t>
  </si>
  <si>
    <t>Aperture antenna shape prediction by feedforward neural networks</t>
  </si>
  <si>
    <t>S0018926X97025039</t>
  </si>
  <si>
    <t>10.1109/8.564094</t>
  </si>
  <si>
    <t>2-s2.0-0031120341</t>
  </si>
  <si>
    <t>['sided version', 'result come', 'periodic scatterers', 'original form', 'one desires', 'line sources', 'infinite arrays', 'infinite array', 'electromagnetic applications', 'efficient method', 'currents dictated', 'certain regions']</t>
  </si>
  <si>
    <t>Arrays</t>
  </si>
  <si>
    <t>The Poisson sum formula provides an efficient method for transforming many slowly converging infinite summations into equivalent, but more rapidly converging infinite summations. Electromagnetic applications for this result come in the analysis of infinite arrays of periodic scatterers, such as frequency selective surfaces. However, in some applications, such as when one desires the radiation of a semi-infinite array of periodically spaced currents, the original form of the Poisson sum formula is inappropriate. For such applications, we derive a one-sided version of the formula and apply it to the radiation from a semi-infinite array of line sources with currents dictated by Floquet's theorem. The one-sided Poisson sum transformation yields enhanced convergence characteristics for certain regions of application as a result of the inverse bandwidth relationship between Fourier transform pairs. The application of it to a semi-infinite line source array also provides a plane wave representation for the fields, which makes for an extension of the solution to geometries with stratified dielectric media.</t>
  </si>
  <si>
    <t>601-607</t>
  </si>
  <si>
    <t>60020251;60020251</t>
  </si>
  <si>
    <t>54680004100;7402501089</t>
  </si>
  <si>
    <t>Paul Skinner, J.;Collins, Peter J.</t>
  </si>
  <si>
    <t>United States Air Force Institute of Technology</t>
  </si>
  <si>
    <t>Paul Skinner J.</t>
  </si>
  <si>
    <t>A one-sided version of the poisson sum formula for semi-infinite array green's functions</t>
  </si>
  <si>
    <t>S0018926X97024939</t>
  </si>
  <si>
    <t>10.1109/8.564085</t>
  </si>
  <si>
    <t>2-s2.0-0031120401</t>
  </si>
  <si>
    <t>['stable operation', 'single stripline', 'plasma frequency', 'operating frequency', 'microwave power', 'long arrays', 'current densities', 'best results', 'array circuits', '70 ghz', '4800 junctions', '10 v', '10 mw', '1 v']</t>
  </si>
  <si>
    <t>Array | Josephson effect | Microwave circuit | Superconducting tunnel junction | Superconductivity | Voltage standard</t>
  </si>
  <si>
    <t>Using a modified fabrication method and a detailed design investigation we have been able to optimize the array circuits for the Josephson voltage standard and to solve the trapped flux problem. Even in very long arrays (4800 junctions in a single stripline) a yield of 1 mV per junction could be achieved. The microwave power in the range from 70 GHz to 73 GHz required for stable operation of 1 V and 10 V circuits could be reduced to approximately 1 mW and 10 mW (antenna input), respectively. The best results at 10 V were obtained with circuits of 13 924 junctions arranged in 4 microwave paths connected in parallel. Excellent calibration conditions were maintained for current densities of about 10 A/cm2 for which the ratio of operating frequency to plasma frequency is increased to six. ¬© 1997 IEEE.</t>
  </si>
  <si>
    <t>229-232</t>
  </si>
  <si>
    <t>60010962;60010962;60010962;60010962;60010962;60010962;60010962;60010962;60010962</t>
  </si>
  <si>
    <t>8445833900;16449004900;55735006600;7005537141;7202027073;7004026034;7004903894;36945523100;7004228002</t>
  </si>
  <si>
    <t>M√ºller, Franz;P√∂pel, Ralf;Kohlmann, Johannes;Niemeyer, J.;Meier, W.;Weimann, T.;Grimm, Lambert;D√ºnschede, Friedrich Wilhelm;Gutmann, Peter</t>
  </si>
  <si>
    <t>Braunschweig</t>
  </si>
  <si>
    <t>Physikalisch-Technische Bundesanstalt</t>
  </si>
  <si>
    <t>M√ºller F.</t>
  </si>
  <si>
    <t>Optimized 1 V and 10 V josephson series arrays</t>
  </si>
  <si>
    <t>S0018945697015908</t>
  </si>
  <si>
    <t>10.1109/19.571819</t>
  </si>
  <si>
    <t>2-s2.0-0031120442</t>
  </si>
  <si>
    <t>U.S. Air Force</t>
  </si>
  <si>
    <t>F33615-94-C-1536</t>
  </si>
  <si>
    <t>USAF</t>
  </si>
  <si>
    <t>['subspace selection', 'subspace formed', 'spectral metric', 'rank reduction', 'principal eigenvectors', 'paper introduces', 'optimal criterion', 'intuitive result']</t>
  </si>
  <si>
    <t>This paper introduces a cross-spectral metric for subspace selection and rank reduction in partially adaptive minimum variance array processing. The counter-intuitive result that it is suboptimal to perform rank reduction via the selection of the subspace formed by the principal eigenvectors of the array covariance matrix is demonstrated. A cross-spectral metric is shown to be the optimal criterion for reduced-rank Wiener filtering. ¬© 1997 IEEE.</t>
  </si>
  <si>
    <t>60029311;60029311</t>
  </si>
  <si>
    <t>University of Southern California</t>
  </si>
  <si>
    <t>Subspace selection for partially adaptive sensor array processing</t>
  </si>
  <si>
    <t>10.1109/7.575892</t>
  </si>
  <si>
    <t>2-s2.0-0031121507</t>
  </si>
  <si>
    <t>['two boundaries', 'transverse fields', 'presented formalism', 'plane waves', 'obliquely incident', 'impedance cylinder', 'cylindrical structures']</t>
  </si>
  <si>
    <t>Electromagnetic scattering</t>
  </si>
  <si>
    <t>A propagator matrix approach for cylindrical structures is applied to solve scattering problems featuring inhomogeneous bianisotropic media. The involved propagator matrix, which describes the relation between the transverse fields at the two boundaries of an inhomogeneous cylindrical layer, is obtained by utilizing Fourier series expansions for fields as well as material parameter functions. The presented formalism is capable of analyzing the scattering of plane waves which are obliquely incident on an impedance cylinder that is covered with an inhomogeneous bianisotropic layer. We provide typical examples showing the applicability of the method. ¬© 1997 IEEE.</t>
  </si>
  <si>
    <t>648-655</t>
  </si>
  <si>
    <t>Jakoby, Bernhard</t>
  </si>
  <si>
    <t>Delft Institute of Microelectronics and Submicrontechnology - DIMES</t>
  </si>
  <si>
    <t>Jakoby B.</t>
  </si>
  <si>
    <t>Scattering of obliquely incident waves by an impedance cylinder with inhomogeneous bianisotropic coating</t>
  </si>
  <si>
    <t>S0018926X97025003</t>
  </si>
  <si>
    <t>10.1109/8.564091</t>
  </si>
  <si>
    <t>2-s2.0-0031121687</t>
  </si>
  <si>
    <t>['repeated measurements', 'primary standards', 'precision dipoles', 'mean values', 'expanded uncertainty', 'confidence level', 'antenna factor', 'antenna calibration', 'anechoic chamber', '5 %.', '3 db', '25 db', '15 db', '11 db']</t>
  </si>
  <si>
    <t>Antenna factor | Calibration | Dipole | Electric field-strength | Numerical electromagnetic code (NEC) | Site attenuation | Traceability | Transmission loss | Uncertainty</t>
  </si>
  <si>
    <t>We have built a set of precision dipoles to be used as primary standards for antenna calibration. In order to evaluate and verify the performance of these dipoles we have made site attenuation measurements on our open-area test site and in the anechoic chamber. The comparison of insertion loss data calculated using Numerical Electromagnetic Code (NEC) and measured values yielded deviations of less than 0.3 dB for any measurement and less than 0.25 dB for the mean values of repeated measurements at each frequency. The uncertainty in the transmission loss measurement was 0.11 dB for a confidence level of 95.5%. The combined, expanded uncertainty in the antenna factor of one precision dipole is 0.15 dB. ¬© 1997 IEEE.</t>
  </si>
  <si>
    <t>544-548</t>
  </si>
  <si>
    <t>60000251-60010000;60010000;60010000;60000251</t>
  </si>
  <si>
    <t>7004463404;6507670711;6603008101;57188724068</t>
  </si>
  <si>
    <t>Garn, Heinrich;Buchmayr, Max;M√ºllner, Wolfgang;Rasinger, Josef</t>
  </si>
  <si>
    <t>Austria;United States</t>
  </si>
  <si>
    <t>Seibersdorf;New York</t>
  </si>
  <si>
    <t>ARC Seibersdorf Research GmbH;IEEE</t>
  </si>
  <si>
    <t>60010000;60000251</t>
  </si>
  <si>
    <t>Garn H.</t>
  </si>
  <si>
    <t>Primary standards for antenna factor calibration in the frequency range of (30 to 1000) MHz</t>
  </si>
  <si>
    <t>S0018945697016240</t>
  </si>
  <si>
    <t>10.1109/19.571906</t>
  </si>
  <si>
    <t>2-s2.0-0031121820</t>
  </si>
  <si>
    <t>['¬± 0', 'results agree', 'program nec', 'precision measurements', 'precisely measured', 'originally designed', 'monopole antennas', 'measured value', 'key achievements', 'insertion loss', 'electromagnetic compatibility', 'dipole antennas', 'close agreement', 'careful design', 'antenna factors', 'antenna factor', '500 mhz', '15 db', '100 mhz', '1 ghz', '1 db', '05 db']</t>
  </si>
  <si>
    <t>Antenna factor | Calculable antenna | Dipole antenna | E-field strength | Electromagnetic compatibility (EMC) antenna | Low uncertainty | Monopole antenna | Standard antenna</t>
  </si>
  <si>
    <t>Close agreement between the measured and predicted insertion loss between dipole antennas above a conducting ground plane has produced a calculable standard dipole antenna. Antenna factors of dipole antennas in the frequency range 30 MHz to 500 MHz have been determined to an uncertainty of ¬±0.1 dB. Though the design of the dipole is not new, the key achievements are: the use of a large standard ground plane, the use of the program NEC to obtain broadband results, careful design of antennas and supports and precision measurements. Insertion loss and antenna factor are calculated by two independent methods, numerical and analytical, and the results agree to better than ¬±0.05 dB. The NPL calculable dipole antenna was originally designed for electromagnetic compatibility (EMC) applications in the frequency range 30 MHz to 1 GHz, but it can be used wherever electric field strength of free-field signals needs to be precisely measured. The technique was applied to monopole antennas for which antenna factor was determined to an uncertainty of ¬±0.15 dB over the frequency range 10 MHz to 100 MHz. In this paper, traceability of antenna factor to the predicted value rather than a measured value is justified. ¬© 1997 British Crown Copyright.</t>
  </si>
  <si>
    <t>539-543</t>
  </si>
  <si>
    <t>60010785;60010785</t>
  </si>
  <si>
    <t>7402333759;7103121400</t>
  </si>
  <si>
    <t>Alexander, Martin J.;Salter, Martin J.</t>
  </si>
  <si>
    <t>Middlesex</t>
  </si>
  <si>
    <t>National Physical Laboratory</t>
  </si>
  <si>
    <t>Alexander M.</t>
  </si>
  <si>
    <t>The design of dipole and monopole antennas with low uncertainties</t>
  </si>
  <si>
    <t>S0018945697016100</t>
  </si>
  <si>
    <t>10.1109/19.571905</t>
  </si>
  <si>
    <t>2-s2.0-0031121821</t>
  </si>
  <si>
    <t>['triangular outlines', 'synthesized one', 'successive approximations', 'square deflection', 'planar aperture', 'phase distribution', 'optimum shape', 'optimum functions', 'optimum amplitude', 'optimization criterion', 'numerical results', 'numerical algorithms', 'main lobe', 'kantorovich method', 'given pattern', 'ensures minimization', 'aperture corresponding']</t>
  </si>
  <si>
    <t>Antenna radiation patterns | Aperture antennas</t>
  </si>
  <si>
    <t>The problem of synthesis of an optimum shape of a planar aperture and optimum amplitude-phase distribution over this aperture corresponding to a given power pattern is considered. The functional, which ensures minimization of the mean-square deflection of the magnitudes of the given pattern and of the synthesized one in the area of the main lobe and minimization of the sidelobes, is used as the optimization criterion. The problem of determination of the optimum functions of the shape of a planar aperture and of the excitation over this aperture is reduced to the determination of solution of the system of two nonlinear integral equations. The numerical algorithms of solution of these equations are based on utilization of the method of successive approximations and Newton-Kantorovich method. The numerical results of synthesis of partial power patterns with rectangular and triangular outlines are presented. ¬© 1997 IEEE.</t>
  </si>
  <si>
    <t>744-747</t>
  </si>
  <si>
    <t>55973232200;7005644252</t>
  </si>
  <si>
    <t>Savenko, Petro O.;Anokhin, Volodymyr J.</t>
  </si>
  <si>
    <t>Savenko P.</t>
  </si>
  <si>
    <t>Synthesis of amplitude-phase distribution and shape of a planar antenna aperture for a given power pattern</t>
  </si>
  <si>
    <t>S0018926X97014531</t>
  </si>
  <si>
    <t>10.1109/8.564102</t>
  </si>
  <si>
    <t>2-s2.0-0031121911</t>
  </si>
  <si>
    <t>['switching jitter', 'switched field', 'switch volume', 'rise time', 'radiating antenna', 'radiated field', 'previous designs', 'ira ).', 'gallium arsenide', 'frequency spectrum', 'easily integrated', 'adjustable low', '904 nm', '80 kv', '330 ps', '2 khz']</t>
  </si>
  <si>
    <t>An ultrawide-band (UWB) pulse generator based on high-gain (lock-on mode) gallium arsenide (GaAs) photoconductive semiconductor switches (PCSS's) is presented. Revised PCSS contact design shows improved performance in hold-off field, on-state switch potential, and switching jitter, while reducing the switch volume by 75% compared to previous designs. A compact laser diode module operates at 904 nm and triggers the PCSS at pulse repetition rates (PRR) of up to 2 kHz. The 625 W laser diode output power is found to be sufficient to produce switching jitter of 65 ps rms at a switched field of 80 kV/cm. The PCSS switching jitter is found to have a strong dependence upon the switched field when triggered with the laser diode module. The revised PCSS geometry is easily integrated into a compact, parallel-plate source used to drive a TEM horn impulse-radiating antenna (IRA). The radiated field has a rise time of 330 ps and an adjustable low-frequency spectrum. ¬© 1997 IEEE.</t>
  </si>
  <si>
    <t>IEEE Transactions on Plasma Science</t>
  </si>
  <si>
    <t>60015710;60015710;60015710;60015710;60015710;60015710</t>
  </si>
  <si>
    <t>7005429037;7402669842;55663513600;35616697500;7003578692;57210063162</t>
  </si>
  <si>
    <t>Schoenberg, Jon S.H.;Burger, Jeffrey W.;Scott Tyo, J.;Abdalla, Michael D.;Skipper, Michael C.;Buchwald, Walter R.</t>
  </si>
  <si>
    <t>Kirtland</t>
  </si>
  <si>
    <t>Kirtland Air Force Base</t>
  </si>
  <si>
    <t>Schoenberg J.S.H.</t>
  </si>
  <si>
    <t>Ultra-wideband source using gallium arsenide photoconductive semiconductor switches</t>
  </si>
  <si>
    <t>S0093381397037855</t>
  </si>
  <si>
    <t>10.1109/27.602507</t>
  </si>
  <si>
    <t>2-s2.0-0031122428</t>
  </si>
  <si>
    <t>28-X2</t>
  </si>
  <si>
    <t>Arends, Steven</t>
  </si>
  <si>
    <t>Arends S.</t>
  </si>
  <si>
    <t>Tools for news gatherers</t>
  </si>
  <si>
    <t>2-s2.0-0031122558</t>
  </si>
  <si>
    <t>['stage tracks', 'nonstationary environment', 'computer simulations', 'closely spaced', 'array algorithm', 'antenna elements']</t>
  </si>
  <si>
    <t>A new constant modulus (CM) array algorithm with a timevarying step size is presented. It is designed for use in a cascade multistage system where each beamformer stage recovers one cochannel source. We assume that each source has a small angular spread and that the antenna elements are closely spaced. For this scenario, the new algorithm ensures that a stage tracks the same source during fast fading conditions, thus yielding reliable source estimation in a nonstationary environment. We present the cost function associated with the algorithm and compare it with that of the original CM array. Computer simulations for Rayleigh fading channels are presented to illustrate the improved tracking behavior of the multistage CM array. ¬© 1997 IEEE.</t>
  </si>
  <si>
    <t>1083-1087</t>
  </si>
  <si>
    <t>60029241;60029241;60029241</t>
  </si>
  <si>
    <t>55432128000;6602531600;7005641508</t>
  </si>
  <si>
    <t>Mathur, Amit;Keerthi, Arvind V.;Shynk, John J.</t>
  </si>
  <si>
    <t>Santa Barbara</t>
  </si>
  <si>
    <t>University of California, Santa Barbara</t>
  </si>
  <si>
    <t>A variable step-size CM array algorithm for fast fading channels</t>
  </si>
  <si>
    <t>10.1109/78.564199</t>
  </si>
  <si>
    <t>2-s2.0-0031122662</t>
  </si>
  <si>
    <t>['spiral plane', 'space analysis', 'significant increase', 'radiation characteristics', 'planar two', 'paper presents', 'opposite side', 'one wavelength', 'one side', 'normal dependence', 'neighboring currents', 'moments solution', 'input impedance', 'eccentricity generates', 'eccentricity constant', 'currents result', 'adjacent currents']</t>
  </si>
  <si>
    <t>Antennas</t>
  </si>
  <si>
    <t>This paper presents a free-space analysis of a planar two-arm eccentric spiral antenna. The eccentricity generates a circularly polarized wave with the main beam directed off-normal to the spiral plane. Input impedance and radiation characteristics are calculated from the current distribution generated by a method of moments solution. The radiation characteristics include power gain and axial ratio patterns. Three-dimensional (3-D) gain surface plots illustrate off-normal dependence of the eccentricity constant. The eccentric spiral antenna is found to have a significant increase in gain. This occurs when adjacent spiral arms rotating 360¬∞ have an electrical length increase of one wavelength. Thus, adjacent currents on one side of the spiral are nearly all in-phase. On the opposite side of the spiral, all neighboring currents are nearly out-of-phase. Evaluation of these currents result in a theory of operation for eccentric spiral antennas. ¬© 1997 IEEE.</t>
  </si>
  <si>
    <t>723-730</t>
  </si>
  <si>
    <t>60025209;60007278</t>
  </si>
  <si>
    <t>6506321020;7004468161</t>
  </si>
  <si>
    <t>Gloutak, Ronald T.;Alexopoulos, Nicolaos G.</t>
  </si>
  <si>
    <t>Los Angeles;Irvine</t>
  </si>
  <si>
    <t>Northrop Grumman corporation;University of California, Irvine</t>
  </si>
  <si>
    <t>Gloutak R.</t>
  </si>
  <si>
    <t>Two-arm eccentric spiral antenna</t>
  </si>
  <si>
    <t>S0018926X97014439</t>
  </si>
  <si>
    <t>10.1109/8.564099</t>
  </si>
  <si>
    <t>2-s2.0-0031122718</t>
  </si>
  <si>
    <t>['unknown direction', 'signal arrival', 'satellite signal', 'quality communications', 'provide high', 'paper describes', 'multibeam antenna', 'mobile environment', 'dsp engine', 'digital beamforming', 'considerable reduction', 'coarse acquisition', 'broad side']</t>
  </si>
  <si>
    <t>Array signal processing | Satellite mobile communication</t>
  </si>
  <si>
    <t>This paper describes a digital beamforming (DBF) multibeam antenna that incorporates a compact digital signal processor (DSP) engine, and the results of using it in a beamforming experiment receiving a satellite signal in a land-mobile environment. A considerable reduction in the scale of the DSP engine has been achieved by using field programmable gate arrays (FPGA's). To capture a satellite signal arriving from an unknown direction, a two-dimensional (2-D) spatial FFT signal processing provides orthogonal multibeam patterns on the broad side of a planar array antenna. The experimental results demonstrated the features of coarse acquisition and tracking of a signal arrival by selecting the strongest of the beams without assistance from direction finding sensors or microwave phase shifters. The DBF multibeam antenna will provide high-quality communications and increase traffic capacity if it is applied to a high-gain mobile antennas or a multispot-beam base station antennas in cellular or satellite mobile communications. ¬© 1997 IEEE.</t>
  </si>
  <si>
    <t>707-714</t>
  </si>
  <si>
    <t>60001271-60092258;60001271-60107885;60001271-60101699;60001271-60104145;60001271</t>
  </si>
  <si>
    <t>7103322075;7406725075;7004961264;36861148300;7102618328</t>
  </si>
  <si>
    <t>Miura, Ryu;Tanaka, Toyohisa;Chiba, Isamu;Horie, Akio;Karasawa, Yoshio</t>
  </si>
  <si>
    <t>Japan;Japan;Japan;Japan;Japan</t>
  </si>
  <si>
    <t>Tokyo;Nishinomiya;Tokyo;Koganei;Kyoto</t>
  </si>
  <si>
    <t>HP Japan Inc.;Furuno Electric Co., ltd;Mitsubishi Electric Corporation;Ministry of Posts and Telecommunications, Japan;Advanced Telecommunications Research Institute International (ATR)</t>
  </si>
  <si>
    <t>60107885;60104145;60101699;60092258;60001271</t>
  </si>
  <si>
    <t>Beamforming experiment with a dbf multibeam antenna in a mobile satellite environment</t>
  </si>
  <si>
    <t>S0018926X97025064</t>
  </si>
  <si>
    <t>10.1109/8.564097</t>
  </si>
  <si>
    <t>2-s2.0-0031122719</t>
  </si>
  <si>
    <t>['wide class', 'two solutions', 'structure needs', 'second solution', 'relative merits', 'radiating array', 'published data', 'phaseshift walls', 'one period', 'network representation', 'network form', 'network definition', 'main feature', 'key transition', 'key step', 'integral equation', 'infinite extent', 'first solution', 'evaluated directly', 'corrugated surfaces', 'approach presented', 'also presented']</t>
  </si>
  <si>
    <t>In this paper, we describe two multimode network representations for the analysis of radiating array of thick parallel plates. Due to periodicity and infinite extent, only one period of the structure needs to be studied. The key step is then the derivation of the equivalent network representation for the transition from a free-space region limited by phaseshift walls to a parallel plate waveguide. Two solutions to the problem are discussed. In the first solution, the relevant boundary value problem is cast into a network form that leads to an integral equation. The equation is then solved with the method of moments (MoM's). In the second solution, the elements of the multimode coupling matrix representing the grating are evaluated directly in terms of their network definition. The two solutions are then compared and the relative merits are discussed. The main feature of the approach presented in this paper, is that once the network representation of the key transition is obtained, it allows for the study of a wide class of scattering problems involving, for instance, corrugated surfaces and single or cascaded thick gratings. Comparison with published data are also presented, indicating that the two network representations developed are indeed very accurate. ¬© 1997 IEEE.</t>
  </si>
  <si>
    <t>608-613</t>
  </si>
  <si>
    <t>60031159;60031159</t>
  </si>
  <si>
    <t>57213082136;35444459700</t>
  </si>
  <si>
    <t>Kinowski, Didier;Guglielmi, Marco</t>
  </si>
  <si>
    <t>Noordwijk aan Zee</t>
  </si>
  <si>
    <t>ESTEC - European Space Research and Technology Centre</t>
  </si>
  <si>
    <t>Kinowski D.</t>
  </si>
  <si>
    <t>Multimode network representations for the scattering by an array of thick parallel plates</t>
  </si>
  <si>
    <t>S0018926X97024940</t>
  </si>
  <si>
    <t>10.1109/8.564086</t>
  </si>
  <si>
    <t>2-s2.0-0031122720</t>
  </si>
  <si>
    <t>CS 84-0210-D-155-002</t>
  </si>
  <si>
    <t>['uniform distributions', 'truncated gaussian', 'synthesized using', 'statistical distributions', 'significant bit', 'signals based', 'performance evaluation', 'numerical results', 'msb error', 'lfsr ).', 'hopping spread', 'hopped frequency', 'frequency estimate', 'fading channels', 'autoregressive spectral', 'aseat ).', 'also addressed', 'acquisition scheme', 'acquisition logic']</t>
  </si>
  <si>
    <t>Acquisition | Fading channel | Frequency-hopping | Spectral estimation</t>
  </si>
  <si>
    <t>Acquisition of frequency-hopping spread-spectrum (FH/SS) signals based on autoregressive spectral estimation is addressed for nonfading and Rayleigh-fading channels. The hopped frequency is synthesized using a linear feedback shift register (LFSR). The most significant bit (MSB) of the frequency estimate is loaded into the LFSR. A new acquisition logic is devised for the acquisition scheme that employs the autoregressive spectral-estimation acquisition technique (ASEAT). To characterize the statistical distributions of the frequency estimation error, the truncated Gaussian and uniform distributions are considered. The probability of the MSB error and the mean acquisition time of the acquisition logic are derived. For the ASEAT with the acquisition logic, the acquisition scheme that uses multiple antennas is also addressed. Numerical results for the probability of the MSB error and the corresponding mean acquisition time are illustrated for the performance evaluation of both cases. ¬© 1997 IEEE.</t>
  </si>
  <si>
    <t>445-455</t>
  </si>
  <si>
    <t>60013395;60013395</t>
  </si>
  <si>
    <t>7006655466;7701337723</t>
  </si>
  <si>
    <t>Chau, Yawgeng A.;Wang, Jing Kine</t>
  </si>
  <si>
    <t>Chung-Li</t>
  </si>
  <si>
    <t>Yuan Ze University</t>
  </si>
  <si>
    <t>Chau Y.</t>
  </si>
  <si>
    <t>Spectral-estimation-based acquisition for frequency-hopping spread-spectrum communications in a nonfading or rayleigh-fading channel</t>
  </si>
  <si>
    <t>S0090677897027827</t>
  </si>
  <si>
    <t>10.1109/26.585920</t>
  </si>
  <si>
    <t>2-s2.0-0031123124</t>
  </si>
  <si>
    <t>['various shapes', 'slot loops', 'return loss', 'open stubs', 'fed aperture', 'excitation slots', 'easy matching', 'back radiation', 'also allows', 'active devices']</t>
  </si>
  <si>
    <t>A numerical modeling based on the solution of coupled integral equations is used for the characterization of CPW-fed aperture-coupled microstrip antennas. Various shapes of excitation slots, such as open stubs, slot loops, and capacitively and inductively coupled slots, are investigated in terms of return loss and front-to-back radiated power ratio. It is shown that a centered CPW open stub gives a minimum of back radiation while allowing for easy matching. The slot-loop excitation seems to be a convenient feeding mechanism that also allows the insertion of active devices. ¬© 1997 IEEE.</t>
  </si>
  <si>
    <t>642-647</t>
  </si>
  <si>
    <t>6603047426;7003360986;7003385210</t>
  </si>
  <si>
    <t>Giauffret, Laurent;Laheurte, Jean Marc;Papiernik, A.</t>
  </si>
  <si>
    <t>Study of various shapes of the coupling slot in cpw-fed microstrip antennas</t>
  </si>
  <si>
    <t>S0018926X97024988</t>
  </si>
  <si>
    <t>10.1109/8.564090</t>
  </si>
  <si>
    <t>2-s2.0-0031123596</t>
  </si>
  <si>
    <t>['wave modes', 'radiating elements', 'physical reasons', 'novel technique', 'large arrays', 'impedance bandwidth', 'experimental verification', 'either mode', 'dual standing', 'array excitation', 'also discussed']</t>
  </si>
  <si>
    <t>A novel technique for feeding microstrip antenna arrays is proposed. It consists of a microstrip feed network designed to operate in dual standing and traveling-wave modes and provide uniform excitation to its elements with either mode. It, therefore, produces a uniform aperture distribution, regardless of the array element input impedances. The traveling wave propagates when radiating elements are matched, but resonant standing wave prevails if loads become mismatched. Since the feed network resonance does not alter the array excitation, it can be used in combination with the radiating patch resonance to broaden the impedance bandwidth. The physical reasons for such behaviors are explained and experimental verification are provided. The generalization of the concept to large arrays is also discussed. ¬© 1997 IEEE.</t>
  </si>
  <si>
    <t>715-722</t>
  </si>
  <si>
    <t>Legay, Herv√©;Shafai, L.</t>
  </si>
  <si>
    <t>A self-matching wideband feed network for micro strip arrays</t>
  </si>
  <si>
    <t>S0018926X97014427</t>
  </si>
  <si>
    <t>10.1109/8.564098</t>
  </si>
  <si>
    <t>2-s2.0-0031124226</t>
  </si>
  <si>
    <t>['simulated results', 'rigorous green', 'rectangular cavity', 'independent preprocessing', 'image extraction', 'function analysis']</t>
  </si>
  <si>
    <t>A rigorous Green's function analysis of rectangular microstrip patch antennas enclosed in a rectangular cavity is described. The formulation makes use of a frequency-independent preprocessing (image extraction) on the spectral domain representation of Green's function. Measured and simulated results are shown for both single and stacked-patch antennas enclosed in a cavity. ¬© 1997 IEEE.</t>
  </si>
  <si>
    <t>573-579</t>
  </si>
  <si>
    <t>60023256;60009455;60023256;60023256</t>
  </si>
  <si>
    <t>55406639100;35563049800;56277552400;6603455069</t>
  </si>
  <si>
    <t>Gentili, Gian Guido;Garcia-Castillo, Luis Emilio;Salazar-Palma, Magdalena;Perez-Martinez, Felix</t>
  </si>
  <si>
    <t>Italy;Spain</t>
  </si>
  <si>
    <t>Milan;Madrid</t>
  </si>
  <si>
    <t>Politecnico di Milano;Escuela T√©cnica Superior de Ingenieros de Telecomunicaci√≥n, Universidad Polit√©cnica de Madrid</t>
  </si>
  <si>
    <t>60023256;60009455</t>
  </si>
  <si>
    <t>Gentili G.G.</t>
  </si>
  <si>
    <t>Green's function analysis of single and stacked rectangular microstrip patch antennas enclosed in a cavity</t>
  </si>
  <si>
    <t>S0018926X97024903</t>
  </si>
  <si>
    <t>10.1109/8.564082</t>
  </si>
  <si>
    <t>2-s2.0-0031124227</t>
  </si>
  <si>
    <t>['solved exactly', 'multiple co', 'interesting implication', 'blind separation']</t>
  </si>
  <si>
    <t>The blind separation of multiple co-channel binary digital signals using an antenna array involves finding a factorization of a data matrix X into X = AS, where all entries of 5 are +1 or -1. It is shown that this problem can be solved exactly and noniteratively, via a certain generalized eigenvalue decomposition. As indicated by simulations, the algorithm is robust in the presence of noise. An interesting implication is that certain cluster segmentation problems can be solved using eigenvalue techniques. ¬© 1997 IEEE.</t>
  </si>
  <si>
    <t>1078-1082</t>
  </si>
  <si>
    <t>Van Veen, Alle Jan Der</t>
  </si>
  <si>
    <t>Van Veen A.</t>
  </si>
  <si>
    <t>Analytical method for blind binary signal separation</t>
  </si>
  <si>
    <t>10.1109/78.564198</t>
  </si>
  <si>
    <t>2-s2.0-0031124306</t>
  </si>
  <si>
    <t>['work relates', 'transmitting signals', 'performed either', 'maximum likelihood', 'line operation', 'line calibration', 'known locations', 'electrical properties', 'calibration may', 'array shape', 'array response', 'array parameters']</t>
  </si>
  <si>
    <t>Practical sensor arrays are characterized by certain physical parameters, related to the array shape and its electrical properties. Accurate direction finding requires calibration of these parameters to a relatively high accuracy. Depending on the application, calibration may be performed either off-line or on-line. Off-line calibration is performed by transmitting signals from known locations and measuring the array response. The array parameters can then be estimated by maximum likelihood, least-squares, or some other algorithm. This work relates the parameter estimation accuracy achieved in off-line calibration to the direction-of-arrival (DOA) errors during on-line operation. It then proposes a criterion for choosing the off-line calibration points (number and location) so as to meet on-line accuracy requirements. ¬© 1997 IEEE.</t>
  </si>
  <si>
    <t>545-556</t>
  </si>
  <si>
    <t>60014439-60022403;60014439-60022403</t>
  </si>
  <si>
    <t>7004983986;7102972288</t>
  </si>
  <si>
    <t>Porat, Boaz;Friedlander, Benjamin</t>
  </si>
  <si>
    <t>Israel;United States</t>
  </si>
  <si>
    <t>Haifa;Davis</t>
  </si>
  <si>
    <t>Technion - Israel Institute of Technology;University of California, Davis</t>
  </si>
  <si>
    <t>60022403;60014439</t>
  </si>
  <si>
    <t>Porat B.</t>
  </si>
  <si>
    <t>Accuracy requirements in off-line array calibration</t>
  </si>
  <si>
    <t>10.1109/7.575894</t>
  </si>
  <si>
    <t>2-s2.0-0031125359</t>
  </si>
  <si>
    <t>F29601-93-C-0185</t>
  </si>
  <si>
    <t>['voltage waveform', 'radiated field', 'peak amplitude', 'measured bore', 'like waveform', 'fold decay', 'differential amplitude', '20 ns', '2 kv']</t>
  </si>
  <si>
    <t>In this paper, we describe an antenna and pulser system designed to radiate an impulse-like waveform. Specifically, we have analyzed, designed, fabricated, and tested a reflector antenna fed by a pair of conical transmission lines. The voltage waveform that feeds the antenna is a fast-rising (10-90% rise of ‚àº 100 ps), slowly decaying (e-fold decay of 20 ns) pulse with a differential amplitude of ¬±60 kV. The calculated and measured bore-sight-radiated field, at a distance of 304 m, is impulse-like with a peak amplitude of 4. 2 kV/m. ¬© 1997 IEEE.</t>
  </si>
  <si>
    <t>318-326</t>
  </si>
  <si>
    <t>60104110;60104110;60104110;60104110;60104110;60104110;60104110;60104110</t>
  </si>
  <si>
    <t>57202638730;7004282294;7404426039;57198184448;7201780943;57197516975;7003360912;7004631327</t>
  </si>
  <si>
    <t>Giri, David V.;Lackner, Heinz;Smith, Ian D.;Morton, Dave W.;Baum, Carl E.;Marek, J. R.;Prather, William D.;Scholfield, David W.</t>
  </si>
  <si>
    <t>Alamo</t>
  </si>
  <si>
    <t>Pro-Tech</t>
  </si>
  <si>
    <t>Giri D.</t>
  </si>
  <si>
    <t>Design, fabrication, and testing of a paraboloidal reflector antenna and pulser system for impulse-like waveforms</t>
  </si>
  <si>
    <t>S0093381397039039</t>
  </si>
  <si>
    <t>10.1109/27.602506</t>
  </si>
  <si>
    <t>2-s2.0-0031125606</t>
  </si>
  <si>
    <t>60026638;60028673;60000502</t>
  </si>
  <si>
    <t>7004143193;16417076700;7404424829</t>
  </si>
  <si>
    <t>Ojanper√§, Tero;Klein, Anja;Anderson, Per Olof</t>
  </si>
  <si>
    <t>Germany;Finland;Sweden</t>
  </si>
  <si>
    <t>Munich;Espoo;Stockholm</t>
  </si>
  <si>
    <t>Siemens AG;Nokia Corporation;Ericsson Radio Systems AB</t>
  </si>
  <si>
    <t>60028673;60026638;60000502</t>
  </si>
  <si>
    <t>Ojanper√§ T.</t>
  </si>
  <si>
    <t>Frames multiple access for UMTS</t>
  </si>
  <si>
    <t>2-s2.0-0031130751</t>
  </si>
  <si>
    <t>Steiner, B.</t>
  </si>
  <si>
    <t>Bonn</t>
  </si>
  <si>
    <t>Deutsche Telekom</t>
  </si>
  <si>
    <t>Steiner B.</t>
  </si>
  <si>
    <t>Interference cancellation vs. joint detection for the uplink of the joint detection mobile radio concept</t>
  </si>
  <si>
    <t>2-s2.0-0031130826</t>
  </si>
  <si>
    <t>['spectral efficiency', 'sector antennas', 'realistic scenarios', 'radio channels', 'joint detection', 'imt 2000', 'early 1990s', 'directional inhomogeneity', 'different versions', 'computer simulations', 'beneficial effects', 'antenna arrays']</t>
  </si>
  <si>
    <t>In the early 1990s the development of an air interface concept for UMTS and IMT 2000 was started, which is based on a combination of the multiple access methods FDMA, TDMA and CDMA, and in which multiple access interference is combatted by joint detection in the receivers. This air interface concept is termed Joint Detection (JD)-CDMA. In cellular mobile radio systems the directional inhomogeneity of the radio channels can be exploited to increase the spectral efficiency by antenna diversity techniques. The goal of this paper is to demonstrate the beneficial effects of receiver antenna diversity techniques in the uplink of JD-CDMA air interfaces. By means of computer simulations of realistic scenarios, the spectral efficiencies obtainable by different versions of antenna diversity techniques, namely space diversity, antenna arrays and sets of sector antennas are determined.</t>
  </si>
  <si>
    <t>7005997210;6701451098;7003492732</t>
  </si>
  <si>
    <t>Baier, P. W.;Blanz, J. J.;Papathanassiou, A.</t>
  </si>
  <si>
    <t>Baier P.</t>
  </si>
  <si>
    <t>Joint Detection CDMA and antenna diversity techniques</t>
  </si>
  <si>
    <t>2-s2.0-0031131183</t>
  </si>
  <si>
    <t>['wave technology', 'wave bands', 'wave approaches', 'unobtrusive antennas', 'technological capability', 'suspended substrate', 'miniaturised communications', 'many decades', 'many areas', 'high millimetre', 'generally available', 'edge research', 'dielectric waveguide', 'critical decision', 'critical applications', 'cellular phones', 'appropriate technology', '1 thz', '000 ghz']</t>
  </si>
  <si>
    <t>Applications requiring high frequency IC interconnect range ever more widely: from cellular phones, indeed the entire wireless sector, to millimetre-wave automotive radars. Highly-miniaturised communications and radars require small and compact overall designs with unobtrusive antennas. Operating frequencies extend over many decades of the spectrum: from around 900 MHz to 1 THz (1,000 GHz) for sub-millimetre-wave technology. The technological capability is generally available now - commercially in the case of microwave and well into the millimetre-wave bands. There are, however, many areas in which leading-edge research is being performed. These include novel designs, the challenges of cost-critical applications, and high millimetre-wave or sub-millimetre-wave approaches. The possible available technologies range from microstrip to suspended substrate and dielectric waveguide, but the selection of an appropriate technology for the interconnection of MMICs is a critical decision.</t>
  </si>
  <si>
    <t>Edwards, Terry</t>
  </si>
  <si>
    <t>Loughborough</t>
  </si>
  <si>
    <t>Loughborough University</t>
  </si>
  <si>
    <t>Edwards T.</t>
  </si>
  <si>
    <t>Interconnect structures for integrated microwave and millimetre-wave circuits: Current status and trends</t>
  </si>
  <si>
    <t>2-s2.0-0031131197</t>
  </si>
  <si>
    <t>['study shows', 'several predictions', 'model simplifies', 'geometrical optics', 'e .,', 'diffraction theory', 'diffraction coefficients', 'detailed investigation', 'complex environments', 'buildings according', 'building walls', 'also provided']</t>
  </si>
  <si>
    <t>Cellular | Diffraction | Microcell | Propagation | Radio | Reflection | Wireless</t>
  </si>
  <si>
    <t>The application of diffraction theory and geometrical optics for modeling the propagation in microcellular urban environments is investigated. The model simplifies the reality by considering only a two-dimensional (2-D) geometry, where the building walls are modeled by segments and the buildings are considered infinitely high. The model can handle arbitrary layouts of buildings according to an efficient algorithm briefly described in this paper. Comparisons between several predictions and measurements in two different cities in Switzerland are presented. A detailed investigation of the two main parameters considered in the predictions, i.e., the reflection and diffraction coefficients, is also provided. The study shows that the ray tracing model is appropriate for path-loss coverage prediction even in complex environments. ¬© 1997 IEEE.</t>
  </si>
  <si>
    <t>508-518</t>
  </si>
  <si>
    <t>Rizk, Karim</t>
  </si>
  <si>
    <t>Rizk K.</t>
  </si>
  <si>
    <t>Two-Dimensional Ray-Tracing Modeling for Propagation Prediction in Microcellular Environments</t>
  </si>
  <si>
    <t>S0018954597031198</t>
  </si>
  <si>
    <t>10.1109/25.580789</t>
  </si>
  <si>
    <t>2-s2.0-0031139155</t>
  </si>
  <si>
    <t>['theoretically investigate', 'ring array', 'results emphasise', 'ray theory', 'predominant role', 'new approach', 'main paths', 'first present', 'experimental campaign', 'deriving doa', 'clearly retrieved', 'building rooftop', 'accurately measure']</t>
  </si>
  <si>
    <t>Uhf radio propagation</t>
  </si>
  <si>
    <t>The knowledge of directions of arrival (DOA) of waves is fundamental in understanding the physics of the mobile communications wide-band propagation channel. In this paper, we first present a measurement setup able to accurately measure these DOA. It is based on the evaluation of the channel complex impulse response at regularly spaced locations on a circle. We theoretically investigate a new approach for deriving DOA from this ring array. We then describe an experimental campaign, where such measurements were done on a building rooftop. We show that all the main paths are clearly retrieved and identified and that the ray theory is valid and applicable. The results emphasise the predominant role of UHF-wave specular reflection by walls in actual urban environment. ¬© 1997 IEEE.</t>
  </si>
  <si>
    <t>876-884</t>
  </si>
  <si>
    <t>60104081;60004981;60104081</t>
  </si>
  <si>
    <t>16025353900;7103143996;24299059100</t>
  </si>
  <si>
    <t>Rossi, Jean Pierre;Barbot, Jean Pierre;Levy, Armand J.</t>
  </si>
  <si>
    <t>Issy-les-Moulineaux;Cachan</t>
  </si>
  <si>
    <t>Orange Labs;√âcole Normale Sup√©rieure Paris-Saclay</t>
  </si>
  <si>
    <t>60104081;60004981</t>
  </si>
  <si>
    <t>Rossi J.P.</t>
  </si>
  <si>
    <t>Theory and measurement of the angle of arrival and time delay of UHF radiowaves using a ring array</t>
  </si>
  <si>
    <t>S0018926X97032079</t>
  </si>
  <si>
    <t>10.1109/8.575640</t>
  </si>
  <si>
    <t>2-s2.0-0031139213</t>
  </si>
  <si>
    <t>Research Grants Council, University Grants Committee</t>
  </si>
  <si>
    <t>CRC93/94</t>
  </si>
  <si>
    <t>RGC, UGC</t>
  </si>
  <si>
    <t>['resonance length', 'f antenna', 'experimental verification', 'difference time', 'constructed using', 'compact antennas', 'also provided', '8 ghz']</t>
  </si>
  <si>
    <t>FDTD methods | Mobile antennas</t>
  </si>
  <si>
    <t>A capacitively loaded planar inverted-F antenna (PIFA) is proposed and studied. It is found that the capacitive load reduces the resonance length of the PIFA from A/4 to less than A/8. A design with a bandwidth of 178 MHz centered at 1.8 GHz is provided to demonstrate that compact antennas for mobile telephone handsets can be constructed using this approach. The finite-difference time-domain (FDTD) method is used in the study and experimental verification is also provided. ¬© 1997 IEEE.</t>
  </si>
  <si>
    <t>837-842</t>
  </si>
  <si>
    <t>7006596703;7006019510</t>
  </si>
  <si>
    <t>Rowell, Corbett R.;Murch, R. D.</t>
  </si>
  <si>
    <t>Rowell C.</t>
  </si>
  <si>
    <t>A capacitively loaded PIFA for compact mobile telephone handsets</t>
  </si>
  <si>
    <t>S0018926X9703202X</t>
  </si>
  <si>
    <t>10.1109/8.575634</t>
  </si>
  <si>
    <t>2-s2.0-0031139214</t>
  </si>
  <si>
    <t>['subchannels formed', 'several classes', 'order statistics', 'multipath channels', 'give rise', 'blindly identifiable']</t>
  </si>
  <si>
    <t>Recently, Ding [7] has pointed out several classes of multipath channels that are not blindly identifiable from fractionally spaced samples and second-order cyclic spectra. In this letter, we consider the blind identification problem using multiple antennas and show that the multipath channels of [7] will not give rise to any common roots among the subchannels formed from the antennas and, hence, they can be identified from second-order statistics. In our development, we will point out the role of bandlimitedness of the channels in characterizing different classes.</t>
  </si>
  <si>
    <t>60014097;60012708;60012708</t>
  </si>
  <si>
    <t>57193685841;8751989500;7004920065</t>
  </si>
  <si>
    <t>Reddy, Vellenki U.;Papadias, Constantinos B.;Paulraj, Arogyaswami J.</t>
  </si>
  <si>
    <t>Bengaluru;Palo Alto</t>
  </si>
  <si>
    <t>Indian Institute of Science;Stanford University</t>
  </si>
  <si>
    <t>60014097;60012708</t>
  </si>
  <si>
    <t>Reddy V.</t>
  </si>
  <si>
    <t>Blind identifiability of certain classes of multipath channels from second-order statistics using antenna arrays</t>
  </si>
  <si>
    <t>10.1109/97.575558</t>
  </si>
  <si>
    <t>2-s2.0-0031139912</t>
  </si>
  <si>
    <t>['theoretical analysis', 'system performance', 'simplified two', 'ray envelope', 'predominant disturbance', 'numerical methods', 'nonlinear equalizer', 'lognormal distributions', 'dqpsk systems', 'antenna diversity', '10 db', '10 3']</t>
  </si>
  <si>
    <t>Antenna diversity | Equalization | Indoor communications</t>
  </si>
  <si>
    <t>In this paper, by means of analytical and numerical methods, we derive the bit error rate (BER) of 7T/4-DQPSK systems in frequency-selective fading channels. For a theoretical analysis of the system, a simplified two-ray channel model has been used. However, both Rayleigh and lognormal distributions for the ray envelope have been considered. The system performance in the presence of antenna diversity and in combination with a new nonlinear equalizer has been evaluated. In particular, it is seen that in flat fading environments, space diversity may improve performance by more than 10 dB at BER -10 3. However, for channels with a large delay spread, nonlinear intersymbol interference (ISI) is the predominant disturbance, and performance can only be enhanced by the nonlinear equalizer. ¬© 1997 IEEE.</t>
  </si>
  <si>
    <t>358-368</t>
  </si>
  <si>
    <t>60000481;60000481</t>
  </si>
  <si>
    <t>7004661393;7003974865</t>
  </si>
  <si>
    <t>Benvenuto, Nevio;Tomba, Luciano</t>
  </si>
  <si>
    <t>Padua</t>
  </si>
  <si>
    <t>Universit√† degli Studi di Padova</t>
  </si>
  <si>
    <t>Performance comparison of space diversity and equalization techniques for indoor radio systems</t>
  </si>
  <si>
    <t>S0018954597031381</t>
  </si>
  <si>
    <t>10.1109/25.580773</t>
  </si>
  <si>
    <t>2-s2.0-0031139973</t>
  </si>
  <si>
    <t>Universit√† degli Studi di Siena</t>
  </si>
  <si>
    <t>UNISI</t>
  </si>
  <si>
    <t>['successfully described', 'strut blockage', 'single strut', 'secondary pattern', 'rigorous high', 'reflector type', 'reflector configurations', 'reflector antennas', 'primary source', 'primary field', 'primary feeds', 'practically enforcing', 'particularly useful', 'obscured area', 'nullfield approach', 'normally placed', 'measurement setup', 'masking structures', 'main reflector', 'locally approximating', 'latter formulation', 'large obstacles', 'known null', 'frequency approach', 'focusing parabola', 'field technique', 'experimental campaign', 'blockage effects', 'axis parallel', 'approach may', 'also employed', 'actual structure']</t>
  </si>
  <si>
    <t>The effects of the spherical wave blockage in reflector antennas is investigated. This problem is likely to occur in axially symmetrical feed antennas of single- and dual-reflector type in both single- and dual-reflector configurations, owing to the presence of primary feeds and their supports including struts that are normally placed between the primary source and the main reflector. The main reflector blockage due to large obstacles is estimated by the well-known null-field technique that employs flat polygonal plate models of the masking structures to define the obscured area. Although this same approach may be used to predict the spherical wave blockage due to the struts, a more rigorous but yet efficient technique is also employed, which consists of superimposing to the primary field the high-frequency scattered field from the struts. This field is calculated by using scattering coefficients that are derived by locally approximating the actual structure, by an infinite circular cylinder. This latter formulation is compared with the null-field technique and validated by an experimental campaign. The measurement setup is particularly useful for isolating spherical wave-blockage effects. It consists of a single-reflector offset antenna where a single strut is mounted with its axis parallel to that of the focusing parabola, thus, practically enforcing the plane wave blockage to vanish. Comparisons with the measurements have shown that the nullfield approach is adequate for predicting the secondary pattern for large polygonal obstacle, but it is unsatisfactory to treat the strut blockage. It is found that this latter can be successfully described with the more rigorous high-frequency approach. ¬© 1997 IEEE.</t>
  </si>
  <si>
    <t>851-857</t>
  </si>
  <si>
    <t>60002838;60073283;60073283;60021859;60021859</t>
  </si>
  <si>
    <t>6701751978;6602366134;6602623967;7005998607;57202007643</t>
  </si>
  <si>
    <t>Toccafondi, A.;Romani, B.;Mizzoni, R.;Maci, S.;Tiberio, R.</t>
  </si>
  <si>
    <t>Rome;Florence;Siena</t>
  </si>
  <si>
    <t>Alenia Aeronautica;Universit√† degli Studi di Firenze;Universit√† degli Studi di Siena</t>
  </si>
  <si>
    <t>60073283;60021859;60002838</t>
  </si>
  <si>
    <t>Toccafondi A.</t>
  </si>
  <si>
    <t>Spherical wave blockage in reflector antennas</t>
  </si>
  <si>
    <t>S0018926X97032043</t>
  </si>
  <si>
    <t>10.1109/8.575636</t>
  </si>
  <si>
    <t>2-s2.0-0031139981</t>
  </si>
  <si>
    <t>Iowa Science Foundation</t>
  </si>
  <si>
    <t>2.3/827</t>
  </si>
  <si>
    <t>ISF</t>
  </si>
  <si>
    <t>['rise time', 'peak value', 'one half', 'field strength', 'far field', 'experimental investigation', 'current radiator', 'antenna pattern', '2 ns', '120 ¬∞.', '1 ns']</t>
  </si>
  <si>
    <t>Avalanche transistor | Far-field | Large-current radiator | Near-field | Nonsinusoidal waves</t>
  </si>
  <si>
    <t>The development and experimental investigation of a large-current radiator (LCR) with a pulse generator using avalanche transistors is reported. The LCR is intend for radiating nonsinusoidal pulse electromagnetic waves with a duration of 2 ns. The radiated field strengths in both the near and the far field are measured. The LCR described produces magnetic field strengths of about 4.2 mA/m at a distance of 5 m for radiator current amplitudes of about 0.7 A with rise time of 1 ns. The width of the antenna pattern, measured by the drop of the field strength to one half of its peak value is 120¬∞.</t>
  </si>
  <si>
    <t>156-160</t>
  </si>
  <si>
    <t>60031745;60068535;60068535</t>
  </si>
  <si>
    <t>16402414700;8410056200;55942786400</t>
  </si>
  <si>
    <t>Lukin, Konstantin A.;Pochanin, Gennadiy P.;Masalov, Sergey A.</t>
  </si>
  <si>
    <t>Ukraine;Italy</t>
  </si>
  <si>
    <t>Kharkiv;Trieste</t>
  </si>
  <si>
    <t>O. Ya. Usikov Institute for Radiophysics and Electronics of the National Academy of Sciences of Ukraine;Abdus Salam International Centre for Theoretical Physics</t>
  </si>
  <si>
    <t>60068535;60031745</t>
  </si>
  <si>
    <t>Lukin K.</t>
  </si>
  <si>
    <t>Large-current radiator with avalanche transist or switch</t>
  </si>
  <si>
    <t>S0018937597036934</t>
  </si>
  <si>
    <t>10.1109/15.584938</t>
  </si>
  <si>
    <t>2-s2.0-0031139998</t>
  </si>
  <si>
    <t>['theoretical formulation', 'theoretical expression', 'relative error', 'pml region', 'pml layers', 'order error', 'metal plane', 'good agreement', 'given number', 'fdtd formulation', 'differential intrinsic', 'difference time', 'chosen carefully', 'best performance', 'analytical method']</t>
  </si>
  <si>
    <t>In this letter, an analytical method to predict and optimize the performance of Berenger's perfectly matched layer (PML) absorbing boundary condition (ABC) for finite-difference time-domain (FDTD) simulations is described. The shape of the conductivity in the PML layers has to be chosen carefully to obtain the best performance for a given number of layers. The relative error is shown to be the composite of two distinct effects: the theoretical reflection coefficient given by the PML layers backed by a metal plane and the second-order error in the differential intrinsic in the FDTD formulation. A theoretical expression to evaluate this error as a function of the number of PML layers and the shape of the conductivity is given, and the result is compared to that obtained for several FDTD test cases. The good agreement of the shapes of the theoretical and numerically derived curves allows the use of the theoretical formulation to optimize the PML region as a function of the shape of the conductivity, resolution, and number of layers. ¬©1997 IEEE.</t>
  </si>
  <si>
    <t>914-916</t>
  </si>
  <si>
    <t>On the optimal design of the PML absorbing boundary condition for the FDTD code</t>
  </si>
  <si>
    <t>S0018926X97025076</t>
  </si>
  <si>
    <t>10.1109/8.575651</t>
  </si>
  <si>
    <t>2-s2.0-0031140108</t>
  </si>
  <si>
    <t>['wire version', 'wire antennas', 'usually imposed', 'unknown function', 'unknown current', 'real line', 'periodicity constraint', 'periodic wavelets', 'orthogonal wavelets', 'numerical examples', 'hwbm ).', 'geometrical representation', 'domain problems', 'bem ).']</t>
  </si>
  <si>
    <t>Antennas | Scattering | Wavelet transforms</t>
  </si>
  <si>
    <t>An analysis of thin-wire antennas and scatterers using orthogonal wavelets on interval [0,1] is presented. The thin-wire version of the electric-field integral equation (EFIE) is solved by the hybrid wavelet expansion and boundary element method (HWBM). Maps between the curved solution domains and the interval [0,1] are established by using the geometrical representation of the boundary element method (BEM). By virtue of these maps, bases over the curved solution domains are derived from orthogonal wavelets on [0,1] that are used to expand the unknown current over the wires. The utilization of the wavelets on [0,1] circumvents the difficulties in the application of the wavelets on the real line to finite-domain problems and has no periodicity constraint to the unknown function that is usually imposed by the periodic wavelets. Numerical examples are provided for a variety of thin-wire antennas and scatterers. ¬© 1997 IEEE.</t>
  </si>
  <si>
    <t>885-893</t>
  </si>
  <si>
    <t>Wang, Gaofeng</t>
  </si>
  <si>
    <t>Synopsys Incorporated</t>
  </si>
  <si>
    <t>Application of wavelets on the interval to the analysis of thin-wire antennas and scatterers</t>
  </si>
  <si>
    <t>S0018926X97032080</t>
  </si>
  <si>
    <t>10.1109/8.575642</t>
  </si>
  <si>
    <t>2-s2.0-0031140109</t>
  </si>
  <si>
    <t>['transistor parameters', 'substrate current', 'method performs', 'indicate plasma', 'hc stress', 'drain current', 'charging damage', 'changed according', 'accurate method']</t>
  </si>
  <si>
    <t>A novel monitoring method for plasma-charging damage is proposed. This method performs a quick and accurate evaluation using antenna PMOSFET. It was found that not only hot-carrier (HC) lifetime but transistor parameters such as initial gate current and substrate current were changed according to the degree of plasma-charging damage. However, the present work suggests that monitoring the shift of drain current after a few seconds of HC stress is a more accurate method to indicate plasma-charging damage. The monitoring method using the present test structure is demonstrated to be useful for realizing highly reliable devices.</t>
  </si>
  <si>
    <t>228-232</t>
  </si>
  <si>
    <t>IEEE Transactions on Semiconductor Manufacturing</t>
  </si>
  <si>
    <t>60101699;60101699;60101699;60101699;60101699</t>
  </si>
  <si>
    <t>56293024800;6603388988;7006367614;7201559937;7402164633</t>
  </si>
  <si>
    <t>Watanabe, Hajime;Komori, Junko;Higashitani, Keiichi;Sekine, Masahiro;Koyama, Hiroshi</t>
  </si>
  <si>
    <t>Watanabe H.</t>
  </si>
  <si>
    <t>A wafer level monitoring method for plasma-charging damage using antenna PMOSFET test structure</t>
  </si>
  <si>
    <t>S0894650797028765</t>
  </si>
  <si>
    <t>10.1109/66.572072</t>
  </si>
  <si>
    <t>2-s2.0-0031140459</t>
  </si>
  <si>
    <t>Federal Aviation Administration</t>
  </si>
  <si>
    <t>FAA</t>
  </si>
  <si>
    <t>['well known', 'velocity distribution', 'study shows', 'simple pulse', 'scattering medium', 'recent investigations', 'range sidelobes', 'pulse compression', 'previous simulations', 'peak power', 'national center', 'meteorological radar', 'increased sensitivity', 'foothills laboratory', 'factor equal', 'eldora x', 'doppler tolerant', 'corrupt observations', 'bandwidth product', 'atmospheric research']</t>
  </si>
  <si>
    <t>A major technology barrier to the application of pulse compression techniques in meteorological radar is the presence of range sidelobes which mask and corrupt observations of weak weather phenomena in areas of strong extended meteorological scatterers or point target returns. Techniques for suppressing range sidelobes are well known, but without prior knowledge of the scattering medium's velocity distribution their performance degrades rapidly in the presence of doppler. Recent investigations have presented a "doppler tolerant" range sidelobe suppression technique. The thrust of the work described herein is the extension of previous simulations to the transmission of dispersed/coded waveform pulses using the ELDORA X-Band weather research radar located at the National Center for Atmospheric Research (NCAR) Foothills Laboratory. This study shows that the use of Barker coded pulses along with pulse compression and doppler tolerant range sidelobe suppression provides: 1) increased sensitivity over a simple pulse of the same peak power, and nominal receive bandwidth by a factor equal to the time-bandwidth product, and 2) accurate spectral moment estimates. ¬© 1997 IEEE.</t>
  </si>
  <si>
    <t>507-523</t>
  </si>
  <si>
    <t>117648629;117648629;117648629;117648629</t>
  </si>
  <si>
    <t>6602980583;57197683203;7005363462;7006869472</t>
  </si>
  <si>
    <t>Bucci, Nicholas J.;Owen, Henry S.;Woodward, Kimberley A.;Hawes, Chad M.</t>
  </si>
  <si>
    <t>Lockheed Martin Govt. Electron. S.</t>
  </si>
  <si>
    <t>Bucci N.</t>
  </si>
  <si>
    <t>Validation of pulse compression techniques for meteorological functions</t>
  </si>
  <si>
    <t>S0196289297036711</t>
  </si>
  <si>
    <t>10.1109/36.581958</t>
  </si>
  <si>
    <t>2-s2.0-0031140946</t>
  </si>
  <si>
    <t>['tasking os', 'defmed formats', 'based software']</t>
  </si>
  <si>
    <t>RTU(Receiver Test Unit) for Koreasat digital DBS System was implemented. It consists of 45 cm antenna, LNB, Set-Top-Box, Smartcard and Remote-controller. The Set-Top-Box was implemented with commercial hardware devices for DVB and MPEG based processing. Various external interfaces are used for testing Koreasat digital DBS signal. A task-based software was adopted for flexibility to add/remove more functions. 12 software tasks are communicating with each other by passing mail messages with pre-defmed formats on a real time multi-tasking OS. ¬© 1997 IEEE.</t>
  </si>
  <si>
    <t>240-246</t>
  </si>
  <si>
    <t>IEEE Transactions on Consumer Electronics</t>
  </si>
  <si>
    <t>55720152400;54679788000;15050965700;57198557006</t>
  </si>
  <si>
    <t>Kim, Jin Ho;Man, Dong Hee;Seong, Nak Sun;Yang, Kyu Tae</t>
  </si>
  <si>
    <t>Kim J.H.</t>
  </si>
  <si>
    <t>RTU (Receiver Test Unit) for koreasat digital DBS system</t>
  </si>
  <si>
    <t>10.1109/30.585547</t>
  </si>
  <si>
    <t>2-s2.0-0031141566</t>
  </si>
  <si>
    <t>['simulator used', 'significant increase', 'ser performance', 'phase noise', 'paper studies', 'estimated using', 'effects produce', 'computer simulations', 'clock jitter']</t>
  </si>
  <si>
    <t>This paper studies the performance of digital collective systems in the presence of a noisy phase reference (phase noise) and a noisy clock reference (clock jitter). For this purpose, an attempt has been made to characterize the performance of this digital transmission system through the Bit Error Rate (BER) or Symbol Error Rate (SER) as a function of the Eh/No ratio. The Eb/No ratio has been parametrised by phase noise and clock jitter, obtained through computer simulations. It will be shown that these effects produce a significant increase in BER/SER performance. The simulator used was SPW (Signal Processing WorkSystem) by means of which BER/SER has been estimated using a quasianalytical (semianalytic) approach and the Monte Carlo method, so that the results can be compared and checked. ¬© 1997 IEEE.</t>
  </si>
  <si>
    <t>188-196</t>
  </si>
  <si>
    <t>60015179;60009455;60009455</t>
  </si>
  <si>
    <t>6507979074;54679430800;55281515800</t>
  </si>
  <si>
    <t>Merch√¢n, S.;Garcfa Armada, A.;Garcfa, J. L.</t>
  </si>
  <si>
    <t>Spain;Spain</t>
  </si>
  <si>
    <t>Santander;Madrid</t>
  </si>
  <si>
    <t>Universidad de Cantabria;Escuela T√©cnica Superior de Ingenieros de Telecomunicaci√≥n, Universidad Polit√©cnica de Madrid</t>
  </si>
  <si>
    <t>60015179;60009455</t>
  </si>
  <si>
    <t>Merch√¢n S.</t>
  </si>
  <si>
    <t>Performance of digital collective antenna systems in the presence of phase noise and clock jitter</t>
  </si>
  <si>
    <t>10.1109/30.585541</t>
  </si>
  <si>
    <t>2-s2.0-0031141567</t>
  </si>
  <si>
    <t>F33615-95-D-1616-0002</t>
  </si>
  <si>
    <t>['thereby simplifying', 'reducing transformation', 'rank solutions', 'output power', 'optimization problem', 'numerical methods', 'new power', 'match relates', 'jammer parameters', 'dimensional solutions', 'desired number', 'approximately minimizing', 'adaptive weights', 'adaptive array']</t>
  </si>
  <si>
    <t>The objective of partially adaptive array design is to reduce the number of adaptive weights without significantly degrading the performance of the adaptive array. Previous work includes numerical techniques for approximately minimizing the average generalized sidelobe canceller (GSC) output power for a desired number of adaptive weights, where the average is over a range of jammer parameters. Our new power-space method also attempts to minimize the average GSC output power, but under a constraint that the reduced-dimensional solutions for all of the scenario trials lie in the same subspace. This constraint allows us to use the singular value decomposition to get the rank-reducing transformation, thereby simplifying the optimization problem. Using computer simulation, we show that our transformation yields lower output power in comparison with a previously reported example that used the numerical methods. The simplicity of the method allows large ranges of jammer parameters to be considered. Using our transformation, we consider how closely the reduced-rank solutions match the full-rank solutions and how the quality of this match relates to the output power of the partially adaptive array. ¬© 1997 IEEE.</t>
  </si>
  <si>
    <t>843-850</t>
  </si>
  <si>
    <t>60021032;60021032</t>
  </si>
  <si>
    <t>54680371800;7101699285</t>
  </si>
  <si>
    <t>Yang, Ho;Ingram, Mary Ann</t>
  </si>
  <si>
    <t>Design of partially adaptive arrays using the singular-value decomposition</t>
  </si>
  <si>
    <t>S0018926X97032031</t>
  </si>
  <si>
    <t>10.1109/8.575635</t>
  </si>
  <si>
    <t>2-s2.0-0031142079</t>
  </si>
  <si>
    <t>['wave modes', 'type technique', 'type integrals', 'superstrate geometry', 'section magnetic', 'reflection coefficient', 'mode analysis', 'layer surface', 'layer geometry', 'given analytically', 'either forcing', 'directly used', 'dielectric anisotropy', 'cutoff conditions', 'cover layer', 'characteristic equations', 'canonical problem']</t>
  </si>
  <si>
    <t>A Wiener-Hopf-type technique in conjunction with the hybrid-mode analysis and a space-domain Fourier transform pair was employed for the solution of the canonical problem of a TEM wave obliquely incident upon the edge and defined by a semi-infinite plate conductor lying at the interface of two uniaxial dielectrics, forming an otherwise grounded double-layer geometry. The single-cover layer and double-layer surface-wave modes' characteristic equations are examined and their cutoff conditions, along with safe conditions avoiding longitudinal-section magnetic (LSM) modes are given. The scattered field components and the TEM-wave reflection coefficient are given analytically in the form of Sommerfeld-type integrals. A thin layers approximation and a numerical integration scheme were adopted for the evaluation of the reflection coefficient. Its expression can be directly used for the analysis of wide microstrip lines and patch antennas printed in a substrate/superstrate geometry. The whole analysis gives a clear physical insight into the problem. Furthermore, a twofold theoretical verification was adopted by either forcing the absence of the superstrate or considering both layers to be isotropic. Numerical parametric investigations show the effects of either the presence of the superstrate or both layers' dielectric anisotropy. ¬© 1997 IEEE.</t>
  </si>
  <si>
    <t>616-629</t>
  </si>
  <si>
    <t>5 PART 1</t>
  </si>
  <si>
    <t>60000251-60030988-60015331;60000251-60030988-60015331</t>
  </si>
  <si>
    <t>7003999101;7005683394</t>
  </si>
  <si>
    <t>Kyriacou, George A.;Sahalos, John N.</t>
  </si>
  <si>
    <t>Greece;Greece;United States</t>
  </si>
  <si>
    <t>Komotini;Thessaloniki;New York</t>
  </si>
  <si>
    <t>Democritus University of Thrace;Aristotle University of Thessaloniki;IEEE</t>
  </si>
  <si>
    <t>60030988;60015331;60000251</t>
  </si>
  <si>
    <t>Kyriacou G.A.</t>
  </si>
  <si>
    <t>A wiener-hopf-type analysis of uniaxial substrate - superstrate microstrip structures</t>
  </si>
  <si>
    <t>S0018948097029128</t>
  </si>
  <si>
    <t>10.1109/22.575576</t>
  </si>
  <si>
    <t>2-s2.0-0031142181</t>
  </si>
  <si>
    <t>Department of Trade and Industry</t>
  </si>
  <si>
    <t>DTI</t>
  </si>
  <si>
    <t>['scan close', 'microwave fields', 'measuring radio', 'field scans', 'field probe', 'electric field']</t>
  </si>
  <si>
    <t>We describe an optically modulated scatterer as an electric-field probe for measuring radio-frequency and microwave fields. It has high spatial resolution and the ability to operate very close to conducting and dielectric objects without appreciable distortion of the field to be measured. Thus, it can scan close to antennas and diffracting metal structures. We describe how the electric field is deduced from the measurements and present gain measurements and far-field patterns deduced from near-field scans of antennas. The results are tested by comparing them with those obtained by established measurement techniques. ¬© 1997 IEEE.</t>
  </si>
  <si>
    <t>772-780</t>
  </si>
  <si>
    <t>60010785;60010785;60020650;60020650;60020650</t>
  </si>
  <si>
    <t>7402026566;6603022671;7006370365;6603862536;57215032510</t>
  </si>
  <si>
    <t>Liang, W.;Hygate, G.;Nye, J. F.;Gentle, D. G.;Cook, R. J.</t>
  </si>
  <si>
    <t>Bristol;Middlesex</t>
  </si>
  <si>
    <t>University of Bristol;National Physical Laboratory</t>
  </si>
  <si>
    <t>60020650;60010785</t>
  </si>
  <si>
    <t>Liang W.</t>
  </si>
  <si>
    <t>A probe for making near-field measurements with minimal disturbance: The optically modulated scatterer</t>
  </si>
  <si>
    <t>S0018926X97031955</t>
  </si>
  <si>
    <t>10.1109/8.575620</t>
  </si>
  <si>
    <t>2-s2.0-0031142325</t>
  </si>
  <si>
    <t>['simple method', 'given acoustic', 'asymptotic behavior']</t>
  </si>
  <si>
    <t>Inverse problems | Scattering</t>
  </si>
  <si>
    <t>From the asymptotic behavior of the plane wave spectrum, a simple method is derived for determining the minimum convex closed surface in which the sources of a given acoustic or electromagnetic farfleld pattern can be located. ¬©1997 IEEE.</t>
  </si>
  <si>
    <t>911-912</t>
  </si>
  <si>
    <t>60001247-60028628;60001247;60001247</t>
  </si>
  <si>
    <t>7003451771;7401668112;7005402043</t>
  </si>
  <si>
    <t>Yaghjian, Arthur D.;Hansen, Thorkild B.;Devaney, Anthony J.</t>
  </si>
  <si>
    <t>Boston;</t>
  </si>
  <si>
    <t>Northeastern University;Hanscom AFB</t>
  </si>
  <si>
    <t>60028628;60001247</t>
  </si>
  <si>
    <t>Yaghjian A.</t>
  </si>
  <si>
    <t>Minimum source region for a given far-field pattern</t>
  </si>
  <si>
    <t>S0018926X97032122</t>
  </si>
  <si>
    <t>10.1109/8.575648</t>
  </si>
  <si>
    <t>2-s2.0-0031142847</t>
  </si>
  <si>
    <t>['typical set', 'system parameters', 'surrounding buildings', 'strong line', 'site layout', 'site antennas', 'sector antennas', 'reuse planning', 'reuse efficiency', 'power control', 'orthogonal multiple', 'microcellular networks', 'mhz systems', 'los propagation', 'located well', 'fading statistics', 'cell size', 'access schemes']</t>
  </si>
  <si>
    <t>Cochannel interference | Land mobile radio cellular systems | Radio propagation</t>
  </si>
  <si>
    <t>We study how efficiently radio channel resources can be reused in microcellular networks. Our focus is on dense urban networks in which cell-site antennas are located well below the rooftops of surrounding buildings. Compared with conventional cellular networks, this kind of microcellular system introduces a markedly different propagation environment, characterized by a mix of strong line-of-sight (LOS) propagation and much weaker non-LOS propagation. We address a number of important issues associated with site layout and reuse planning in such microcellular networks (rectilinear street environments) and present numerical results showing the influence of frequency, cell size, link quality requirements, shadow-fading statistics, and power control on the reuse efficiency. For 900-MHz systems, orthogonal multiple-access schemes (e.g., time division), and a typical set of system parameters, we estimate that the reuse efficiency in urban microcellular networks could be up to 50% higher than that in conventional cellular networks with three-sector antennas. ¬© 1997 IEEE.</t>
  </si>
  <si>
    <t>279-288</t>
  </si>
  <si>
    <t>60014300;60014300;60014300</t>
  </si>
  <si>
    <t>57199369042;7003706051;7004878411</t>
  </si>
  <si>
    <t>Clark, Martin V.;Erceg, Vinko;Greenstein, Larry J.</t>
  </si>
  <si>
    <t>San Antonio</t>
  </si>
  <si>
    <t>AT&amp;T Inc.</t>
  </si>
  <si>
    <t>Clark M.</t>
  </si>
  <si>
    <t>Reuse efficiency in urban microcellular networks</t>
  </si>
  <si>
    <t>SUU18954597031393</t>
  </si>
  <si>
    <t>10.1109/25.580766</t>
  </si>
  <si>
    <t>2-s2.0-0031143024</t>
  </si>
  <si>
    <t>['wider range', 'system performance', 'rendered inoperative', 'niultipath distortion', 'beam tilting']</t>
  </si>
  <si>
    <t>Antenna | Beam tilting | Echo | Mobile communications | Niultipath distortion | Propagation</t>
  </si>
  <si>
    <t>With an increase in system bit rate, unexpected distortion due to the niultipath effects may be so serious that the system is rendered inoperative. In this paper, the reduction of the niultipath distortion by beam tilting at a basestation (BS) is theoretically analyzed using niultipath propagation models; the system performance, characterized by the critical bit rate and the probability that niultipath distortion can be handled by the system, is evaluated. It is shown that the capability of the system to handle niultipath distortion is improved, and the system bit rate can be selected over a wider range with the introduction of beam tilting than that without beam tilting. ¬© 1997 IEEE.</t>
  </si>
  <si>
    <t>257-261</t>
  </si>
  <si>
    <t>60031838;60031838</t>
  </si>
  <si>
    <t>7102033584;7005940532</t>
  </si>
  <si>
    <t>Tong, Fangwei;Akaiwa, Yoshihiko</t>
  </si>
  <si>
    <t>Kitakyushu</t>
  </si>
  <si>
    <t>Kyushu Institute of Technology</t>
  </si>
  <si>
    <t>Tong F.</t>
  </si>
  <si>
    <t>Effects of beam tilting on bit-rate selection in mobile multipath channel</t>
  </si>
  <si>
    <t>S0018954597031149</t>
  </si>
  <si>
    <t>10.1109/25.580763</t>
  </si>
  <si>
    <t>2-s2.0-0031143026</t>
  </si>
  <si>
    <t>['wave design', 'slightly varying', 'simple formula', 'sensitivity analysis', 'proposed approach', 'parameter need', 'overall sensitivities', 'one analysis', 'numerical effort', 'measured demonstrating', 'geometrical parameter', 'geometrical dimensions', 'generally accomplished', 'free space', 'entire feed', 'discontinuity containing', 'corrugated feeds', 'automated full', '100 corrugations']</t>
  </si>
  <si>
    <t>Adjoint network method | Corrugated feeds sensitivities | Modal analysis | Tolerance analysis</t>
  </si>
  <si>
    <t>Automated full-wave design of corrugated feeds is generally accomplished by repeated numerical analysis of different feed geometries as obtained by slightly varying the geometrical dimensions of the corrugations. Since a corrugated feed contains hundreds of discontinuities, the above procedure is very time-consuming. In order to reduce the numerical effort, the adjoint network method (ANM) has been applied to the design and sensitivity analysis of circular corrugated feeds radiating into free space. By using the ANM, the return loss sensitivities with respect to variations of all geometrical dimensions are obtained with just one analysis of the entire feed. When a geometrical parameter is varied, only the discontinuity containing that parameter need to be analyzed; the overall sensitivities being computed by means of a simple formula. Corrugated feeds with more than 100 corrugations have been designed by using the ANM. They have been built and measured demonstrating the efficiency of the proposed approach. ¬© 1997 IEEE.</t>
  </si>
  <si>
    <t>787-793</t>
  </si>
  <si>
    <t>5 PART 2</t>
  </si>
  <si>
    <t>Mongiardo, Mauro</t>
  </si>
  <si>
    <t>Perugia</t>
  </si>
  <si>
    <t>Universit√† degli Studi di Perugia</t>
  </si>
  <si>
    <t>Mongiardo M.</t>
  </si>
  <si>
    <t>Automated design of corrugated feeds by the adjoint network method</t>
  </si>
  <si>
    <t>S0018948097031025</t>
  </si>
  <si>
    <t>10.1109/22.575601</t>
  </si>
  <si>
    <t>2-s2.0-0031143046</t>
  </si>
  <si>
    <t>DAAL03-91-C-0022</t>
  </si>
  <si>
    <t>['wireless communications', 'uncorrelated signals', 'tonoise ratio', 'relevant links', 'output signal', 'obtain closed', 'nagakami fading', 'linitc precision', 'interference ratio', 'future application', 'form expressions', 'error effects', 'diversity advantage', 'array response', 'array decreases', 'antenna arrays']</t>
  </si>
  <si>
    <t>In future application of antenna arrays to wireless communications, it is envisioned that known signal waveforms (e.g., synchronization data stream) will be used for estimating the array response for all the relevant links. Once the array response is known, it will be used for separation and reconstruction of the unknown data stream. Since the array response matrix is estimated with linitc precision, we examine the error effects on the signal reconstruction errors. The results are presented in the form of output signal-to-interference ratio (SIR) and output signal-tonoise ratio (SNR) for uncorrelated signals. We obtain closed-form expressions for the average output SNR and SIR for Rayleigh, Ricean, and Nagakami fading. It is shown that in the presence of slowly fading channels, the diversity advantage of the array decreases as the number of signals (or interferers) increases. ¬© 1997 IEEE.</t>
  </si>
  <si>
    <t>1109-1117</t>
  </si>
  <si>
    <t>60005681;60014439</t>
  </si>
  <si>
    <t>7402247592;7102972288</t>
  </si>
  <si>
    <t>Weiss, Anthony J.;Friedlander, Benjamin</t>
  </si>
  <si>
    <t>Davis;Tel Aviv-Yafo</t>
  </si>
  <si>
    <t>University of California, Davis;Tel Aviv University</t>
  </si>
  <si>
    <t>60014439;60005681</t>
  </si>
  <si>
    <t>Weiss A.</t>
  </si>
  <si>
    <t>Fading effects on antenna arrays in cellular communications</t>
  </si>
  <si>
    <t>S1053587X97033588</t>
  </si>
  <si>
    <t>10.1109/78.575686</t>
  </si>
  <si>
    <t>2-s2.0-0031143049</t>
  </si>
  <si>
    <t>['two values', 'radar arrays', 'maximum size', 'fewer rows', 'existing upper', '25 %.', '16 rows']</t>
  </si>
  <si>
    <t>Binary matrices | Frequency hopping | Radar arrays</t>
  </si>
  <si>
    <t>The maximum size of binary radar arrays (matrices) with only eight or fewer rows has previously been determined. We determine the maximum size of radar arrays containing 9-16 rows, and for those containing 17 rows we narrow the maximum size down to two values. We also give improved upper and lower asymptotic bounds on the maximum size of radar arrays, which narrow the gap between the existing upper and lower asymptotic bounds by more than 25%. ¬© 1997 IEEE.</t>
  </si>
  <si>
    <t>997-1000</t>
  </si>
  <si>
    <t>IEEE Transactions on Information Theory</t>
  </si>
  <si>
    <t>60000745-60009037;60000251-60030612</t>
  </si>
  <si>
    <t>7003750881;7005387368</t>
  </si>
  <si>
    <t>Hamkins, Jon;Zeger, Kenneth</t>
  </si>
  <si>
    <t>San Diego;Pasadena;Urbana;New York</t>
  </si>
  <si>
    <t>University of California, San Diego;Jet Propulsion Laboratory;University of Illinois Urbana-Champaign;IEEE</t>
  </si>
  <si>
    <t>60030612;60009037;60000745;60000251</t>
  </si>
  <si>
    <t>Hamkins J.</t>
  </si>
  <si>
    <t>Improved bounds on maximum size binary radar arrays</t>
  </si>
  <si>
    <t>S0018944897023286</t>
  </si>
  <si>
    <t>10.1109/18.568710</t>
  </si>
  <si>
    <t>2-s2.0-0031143152</t>
  </si>
  <si>
    <t>['terrain height', 'swath width', 'squint angle', 'sar constraint', 'platform attitude', 'pitch required', 'map sar', 'high squint', 'fundamental limit', 'exposure time', 'elevation angle', 'electrical engineering', 'doppler centroid', 'british columbia', 'azimuth bandwidth']</t>
  </si>
  <si>
    <t>I. Cumming is with the Department of Electrical Engineering, University of British Columbia, Vancouver, B.C. , Canada V6T 1Z4. This paper presents signal properties of spaceborne, strip-map SAR for very large squint angles. Doppler centroid, azimuth bandwidth, and exposure time are derived in terms of the platform attitude and elevation angle. This allows a description of the Doppler centroid variation with range and terrain height, and explains a possible range dependence of azimuth bandwidth at high squint. The yaw and pitch required to minimize Doppler centroid and azimuth bandwidth variation are derived, and residual Doppler centroid variation in the presence of antenna pointing errors is presented. The SAR constraint on the relationship between swath width and azimuth bandwidth is revisited for high squint, and is used to present a fundamental limit on squint angle. Finally, processing considerations arising from the shape of the two-dimensional (2-D) spectrum with high squint are discussed. ¬© 1997 IEEE.</t>
  </si>
  <si>
    <t>611-617</t>
  </si>
  <si>
    <t>100735953;100735953</t>
  </si>
  <si>
    <t>7201764649;8238517400</t>
  </si>
  <si>
    <t>Davidson, Gordon W.;Gumming, Ian</t>
  </si>
  <si>
    <t>Advanced Development Group</t>
  </si>
  <si>
    <t>Davidson G.</t>
  </si>
  <si>
    <t>Signal properties of spaceborne squint-mode sar</t>
  </si>
  <si>
    <t>S0196289297003781</t>
  </si>
  <si>
    <t>10.1109/36.581976</t>
  </si>
  <si>
    <t>2-s2.0-0031143202</t>
  </si>
  <si>
    <t>['uwb signals', 'traditional methods', 'several disadvantages', 'radar transmitters', 'radar applications', 'pri ),', 'operations reduces', 'individual terms', 'fourier series', 'communication areas', 'coherent integration', 'coded waveforms', 'also discussed', 'accurate control']</t>
  </si>
  <si>
    <t>Traditional methods of ultra-wideband (UWB) radar signal generation suffer from several disadvantages such as low antenna radiation efficiency and lack of accurate control of signal parameters like pulse shape, pulse repetition interval (PRI), and its spectrum. UWB signals can be generated by expanding the desired radar waveform in Fourier series and then synthesizing the waveform by generating the individual terms in the expansion from harmonically related oscillators. Signals thus produced over come the disadvantages of traditional methods of UWB signal generation. In this paper, Fourier series based method for generation of complex amplitude coded waveforms is developed which can be used to generate time domain equivalent of Barker and other codes for application in radar and communication areas. In radar applications, these coded waveforms, with accurate and stable waveform parameters, shall allow pulse compression and coherent integration. The additional processing gain provided by these operations reduces the need for high peak power in radar transmitters which is one of the bottlenecks in the implementation of operational UWB radars. This paper also describes a UWB radar concept which incorporates Fourier synthesized waveforms. Related digital signal processing issues are also discussed.</t>
  </si>
  <si>
    <t>124-131</t>
  </si>
  <si>
    <t>Gill, Gurnam Singh</t>
  </si>
  <si>
    <t>Gill G.</t>
  </si>
  <si>
    <t>Ultra-wideband radar using Fourier synthesized waveforms</t>
  </si>
  <si>
    <t>S0018937597036995</t>
  </si>
  <si>
    <t>10.1109/15.584934</t>
  </si>
  <si>
    <t>2-s2.0-0031143243</t>
  </si>
  <si>
    <t>Xunta de Galicia</t>
  </si>
  <si>
    <t>10503A94</t>
  </si>
  <si>
    <t>['signals using', 'perfect separation', 'parameter settings', 'minima correspond', 'even though', 'constant modulus', 'analyses show']</t>
  </si>
  <si>
    <t>Antenna arrays | Blind signal separation | CDMA systems | Constant modulus | Kurtosis | Multiuser communications</t>
  </si>
  <si>
    <t>A new approach based on the constant modulus (CM) criterion is proposed to separate instantaneous linear mixtures of signals using a linear memoryless multiple input multiple output (MIMO) system. Even though a nonconvex cost function is minimized, analyses show that minima correspond to parameter settings where perfect separation is achieved. ¬© 1997 IEEE.</t>
  </si>
  <si>
    <t>1343-1348</t>
  </si>
  <si>
    <t>60023610;60023610;60023610</t>
  </si>
  <si>
    <t>57189299510;57196917664;6603076454</t>
  </si>
  <si>
    <t>Castedo, Luis;Escudero, Carlos J.;Dapena, Adriana</t>
  </si>
  <si>
    <t>A Coruna</t>
  </si>
  <si>
    <t>Universidade da Coru√±a</t>
  </si>
  <si>
    <t>Castedo L.</t>
  </si>
  <si>
    <t>A blind signal separation method for multiuser communications</t>
  </si>
  <si>
    <t>S1053587X97033606</t>
  </si>
  <si>
    <t>10.1109/78.575706</t>
  </si>
  <si>
    <t>2-s2.0-0031143939</t>
  </si>
  <si>
    <t>Maritime Safety Administration of the People‚Äôs Republic of China</t>
  </si>
  <si>
    <t>50EE9413</t>
  </si>
  <si>
    <t>MSA</t>
  </si>
  <si>
    <t>['velocity term', 'velocity bunching', 'two antennas', 'track insar', 'time separation', 'simulations show', 'radar configurations', 'quite insensitive', 'ocean waves', 'ocean wave', 'long waves', 'insar amplitude', 'index terms', 'conventional sar', 'carlo simulation', 'carlo method', 'better suited', 'azimuthal cut']</t>
  </si>
  <si>
    <t>A two-dimensional (2-D) model for describing the imaging of ocean waves by an along-track interferometric synthetic aperture radar (AT-INSAR) is derived. It includes the modulation of the normalized radar cross section by the long waves, velocity bunching, and azimuthal image smear due to orbital acceleration associated with long waves and due to the orbital velocity spread within the AT-INSAR resolution cell (parameterized by the scene coherence time). By applying the Monte-Carlo method, AT-INSAR amplitude and phase image spectra are calculated for different sea states and radar configurations. The Monte-Carlo simulations show that velocity bunching affects the AT-INSAR imaging mechanism of ocean waves, and that a unimodal ocean wave spectrum may be mapped into a bimodal AT-INSAR phase image spectrum due to an interference between the velocity term and the velocity bunching term in the AT-INSAR imaging model. It is shown that the AT-INSAR imaging mechanism of ocean waves depends on the ratio of the scene coherence time and the time separation between the observations by the two antennas. If this ratio is larger than one, the AT-INSAR phase image spectra are distorted. Furthermore, the simulations show that the AT-INSAR phase image spectrum is quite insensitive to the ocean wave-radar modulation transfer function. Comparing AT-INSAR with conventional SAR imaging of ocean waves, we find that the azimuthal cut-off in AT-INSAR phase image spectra is shifted toward higher wavenumbers than in conventional SAR image spectra. This implies that AT-INSAR can resolve shorter azimuthal wavenumbers than conventional SAR. Thus we conclude that AT-INSAR phase images are better suited for measuring ocean waves spectra than conventional SAR images. Index Terms - Along-track INSAR, Monte-Carlo simulation, ocean wave imaging mechanism. ¬© 1997 IEEE.</t>
  </si>
  <si>
    <t>618-631</t>
  </si>
  <si>
    <t>60028229;60028229;60028229</t>
  </si>
  <si>
    <t>15732676100;6701329241;35596404700</t>
  </si>
  <si>
    <t>Bao, Mingquan;Br√ºning, Claus;Alpers, Werner</t>
  </si>
  <si>
    <t>Hamburg</t>
  </si>
  <si>
    <t>Universit√§t Hamburg</t>
  </si>
  <si>
    <t>Bao M.</t>
  </si>
  <si>
    <t>Simulation of ocean waves imaging by an along-track interferometric synthetic aperture radar</t>
  </si>
  <si>
    <t>S0196289297021104</t>
  </si>
  <si>
    <t>10.1109/36.581977</t>
  </si>
  <si>
    <t>2-s2.0-0031144287</t>
  </si>
  <si>
    <t>['three examples', 'new approach', 'modeling techniques', 'input impedance', 'frequency band', 'design two', 'design points']</t>
  </si>
  <si>
    <t>A new approach, based on global response surface (GRS) modeling techniques, is used to design two-layer electroniagnetically coupled rectangular patch antennas. Data from a grid of design points is used to construct a model of the input impedance of the antenna. The model is then optimized to provide the best design geometries for the frequency band of interest. Three examples are presented to validate the method. ¬© 1997 IEEE.</t>
  </si>
  <si>
    <t>781-787</t>
  </si>
  <si>
    <t>60001439;60001439;60001439;60001439</t>
  </si>
  <si>
    <t>6507373414;6603830266;7102689160;55946867200</t>
  </si>
  <si>
    <t>Moosbrugger, Peter J.;Lo, Zane;Carpenter, Lynn A.;Barton, Russell R.</t>
  </si>
  <si>
    <t>Moosbrugger P.</t>
  </si>
  <si>
    <t>Exp√©rimental design of a two-layer electromagnetically coupled rectangular patch with a global response surface modeling technique</t>
  </si>
  <si>
    <t>S0018926X97031967</t>
  </si>
  <si>
    <t>10.1109/8.575622</t>
  </si>
  <si>
    <t>2-s2.0-0031145102</t>
  </si>
  <si>
    <t>['unexpected nature', 'undergo resonance', 'underdense ).', 'rhp waves', 'resonant discharges', 'resonant coupling', 'optimally designed', 'obtained using', 'observed due', 'magnetic field', 'linearly polarized', 'lhp waves', 'improved confinement', 'helical antenna', 'hand polarized', 'ecr field', 'cw microwaves', '5 kw', '45 ghz', '4 torr']</t>
  </si>
  <si>
    <t>This paper presents results of high-density plasma production experiments carried out using an optimally designed and excited slotted helical antenna. The slotted helical antenna was excited by linearly polarized, right-hand polarized (RHP) and left-hand polarized (LHP) CW microwaves (f = 2.45 GHz) with power up to 2.5 kW. Two different discharges - the resonant and the non-resonant discharges - were studied. In the resonant discharges the magnetic field at the edge of the helical antenna was equal to the ECR field, so that a resonant coupling of the electrons and the microwaves could occur. In non-resonant discharges the value of the magnetic field was greater than the resonant field throughout the mirror. It was seen that the linearly polarized and RHP waves can produce about 100% ionization (at pressures ‚âà 1-2 √ó 10-4 Torr; power ‚â§ 2.5 kW) for both resonant and non-resonant discharges. In most cases an enhancement over the neutral particle density could be observed due to improved confinement. The resonant discharge using LHP waves also yielded similar results as obtained using the RHP and the linearly polarized waves. This result is somewhat unexpected since the LHP waves are not expected to undergo resonance at electron cyclotron resonance. The non-resonant discharge using LHP waves was found to be very weak (underdense). Finally, an attempt has been made to understand the unexpected nature of the resonant discharges using LHP waves, in terms of the modes of plasma loaded helices and waveguides. ¬© 1997 IOP Publishing Ltd.</t>
  </si>
  <si>
    <t>189-200</t>
  </si>
  <si>
    <t>60032730;60032730;60032730;60020458</t>
  </si>
  <si>
    <t>6602834941;6603302303;57146946800;7202578068</t>
  </si>
  <si>
    <t>Tarey, R. D.;Jarwal, R. K.;Ganguli, A.;Akhtar, M. K.</t>
  </si>
  <si>
    <t>Indian Institute of Technology Delhi;Jamia Millia Islamia</t>
  </si>
  <si>
    <t>60032730;60020458</t>
  </si>
  <si>
    <t>Tarey R.D.</t>
  </si>
  <si>
    <t>High-density plasma production using a slotted helical antenna at high microwave power</t>
  </si>
  <si>
    <t>S096302529780847X</t>
  </si>
  <si>
    <t>10.1088/0963-0252/6/2/013</t>
  </si>
  <si>
    <t>2-s2.0-0031145266</t>
  </si>
  <si>
    <t>['zero steady', 'zero response', 'state values', 'state value', 'state response', 'processed samples', 'particular frequency', 'internal memories', 'initially loading', 'initialization processor', 'finite number', 'different processors', 'complex one', 'complex coefficients', 'brief deals']</t>
  </si>
  <si>
    <t>This brief deals with a new initialization technique for digital IIR filters. The technique is suitable for IIR filters processing a finite number of samples in phased array radars. The initialization processor is complex one and utilized the first received sample to force the filter to reach its steady-state value at a single frequency irrespective of the number of processed samples. This is done by initially loading the internal memories of the filter with their steady-state values. If the filter has a zero steady-state response at that particular frequency then this will ensure that the transient frequency responses of the filter will also have a zero response at that frequency. Different processors are derived for filters with real and complex coefficients. ¬© 1997 IEEE.</t>
  </si>
  <si>
    <t>IEEE Transactions on Circuits and Systems II: Analog and Digital Signal Processing</t>
  </si>
  <si>
    <t>60104134;60104134</t>
  </si>
  <si>
    <t>57222050810;57212713388</t>
  </si>
  <si>
    <t>Al-Ahmad, Hussian;Ahmed, Kamal</t>
  </si>
  <si>
    <t>United Arab Emirates</t>
  </si>
  <si>
    <t>Abu Dhabi</t>
  </si>
  <si>
    <t>Khalifa University of Science and Technology</t>
  </si>
  <si>
    <t>Al-Ahmad H.</t>
  </si>
  <si>
    <t>A novel technique for initializing digital iir filters with a finite number of samples at a single frequency</t>
  </si>
  <si>
    <t>S1057713097029704</t>
  </si>
  <si>
    <t>10.1109/82.580859</t>
  </si>
  <si>
    <t>2-s2.0-0031145289</t>
  </si>
  <si>
    <t>ATM-9202371</t>
  </si>
  <si>
    <t>['surveying technique', 'successfully mapping', 'selfsurvey calibration', 's0ndre str0mfjord', 'relatively close', 'phase present', 'phase errors', 'phase error', 'paper presents', 'known locations', 'expected locations', 'end calibration', 'antenna spacing', 'antenna positions']</t>
  </si>
  <si>
    <t>This paper presents the self-surveying technique for calibrating the antenna spacing, orientation, and phase errors in multiple receiver radar antenna arrays. Utilizing a set of source transmitters placed at known locations in the far-field of the array and measurements of the phase present at each antenna, the array's relative antenna locations and phase errors can be determined. The advantage of this technique is that the radar is used in its normal operating mode, providing an end-to-end calibration under true operational conditions. A selfsurvey calibration was performed with a meteor radar located at S0ndre Str0mfjord, Greenland, successfully mapping the array. The antenna positions were relatively close the expected locations, although the baselines were rotated approximately 5¬∞ from the true cardinal directions. The majority of the phase error was introduced by the receivers. ¬© 1997 IEEE.</t>
  </si>
  <si>
    <t>524-531</t>
  </si>
  <si>
    <t>60000221;60000221;60000221;60000221</t>
  </si>
  <si>
    <t>6603152246;7202939535;56691869300;7202345493</t>
  </si>
  <si>
    <t>Valentic, Todd A.;Avery, James P.;Avery, Susan K.;Livingston, Robert C.</t>
  </si>
  <si>
    <t>Valentic T.</t>
  </si>
  <si>
    <t>Self-survey calibration of meteor radar antenna arrays</t>
  </si>
  <si>
    <t>S0196289297020962</t>
  </si>
  <si>
    <t>10.1109/36.581960</t>
  </si>
  <si>
    <t>2-s2.0-0031145652</t>
  </si>
  <si>
    <t>Langley Research Center</t>
  </si>
  <si>
    <t>LaRC</t>
  </si>
  <si>
    <t>['volume tessellation', 'two dimensions', 'third dimension', 'terminated using', 'substantial simplifications', 'shell ).', 'principal radii', 'paper deals', 'new edge', 'meshing algorithm', 'input impedance', 'first validated', 'fem mesh', 'fem ).', 'doubly curved', 'artificial absorbers']</t>
  </si>
  <si>
    <t>Conformai antennas | Finite element methods | Prism elements</t>
  </si>
  <si>
    <t>This paper deals with the derivation of the edgebased shape functions for the distorted triangular prism and their applications for the analysis of doubly curved conformai antennas in the context of the linitc element method (FEM). Although the tetrahedron is often the element of choice for volume tessellation, mesh generation using tetrahedra is cumbersome and central processing unit (CPU) intensive. On the other hand, the distorted triangular prism allows for meshes which are unstructured in two dimensions and structured in the third dimension. This leads to substantial simplifications in the meshing algorithm, and many conformai printed antenna and microwave circuit geometries can be easily tessellated using such a mesh. The new edge-based shape functions are first validated by computing the eigenvalues of three different cavities (rectangular, cylindrical, and pie-shell). We then proceed with their application to computing the input impedance of conformai patch antennas on planar, spherical, conical, and other doubly curved (ogival) platforms, where the FEM mesh is terminated using an artifical absorber applied conformai to the platform. Use of artificial absorbers for mesh termination avoids introduction of Green's functions and, in contrast to absorbing boundary conditions, a knowledge of the principal radii of curvature of the closure's boundary is not required. ¬©1997 IEEE.</t>
  </si>
  <si>
    <t>788-797</t>
  </si>
  <si>
    <t>7003792158;7102576479</t>
  </si>
  <si>
    <t>√ñzdemir, Tayfun;Volakis, John L.</t>
  </si>
  <si>
    <t>√ñzdemir T.</t>
  </si>
  <si>
    <t>Triangular prisms for edge-based vector finite element analysis of conformai antennas</t>
  </si>
  <si>
    <t>S0018926X97031979</t>
  </si>
  <si>
    <t>10.1109/8.575623</t>
  </si>
  <si>
    <t>2-s2.0-0031145975</t>
  </si>
  <si>
    <t>['victim receiver', 'term statistics', 'spectral characteristics', 'select frequencies', 'radio systems', 'paper includes', 'orbiting spacecraft', 'obtain long', 'model ).', 'interference statistics', 'filtering requirements', 'exploration satellites', 'earth stations', 'data asymmetry', 'computer simulation', 'avoid interference', 'adversely affect']</t>
  </si>
  <si>
    <t>It is desirable to determine the potential for radio frequency interference between Earth stations and orbiting spacecraft. This information can be used to select frequencies for radio systems to avoid interference or to determine if coordination between radio systems is necessary. Also, it is useful for planning emission standards and filtering requirements for future telecommunications equipment. A model is developed that will determine the statistics of interference between Earth stations and elliptical orbiting spacecraft (see[1] for some applications of the model). The model uses orbital dynamics, detailed antenna patterns, and spectral characteristics to obtain accurate levels of interference at the victim receiver. The model is programmed into a computer simulation to obtain long-term statistics of interference. An example is shown to demonstrate the model. Interference from Earth-exploration satellites to a deep-space Earth station is simulated. This paper includes the effect of data asymmetry and finite transition time on the interference statistics. It is shown that moderate data asymmetry can adversely affect the interference at a deep space Earth station receiver.</t>
  </si>
  <si>
    <t>Bishop, Dennis F.</t>
  </si>
  <si>
    <t>Bishop D.</t>
  </si>
  <si>
    <t>Analysis of adjacent-band interference between earth stations and earth-orbiting satellites</t>
  </si>
  <si>
    <t>S001893759703696X</t>
  </si>
  <si>
    <t>10.1109/15.584940</t>
  </si>
  <si>
    <t>2-s2.0-0031146279</t>
  </si>
  <si>
    <t>N00014-89-J-1007</t>
  </si>
  <si>
    <t>['used via', 'transient solution', 'transient fields', 'spherical wave', 'source located', 'realistic finite', 'radiation integral', 'numerical results', 'ims ].', 'forward region', 'form time', 'energy pulse', 'elemental huygen', 'efficiently obtain', 'domain solution', 'corresponding frequency', 'convolution theorem', 'closed form', 'boresight exhibit', 'asymptotic high', 'analytically inverting']</t>
  </si>
  <si>
    <t>Reflector antennas | Transient analysis</t>
  </si>
  <si>
    <t>A closed-form analytical solution is developed for predicting the early-time transient electromagnetic fields which are generated by a perfectly conducting parabolic reflector antenna when it is illuminated by a transient step spherical wave due to an elemental Huygen's source located at the focus. This closed-form time-domain solution, which is valid both near and far from the reflector (and anywhere in the forward region) can be used via the convolution theorem to efficiently obtain the earlytime transient fields generated by the same parabolic reflector antenna when it is illuminated by a realistic finite-energy pulse which emanates as a spherical wave from the focus. The transient solution is developed here by analytically inverting, in closed form, the corresponding frequency-domain solution in terms of a radiation integral that employs an asymptotic high-frequency geometrical optics (GO)-based approximation for the fields in the aperture. Numerical results are presented for the transient fields both near and far from the reflector. The fields on boresight exhibit an impulse-like behavior similar to that of the impulse radiating antenna (IRA) introduced by Baum et al. [IMS]. ¬© 1997 IEEE.</t>
  </si>
  <si>
    <t>829-836</t>
  </si>
  <si>
    <t>60003500;60029575;60029575</t>
  </si>
  <si>
    <t>7202063846;35579308700;7102929732</t>
  </si>
  <si>
    <t>Chou, H. T.;Pathak, P. H.;Rousseau, P. R.</t>
  </si>
  <si>
    <t>El Segundo;Columbus</t>
  </si>
  <si>
    <t>Aerospace Corporation, USA;The Ohio State University</t>
  </si>
  <si>
    <t>60029575;60003500</t>
  </si>
  <si>
    <t>Analytical solution for early-time transient radiation from pulse-excited parabolic reflector antennas</t>
  </si>
  <si>
    <t>S0018926X97032018</t>
  </si>
  <si>
    <t>10.1109/8.575632</t>
  </si>
  <si>
    <t>2-s2.0-0031146499</t>
  </si>
  <si>
    <t>['uses mathematica', 'refractivity profiles', 'form integration', 'critical closed']</t>
  </si>
  <si>
    <t>-A fast new method for tropospheric delay predictions is discussed. It uses Mathematica for critical functional fits to refractivity profiles, and a critical closed-form integration. A practical antenna diversity example is shown, with reference to Sylvain. i ¬©1997 IEEE.</t>
  </si>
  <si>
    <t>519-522</t>
  </si>
  <si>
    <t>Christopher, Paul</t>
  </si>
  <si>
    <t>Stanford Telecom</t>
  </si>
  <si>
    <t>Christopher P.</t>
  </si>
  <si>
    <t>Fast tropospheric delay predictions for antenna height diversity</t>
  </si>
  <si>
    <t>S0090677897037252</t>
  </si>
  <si>
    <t>10.1109/26.592549</t>
  </si>
  <si>
    <t>2-s2.0-0031146805</t>
  </si>
  <si>
    <t>University of Michigan</t>
  </si>
  <si>
    <t>U-M</t>
  </si>
  <si>
    <t>['theoretical far', 'scan angle', 'reflection loss', 'quartz lenses', 'imaging arrays', 'field patterns', 'design rules', 'axis positions', 'axis displacement', 'also presented']</t>
  </si>
  <si>
    <t>Dielectric antennas</t>
  </si>
  <si>
    <t>In this paper, the theoretical far-field patterns and Gaussian-beani coupling efficiencies are investigated for a doubleslot antenna placed off axis on extended hemispherical silicon and quartz lenses. Measured off-axis radiation patterns at 250 GHz agree well with the theory. Results are presented that show important parameters versus off-axis displacement: scan angle, directivity, Gaussicity, and reflection loss. Directivity contour plots are also presented and show that near-diffraction limited performance can be achieved at off-axis positions at nonelliptical extension lengths. Some design rules are discussed for imaging arrays on dielectric lens antennas. ¬© 1997 IEEE.</t>
  </si>
  <si>
    <t>760-766</t>
  </si>
  <si>
    <t>60013301;60025778;60025778;60025778</t>
  </si>
  <si>
    <t>7007076782;56228926500;7201482483;7006384021</t>
  </si>
  <si>
    <t>Filipovic, Daniel F.;Gauthier, Gildas P.;Raman, Sanjay;Rebeiz, Gabriel M.</t>
  </si>
  <si>
    <t>Ann Arbor;San Diego</t>
  </si>
  <si>
    <t>University of Michigan, Ann Arbor;Qualcomm Incorporated</t>
  </si>
  <si>
    <t>60025778;60013301</t>
  </si>
  <si>
    <t>Filipovic D.</t>
  </si>
  <si>
    <t>Off-axis properties of silicon and quartz dielectric lens antennas</t>
  </si>
  <si>
    <t>S0018926X97031931</t>
  </si>
  <si>
    <t>10.1109/8.575618</t>
  </si>
  <si>
    <t>2-s2.0-0031146955</t>
  </si>
  <si>
    <t>['radiation characteristics', 'novel broad', 'modified patch', 'good agreement']</t>
  </si>
  <si>
    <t>A novel broad-band microstrip antenna is presented. The printed configuration consists of a shorted circular patch and a concentric parasitic annular ring. Compared to a conventional microstrip patch, this ensemble is smaller in size with enhanced impedance bandwidth. Both experimental and theoretical impedance behavior and radiation characteristics of the modified patch are considered. Very good agreement between the experiment and the theory was achieved. ¬© 1997 IEEE.</t>
  </si>
  <si>
    <t>913-914</t>
  </si>
  <si>
    <t>60011362;60003892;60003892</t>
  </si>
  <si>
    <t>6701802528;35478779700;7005725769</t>
  </si>
  <si>
    <t>Kokotoff, D. M.;Waterhouse, R. B.;Aberle, J. T.</t>
  </si>
  <si>
    <t>An annular ring coupled to a shorted patch</t>
  </si>
  <si>
    <t>S0018926X97032134</t>
  </si>
  <si>
    <t>10.1109/8.575650</t>
  </si>
  <si>
    <t>2-s2.0-0031146982</t>
  </si>
  <si>
    <t>NSF-MIP 9424305</t>
  </si>
  <si>
    <t>['transmitted data', 'time model', 'recovering receivers', 'originally developed', 'multiple antennas', 'low probability', 'linear solutions', 'input distribution', 'illustrative simulations', 'establishes links']</t>
  </si>
  <si>
    <t>Self-recovering receivers for direct-sequence spreadspectrum signals with unknown spreading codes are discussed in this paper. Applications include signal interception, jamming, and low probability of intercept (LPI) communications. A multirate/multichannel, discrete-time model of the spread spectrum signal is introduced, which establishes links with array processing techniques. Borrowing blind channel estimation ideas, which were originally developed in the context of fractionally spaced equalizers or receivers with multiple antennas, linear solutions are obtained that are independent of the input distribution. The signal interception problem is further studied, and a zero-forcing (ZF) receiver/equalizer is proposed to recover the transmitted data. Its performance is analyzed, and some illustrative simulations are presented. ¬© 1997 IEEE.</t>
  </si>
  <si>
    <t>1241-1252</t>
  </si>
  <si>
    <t>60027392;60021918</t>
  </si>
  <si>
    <t>7003941650;36049280600</t>
  </si>
  <si>
    <t>Tsatsanis, Michail K.;Giannakis, Georgios B.</t>
  </si>
  <si>
    <t>Hoboken;Charlottesville</t>
  </si>
  <si>
    <t>Stevens Institute of Technology;University of Virginia</t>
  </si>
  <si>
    <t>Tsatsanis M.</t>
  </si>
  <si>
    <t>Blind estimation of direct sequence spread spectrum signals in multipath</t>
  </si>
  <si>
    <t>S1053587X97033436</t>
  </si>
  <si>
    <t>10.1109/78.575697</t>
  </si>
  <si>
    <t>2-s2.0-0031147147</t>
  </si>
  <si>
    <t>NAG-1-1082</t>
  </si>
  <si>
    <t>['scale helicopter', 'radiation characteristics', 'operational full', 'high frequency', 'helicopter fuselage', 'gaah ).', 'flight measurements', 'difference time', 'coupling effects', 'antennas operating', 'antenna systems', 'actual measurements']</t>
  </si>
  <si>
    <t>In this paper, the finite-difference time-domain (FDTD) method with the Berenger perfectly matched layer (PML) absorbing boundary condition (ABC) is used to model the radiation characteristics of high frequency (HF) antennas operating in the 2-30 MHz range on a full-scale helicopter. The computed input impedance of both antennas is compared with actual measurements from an operational full-scale helicopter and also with measurements on a scale model NASA generic advanced attack helicopter (GAAH). To study the coupling effects of the helicopter fuselage on the antenna systems, the S-parameters are computed and compared with measurements on the NASA GAAH scale model. Finally, computed gain patterns are compared with actual in-flight measurements of the antenna systems on an operational full-scale helicopter.</t>
  </si>
  <si>
    <t>100-113</t>
  </si>
  <si>
    <t>60003892;60000251-60003892;60003892;60003892;60003892</t>
  </si>
  <si>
    <t>7005917742;35583458100;6701682267;54680055300;57208464375</t>
  </si>
  <si>
    <t>Andrew, William V.;Balanis, Constantine A.;Tirkas, Panayiotis A.;Peng, Jian;Birtcher, Craig R.</t>
  </si>
  <si>
    <t>Tempe;New York</t>
  </si>
  <si>
    <t>Arizona State University;IEEE</t>
  </si>
  <si>
    <t>60003892;60000251</t>
  </si>
  <si>
    <t>Andrew W.</t>
  </si>
  <si>
    <t>Finite-difference time-domain analysis of HF antennas on helicopter airframes</t>
  </si>
  <si>
    <t>S0018937597037009</t>
  </si>
  <si>
    <t>10.1109/15.584932</t>
  </si>
  <si>
    <t>2-s2.0-0031147449</t>
  </si>
  <si>
    <t>60008134;60008134;60007716;60007716</t>
  </si>
  <si>
    <t>57225395230;7005683967;6603484723;7103055635</t>
  </si>
  <si>
    <t>Jorge, F.;Vilcot, J. P.;Deborgies, F.;Renaud, J. C.</t>
  </si>
  <si>
    <t>Paris;Boulogne-Billancourt</t>
  </si>
  <si>
    <t>CNRS Centre National de la Recherche Scientifique;Thomson, SA</t>
  </si>
  <si>
    <t>60008134;60007716</t>
  </si>
  <si>
    <t>Jorge F.</t>
  </si>
  <si>
    <t>Hybrid and monolithic impedance matching of pin-waveguide photodiodes around 30GHZ</t>
  </si>
  <si>
    <t>2-s2.0-0031152704</t>
  </si>
  <si>
    <t>['short range', 'radio range', 'power supply', 'passive transceiver', 'passive picocell', 'new concept', 'makes use', 'example system', '4 ghz']</t>
  </si>
  <si>
    <t>The passive picocell is a new concept which makes use of an unbiased electroabsorption modulator as a passive remote transceiver for short range and high capacity wireless systems. This passive transceiver is connected to an antenna to form a radio access point that requires no power supply. An example system, a commercial radio LAN operating at 2.4 GHz, is used to demonstrate the passive picocell concept. A radio range of a few tens of metres is achieved without link optimisation. With optimisation, we estimate that a radio range of more than 200m should be possible.</t>
  </si>
  <si>
    <t>60014174;60014174</t>
  </si>
  <si>
    <t>23023532000;7102297209</t>
  </si>
  <si>
    <t>Wake, D.;Moodie, D. G.</t>
  </si>
  <si>
    <t>Wake D.</t>
  </si>
  <si>
    <t>Passive picocell - An unpowered remote transceiver for short range, high capacity radio systems</t>
  </si>
  <si>
    <t>2-s2.0-0031153187</t>
  </si>
  <si>
    <t>['specific assessment', 'received rf', 'physical layer', 'paper presents', 'optical fibre', 'multiplexed onto', 'mobile station', 'life system', 'layer 1', 'laser diode', 'initial speech', 'fibre link', 'control channels', 'comprehensive model', 'complete simulation', 'channel interference', 'channel encoding', 'ber performance']</t>
  </si>
  <si>
    <t>This paper presents a GSM-specific assessment of the performance of a radio-on-fibre link between a remote antenna unit and GSM base station. A comprehensive model of the GSM physical layer is simulated from the initial speech and channel encoding in the mobile station through to transmission into the air. The received RF is then subcarrier-multiplexed onto a laser diode and transmitted through optical fibre to a photodetector. By complete simulation of the physical layer (Layer 1) of the GSM Digital Cellular Standard, with the insertion of an accurate fibre optic link model, the BER performance and input dynamic range for the Speech, Data and Control Channels is assessed and evaluated in the presence of multipath, co- and adjacent-channel interference. The model is compared with a real-life system to confirm performance predictions.</t>
  </si>
  <si>
    <t>60022046;60022046</t>
  </si>
  <si>
    <t>57196898657;35586300900</t>
  </si>
  <si>
    <t>Galbraith, D.;Al-Raweshidy, H. S.</t>
  </si>
  <si>
    <t>Manchester Metropolitan University</t>
  </si>
  <si>
    <t>Galbraith D.</t>
  </si>
  <si>
    <t>Performance of a fibre optic link for GSM radio signal transmission</t>
  </si>
  <si>
    <t>2-s2.0-0031153225</t>
  </si>
  <si>
    <t>60031342;60031342;60031342;60011373;60022148;60022148;60011199;60011199</t>
  </si>
  <si>
    <t>7007110636;7005576274;7003950726;6603797042;7004751445;57198372803;55483269900;6602561502</t>
  </si>
  <si>
    <t>Langley, L. N.;Edge, C.;Wale, M. J.;Gliese, U.;Seeds, A. J.;Walton, C.;Wright, J.;Coryell, L.</t>
  </si>
  <si>
    <t>United Kingdom;United Kingdom;Denmark;United States</t>
  </si>
  <si>
    <t>;London;Lyngby;Fort Monmouth</t>
  </si>
  <si>
    <t>GEC-Marconi Materials Technology Ltd;University College London;Danmarks Tekniske Universitet;U.S. Army Communications and Electronics Command</t>
  </si>
  <si>
    <t>60031342;60022148;60011373;60011199</t>
  </si>
  <si>
    <t>Langley L.</t>
  </si>
  <si>
    <t>Optical phase locked loops as signal sources for coherent optical beamforming</t>
  </si>
  <si>
    <t>2-s2.0-0031153317</t>
  </si>
  <si>
    <t>['system performance', 'space environment', 'rf measurements', 'novel three', 'fabrication errors', 'breadboard model', 'adjustable mirrors', '60 ghz']</t>
  </si>
  <si>
    <t>Millimeter-wave waveguides</t>
  </si>
  <si>
    <t>A novel three-axis beam waveguide that has been developed for millimeter-wave satellite link applications is described. A breadboard model has been fabricated and RF measurements at 60 GHz have been performed. The breadboard model was equipped with adjustable mirrors and feeds to simulate component misalignments due to fabrication errors and the space environment. The effects of misalignments on system performance have been measured and results are reported and comparisons with theory are made. ¬© 1997 IEEE.</t>
  </si>
  <si>
    <t>982-988</t>
  </si>
  <si>
    <t>60025209;60025209;60025209;60025209</t>
  </si>
  <si>
    <t>6701754500;6602161171;7202094279;57196279506</t>
  </si>
  <si>
    <t>Toland, Brent;Barlevy, Alon S.;Hughes, William M.;Johnson, Dan R.</t>
  </si>
  <si>
    <t>Novel three-axis beam waveguide feed for space-based millimeter-wave applications</t>
  </si>
  <si>
    <t>S0018926X97042646</t>
  </si>
  <si>
    <t>10.1109/8.585745</t>
  </si>
  <si>
    <t>2-s2.0-0031162398</t>
  </si>
  <si>
    <t>['uplink space', 'incomplete modeling', 'diversity gains', 'diversity gain', '9 ghz']</t>
  </si>
  <si>
    <t>Cellular land mobile radio | Diversity methods | Fading channels | Personal communication networks | Propagation</t>
  </si>
  <si>
    <t>Predictions of uplink space-diversity gain in the cellular and personal communications systems (PCS) bands (near 850 MHz and 1.9 GHz, respectively), suffer from incomplete modeling of multipath angular spread œÉ. Using previously published measurements to reduce the gap, we show that œÉ ‚àº [distance]-1/2 and that diversity gains are about 2 dB higher for PCS than for cellular. ¬© 1997 IEEE.</t>
  </si>
  <si>
    <t>644-646</t>
  </si>
  <si>
    <t>60021378;60014300</t>
  </si>
  <si>
    <t>7401775859;7004878411</t>
  </si>
  <si>
    <t>Chu, T. S.;Greenstein, L. J.</t>
  </si>
  <si>
    <t>Murray;San Antonio</t>
  </si>
  <si>
    <t>Nokia Bell Labs;AT&amp;T Inc.</t>
  </si>
  <si>
    <t>Chu T.</t>
  </si>
  <si>
    <t>A semi-empirical representation of antenna diversity gain at cellular and PCS base stations</t>
  </si>
  <si>
    <t>S0090677897041640</t>
  </si>
  <si>
    <t>10.1109/26.592600</t>
  </si>
  <si>
    <t>2-s2.0-0031162576</t>
  </si>
  <si>
    <t>Chalmers Tekniska H√∂gskola</t>
  </si>
  <si>
    <t>['untilted slot', 'transmitted wave', 'strip excitation', 'small variation', 'slot results', 'rectangular waveguide', 'narrow wall', 'large coupling', 'dyadic green', 'dielectric plate']</t>
  </si>
  <si>
    <t>Slot antennas</t>
  </si>
  <si>
    <t>We propose a novel excitation technique of an untilted slot in the narrow wall of a rectangular waveguide. The excitation is realized by inserting into the slot a dielectric plate on which there are etched conducting strips. The strip excitation can control the coupling more easily and accurately than a conventional excitation using tilted wires. We analyze the coupling to the slot by using the dyadic Green's function for the waveguide with the dielectric plate, derived by Seki's virtual cavity method. A double resonance due to the strip and the slot results in large coupling as well as small variation of the phase of the transmitted wave, both over a wide frequency band. Some results are verified by measurements. The coupling can be tuned by varying the distance between the slot and the strip. ¬© 1997 IEEE.</t>
  </si>
  <si>
    <t>1032-1037</t>
  </si>
  <si>
    <t>60031126-60000990;60031126-60000990</t>
  </si>
  <si>
    <t>7006899159;7101988263</t>
  </si>
  <si>
    <t>Hirokawa, Jiro;Kildal, Per Simon</t>
  </si>
  <si>
    <t>Hirokawa J.</t>
  </si>
  <si>
    <t>Excitation of an untilted narrow-wall slot in a rectangular waveguide by using etched strips on a Dielectric Plate</t>
  </si>
  <si>
    <t>S0018926X97042580</t>
  </si>
  <si>
    <t>10.1109/8.585752</t>
  </si>
  <si>
    <t>2-s2.0-0031163624</t>
  </si>
  <si>
    <t>['weighted reductions', 'supported users', 'subsequently extended', 'sharing schemes', 'roberts independently', 'recover radio', 'rayleigh fading', 'preferential treatment', 'packet losses', 'mitigating switched', 'link utilization', 'equal sharing', 'diversity mechanism', 'comparative performance', 'available capacity', 'area network', 'analytical results', 'active users']</t>
  </si>
  <si>
    <t>Bandwidth allocation | Broadband ATM networks | Radio LANs | Wireless multimedia</t>
  </si>
  <si>
    <t>The comparative performance of a number of reservation-based bandwidth sharing policies that could be used to maximize the link utilization and/or offer equally fair or preferential treatment to a class of supported users, is examined here in the context of a radio asynchronous transfer mode local-area network (ATM LAN). Our analytical results, based on a recursion for the link occupancy distribution originally suggested by Kaufman and Roberts independently and subsequently extended to include finite source population models, are further extended here in the cases of equal sharing of the resources with retries, and a dynamic sharing mechanism in which, when the available capacity is exceeded, weighted reductions for the active users' rates and queueing are employed. Next, examining the application of the above sharing schemes in an indoor radio environment, we apply switched diversity and a Reed-Solomon-based forward error correction (FEC) scheme to recover radio-related (Rayleigh fading) packet losses. The performance and the effects of the fading-mitigating switched-antenna-diversity mechanism and the required on a packet-basis coding protection are taken into account in order to establish the actual radio link throughput under the above conditions. ¬© 1997 IEEE.</t>
  </si>
  <si>
    <t>420-428</t>
  </si>
  <si>
    <t>IEEE/ACM Transactions on Networking</t>
  </si>
  <si>
    <t>60089889-60017592;60089889-60030813</t>
  </si>
  <si>
    <t>7003888694;6508073815</t>
  </si>
  <si>
    <t>Stamatelos, George M.;Koukoulidis, Vassilios N.</t>
  </si>
  <si>
    <t>Dundas;Toronto;Ottawa</t>
  </si>
  <si>
    <t>IEEE Canada;Nortel Networks;Carleton University</t>
  </si>
  <si>
    <t>60089889;60030813;60017592</t>
  </si>
  <si>
    <t>Stamatelos G.</t>
  </si>
  <si>
    <t>Reservation-based bandwidth allocation in a radio ATM network</t>
  </si>
  <si>
    <t>S1063669297046116</t>
  </si>
  <si>
    <t>10.1109/90.611106</t>
  </si>
  <si>
    <t>2-s2.0-0031164682</t>
  </si>
  <si>
    <t>['waveguide network', 'side wall', 'several kinds', 'planar antenna', 'parallel feeding', 'paper describes', 'maximum gain', 'ground plane', 'grating lobes', 'frequency bandwidth', 'free space', 'experimental results', 'element spacing', 'element radiators', 'element antenna', 'array elements', 'aperture efficiency', '85ghz ),', '7 %,', '2 %).', '12ghz band']</t>
  </si>
  <si>
    <t>The new receiving planar array antenna for DBS (Diredt Broadcasting Satellite) is proposed. The element antenna is a short waveguide aperture mounted in the ground plane, loaded with the dielectric and the polarizers, and excited through its side wall by another feeding rectangular waveguide. The gain of the element antenna loaded with a dielectric is so high that the grating lobes can be reduced sufficiently even if the element spacing in the array is wider than the wavelength in free space. Therefore we can reduce the number of the array elements, and the parallel feeding by the low loss waveguide network can be feasible to get an excellent planar array antenna. This paper describes the experimental results of several kinds of the circularly polarized dielectric-loaded element antennas and the planar antennas fed by the waveguide network. In 12GHz band the planar antenna with 64- element radiators has the maximum gain of 31.9dBi with the aperture efficiency of 94.7%, the IdB-down frequency bandwidth of the gain of about 800MHz (6.7% for center frequency 11.85GHz), and the frequency bandwidth of the axial ratio less than 1dB of 850MHz (7.2%). ¬© 1997 IEEE.</t>
  </si>
  <si>
    <t>205-212</t>
  </si>
  <si>
    <t>Tsugawa, Tetsuo</t>
  </si>
  <si>
    <t>Osaka</t>
  </si>
  <si>
    <t>Osaka Institute of Technology</t>
  </si>
  <si>
    <t>Tsugawa T.</t>
  </si>
  <si>
    <t>Circularly polarized dielectric-loaded planar antenna excited by the parallel feeding waveguide network</t>
  </si>
  <si>
    <t>S0018931697056278</t>
  </si>
  <si>
    <t>10.1109/11.598371</t>
  </si>
  <si>
    <t>2-s2.0-0031164909</t>
  </si>
  <si>
    <t>DAAH04‚Äì95‚Äì1‚Äì0254</t>
  </si>
  <si>
    <t>['various demonstrative', 'ultralow levels', 'scanblindness behavior', 'rigorous analysis', 'printed antennas', 'polarization level', 'polar radiation', 'otherwise difficult', 'infinite array', 'impedance characteristics', 'grating strips', 'dipole array', 'covering layer', 'achieve low']</t>
  </si>
  <si>
    <t>Antenna arrays | Low cross polarization | Microstrip antennas</t>
  </si>
  <si>
    <t>A rigorous analysis of an infinite array of printed dipoles integrated with a covering layer of printed strip grating is presented. Such designs can be useful to achieve low to ultralow levels of cross-polar radiation from printed antennas, which is otherwise difficult to obtain from standard printed antenna designs. The analysis rigorously accounts for coupling between the grating strips and the dipole array in a general multilayered environment. Various demonstrative and design results showing loading effects of the grating on scan and impedance characteristics of the array are presented. Some interesting fundamental effects of the grating on the cross-polarization level and scanblindness behavior are discussed. ¬© 1997 IEEE.</t>
  </si>
  <si>
    <t>960-972</t>
  </si>
  <si>
    <t>60108318;60108318</t>
  </si>
  <si>
    <t>7201995024;7102044459</t>
  </si>
  <si>
    <t>Das, Nirod K.;Mohanty, Atanu</t>
  </si>
  <si>
    <t>Das N.K.</t>
  </si>
  <si>
    <t>Infinite array of printed dipoles integrated with a printed strip grating for suppression of cross-polar radiation-part i: rigorous analysis</t>
  </si>
  <si>
    <t>S0018926X9704266X</t>
  </si>
  <si>
    <t>10.1109/8.585743</t>
  </si>
  <si>
    <t>2-s2.0-0031165051</t>
  </si>
  <si>
    <t>['penalizes deviations', 'linear channel', 'isi ).', 'intersymbol interference', 'equalizer coefficients', 'equalized signals', 'cost function', 'appealing technique']</t>
  </si>
  <si>
    <t>We consider the problem of recovering p synchronous communication signals that are transmitted through a multiple-input/multiple-output (MIMO) linear channel and are, therefore, received in the presence of both interuser (IUI) and intersymbol interference (ISI). A multichannel linear equalization approach is taken, and we propose to adjust the equalizer coefficients with a blind adaptive algorithm (without the use of training data). This multiuser constant modulus algorithm (MU-CMA) is derived from the minimization of a cost function that penalizes deviations of the equalized signals from the constant modulus property as well as cross-correlations between them. The proposed scheme appears to be an appealing technique for multiuser blind equalization that combines good convergence properties with low computational complexity.</t>
  </si>
  <si>
    <t>178-181</t>
  </si>
  <si>
    <t>8751989500;7004920065</t>
  </si>
  <si>
    <t>Papadias, Constantinos B.;Paulraj, Arogyaswami J.</t>
  </si>
  <si>
    <t>Papadias C.</t>
  </si>
  <si>
    <t>A constant modulus algorithm for multiuser signal separation in presence of delay spread using antenna arrays</t>
  </si>
  <si>
    <t>10.1109/97.586042</t>
  </si>
  <si>
    <t>2-s2.0-0031165093</t>
  </si>
  <si>
    <t>['various waves', 'reflected waves', 'obtained directly', 'numerical results', 'layered media', 'lateral waves', 'integral representation', 'hoop method', 'guided wave', 'georadar operating', 'frequency domain', 'finite integral', 'exciting current', 'electric fields', 'easily recognized', 'asymptotic approach', 'analyzed using']</t>
  </si>
  <si>
    <t>Dipole antennas | Electromagnetic radiation | Nonhomogeneous media | Transient analysis</t>
  </si>
  <si>
    <t>The transient electric fields of a horizontal electric dipole excited by a short pulse current and located on a layered dielectric medium were analyzed using the Cagniard-de-Hoop method. The fields are expressed as the convolution of the exciting current with the layered medium response. The layered medium response is obtained directly from the integral representation for the electric fields in frequency domain and is expressed as a finite integral. In contrast to the conventional frequency synthesis approach, the Cagniard-de-Hoop method proves to be computationally more efficient and numerically more stable. Compared with the asymptotic approach, the solution here involves no approximation. The nature of the various waves, reflected waves (guided wave and leaky wave), and lateral waves can be easily recognized on the Cagniard integral path. Numerical results are obtained to provide a rigorous forward modeling for the georadar operating on layered media. ¬© 1997 IEEE.</t>
  </si>
  <si>
    <t>1023-1031</t>
  </si>
  <si>
    <t>Transient fields of a horizontal electric dipole on a multilayered dielectric medium</t>
  </si>
  <si>
    <t>S0018926X97042531</t>
  </si>
  <si>
    <t>10.1109/8.585751</t>
  </si>
  <si>
    <t>2-s2.0-0031165339</t>
  </si>
  <si>
    <t>Center for Arabic Study Abroad, University of Texas, Austin</t>
  </si>
  <si>
    <t>TIC93-0671-C06-01</t>
  </si>
  <si>
    <t>CASA</t>
  </si>
  <si>
    <t>['utd ).', 'uniform theory', 'tracing technique', 'tools available', 'technique uses', 'special ray', 'shown comparing', 'selective criteria', 'predicting high', 'parametric surfaces', 'identify rapidly', 'geometrical model', 'geometric optics', 'combines go', 'cgm ).', 'antennas mounted', 'additional remeshing']</t>
  </si>
  <si>
    <t>Antennas | Geometrical theory of diffraction</t>
  </si>
  <si>
    <t>An accurate and efficient numerical scheme has been developed for predicting high-frequency radiation patterns of antennas mounted on arbitrary structures modeled by parametric surfaces. The method is based on geometric optics (GO) and the uniform theory of diffraction (UTD). Nonuniform rational B-splines (NURBS) surfaces have been used to describe the geometry of the structure. As most of the computer-aided geometric design (CAGD) tools available in the industry are based on NURBS, the scheme can perform the electromagnetic analysis without any new or additional remeshing of the geometrical model. A special ray-tracing technique that combines GO and UTD with NURBS has been developed. This technique uses some selective criteria in order to identify rapidly the NURBS where a ray impact may occur. Impact points coordinates are obtained by means of an optimization procedure based on the conjugate gradient method (CGM). The accuracy and efficiency of the approach are shown comparing it with other methods. ¬© 1997 IEEE.</t>
  </si>
  <si>
    <t>1045-1053</t>
  </si>
  <si>
    <t>60015179;60015179;60015179;60015179;60015179</t>
  </si>
  <si>
    <t>54679583600;36849297800;7005302312;7203008580;15842946800</t>
  </si>
  <si>
    <t>Ferez, Jesus;Saiz, Juan A.;Conde, Olga M.;Torres, Rafa√´l P.;C√¢tedra, Manuel F.</t>
  </si>
  <si>
    <t>Ferez J.</t>
  </si>
  <si>
    <t>Analysis of antennas on board arbitrary structures modeled by nurbs surfaces</t>
  </si>
  <si>
    <t>S0018926X97042567</t>
  </si>
  <si>
    <t>10.1109/8.585754</t>
  </si>
  <si>
    <t>2-s2.0-0031165939</t>
  </si>
  <si>
    <t>DAAL-03-90-G-0064</t>
  </si>
  <si>
    <t>CityU</t>
  </si>
  <si>
    <t>['wave three', 'sufficient details', 'microstrip problems', 'microstrip bends', 'microstrip antennas', 'measured equation', 'give results', 'general full', 'discontinuity problems', 'authors show', 'authors demonstrate', 'allows finitedifference', '1 ].']</t>
  </si>
  <si>
    <t>The measured equation of invariance (MEI) is a newly developed computational method which allows finitedifference (FD) or finite-element (FE) mesh to be terminated very closely to objects of interest [1]. In this paper, the authors show how the MEI method may be applied to microstrip antennas and discontinuity problems. The authors demonstrate its use in general full-wave three-dimensional (3-D) microstrip problems, and give results for open-ended microstrip lines and microstrip bends. Sufficient details are included so that a well-versed reader may reproduce the authors' results with much less effort. ¬© 1997 IEEE.</t>
  </si>
  <si>
    <t>877-885</t>
  </si>
  <si>
    <t>60025038;60025038;60025038</t>
  </si>
  <si>
    <t>6603958794;7005780321;7202176080</t>
  </si>
  <si>
    <t>Prouty, Mark D.;Mei, Kenneth K.;Schwarz, Steven E.</t>
  </si>
  <si>
    <t>Prouty M.D.</t>
  </si>
  <si>
    <t>Solving microstrip discontinuities by the measured equation of invariance</t>
  </si>
  <si>
    <t>S0018948097039094</t>
  </si>
  <si>
    <t>10.1109/22.588595</t>
  </si>
  <si>
    <t>2-s2.0-0031168842</t>
  </si>
  <si>
    <t>['waveguide problem', 'waveguide filters', 'waveguide environment', 'theoretical waveguide', 'test fixture', 'technique involves', 'square waveguide', 'shielded versions', 'potential application', 'polarizer results', 'open geometries', 'novel application', 'measured results', 'measured data', 'matching networks', 'good agreement', 'embedding procedure', 'computational advantages', 'analysis tool', 'analysis approach', 'alternative approach']</t>
  </si>
  <si>
    <t>Electromagnetic analysis | Polarizers | Waveguide</t>
  </si>
  <si>
    <t>A general analysis approach for strip metallization structures enclosed in rectangular or square waveguide is presented. The technique involves the novel application of a commercially available 2.5-dimensional (2.5-D) method-of-moments-based (MoM) electromagnetic (EM) analysis tool to a three-dimensional (3-D) waveguide problem. Very good agreement is demonstrated between computed and measured results for several printed strip linear polarizers embedded within a square waveguide environment. This paper, to the authors' knowledge, represents the flrst such comparison of phase and magnitude between computed and measured data for strip grid polarizers in a waveguide environment. The developed approach involves construction of a theoretical waveguide "test fixture" and an associated theoretical de-embedding procedure. Computational advantages are expected over the alternative approach of using a finite-element-based fully 3-D analysis approach. The polarizer results have potential application to shielded versions of quasi-optic array components that have been demonstrated in open geometries, as well as to multimode antenna feeds, waveguide filters, and matching networks. ¬© 1997 IEEE.</t>
  </si>
  <si>
    <t>60015272;60015272;60015272</t>
  </si>
  <si>
    <t>7801679204;7004479140;9276425600</t>
  </si>
  <si>
    <t>Gaiewski, W. R.;Dunleavy, L. P.;Castro, A.</t>
  </si>
  <si>
    <t>Dallas</t>
  </si>
  <si>
    <t>Texas Instruments</t>
  </si>
  <si>
    <t>Gaiewski W.</t>
  </si>
  <si>
    <t>Analysis and measurement of mode polarizers in square waveguide</t>
  </si>
  <si>
    <t>S0018948097039252</t>
  </si>
  <si>
    <t>10.1109/22.588616</t>
  </si>
  <si>
    <t>2-s2.0-0031168843</t>
  </si>
  <si>
    <t>['vehicle antennas', 'tm2i mode', 'simple structure', 'resonant frequency', 'planar space', 'parasitic element', 'new configuration', 'narrow bandwidth', 'low profile', 'input impedance', 'inner part', 'hybrid coupler', 'high gain', 'experimental results', 'equivalent circuit', 'elevation angle', 'conical pattern', 'broadband characteristic']</t>
  </si>
  <si>
    <t>A new configuration of circularly polarized annularring microstrip antenna (ARMSA) fed by a branch-line hybrid coupler placed at the inner part of the ARMSA and its design method using an equivalent circuit are presented. Since the ARMSA has narrow bandwidth and high-input impedance, a parasitic element placed above the ARMSA is employed for not only obtaining broadband characteristic, but decreasing input impedance down to 50 ¬£7. A hybrid coupler to generate circular polarization, therefore, can be connected to co-planar space of the ARMSA directly without a large-size matching circuit and a very low profile and simple structure can be achieved. The ARMSA is excited at TM2i mode to produce a conical pattern, which has high gain in low-elevation angle for mobile satellite communications. An effective design method using the equivalent circuit is indicated and, as a result, it is obvious that broadband characteristic is obtained when each resonant frequency of the ARMSA and parasitic element is identical. Experimental results in the L-band showed satisfactory characteristics for vehicle antennas. ¬© 1997 IEEE.</t>
  </si>
  <si>
    <t>1001-1008</t>
  </si>
  <si>
    <t>6603940344;7004094949;7102500699</t>
  </si>
  <si>
    <t>Ohmine, Hiroyuki;Sunahara, Yonehiko;Matsunaga, Makoto</t>
  </si>
  <si>
    <t>An annular-ring microstrip antenna fed by a co-planar feed circuit for Mobile Satellite Communication Use</t>
  </si>
  <si>
    <t>S0018926X97042610</t>
  </si>
  <si>
    <t>10.1109/8.585748</t>
  </si>
  <si>
    <t>2-s2.0-0031169038</t>
  </si>
  <si>
    <t>['wires needed', 'wire length', 'untilted slot', 'sufficiently long', 'slot length', 'rectangular waveguide', 'radiated power', 'narrow wall', 'frequency band', 'external structure', 'dimensional solutions', 'analysis predicts', 'also shown', 'also allowed']</t>
  </si>
  <si>
    <t>The admittance of an untilted slot in the narrow wall of a rectangular waveguide is calculated by including the actual external structure. The slot is excited by two tilted thin wires inside the waveguide. The slot is also allowed to extend into the two broad walls of the waveguide to make it sufficiently long for resonance to occur. The external slot admittance is evaluated by using a spectrum of two-dimensional solutions, a method which can handle the arbitrary cross section of the external structure. The analysis predicts that if both the slot and the wires are tuned to resonance, the transmission coefficient gets constant phase over a wide-frequency band. The results also show that resonance can be obtained for any slot length by adjusting the wire length, and this relation between the lengths is presented. The distance between the slot and the wires needed to maximize the radiated power is also shown. Some results are confirmed by measurements. ¬© 1997 IEEE.</t>
  </si>
  <si>
    <t>1038-1044</t>
  </si>
  <si>
    <t>60031126-60000990;60031126-60000990;60031126-60000990</t>
  </si>
  <si>
    <t>7006899159;7801519715;7101988263</t>
  </si>
  <si>
    <t>Hirokawa, Jiro;Manholm, Lars;Kildal, Per Simon</t>
  </si>
  <si>
    <t>Analysis of an untilted wire-excited slot in the narrow wall of a rectangular waveguide by Including the Actual External Structure</t>
  </si>
  <si>
    <t>S0018926X97042579</t>
  </si>
  <si>
    <t>10.1109/8.585753</t>
  </si>
  <si>
    <t>2-s2.0-0031169039</t>
  </si>
  <si>
    <t>['steering controls', 'smaller thickness', 'simpler phase', 'simpler beam', 'realizing low', 'radant lens', 'r modules', 'phase shifters', 'lower cost', 'lens configurations', 'configuration employs']</t>
  </si>
  <si>
    <t>In a phased array antenna, the phase shifters (or T/R modules in an active aperture phased array) with their beam-steering control circuitry along with the feed network account for the major hardware cost. This paper presents two antenna array configurations that use simpler feed, simpler phase-shifting and simpler beam-steering control circuitry for realizing low-cost phased arrays. Both are lens configurations. The first one uses a Radant lens, which provides a medium that is loaded with diodes and provides the needed phase shift by switching the diodes on and off. The other configuration employs a ferroelectric dielectric material whose dielectric constant can be varied with an applied DC bias voltage. It is shown that the ferroelectric lens may have further advantages of smaller thickness, simpler beam-steering controls and lower cost.</t>
  </si>
  <si>
    <t>39-44</t>
  </si>
  <si>
    <t>7402367504;54680257100;7402238489</t>
  </si>
  <si>
    <t>Rao, J. B.L.;Trank, G. V.;Patel, D. P.</t>
  </si>
  <si>
    <t>Rao J.</t>
  </si>
  <si>
    <t>Two low-cost phased arrays</t>
  </si>
  <si>
    <t>10.1109/62.587057</t>
  </si>
  <si>
    <t>2-s2.0-0031169786</t>
  </si>
  <si>
    <t>['various results', 'small perturbations', 'sidelobe level', 'search space', 'previous phase', 'phased arrays', 'paper describes', 'new approach', 'minor deviations', 'genetic algorithm', 'adaptive phase', 'adaptive algorithms']</t>
  </si>
  <si>
    <t>Genetic algorithms | Phased arrays</t>
  </si>
  <si>
    <t>This paper describes a new approach to adaptive phase-only nulling with phased arrays. A genetic algorithm adjusts some of the least significant bits of the beam steering phase shifters to minimize the total output power. Using small adaptive phase values results in minor deviations in the beam steering direction and small perturbations in the sidelobe level in addition to constraining the search space of the genetic algorithm. Various results are presented to show the advantages and limitations of this approach. In general, the genetic algorithm proves to be better than previous phase-only adaptive algorithms. ¬© 1997 IEEE.</t>
  </si>
  <si>
    <t>1009-1015</t>
  </si>
  <si>
    <t>Haupt, Randy L.</t>
  </si>
  <si>
    <t>Colorado Springs</t>
  </si>
  <si>
    <t>United States Air Force Academy</t>
  </si>
  <si>
    <t>Haupt R.</t>
  </si>
  <si>
    <t>Phase-only adaptive nulling with a genetic algorithm</t>
  </si>
  <si>
    <t>S0018926X97042609</t>
  </si>
  <si>
    <t>10.1109/8.585749</t>
  </si>
  <si>
    <t>2-s2.0-0031169788</t>
  </si>
  <si>
    <t>NSC 82-0404-E-006-399</t>
  </si>
  <si>
    <t>['two designs', 'two cases', 'taiwan region', 'satellite communication', 'satellite antenna', 'paper presents', 'nearby area', 'mainland china', 'future geostationary', 'elliptical beam', 'effectively covers', 'contoured beam', 'antenna beam', '20 ghz']</t>
  </si>
  <si>
    <t>For the design of the satellite antenna for the future geostationary (GEO) satellite communication or DBS (direct broadcasting satellite) applications to serve the Taiwan Island region, it may be required to have a antenna beam which effectively covers the Taiwan region and reduces the antenna radiation level in the nearby area of mainland China. Two cases of the Ka-band (20 GHz) satellite antenna, a shaped offset reflector antenna to synthesize a contoured beam and an elliptical offset reflector antenna to generate an elliptical beam, have been studied. This paper presents the comparison and discussion of the antenna coverage performance of the two designs. ¬© 1997 IEEE.</t>
  </si>
  <si>
    <t>117-126</t>
  </si>
  <si>
    <t>7410260646;7103110709</t>
  </si>
  <si>
    <t>Chen, S. L.;Chuang, H. R.</t>
  </si>
  <si>
    <t>Comparison of the design of a contoured-beam and an elliptical-beam satellite offset reflector antennas to cover the taiwan island region for satellite communicationS</t>
  </si>
  <si>
    <t>S0018931697056175</t>
  </si>
  <si>
    <t>10.1109/11.598342</t>
  </si>
  <si>
    <t>2-s2.0-0031170067</t>
  </si>
  <si>
    <t>['rigorous analysis', 'real grating', 'present analysis', 'practical usefulness', 'practical ranges', 'polar radiation', 'particular interest', 'numerical computation', 'low cross', 'loaded array', 'infinite array', 'idealization using', 'ideal model', 'grating layer', 'design parameters', 'dcs ).', 'analytical formulation']</t>
  </si>
  <si>
    <t>In this paper, we present the analysis of an infinite array of printed dipoles covered by a unidirectionally conducting screen (DCS). This geometry is an idealization for a practical dipole array loaded on top by a strip-grating layer, which is of particular interest for low cross-polar radiation. The idealization using the UCS layer allows significant simplification in the analytical formulation, numerical computation, as well as basic physical understanding. Quite accurate results are obtained from the ideal model, valid for real grating-loaded dipole arrays with practical ranges of design parameters. The results from the present analysis are compared and contrasted with those from a rigorous analysis of the grating-loaded array, which demonstrates the practical usefulness and validity of the idealization. ¬© 1997 IEEE.</t>
  </si>
  <si>
    <t>973-981</t>
  </si>
  <si>
    <t>7102044459;7201995024</t>
  </si>
  <si>
    <t>Mohanty, Atanu;Das, Nirod K.</t>
  </si>
  <si>
    <t>Mohanty A.</t>
  </si>
  <si>
    <t>Infinite array of printed dipoles integrated with a layer of printed strip grating for suppression of cross-polar radiation-part ii: an idealized unidirectional conducting screen (ucs) model</t>
  </si>
  <si>
    <t>S0018926X97042658</t>
  </si>
  <si>
    <t>10.1109/8.585744</t>
  </si>
  <si>
    <t>2-s2.0-0031170249</t>
  </si>
  <si>
    <t>['using either', 'time domain', 'representations make', 'polar samples', 'numerical analysis', 'new time', 'new representations', 'frequency domain']</t>
  </si>
  <si>
    <t>Electromagnetic radiation | Sampling methods | Time-domain analysis</t>
  </si>
  <si>
    <t>New time-domain sampling series for representing radiated fields on a plane in terms of plane-polar samples are presented. The representations make it possible for the advanced sampling field interpolations recently introduced in the frequency domain to be generalized to the time domain, thus enabling minimum redundance when using either a cardinal sampling scheme or a central interpolation one. Numerical analysis is then conducted to prove the effectiveness of the new representations. ¬© 1997 IEEE.</t>
  </si>
  <si>
    <t>989-994</t>
  </si>
  <si>
    <t>60017293;60017293;60017293</t>
  </si>
  <si>
    <t>7006499276;7103082097;55934942300</t>
  </si>
  <si>
    <t>Bucci, Ovidio M.;D'Elia, Giuseppe;Migliore, Marco Donald</t>
  </si>
  <si>
    <t>Naples</t>
  </si>
  <si>
    <t>Universit√† degli Studi di Napoli Federico II</t>
  </si>
  <si>
    <t>Bucci O.</t>
  </si>
  <si>
    <t>Optimal time-domain field interpolation from plane-polar samples</t>
  </si>
  <si>
    <t>S0018926X97042634</t>
  </si>
  <si>
    <t>10.1109/8.585746</t>
  </si>
  <si>
    <t>2-s2.0-0031170250</t>
  </si>
  <si>
    <t>['testing functions', 'spiral contour', 'published results', 'linear segmentation', 'good agreement', 'current distribution', 'analyzed using']</t>
  </si>
  <si>
    <t>Microstrip antennas | Moment methods</t>
  </si>
  <si>
    <t>Archimedian and logarithmic printed wire spirals are analyzed using a moment method incorporating curved piecewise sinusoidal subdomain basis and testing functions. Results for spiral parameters including input impedance and current distribution are presented and are shown to have good agreement with published results for the same antennas obtained using linear segmentation. Since the curved basis functions exactly follow the spiral contour, significantly fewer curved segments are, therefore, required for accurate analysis compared with linear segmentation. ¬© 1997 IEEE.</t>
  </si>
  <si>
    <t>1016-1022</t>
  </si>
  <si>
    <t>6701323282;55328764600</t>
  </si>
  <si>
    <t>Khamas, Salam K.;Cook, Gregory G.</t>
  </si>
  <si>
    <t>Moment-method analysis of printed wire spirals using curved piecewise sinusoidal subdomain Basis and Testing Functions</t>
  </si>
  <si>
    <t>S0018926X97042592</t>
  </si>
  <si>
    <t>10.1109/8.585750</t>
  </si>
  <si>
    <t>2-s2.0-0031170251</t>
  </si>
  <si>
    <t>['microstructure analysis', 'magnetron sputtering', 'great prospect', 'film showed', 'crystalline perfectness', 'antenna made', '9894 mhz', '89 k', '77 k', '5 k', '), r3']</t>
  </si>
  <si>
    <t>Antenna | d. c. Magnetron sputtering | Filter | Microstructure | Oscillator | YBCO superconductive films</t>
  </si>
  <si>
    <t>Large area YBCO superconductive films prepared by d.c. magnetron sputtering have reached: Tc &gt; 89 K, Jc&gt;3.5√ó106 A/cm2(77 K, 0 T), R3 = 0.25 mŒ©, at 77.5 K, 9894 MHz. The microstructure analysis of the film showed it has fine monocrystalline structure and the crystalline perfectness is satisfactory. The oscillator, filter and antenna made from these films are good in performance. Therefore, YBCO superconductive films have great prospect in application.</t>
  </si>
  <si>
    <t>180-181</t>
  </si>
  <si>
    <t>Rare Metals</t>
  </si>
  <si>
    <t>60069709;60069709;60069709;60069709;60069709;60069709;60069709;60069709;112997313;112997313</t>
  </si>
  <si>
    <t>57214860602;14055603700;14055848100;14059193100;14320600700;14320207600;14056152000;14072191500;14056092900;14320956000</t>
  </si>
  <si>
    <t>Xiaoping, Wang;Bingchuan, Yang;Dongqi, Shi;Zhengshun, Peng;Wenxiang, Li;Peiwen, Hua;Lihong, Sun;Qihai, Zhang;Jianmin, Hao;Yeli, Wen</t>
  </si>
  <si>
    <t>Beijing;Tianjin</t>
  </si>
  <si>
    <t>General Research Institute for Non-ferrous Metals China;Tianjin Electronic Materials Research Institute</t>
  </si>
  <si>
    <t>60069709;112997313</t>
  </si>
  <si>
    <t>Xiaoping W.</t>
  </si>
  <si>
    <t>Microstructure and application of YBCO superconductive films with low surface resistance</t>
  </si>
  <si>
    <t>2-s2.0-0031172989</t>
  </si>
  <si>
    <t>DAALO3-92-G-0109</t>
  </si>
  <si>
    <t>['yield relative', 'within 46', 'sheet resistances', 'schottky junctions', 'rf coupling', 'port double', 'noise temperature', 'material growth', 'low n', 'losses removed', 'jum n', 'ingaas layers', 'ingaas contributes', 'high mobility', 'gaas diodes', 'explored experimentally', 'equivalent rf', 'corresponding singlesideband', 'conversion loss', 'based millimeter', 'antenna demonstrated', '94 ghz', '6 mw', '4 ghz', '25 ev', '2 db', '1800 cm2', '180 ghz', '1058 k', '100 k', '0 db']</t>
  </si>
  <si>
    <t>The merits of InGaAs-based millimeter-wave mixer diodes are explored experimentally and theoretically. Schottky junctions on InGaAs exhibit barriers ((f&gt;t,) in the neighborhood of 0. 25 eV. The high mobility of InGaAs contributes to the low n+ sheet resistances of 1. 9-5 ¬£7/square for 1-jum n+ InGaAs layers (ns - 1. 5 x 1019 cm"3, fin - 1800 cm2/V s) grown with our in-house Metalorganic Vapor Phase Epitaxy (MOVPE) system. The design, material growth, fabrication, and characterization of InGaAs integrated mixer/antennae are reported. Pt plating technology, adapted here for InGaAs Schottky contacts, has improved the ideality factor (?/) and yield relative to conventional evaporated Pt. With 810 /uW of local oscillator power, applied to the diode, and zero DC bias, an integrated InGaAs mixer/antenna demonstrated an excellent diode performance of 199 K RF input double-sideband noise temperature with a corresponding singlesideband (SSB) conversion loss (Lc) of 5. 0 dB at LO, RF, and IF frequencies of 94 GHz, 94 GHz ¬±1. 4 GHz, and 1. 4 GHz, respectively. Likewise, the diodes in an InGaAs subharmonic integrated mixer/antenna demonstrated an equivalent RF-port double-sideband (DSB) noise temperature (Tmix) of 1058 K and single-sideband conversion loss of 10. 2 dB at 180 GHz with a 90-GHz LO power (FLO) of 1. 6 mW. Compared to GaAs diodes with RF coupling and IF losses removed, the single-ended InGaAs noise temperature results were within 46-100 K of those for stateof-the-art GaAs mixer diodes while requiring significantly less LO power. ¬© 1997 IEEE.</t>
  </si>
  <si>
    <t>1066-1075</t>
  </si>
  <si>
    <t>IEEE Transactions on Electron Devices</t>
  </si>
  <si>
    <t>Pavlidis, Dimitris</t>
  </si>
  <si>
    <t>Pavlidis D.</t>
  </si>
  <si>
    <t>MOVPE-grown millimeter-wave InGaAs mixer diode technology and characteristics phil marsh</t>
  </si>
  <si>
    <t>S0018938397037404</t>
  </si>
  <si>
    <t>10.1109/16.595933</t>
  </si>
  <si>
    <t>2-s2.0-0031176472</t>
  </si>
  <si>
    <t>['transmission line', 'testing apparatus', 'situ concrete', 'results measured', 'relative permittivity', 'radar investigations', 'frequency range', 'frequencies associated', 'early age', 'discrete frequencies', 'concrete structures', 'concrete mixes', 'cement replacements', 'aggregate types', '1 mhz', '1 ghz']</t>
  </si>
  <si>
    <t>Interpretation of radar investigations of concrete structures is hampered by uncertainties about the relative permittivity and conductivity of the in situ concrete. A co-axial transmission line system has been designed and developed to enable both of these parameters to be derived from measurements over a frequency range from 1 MHz to 1 GHz, which encompasses the frequencies associated with commonly used field-testing apparatus. This facility permits removal of concrete laboratory samples from the transmission line for curing and conditioning, and has been used to examine a range of concrete mixes. These have incorporated different strength levels, aggregate types and sizes, cement replacements and contaminants, with moisture contents ranging from saturated to oven-dry. The influence of hydration upon tests at early age has also been considered, together with the relationship between results measured at discrete frequencies and those evaluated using broadband antennas.</t>
  </si>
  <si>
    <t>474-478</t>
  </si>
  <si>
    <t>Insight: Non-Destructive Testing and Condition Monitoring</t>
  </si>
  <si>
    <t>60020661;60020661;60020661;60020661;60020661</t>
  </si>
  <si>
    <t>7005741924;57199934597;7007138250;6602915822;7101618795</t>
  </si>
  <si>
    <t>Bungey, J. H.;Shaw, M. R.;Millard, S. G.;Soutsos, M. N.;Austin, B. A.</t>
  </si>
  <si>
    <t>Liverpool</t>
  </si>
  <si>
    <t>University of Liverpool</t>
  </si>
  <si>
    <t>Bungey J.H.</t>
  </si>
  <si>
    <t>The influence of concrete composition upon radar test results</t>
  </si>
  <si>
    <t>2-s2.0-0031177008</t>
  </si>
  <si>
    <t>['true whether', 'total number', 'simultaneous operation', 'r modules', 'parametric analysis', 'optimal number', 'operating simultaneously', 'detection performance', 'beam positions', 'associated cost', 'array faces']</t>
  </si>
  <si>
    <t>The problem of the optimal number of phased array faces for performing 360¬∞ horizon surveillance is considered. Assuming the detection performance is the same in all beam positions and the total number of T/R modules is constant, it is shown that the optimal number of array faces is three. This is true whether the arrays are operating simultaneously or sequentially. A parametric analysis is performed between the number of array faces operating simultaneously and the associated cost of simultaneous operation in terms of the size of the array.</t>
  </si>
  <si>
    <t>1002-1006</t>
  </si>
  <si>
    <t>60027271;60027271</t>
  </si>
  <si>
    <t>7003631086;7402238489</t>
  </si>
  <si>
    <t>Trunk, Gerard V.;Patel, Dharmesh P.</t>
  </si>
  <si>
    <t>Trunk G.</t>
  </si>
  <si>
    <t>Optimal number of phased array faces and signal processors for horizon surveillance</t>
  </si>
  <si>
    <t>10.1109/7.599324</t>
  </si>
  <si>
    <t>2-s2.0-0031185437</t>
  </si>
  <si>
    <t>N66001-87-D-0136</t>
  </si>
  <si>
    <t>['two interferences', 'special case', 'previous work', 'performance analysis', 'mra ).', 'main objective', 'interference cancellation', 'interactive procedure', 'general n', 'first derived', 'equally spaced', 'element array', 'eigenanalysis method', 'efficient method', 'array elements', 'also considered', 'adaptive arrays']</t>
  </si>
  <si>
    <t>In a previous work, the principles of the eigenanalysis method for interference cancellation was studied for uniform regular array (URA) structure, wherein the array elements are equally spaced. The main objective of this paper is to extend the results of that work to adaptive arrays with different geometry termed "minimum redundancy array" (MRA). An efficient method is presented to solve the minimum variance optimization problem and explicit analytical solutions are derived for the optimal weight vector and output noise variance of the eigencanceler. Performance analysis of the general N-element array was first derived and used to extract the performance of MRA. URA is also considered as a special case. The closed-form equation depicts the minimum variance noise residue for the single interference case, while an interactive procedure is suggested for the two interferences case. If there are more than two interferences, we propose to use direct numerical calculation. ¬© 1997 IEEE.</t>
  </si>
  <si>
    <t>977-988</t>
  </si>
  <si>
    <t>60022904;60022904;60022002</t>
  </si>
  <si>
    <t>35576601100;7409638096;7005179513</t>
  </si>
  <si>
    <t>Bar-Ness, Yeheskel;Chen, Wan Lev;Panayirci, Erdal</t>
  </si>
  <si>
    <t>United States;Turkey</t>
  </si>
  <si>
    <t>Newark;Istanbul</t>
  </si>
  <si>
    <t>New Jersey Institute of Technology;ƒ∞stanbul Teknik √úniversitesi</t>
  </si>
  <si>
    <t>60022904;60022002</t>
  </si>
  <si>
    <t>Bar-Ness Y.</t>
  </si>
  <si>
    <t>Eigenanalysis for interference cancellation with minimum redundancy array structure</t>
  </si>
  <si>
    <t>10.1109/7.599321</t>
  </si>
  <si>
    <t>2-s2.0-0031185467</t>
  </si>
  <si>
    <t>['polarization efficiency', 'optical systems', 'new type', 'horn indicates', 'hexagonal horn', 'fractional power', 'field distribution', 'feed horn', '85 %.', '66 %.']</t>
  </si>
  <si>
    <t>A new type of feed horn-the hexagonal horn-is proposed and investigated by means of Gaussian-Hermite beammode analysis. The electric-field distribution at the horn aperture plane is approximated. The polarization efficiency is 88.66%. The fractional power in the fundamental beam mode is about 85%. The near- and far-field radiation patterns are calculated. The high fractional power in the fundamental beam mode of the horn indicates that it can be used as an efficient Gaussian beam launcher in quasi-optical systems. ¬©1997 IEEE.</t>
  </si>
  <si>
    <t>1173-1178</t>
  </si>
  <si>
    <t>Shen, Tao</t>
  </si>
  <si>
    <t>The hexagonal horn as an efficient gaussian beam launcher</t>
  </si>
  <si>
    <t>S0018926X97048990</t>
  </si>
  <si>
    <t>10.1109/8.596911</t>
  </si>
  <si>
    <t>2-s2.0-0031185505</t>
  </si>
  <si>
    <t>['well approximated', 'two parts', 'simulation results', 'rao bounds', 'proposed earlier', 'method consists', 'increasing snr', 'high snr', 'heuristic grounds', 'constellation estimation', 'blind separation', 'bit error', 'assignment approach', 'antenna array']</t>
  </si>
  <si>
    <t>In this paper, we present a method for blind separation of co-channel BPSK signals arriving at an antenna array. This method consists of two parts: the maximum likelihood constellation estimation and assignment. We show that at high SNR, the maximum likelihood constellation estimation is well approximated by the smallest distance clustering algorithm, which we proposed earlier on heuristic grounds. We observe that both these methods for estimating the constellation vectors perform very well at high SNR and nearly attain Cram√©r-Rao bounds. Using this fact and noting that the assignment algorithm causes negligble error at high SNR, we derive upper bounds on the probability of bit error for the above method at high SNR. These upper bounds fall very rapidly with increasing SNR, showing that our constellation estimation-assignment approach is very efficient. Simulation results are given to demonstrate the usefulness of the bounds. ¬© 1997 IEEE.</t>
  </si>
  <si>
    <t>1736-1741</t>
  </si>
  <si>
    <t>60014097-60009254;60014097-60009254</t>
  </si>
  <si>
    <t>7006605676;57193685841</t>
  </si>
  <si>
    <t>Kannan, Anand;Reddy, V. U.</t>
  </si>
  <si>
    <t>Bengaluru;West Lafayette</t>
  </si>
  <si>
    <t>Indian Institute of Science;Purdue University</t>
  </si>
  <si>
    <t>60014097;60009254</t>
  </si>
  <si>
    <t>Kannan A.</t>
  </si>
  <si>
    <t>Maximum likelihood estimation of constellation vectors for blind separation of co-channel BPSK signals and its performance analysis</t>
  </si>
  <si>
    <t>S1053587X97049520</t>
  </si>
  <si>
    <t>10.1109/78.599943</t>
  </si>
  <si>
    <t>2-s2.0-0031185927</t>
  </si>
  <si>
    <t>U.S. Army</t>
  </si>
  <si>
    <t>['stripline feed', 'rigorously included', 'radiation properties', 'radiation patterns', 'radiating aperture', 'opposing stubs', 'numerically solve', 'numerical analysis', 'mutualcoupling effects', 'mpie ).', 'magnetic currents', 'linitc length', 'exact spatial', 'equivalent electric', 'domain green', 'coupled mixed', 'axial ratio', 'annular slot']</t>
  </si>
  <si>
    <t>A full-wave analysis method is presented for modeling the radiation properties of a stripline-fed planar printedaperture antenna element. In this formulation, both the linitc length of stripline and the linitc aperture may be of any arbitrary shape since their equivalent electric and magnetic currents are modeled with triangular patch basis functions. Galerkin's method is applied to numerically solve the coupled mixed-potential integral equation (MPIE). Exact spatial-domain Green's functions are used to account for all radiation, surface-wave, and mutualcoupling effects. Interactions between the stripline feed and the radiating aperture are rigorously included. Numerical analysis is presented for the following nonrectangular shapes: an exponentially tapered slot, an annular slot, an annular slot with opposing stubs, and a monofllar Archimedean spiral slot element. Results are shown for input return loss, radiation patterns, and axial ratio for the circularly polarized elements. ¬© 1997 IEEE.</t>
  </si>
  <si>
    <t>1186-1198</t>
  </si>
  <si>
    <t>Chen, Chinglung</t>
  </si>
  <si>
    <t>Anritsu/Wiltron Company</t>
  </si>
  <si>
    <t>Chen C.</t>
  </si>
  <si>
    <t>Stripline-fed arbitrarily shaped printed-aperture antennas</t>
  </si>
  <si>
    <t>S0018926X9702499X</t>
  </si>
  <si>
    <t>10.1109/8.596914</t>
  </si>
  <si>
    <t>2-s2.0-0031186499</t>
  </si>
  <si>
    <t>Hicks, Michael</t>
  </si>
  <si>
    <t>Hicks M.</t>
  </si>
  <si>
    <t>Selecting a satellite transmitter</t>
  </si>
  <si>
    <t>2-s2.0-0031188119</t>
  </si>
  <si>
    <t>NSC 84-2612-E002-005</t>
  </si>
  <si>
    <t>['turning technique', 'three parts', 'special case', 'rotation method', 'rotating character', 'one degree', 'navigation systems', 'magnetic compasses', 'integer ambiguities', 'gps satellites', 'desired direction', 'convenient environment', 'compass provides', 'accuracy less']</t>
  </si>
  <si>
    <t>A GPS (Global Positioning System)-based compass is designed, which consists of three parts: the pointer, the sensor, and the controller. Using the carrier phase signals from GPS satellites, the 1 m long pointer equipped with two GPS receivers can aim to the desired direction with accuracy less than one degree. A baseline rotation method is proposed to resolve the problem of integer ambiguities. The classical antenna swap method is simply a special case of the rotation method. The rotating character of the compass provides the convenient environment for applying the turning technique. Such compass may replace the traditional heading devices in navigation systems, such as the magnetic compasses or gyroscopes. ¬© 1997 IEEE.</t>
  </si>
  <si>
    <t>1063-1068</t>
  </si>
  <si>
    <t>GPS compass: A novel navigation equipment</t>
  </si>
  <si>
    <t>10.1109/7.599335</t>
  </si>
  <si>
    <t>2-s2.0-0031189386</t>
  </si>
  <si>
    <t>['two axial', 'theoretical predictions', 'theoretical model', 'radiation pattern', 'impedance analysis', 'electromagnetic field', 'conical surface', 'circular polarization', 'cavity model']</t>
  </si>
  <si>
    <t>A theoretical model to analyze the performance of a circular polarization microstrip antenna printed on a conical surface is presented. The radiation pattern of the antenna is simulated by the radiation from its four radiating edges (two axial and two circumferential). The electromagnetic field is expanded in terms of spherical wave modes and it is shown that the circular polarization is obtained by exciting in the antenna two spherical TEr orthogonal modes with 90¬∞ phase difference. The impedance analysis is based on the cavity model. Experimental data fits well the theoretical predictions of the model. ¬©1997 IEEE.</t>
  </si>
  <si>
    <t>1086-1092</t>
  </si>
  <si>
    <t>Circular polarization microstrip antenna on a conical surface</t>
  </si>
  <si>
    <t>S0018926X97048886</t>
  </si>
  <si>
    <t>10.1109/8.596897</t>
  </si>
  <si>
    <t>2-s2.0-0031189735</t>
  </si>
  <si>
    <t>['traditional means', 'paper describes', 'mimr system', 'microwave radiometer', 'main reflector', 'incident radiation', 'important role', 'calibration budget', 'assessed directly']</t>
  </si>
  <si>
    <t>Antenna | Radiometer | Reflector loss</t>
  </si>
  <si>
    <t>Antenna reflector losses play an important role in the calibration budget for a microwave radiometer. If the losses are small they are difficult to measure by traditional means. However they can be assessed directly by radiometric means using the sky brightness temperature as incident radiation. This paper describes how such measurements are carried out as well as a suitable experimental setup. The main reflector of the European Space Agency's MIMR system is used to demonstrate the principle. ¬©1997 IEEE.</t>
  </si>
  <si>
    <t>967-971</t>
  </si>
  <si>
    <t>Skou, Niels</t>
  </si>
  <si>
    <t>Skou N.</t>
  </si>
  <si>
    <t>Measurement of small antenna reflector losses for radiometer calibration budget</t>
  </si>
  <si>
    <t>S0196289297044859</t>
  </si>
  <si>
    <t>10.1109/36.602538</t>
  </si>
  <si>
    <t>2-s2.0-0031190037</t>
  </si>
  <si>
    <t>['various composites', 'thick film', 'thereby lowering', 'overall tunability', 'microwave region', 'material characterization', 'loss tangents', 'insertion loss', 'ghz frequencies', 'electronic properties', 'dielectric constant', 'bulk ceramic', 'article discusses', 'applied voltage']</t>
  </si>
  <si>
    <t>Various composites of barium strontium titanium oxide (BSTO) combined with other nonelectrically active oxide ceramics have been formulated for application in phased array antennas. In general, the composites have adjustable electronic properties which can be tailored for use in phased array antennas and other phase shifting devices. The dielectric constant and the loss tangents have been reduced to enhance the overall impedance matching and thereby lowering the insertion loss of the device. In addition, the overall tunability, the change in the dielectric constant with applied voltage, is maintained at a sufficiently high level. In order to address a broad frequency range in the microwave region, the composites have been fabricated in bulk ceramic, thick film, and thin film form. This article discusses the processing, material characterization, and electronic properties of the composites in MHz and GHz frequencies. ¬© 1997 IEEE.</t>
  </si>
  <si>
    <t>792-797</t>
  </si>
  <si>
    <t>IEEE Transactions on Ultrasonics, Ferroelectrics, and Frequency Control</t>
  </si>
  <si>
    <t>60033252;</t>
  </si>
  <si>
    <t>7003575283;7402546762</t>
  </si>
  <si>
    <t>Sengupta, Louise C.;Sengupta, Somnath</t>
  </si>
  <si>
    <t>Adelphi</t>
  </si>
  <si>
    <t>U.S. Army Research Laboratory</t>
  </si>
  <si>
    <t>Sengupta L.</t>
  </si>
  <si>
    <t>Novel ferroelectric materials for phased array antennas</t>
  </si>
  <si>
    <t>10.1109/58.655193</t>
  </si>
  <si>
    <t>2-s2.0-0031190604</t>
  </si>
  <si>
    <t>Australian Telecommunications and Electronics Research Board</t>
  </si>
  <si>
    <t>ATERB</t>
  </si>
  <si>
    <t>['tv programs', 'radiation efficiency', 'hybrid theoretical', 'experimentally investigated', 'experimental approach']</t>
  </si>
  <si>
    <t>Antennas arrays</t>
  </si>
  <si>
    <t>A hybrid theoretical/experimental approach to the design of radial line slot array (RLSA) antennas for receiving Direct Broadcast Satellite (DBS) TV programs in Australia is presented. Using this approach, 0.4-ni and 0.6-ni diameter linearly polarized Ku-band prototype antennas were constructed and experimentally investigated. The 0.6-m prototype incorporates reflection cancelling slots, which allow it to overcome the inherent poor return loss performance in linearly polarized RLSA antennas. Measurements show high-radiation efficiency for this form of radial slot antenna and its suitability for the DBS TV application. ¬© 1997 IEEE.</t>
  </si>
  <si>
    <t>1123-1129</t>
  </si>
  <si>
    <t>Davis, Paul W.</t>
  </si>
  <si>
    <t>Davis P.</t>
  </si>
  <si>
    <t>Experimental investigations into a linearly polarized radial slot antenna for DBS TV in Australia</t>
  </si>
  <si>
    <t>S0018926X904893X</t>
  </si>
  <si>
    <t>10.1109/8.596903</t>
  </si>
  <si>
    <t>2-s2.0-0031190809</t>
  </si>
  <si>
    <t>['vector autocorrelation', 'type constituents', 'time domain', 'thus similar', 'starting point', 'source waveform', 'similar quantities', 'second one', 'relate voltage', 'reflected wave', 'receiving conditions', 'pulse antennas', 'parameters defined', 'manner equivalent', 'input signal', 'independent time', 'frequency domain', 'first one', 'field transmit', 'effective height', 'domain representation', 'domain analysis', 'derived entirely', 'dependent effectiveheight', 'current amplitudes', 'conventional frequency', 'consistent transmit', 'complete transmit', 'complete far', 'cascaded operators', 'antenna parameters', 'alone figures']</t>
  </si>
  <si>
    <t>Antennas, transient analysis</t>
  </si>
  <si>
    <t>A theory for a complete far-field transmit-receive system characterization of short-pulse antennas is derived in the time domain. The transmit-receive antenna system is characterized by a set of cascaded operators, which traPnsform the source waveform and power into similar quantities at the receiving antenna terminals. Two such sets are defined. The first one is phrased in terms of the wave-type "time-dependent effectiveheight" operator, while the second one is defined in terms of the energy-type "gain operator." Both definitions fit within a complete transmit-receive system description, the latter being equivalent to the frequency-domain Friis equation. However, these operators are derived entirely in the context of the timedomain field equation. The starting point in the time-domain analysis of the effective height is the slant stack transform (SST) of the time-dependent current distribution in a manner equivalent to the spatial Fourier transform used in the frequency domain. The vector autocorrelation of the transmitting effective height is then used to define the time-dependent gain operator under impulsive source excitation. Time-domain reciprocity leads to the definitions of antenna parameters under receiving conditions and the corresponding equivalent circuit. The parameters defined in this way fit within a consistent transmit-receive convolution operator, operating on the autocorrelation of the input signal. This independent time-domain representation is thus similar to the frequency-domain representation. However, unlike the conventional frequency-domain circuit parameters, which relate voltage and current amplitudes, the time-domain circuit representation is based on incident and reflected wave-type constituents. In addition, the use of appropriate norms facilitates the transformation of our operators to stand-alone figures of merits. The general concepts developed herein are demonstrated for the example of the short dipole antenna. ¬© 1997 IEEE.</t>
  </si>
  <si>
    <t>1140-1149</t>
  </si>
  <si>
    <t>Shlivinski, Amir</t>
  </si>
  <si>
    <t>Shlivinski A.</t>
  </si>
  <si>
    <t>Antenna characterization in the time domain</t>
  </si>
  <si>
    <t>S0018926X97048953</t>
  </si>
  <si>
    <t>10.1109/8.596907</t>
  </si>
  <si>
    <t>2-s2.0-0031190810</t>
  </si>
  <si>
    <t>83-0404-E002-048</t>
  </si>
  <si>
    <t>['wideband six', 'scattering targets', 'polarization states', 'measurement system', 'jyh chen', 'index terms', 'incoming waves', 'hsiung chu', 'four unknown', 'experimental results', 'electrical engineering', 'calibration procedure', '.- j', '.- h']</t>
  </si>
  <si>
    <t>Measurement, polarimetry</t>
  </si>
  <si>
    <t>The principle of operation, calibration procedure, and experimental results of a wideband six-port polarimetric measurement system are described in this paper. This measurement system can measure the polarization states of incoming waves and the polarimetric scattering matrices of scattering targets from the wideband power data. The imbalances and coupling between antenna polarization channels and the characteristics of microwave components used in the measurement system are calibrated using three partly unknown scattering calibrators that are illuminated by four unknown-polarized calibrating waves. ¬© 1997 IEEE. Calibration and Measurement of a Wideband Six-Port Polarimetric Measurement System Tzong-Jyh Chen and Tah-Hsiung Chu, Member, IEEE T.-J. Chen was with the Department of Electrical Engineering, National Taiwan University, Taipei, Taiwan, R.O.C. He is now with Chung-Shan Institute of Science and Technology, Taiwan, R.O.C. T.-H. Chu is with the Department of Electrical Engineering, National Taiwan University, Taipei, Taiwan, R.O.C. The principle of operation, calibration procedure, and experimental results of a wideband six-port polarimetric measurement system are described in this paper. This measurement system can measure the polarization states of incoming waves and the polarimetric scattering matrices of scattering targets from the wideband power data. The imbalances and coupling between antenna polarization channels and the characteristics of microwave components used in the measurement system are calibrated using three partly unknown scattering calibrators that are illuminated by four unknown-polarized calibrating waves. Index Terms-Measurement, polarimetry. ¬© 1997 IEEE.</t>
  </si>
  <si>
    <t>1080-1085</t>
  </si>
  <si>
    <t>Chu, T. H.</t>
  </si>
  <si>
    <t>Chu T.H.</t>
  </si>
  <si>
    <t>Calibration and Measurement of a Wideband Six-Port Polarimetric Measurement System</t>
  </si>
  <si>
    <t>S0018926X97048874</t>
  </si>
  <si>
    <t>10.1109/8.596895</t>
  </si>
  <si>
    <t>2-s2.0-0031191321</t>
  </si>
  <si>
    <t>['using mm', 'surrounding terrain', 'surrounding sky', 'scattering patterns', 'presented showing', 'mutual interaction', 'multiple reflections', 'multiple reflection', 'much faster', 'mr approach', 'moment method', 'mm solution', 'high g', 'far field', 'equally accurate', 'elevation angle', 'disk antenna', 'design curves', 'complete antenna', 'calculations using', 'beaniforrning ring', 'antenna geometry']</t>
  </si>
  <si>
    <t>A 1.8-m paraboloidal reflector fed by a dipole-disk antenna with a beaniforrning ring is optimized for high G/T at L-band by using the moment method (MM) and the multiple reflection (MR) approach. The MR approach is based on using MM to calculate the radiation and scattering patterns of the feed, using physical optics plus uniform geometrical theory of diffraction (UTD) to include the reflector, and in addition to include the mutual interaction (multiple reflections) between the reflector and the feed by using the expression for the sum of an infinite geometric series. The MR approach is shown to be equally accurate as a MM solution of the complete antenna with reflector, provided the reflector is in the far field of the feed, and the MR approach is much faster. As a result of the calculations using the MR approach, design curves are presented showing how the G/T varies as a function of antenna geometry, size, and elevation angle, all for a given noise profile of the surrounding sky and ground. The computed radiation patterns and G/Ts are compared with measurements for several elevation angles and surrounding terrain. ¬©1997 IEEE.</t>
  </si>
  <si>
    <t>1130-1139</t>
  </si>
  <si>
    <t>Kildal, Per Simon</t>
  </si>
  <si>
    <t>Gothenburg</t>
  </si>
  <si>
    <t>Chalmers University of Technology</t>
  </si>
  <si>
    <t>Kildal P.</t>
  </si>
  <si>
    <t>GIT maximization of a paraboloidal reflector fed by a dipole-disk antenna with ring by using the multiple-reflection approach and the moment method</t>
  </si>
  <si>
    <t>S0018926X04894L</t>
  </si>
  <si>
    <t>10.1109/8.596904</t>
  </si>
  <si>
    <t>2-s2.0-0031191624</t>
  </si>
  <si>
    <t>['reference antenna', 'radiation characteristics', 'paper describes', 'line antenna', 'frequency range', 'decoupling factor', 'cell crank', 'axial ratio', 'antenna height', '85 ghz', '5 db', '3 db']</t>
  </si>
  <si>
    <t>Antenna measurements | Antenna theory</t>
  </si>
  <si>
    <t>This paper describes the radiation characteristics of crank-line antennas radiating a circularly polarized wave. First, the radiation efficiency versus substrate permittivity is evaluated. Second, a 12-cell crank-line antenna of substrate permittivity er -1 and antenna height B -An.ss/S is investigated as a reference antenna, where Aii.85 is the wavelength at a frequency of 11.85 GHz. It is found that the main beam direction of the reference antenna varies 7¬∞ over a frequency range of approximately 6%, with an axial ratio of less than 3 dB and a gain of approximately 21 dB. Third, attention is paid to the gain behavior versus the antenna height. A way to increase the gain by modifying the antenna height is proposed. An increase of 1.5 dB from the gain of the reference antenna is demonstrated. Finally, the axial ratio, gain, and decoupling factor for crank-line antenna arrays are presented and discussed. ¬© 1997 IEEE.</t>
  </si>
  <si>
    <t>1166-1172</t>
  </si>
  <si>
    <t>Nakano, H.</t>
  </si>
  <si>
    <t>Analysis and measurements for improved crank-line antennas</t>
  </si>
  <si>
    <t>S0018926X97048989</t>
  </si>
  <si>
    <t>10.1109/8.596910</t>
  </si>
  <si>
    <t>2-s2.0-0031191898</t>
  </si>
  <si>
    <t>NSF ECE 94-57735</t>
  </si>
  <si>
    <t>['waveguide termination', 'waveguide modes', 'testing procedure', 'solved using', 'slow convergence', 'slot thickness', 'singular integrals', 'series associated', 'scattering characteristics', 'scattered field', 'proper treatment', 'numerical results', 'numerical method', 'kummer transformation', 'integral equations', 'first formulated', 'exterior modes', 'excitation vector', 'equivalence principle', 'asymptotic solutions', 'accelerated using']</t>
  </si>
  <si>
    <t>Conformai antennas | Electromagnetic scattering</t>
  </si>
  <si>
    <t>A numerical method is developed to investigate electromagnetic scattering by a cylindrically conformai waveguidefed slot array. The problem is first formulated in terms of integral equations using the equivalence principle. The integral equations are then solved using the method of moments (MoM) in conjunction with global sinusoidal basis functions and Galerkin's testing procedure. The MoM solution requires the evaluation of the generalized admittance matrices involving various dyadic Green's functions. The slow convergence of the series associated with the summation of waveguide modes is accelerated using the Kummer transformation and the slow convergence of the series associated with the summation of the exterior modes is avoided by using the asymptotic solutions with proper treatment for singular integrals. The evaluation of the excitation vector and scattered field is also accelerated using Watson's transformation and asymptotic solutions. Numerical results are presented to illustrate the scattering characteristics of the cylindrically conformai waveguide-fed slot arrays, such as the effects of curvature, slot thickness, and waveguide termination on the radar cross section (RCS) of the arrays. ¬©1997 IEEE.</t>
  </si>
  <si>
    <t>1150-1159</t>
  </si>
  <si>
    <t>Fan, Guo Xin</t>
  </si>
  <si>
    <t>Fan G.X.</t>
  </si>
  <si>
    <t>Scattering from a cylindrically conformai slotted waveguide array antenna</t>
  </si>
  <si>
    <t>S0018926X97048965</t>
  </si>
  <si>
    <t>10.1109/8.596908</t>
  </si>
  <si>
    <t>2-s2.0-0031192184</t>
  </si>
  <si>
    <t>['wideband design', 'synthesis goals', 'predefined goals', 'polarization properties', 'polarization designs', 'method allows', 'low cross', 'iterative least', 'element excitations', 'different kind', 'crosspolarization properties', 'circular polarization']</t>
  </si>
  <si>
    <t>Antenna arrays | Conformai antennas</t>
  </si>
  <si>
    <t>An iterative least-squares synthesis technique is presented for the optimization of the element excitations in conformai array antennas. This method allows the designer to have predefined goals for the shaped radiation pattern over a selected frequency band and for the polarization properties of the array. Linear or circular polarization can be used in the synthesis. Different kind of synthesis goals can be set, whereby the copolarization or crosspolarization properties of the array are weighted or a narrowband or wideband design is sought. The amplitudes of the element excitations can be fixed. Several synthesis examples are presented for an array on sphere with circular polarized elements. Broad-band and low cross-polarization designs are included. ¬© 1997 IEEE.</t>
  </si>
  <si>
    <t>1179-1185</t>
  </si>
  <si>
    <t>Vaskelainen, Leo I.</t>
  </si>
  <si>
    <t>Espoo</t>
  </si>
  <si>
    <t>VTT Technical Research Centre of Finland</t>
  </si>
  <si>
    <t>Vaskelainen L.</t>
  </si>
  <si>
    <t>Iterative least-squares synthesis methods for conformai array antennas with optimized polarization and frequency properties</t>
  </si>
  <si>
    <t>S0018926X97049004</t>
  </si>
  <si>
    <t>10.1109/8.596912</t>
  </si>
  <si>
    <t>2-s2.0-0031192533</t>
  </si>
  <si>
    <t>F30602-94-1-0012</t>
  </si>
  <si>
    <t>AFRL</t>
  </si>
  <si>
    <t>['useful alternative', 'statistical characterization', 'smi method', 'principal components', 'noise ratio', 'noise case', 'new distribution', 'low rank', 'large interference', 'independent approximations', 'good agreement', 'eigencanceler yields', 'density function', 'covariance matrix', 'conditioned snr', 'conditioned signal', 'asymptotic expansion']</t>
  </si>
  <si>
    <t>The statistical characterization of the conditioned signal-to-noise ratio (SNR) of the sample matrix inversion (SMI) method has been known for some time. An eigenanalysis-based detection method, referred to as the eigencanceler, has been shown to be a useful alternative to SMI, when the interference has low rank. In this work, the density function of the conditioned SNR is developed for the eigencanceler. The development is based on the asymptotic expansion of the distribution of the principal components of the covariance matrix. It is shown that, unlike the SMI method, the eigencanceler yields a conditional SNR distribution that is dependent on the covariance matrix. It is further shown that simpler, covariance matrix-independent approximations can be found for the large interference-to-noise case. The new distribution is shown to be in good agreement with the numerical data obtained from simulations. ¬© 1997 IEEE.</t>
  </si>
  <si>
    <t>988-997</t>
  </si>
  <si>
    <t>Haimovich, A. M.</t>
  </si>
  <si>
    <t>Newark</t>
  </si>
  <si>
    <t>New Jersey Institute of Technology</t>
  </si>
  <si>
    <t>Haimovich A.</t>
  </si>
  <si>
    <t>Asymptotic distribution of the conditional signal-to-noise ratio in an eigenanalysis-based adaptive array</t>
  </si>
  <si>
    <t>10.1109/7.599322</t>
  </si>
  <si>
    <t>2-s2.0-0031192580</t>
  </si>
  <si>
    <t>['simpler representation', 'preferable implementation', 'pattern synthesis', 'impose constraints', 'general tool', 'digital attenuators', 'conventional ga', 'binary crossover', 'arbitrary arrays', 'antenna array']</t>
  </si>
  <si>
    <t>Antenna arrays | Genetic algorithms</t>
  </si>
  <si>
    <t>A simple and flexible genetic algorithm (GA) for pattern synthesis of antenna array with arbitrary geometric configuration is presented. Unlike conventional GA using binary coding and binary crossover, this approach directly represents the array excitation weighting vectors as complex number chromosomes and uses decimal linear crossover without crossover site. Compared with conventional GA's, this approach has a few advantages: giving a clearer and simpler representation of the problem, simplifying chromosome construction, and totally avoiding binary encoding and decoding so as to simplify software programming and to reduce CPU time. This method also allows us to impose constraints on phases and magnitudes of complex excitation coefficients for preferable implementation in practice using digital phase shifters and digital attenuators. Successful applications show that the approach can be used as a general tool for pattern synthesis of arbitrary arrays. ¬© 1997 IEEE.</t>
  </si>
  <si>
    <t>1117-1122</t>
  </si>
  <si>
    <t>7102869223;7405481054</t>
  </si>
  <si>
    <t>Yan, Keen Keong;Lu, Yilong</t>
  </si>
  <si>
    <t>Yan K.</t>
  </si>
  <si>
    <t>Sidelobe reduction in array-pattern synthesis using genetic algorithm</t>
  </si>
  <si>
    <t>S0018926X97048928</t>
  </si>
  <si>
    <t>10.1109/8.596902</t>
  </si>
  <si>
    <t>2-s2.0-0031192587</t>
  </si>
  <si>
    <t>['sharp notches', 'robust modifications', 'priori information', 'null width', 'may bring', 'loaded smi', 'jammer motion', 'jammer directions', 'eigenvector projection', 'artificial broadening', 'adapted pattern']</t>
  </si>
  <si>
    <t>The performance of adaptive array algorithms is known to degrade in rapidly moving jammer environments. This degradation occurs due to the jammer motion that may bring the jammers out of the sharp notches of the adapted pattern. In this correspondence, we develop the robust modifications of the sample matrix inversion (SMI) algorithm, loaded SMI (LSMI) algorithm, and eigenvector projection (EP) algorithm by means of artificial broadening of the null width in the jammer directions. For this purpose, data-dependent sidelobe derivative constraints that do not require any a priori information about the jammer directions are used. ¬© 1997 IEEE.</t>
  </si>
  <si>
    <t>1878-1885</t>
  </si>
  <si>
    <t>60005322-60005811;60005322-60005811;60005322-60005811</t>
  </si>
  <si>
    <t>7006198109;7004196658;7005185971</t>
  </si>
  <si>
    <t>Gershman, Alex B.;Nickel, Ulrich;B√∂hme, Johann F.</t>
  </si>
  <si>
    <t>Munich;Bochum</t>
  </si>
  <si>
    <t>Fraunhofer-Gesellschaft;Ruhr-Universitat Bochum</t>
  </si>
  <si>
    <t>60005811;60005322</t>
  </si>
  <si>
    <t>Gershman A.B.</t>
  </si>
  <si>
    <t>Adaptive beamforming algorithms with robustness against jammer motion</t>
  </si>
  <si>
    <t>S1053587X97049684</t>
  </si>
  <si>
    <t>10.1109/78.599965</t>
  </si>
  <si>
    <t>2-s2.0-0031192926</t>
  </si>
  <si>
    <t>['would experience', 'successive groups', 'specific examples', 'south africa', 'situations similar', 'place students', 'performance validation', 'north america', 'integral part', 'grading procedure', 'format followed', 'final product', 'essential mix', 'engineering practice', 'educational terms', 'disciplined self', 'design essential', 'design criteria', 'described initially', 'crucial differences', 'critical evaluation', 'course outline', 'construction project', 'antennas used']</t>
  </si>
  <si>
    <t>Antennas course | Construction projects | Electromagnetics</t>
  </si>
  <si>
    <t>This paper discusses experience gained during a senior-level antennas course in which a project for the design, fabrication, and performance validation of an antenna was an integral part of the course. Crucial differences between typical engineering curricula in South Africa and North America are described initially. This is followed by a description of the course outline and grading procedure. The format followed for the construction project is described and specific examples of antennas used for the project are given. The essence of the project was to place students in a disciplined self-study learning environment where they would be confronted with situations similar to those they would experience once they entered engineering practice after graduation. Successive groups of students gained experience with a variety of antennas, which are discussed in context. The course has proven to be both stimulating and rewarding for the students because of the essential mix of theory and practice. Viewed in educational terms, the course integrated various elements of design essential for engineering practice; namely, establishment of objectives, design criteria and compromises, synthesis, analysis, construction, testing, and critical evaluation of the final product.</t>
  </si>
  <si>
    <t>190-194</t>
  </si>
  <si>
    <t>IEEE Transactions on Education</t>
  </si>
  <si>
    <t>60000251-60021902</t>
  </si>
  <si>
    <t>Baker, Duncan C.</t>
  </si>
  <si>
    <t>South Africa;United States</t>
  </si>
  <si>
    <t>Pretoria;New York</t>
  </si>
  <si>
    <t>University of Pretoria;IEEE</t>
  </si>
  <si>
    <t>60021902;60000251</t>
  </si>
  <si>
    <t>Baker D.</t>
  </si>
  <si>
    <t>An innovative project-driven senior-level antennas course</t>
  </si>
  <si>
    <t>S0018935997063218</t>
  </si>
  <si>
    <t>10.1109/13.618029</t>
  </si>
  <si>
    <t>2-s2.0-0031195422</t>
  </si>
  <si>
    <t>['validated using', 'resulting setups', 'radiation pattern', 'prober system', 'measurement fixtures', 'measured data', 'input impedance', 'experimental results', 'e .,', 'developed specifically', 'associated apparatus', '20 ghz']</t>
  </si>
  <si>
    <t>GaAs MMIC | Input impedance | Integrated antenna | Radiation</t>
  </si>
  <si>
    <t>Techniques for on-wafer integrated antenna measurement are presented. Two novel techniques and associated apparatus are developed specifically for the measurement of input impedance and radiation pattern of 20 GHz to 30 GHz slot antennas integrated onto GaAs wafers. Both draw upon equipment already used for nonradiating integrated circuits, i.e., a wafer-prober system, but involve significant modifications. The resulting setups are validated using a numerical electromagnetic analysis tool which shows the effect of the measurement fixtures on the experimental results. Finally, some examples of measured data are given to illustrate the usefulness of the techniques. ¬© 1997 IEEE.</t>
  </si>
  <si>
    <t>1000-1004</t>
  </si>
  <si>
    <t>60028897;60028897;60028897;60018714</t>
  </si>
  <si>
    <t>7101953917;36066390600;6603874446;7007174371</t>
  </si>
  <si>
    <t>Roy, Langis;Li, Ming;Labont√©, Sylvain;Simons, Neil R.S.</t>
  </si>
  <si>
    <t>Ottawa;Ottawa</t>
  </si>
  <si>
    <t>University of Ottawa;Communications Research Centre</t>
  </si>
  <si>
    <t>60028897;60018714</t>
  </si>
  <si>
    <t>Roy L.</t>
  </si>
  <si>
    <t>Measurement techniques for integrated-circuit slot antennas</t>
  </si>
  <si>
    <t>S0018945697065066</t>
  </si>
  <si>
    <t>10.1109/19.650816</t>
  </si>
  <si>
    <t>2-s2.0-0031200616</t>
  </si>
  <si>
    <t>['radiating systems', 'presented technique', 'limited number', 'large number', 'impulse excitation', 'excitation source', 'different cases', 'difference time', 'antenna analysis']</t>
  </si>
  <si>
    <t>DFT | FDTD | FFT</t>
  </si>
  <si>
    <t>The finite-difference time-domain (FDTD) technique has been employed to analyze a large number of electromagnetic scattering problems. However, only a limited number of problems involving antenna radiation has been investigated. Furthermore, the excitation source of radiating systems has been mostly a Gaussian type pulse. In this paper, the concept of a discrete impulse excitation is developed and used to feed linear antennas and other radiating systems. Different cases of antenna analysis are considered to illustrate the applicability of the impulse excitation. Furthermore, a comparison with the method of moments as well asthe FDTD technique with Gaussian type pulse excitations is made to validate the presented technique.</t>
  </si>
  <si>
    <t>247-250</t>
  </si>
  <si>
    <t>60000745;60001526;60001526;60001526</t>
  </si>
  <si>
    <t>6603614143;7004671182;7005036134;35606833400</t>
  </si>
  <si>
    <t>Zunoubi, M. R.;Younan, Nicolas H.;Beggs, J. H.;Taylor, C. D.</t>
  </si>
  <si>
    <t>Mississippi State;Urbana</t>
  </si>
  <si>
    <t>Mississippi State University;University of Illinois Urbana-Champaign</t>
  </si>
  <si>
    <t>60001526;60000745</t>
  </si>
  <si>
    <t>Zunoubi M.</t>
  </si>
  <si>
    <t>FDTD analysis of linear antennas driven from a discrete impulse excitation</t>
  </si>
  <si>
    <t>S0018937597062972</t>
  </si>
  <si>
    <t>10.1109/15.618053</t>
  </si>
  <si>
    <t>2-s2.0-0031207251</t>
  </si>
  <si>
    <t>Bo 568/22-1</t>
  </si>
  <si>
    <t>['stochastic cramer', 'remaining n', 'real ula', 'rao bound', 'music applied', 'length x1', 'interval x1', 'interpolated root', 'interesting consequence', 'form q', 'favorable geometries', 'conventional root', 'asymptotic performance']</t>
  </si>
  <si>
    <t>Array interpolation | DOA estimation | Root-music</t>
  </si>
  <si>
    <t>Given an n-element linear array with the fixed positions x1 and xn of the leftmost and rightmost array sensors, it is shown that the stochastic Cramer-Rao bound (CRB) and MUSIC performance depend on positions of the remaining n - 2 sensors within the interval x1. xn. The asymptotic performance of interpolated array approach shows similar dependence. The most favorable geometries are unrealizable for q &lt; n - 1 because the array sensors tend to form q + 1 point clusters, where q is the number of sources. An interesting consequence of these facts is that for certain realizable nonuniform linear array (NULA) geometries, interpolated root-MUSIC with virtual uniform linear array (ULA) of the length x1 - nhas better asymptotic performance than conventional root-MUSIC applied to the real ULA of the same length.</t>
  </si>
  <si>
    <t>232-234</t>
  </si>
  <si>
    <t>60005322;60005322</t>
  </si>
  <si>
    <t>7006198109;7005185971</t>
  </si>
  <si>
    <t>Gershman, Alex B.;B√∂hme, Johann F.</t>
  </si>
  <si>
    <t>Gershman A.</t>
  </si>
  <si>
    <t>A note on most favorable array geometries for DOA estimation and array interpolation</t>
  </si>
  <si>
    <t>10.1109/97.611287</t>
  </si>
  <si>
    <t>2-s2.0-0031207323</t>
  </si>
  <si>
    <t>XUGA 20601A96</t>
  </si>
  <si>
    <t>['unit circle', 'shaped beams', 'n elements', 'fed constraint', 'elliott method', '2m roots']</t>
  </si>
  <si>
    <t>The Orchard-Elliott method for the synthesis of linear antenna arrays is extended to enable the synthesis of pure real radiation patterns for nonsymmetrical-shaped beams. It is shown that for an array of N elements, with 2M roots off the unit circle, grouped in pairs, a pure real pattern will be obtained (real fleld synthesis), satisfying the center-fed constraint. ¬© 1997 IEEE.</t>
  </si>
  <si>
    <t>1317-1318</t>
  </si>
  <si>
    <t>60028419;60028419;60028419</t>
  </si>
  <si>
    <t>57217764562;7003519883;7006865572</t>
  </si>
  <si>
    <t>Rodriguez, J. A.;Botha, E.;Ares, F.</t>
  </si>
  <si>
    <t>Extension of the orchard-elliott synthesis method to pure-real nonsymmetrical-shaped patterns</t>
  </si>
  <si>
    <t>S0018926X97056044</t>
  </si>
  <si>
    <t>10.1109/8.611254</t>
  </si>
  <si>
    <t>2-s2.0-0031207520</t>
  </si>
  <si>
    <t>['time dispersion']</t>
  </si>
  <si>
    <t>Antenna proximity factors | Portable radio communication</t>
  </si>
  <si>
    <t>In this letter, we analyze how the presence of the human operator body in the vicinity of the antenna of a portable handset modifies wide-band radio channel characteristics such as the time dispersion of the channel. ¬© 1997 IEEE.</t>
  </si>
  <si>
    <t>1318-1320</t>
  </si>
  <si>
    <t>60026134;60028442;60026134;60028442</t>
  </si>
  <si>
    <t>7401473966;7006838865;7006386299;7201475873</t>
  </si>
  <si>
    <t>S√¢nchez, M. G.;De Haro, L.;Pino, A. G.;Calvo, M.</t>
  </si>
  <si>
    <t>Madrid;Vigo</t>
  </si>
  <si>
    <t>Universidad Polit√©cnica de Madrid;Universidade de Vigo</t>
  </si>
  <si>
    <t>60028442;60026134</t>
  </si>
  <si>
    <t>S√¢nchez M.G.</t>
  </si>
  <si>
    <t>Human operator effect on wide-band radio channel characteristics</t>
  </si>
  <si>
    <t>S0018926X97056056</t>
  </si>
  <si>
    <t>10.1109/8.611255</t>
  </si>
  <si>
    <t>2-s2.0-0031207656</t>
  </si>
  <si>
    <t>['theoretical analyses', 'main problems', 'hologram type', 'conventional reflector', 'compact range', 'collimating element', '119 ghz', '100 ghz']</t>
  </si>
  <si>
    <t>Antenna measurements</t>
  </si>
  <si>
    <t>The application of conventional reflector-type compact antenna test ranges (CATR's) becomes increasingly difficult above 100 GHz. The main problems are the tight surface accuracy requirements for the reflectors and, therefore, the high manufacturing costs. These problems can be overcome by the use of a hologram type of compact range in which a planar hologram structure is used as a collimating element. This idea is described and its performance is studied with theoretical analyses and measurements at 119 GHz. ¬© 1997 IEEE.</t>
  </si>
  <si>
    <t>1270-1276</t>
  </si>
  <si>
    <t>60103653-60033191;60103653-60033191;60103653-60033191;60103653-60033191</t>
  </si>
  <si>
    <t>7006083859;6603392769;7006775375;35809669200</t>
  </si>
  <si>
    <t>Hirvonen, Taavi;Ala-Laurinaho, Juha P.S.;Tuovinen, Jussi;R√§is√§nen, Antti V.</t>
  </si>
  <si>
    <t>Hirvonen T.</t>
  </si>
  <si>
    <t>A compact antenna test range based on a hologram</t>
  </si>
  <si>
    <t>S0018926X9705597X</t>
  </si>
  <si>
    <t>10.1109/8.611247</t>
  </si>
  <si>
    <t>2-s2.0-0031207657</t>
  </si>
  <si>
    <t>Agenzia Spaziale Italiana</t>
  </si>
  <si>
    <t>ASI</t>
  </si>
  <si>
    <t>['whole algorithm', 'unknown function', 'two sets', 'surface profile', 'suitable finite', 'simple way', 'reflector antenna', 'quadratic approach', 'phase cannot', 'obtained starting', 'nonquadratic functional', 'looking directly', 'local minima', 'field intensities', 'feed location', 'experimental data', 'easily achieved', 'dimensional approximation', 'crucial problem', 'critically affected', 'also employed', 'accurately detected']</t>
  </si>
  <si>
    <t>The problem of determining the surface profile of a reflector antenna from only amplitude measurements arises whenever the phase cannot be accurately detected. In this paper, we apply the quadratic approach to solve this "holography" problem by looking directly for the aperture field function from measurements of field intensities at feed location under different defocusing conditions, which can be easily achieved in testing radioastronomical antennas. A suitable finite-dimensional approximation of the unknown function and two sets of square amplitude data are employed. The solution procedure consists of minimizing a nonquadratic functional and can be critically affected by the existence of local minima. This crucial problem is discussed and solved and the procedure is applied to both simulated and experimental data. The reliability of the whole algorithm is confirmed by the fact that results are obtained starting from completely random initial guesses. A viable and simple way to determine the positions of the individual panels making up large radioastronomical antennas is also employed. ¬© 1997 IEEE.</t>
  </si>
  <si>
    <t>1236-1244</t>
  </si>
  <si>
    <t>60026777;60026777</t>
  </si>
  <si>
    <t>56963446400;7005281565</t>
  </si>
  <si>
    <t>Leone, Giovanni;Pierri, Rocco</t>
  </si>
  <si>
    <t>Universit√† degli Studi della Campania Luigi Vanvitelli</t>
  </si>
  <si>
    <t>Leone G.</t>
  </si>
  <si>
    <t>Reflector antenna diagnosis from phaseless data</t>
  </si>
  <si>
    <t>S0018926X97055932</t>
  </si>
  <si>
    <t>10.1109/8.611242</t>
  </si>
  <si>
    <t>2-s2.0-0031207659</t>
  </si>
  <si>
    <t>DAAH04-93-G-0068</t>
  </si>
  <si>
    <t>['wave antenna', 'using fdtd', 'radiation patterns', 'launching discontinuity', 'good agreement', 'fdtd results', 'effects caused', 'difference time', 'dielectric waveguide', 'dielectric leaky', 'band experiment', 'also discussed', 'absorbing mur']</t>
  </si>
  <si>
    <t>Fdtd methods | Leaky-wave antennas</t>
  </si>
  <si>
    <t>The finite-difference time-domain (FDTD) method is used to analyze a dielectric leaky-wave antenna comprising metal strips etched on a rectangular dielectric rod. The radiation patterns of the leaky-wave antenna with and without the transition are determined by using FDTD. The effects of the launching discontinuity on the performance of the antenna are discussed in this paper. In addition, the application of the perfectly matched layer (PML) technique to the three-dimensional (3-D) dielectric waveguide and its performance, compared to those of the Mur's first-order and super-absorbing Mur's firstorder absorbing boundary conditions (ABC's) are described. In addition, the effects caused by perturbation on the wave propagation characteristics of dielectric waveguide are also discussed. The FDTD results are verified by a JV-band experiment and found to be in good agreement. ¬© 1997 IEEE.</t>
  </si>
  <si>
    <t>1294-1301</t>
  </si>
  <si>
    <t>60027550;60009037;60027550</t>
  </si>
  <si>
    <t>57199451249;7004288007;36041035600</t>
  </si>
  <si>
    <t>Chen, Min;Houshmand, Bijan;Itoh, Tatsuo</t>
  </si>
  <si>
    <t>Los Angeles;Pasadena</t>
  </si>
  <si>
    <t>University of California, Los Angeles;Jet Propulsion Laboratory</t>
  </si>
  <si>
    <t>60027550;60009037</t>
  </si>
  <si>
    <t>FDTD analysis of a metal-strip-loaded dielectric leaky-wave antenna</t>
  </si>
  <si>
    <t>S0018926X97056007</t>
  </si>
  <si>
    <t>10.1109/8.611250</t>
  </si>
  <si>
    <t>2-s2.0-0031207802</t>
  </si>
  <si>
    <t>Australian Research Council</t>
  </si>
  <si>
    <t>['substantial reduction', 'signal equalization', 'results show', 'processing structure', 'photodetector arrays', 'noise limitation', 'noise interference', 'new photonic', 'large number', 'interconnects required', 'independent beams', 'grating true', 'chirped bragg', 'beam port', 'beam array', 'band phased', 'array antenna']</t>
  </si>
  <si>
    <t>Bragg gratings | Microwave photonics | Optical fiber interconnects | Phase-array antennas</t>
  </si>
  <si>
    <t>A new photonic-based beaniforrning network that can realize a large number of simultaneous and independent beams in a wide-band phased-array antenna and which eliminates optical beat-noise interference is presented. It is based on discrete and chirped Bragg-grating true-time delay elements and photodetector arrays at each beam port. This achieves a highly parallel delay-processing structure for signal equalization and eliminates the fundamental optical beat-noise limitation to the realization of large array sizes. Results show a very substantial reduction in the number of interconnects required of 98.4% for a 512-beam array and 99.2% for a 1024-beam array in comparison to conventional beamforming techniques. ¬© 1997 IEEE.</t>
  </si>
  <si>
    <t>1513-1518</t>
  </si>
  <si>
    <t>8 PART 2</t>
  </si>
  <si>
    <t>Minasian, Robert A.</t>
  </si>
  <si>
    <t>Faculty of Engineering</t>
  </si>
  <si>
    <t>Minasian R.A.</t>
  </si>
  <si>
    <t>Optical-fiber grating-based beamforming network for microwave phased arrays</t>
  </si>
  <si>
    <t>S0018948097059863</t>
  </si>
  <si>
    <t>10.1109/22.618466</t>
  </si>
  <si>
    <t>2-s2.0-0031207926</t>
  </si>
  <si>
    <t>['simulation indicate', 'shadowing variance', 'sfdr increases', 'results indicate', 'power control', 'pcs systems', 'pcs quality', 'pcs infrastructures', 'paper presents', 'optical device', 'optic links', 'link quality', 'fiber infrastructures', 'distance loss', 'comprehensive wireless', 'accurately quantified', 'accuracy decreases', '3 range', '10 db']</t>
  </si>
  <si>
    <t>Analog fiber | Dynamic range | Fading | Infrastructure | Laser | PCS | Power control | SFDR | Wireless</t>
  </si>
  <si>
    <t>Fiber infrastructures in future personal communication systems (PCS's) must minimize remote antenna size and cost and facilitate system maintenance and upgradeability. These goals can be met by a centralized PCS infrastructure using analog fiber-optic links. It is essential that the relationship between optical-link quality in terms of spurious-free dynamic range (SFDR) and PCS quality of service be accurately quantified so that optical device and other infrastructure design requirements can be determined. This paper presents a comprehensive wireless/optical simulation model which combines wireless system characteristics (such as fading cochannel interference diversity and power control) with the noise and nonlinearities of fiber-optic links. Results of the simulation indicate that representative SFDR requirements for fiber infrastructures in PCS systems are in the 72-83 dB Hz2/3 range. The impact of varying environmental characteristics as quantified by distance loss and shadowing variance is between 7-10 dB. A larger distance loss or lower shadowing variance result in lower SFDR requirements. The required automatic gain control (AGC) accuracy decreases as the SFDR increases. These results indicate that either distributed feedback (DFB) or Fabry-Perot (FP) semiconductor laser diodes can be used in the implementation of PCS infrastructures. ¬© 1997 IEEE.</t>
  </si>
  <si>
    <t>1390-1397</t>
  </si>
  <si>
    <t>Fan, J. C.</t>
  </si>
  <si>
    <t>Fan J.</t>
  </si>
  <si>
    <t>Dynamic range requirements for microcellular personal communication systems using analog fiber-optic links</t>
  </si>
  <si>
    <t>S0018948097060080</t>
  </si>
  <si>
    <t>10.1109/22.618441</t>
  </si>
  <si>
    <t>2-s2.0-0031207993</t>
  </si>
  <si>
    <t>['wavelength domain', 'simultaneously achieved', 'remote site', 'radio path', 'qpsk signal', 'qpsk data', 'performed using', 'novel techniques', 'laser configuration', 'implemented without', 'high power', 'ghz fiber', 'generated using', 'fiber span', 'electroabsorption modulator', 'data path', 'carrier path', 'band 60', '20 channels', '13 km']</t>
  </si>
  <si>
    <t>Antenna feeds | Electro-optic devices | Injectionlocked oscillators | Laser modes millimeter-wave communication | Mobile communication | Optical modulation/demodulation</t>
  </si>
  <si>
    <t>A broad-band 60-GHz fiber-radio transmission experiment has been performed using a combination of novel techniques. The 60-GHz carrier signal was generated using a master/slave (M/S) distributed-feedback (DFB) laser configuration which gave high purity and high power with very wide frequency tunability. The data path was separated in the wavelength domain from the carrier path so that a remote upconversion scheme could be used to provide a fully transparent link. An electroabsorption modulator (EAM) was used as a full duplex transceiver so that bidirectional optical transmission could be implemented without the need for a laser at the remote site. Transmission of a 120-Mb/s QPSK signal over a fiber span of 13 km and a radio path of 5 m was demonstrated. Furthermore the downstream optical signal contained the 120-Mb/s QPSK signal multiplexed with 20 channels of TV. The upstream optical signal consisted of 120-Mb/s QPSK data only. Good error performance was simultaneously achieved in both directions. ¬© 1997 IEEE.</t>
  </si>
  <si>
    <t>1416-1423</t>
  </si>
  <si>
    <t>No√´, L.</t>
  </si>
  <si>
    <t>No√´ L.</t>
  </si>
  <si>
    <t>Novel techniques for high-capacity 60-ghz fiber-radio transmission systems</t>
  </si>
  <si>
    <t>S0018948097059966</t>
  </si>
  <si>
    <t>10.1109/22.618445</t>
  </si>
  <si>
    <t>2-s2.0-0031208018</t>
  </si>
  <si>
    <t>NAG 5-1491</t>
  </si>
  <si>
    <t>['throughput achievable', 'small satellites', 'signaling rate', 'scenario together', 'orbit satellite', 'modulation scheme', 'ground station', 'geostationary satellite', 'data transfer', 'data throughput', 'coding scheme', 'also examined']</t>
  </si>
  <si>
    <t>Capacity | Cutoff rate | Geo satellites | Leo satellites | Time-varying channels | Time-varying codes</t>
  </si>
  <si>
    <t>We examine the design of a communication link involving the data transfer from a small, low-orbit satellite to a ground station, but through a geostationary satellite. The advantage of this approach is that a single ground station, which tracks only the geostationary satellite, may be shared by a multiplicity of small satellites. Our goal is to select certain small satellite parameters - signaling rate, small satellite antenna beamwidth, modulation scheme and coding scheme - which maximize the data throughput in bits/day. Our approach uses orbital simulations of this scenario together with theoretical analysis based on the channel capacity C and cutoff rate R0. The throughput achievable by several practical coding schemes is also examined. ¬© 1997 IEEE.</t>
  </si>
  <si>
    <t>988-996</t>
  </si>
  <si>
    <t>60002162;60002162;60002162</t>
  </si>
  <si>
    <t>57203057444;55238662600;7004522702</t>
  </si>
  <si>
    <t>Ryan, William E.;Han, Li;Quintana, Paul A.</t>
  </si>
  <si>
    <t>Las Cruces</t>
  </si>
  <si>
    <t>New Mexico State University</t>
  </si>
  <si>
    <t>Ryan W.E.</t>
  </si>
  <si>
    <t>Design of a low-orbit-to-geostationary satellite link for maximal throughput</t>
  </si>
  <si>
    <t>S0090677897057346</t>
  </si>
  <si>
    <t>10.1109/26.618315</t>
  </si>
  <si>
    <t>2-s2.0-0031208225</t>
  </si>
  <si>
    <t>['repeated applications', 'often require', 'linear array', 'higher resolution', 'data taken', 'consider updating', 'computational complexity', 'common beamformer', '1 ],']</t>
  </si>
  <si>
    <t>Covariance matrix | Pseudoinverse update</t>
  </si>
  <si>
    <t>A number of algorithms have a higher resolution than the common beamformer. These often require the calculation of a pseudoinverse of a matrix, which makes the algorithm very slow for repeated applications. We consider updating the pseudoinverse for window motions either in time or in space for two-dimensional (2-D) data taken from a linear array. Our results are shown to reduce the computational complexity of the multiple sidelobe canceller (MSC) [1], for example, by more than 75% for a downward window movement (with time) and more than 55% for a sideways window movement (across traces).</t>
  </si>
  <si>
    <t>230-231</t>
  </si>
  <si>
    <t>60003122;60003122;60003122</t>
  </si>
  <si>
    <t>7402368738;7006422176;57198963657</t>
  </si>
  <si>
    <t>Robertson, Gregory;Kirlin, R. Lynn;Lu, W. S.</t>
  </si>
  <si>
    <t>Robertson G.</t>
  </si>
  <si>
    <t>A pseudoinverse update algorithm for rank-reduced covariance matrices from 2-D data</t>
  </si>
  <si>
    <t>10.1109/97.611286</t>
  </si>
  <si>
    <t>2-s2.0-0031208470</t>
  </si>
  <si>
    <t>TIC 96‚Äì0611</t>
  </si>
  <si>
    <t>['wavelength stability', 'true time', 'results show', 'phasedarray antennas', 'optical feeder', 'novel approach', 'dispersive element', '835 ps', '005 nm']</t>
  </si>
  <si>
    <t>Chirped fiber gratings | Optical beamforming | Phased array | True time delay</t>
  </si>
  <si>
    <t>In this paper we present and demonstrate a novel approach of a true time-delay (TTD) optical feeder for phasedarray antennas (PAA's). A continuously variable TTD is achieved by employing tunable lasers and a wide-bandwidth chirped fiber Bragg grating (FBG) as the dispersive element. The results show that a very high resolution performance (equivalent to a 6b microwave phase shifter) is obtained for an L-band PAA employing narrow-tuning bandwidth lasers with a wavelength stability of 0.005 nm and a 4-nm bandwidth chirped grating with a dispersion of 835 ps/nm. ¬© 1997 IEEE.</t>
  </si>
  <si>
    <t>1531-1536</t>
  </si>
  <si>
    <t>Corral, J. L.</t>
  </si>
  <si>
    <t>Continuously variable true time-delay optical feeder for phased-array antenna employing chirped fiber gratings</t>
  </si>
  <si>
    <t>S0018948097059954</t>
  </si>
  <si>
    <t>10.1109/22.618471</t>
  </si>
  <si>
    <t>2-s2.0-0031209010</t>
  </si>
  <si>
    <t>['using log', 'spiral dipole', 'slot antennas', 'pump power', 'photomixers consist', 'output radiation', 'maximum optical', 'low frequencies', 'higher frequencies', 'heterodyne detectors', 'heterodyne converter', 'gaas layer', 'frequency power', 'frequencies offset', 'epitaxial ltg', 'electron bolometers', 'coupled photomixers', 'based receivers', '77 k', '5 thz']</t>
  </si>
  <si>
    <t>Gallium materials/devices | Hf transmitters | Optical demodulation | Photoconducting devices photomixers photomixing</t>
  </si>
  <si>
    <t>Low-temperature-grown (LTG) GaAs is used as an optical-heterodyne converter or photomixer to generate coherent continuous-wave (CW) output radiation at frequencies up to 5 THz. Photomixers consist of an epitaxial LTG-GaAs layer that is patterned with interdigitated metal electrodes on which two laser beams are focused with their frequencies offset by the desired difference frequency. The difference-frequency power is coupled out of the photomixer using coplanar waveguide at low frequencies and using log-spiral dipole and slot antennas at higher frequencies. Difference-frequency power is limited by the maximum optical-pump power that the photomixer can withstand. Fiber-coupled photomixers were operated at 77 K-a configuration in which they exhibited improved heatsinking and therefore withstood higher pump power. Progress has been made in the development of photomixer local oscillators (LO's) for space-based receivers that use superconducting tunnel junctions and hot-electron bolometers as heterodyne detectors. ¬© 1997 IEEE.</t>
  </si>
  <si>
    <t>1301-1309</t>
  </si>
  <si>
    <t>Verghese, S.</t>
  </si>
  <si>
    <t>Highly tunable fiber-coupled photomixers with coherent terahertz output power</t>
  </si>
  <si>
    <t>S0018948097060006</t>
  </si>
  <si>
    <t>10.1109/22.618428</t>
  </si>
  <si>
    <t>2-s2.0-0031209033</t>
  </si>
  <si>
    <t>['viterbi algorithm', 'va detectors', 'threshold detector', 'receiver robustness', 'psk signals', 'efficient implementation', 'earlier work', 'channel conditions', 'bitor rate']</t>
  </si>
  <si>
    <t>Equalization | Indoor systems | Viterbi algorithm</t>
  </si>
  <si>
    <t>In earlier work, the performance (in terms of data eye closure) of a threshold detector in 2- and 4-PSK modulation schemes has been analyzed for wireless indoor systems using narrowbeam antennas. Here, assuming the channel is known, a very efficient implementation of the Viterbi algorithm (VA) is included in the receiver, and a bitor rate (BER) criterion is used to evaluate the receiver robustness to channel conditions. In contrast to the earlier work, it is seen that 4-PSK signals with VA detectors are indeed more robust than 2-PSK signals to channel conditions. ¬© 1997 IEEE.</t>
  </si>
  <si>
    <t>900-902</t>
  </si>
  <si>
    <t>7004661393;6603722063</t>
  </si>
  <si>
    <t>Benvenuto, N.;Salloum, A.</t>
  </si>
  <si>
    <t>Multitrellis viterbi algorithm for indoor systems using narrowbeam antennas</t>
  </si>
  <si>
    <t>S0090677897057280</t>
  </si>
  <si>
    <t>10.1109/26.618286</t>
  </si>
  <si>
    <t>2-s2.0-0031209194</t>
  </si>
  <si>
    <t>['tmmn denotes', 'tm62 mode', 'tm33 mode', 'thus suggesting', 'surface waves', 'slot antennas', 'several types', 'plasma measured', 'plasma depending', 'planar high', 'optical emission', 'mode transition', 'microwave field', 'magnetic field', 'langmuir probe', 'interface uniform', 'discharge conditions', 'constant power', 'axial direction', '9 cm', '500 w', '44 pa', '400 w', '22 cm']</t>
  </si>
  <si>
    <t>A planar high-density (‚àº1012 cm-3) plasma, 22 cm in diameter and 9 cm in length, is produced by a 2.45 GHz microwave radiation of 500 W through small slot antennas in argon at 20-350 Pa without a magnetic field. Several types of azimuthal and radial standing wave mode pattern are observed in the optical emission from the plasma depending on the discharge conditions. The microwave field in the plasma measured by a movable antenna decreases exponentially in the axial direction from the quartz wall adjacent to the slot antennas, thus suggesting the propagation of surface waves in the r, Œ∏ directions. The measured azimuthal microwave field distributions and the optical emission pattern clearly show a mode transition of the standing surface wave from a TM33 mode to a TM62 mode when the pressure is decreased from 140 to 44 Pa at the constant power of 400 W. Here TMmn denotes the transverse magnetic mode of azimuthal mode number m and radial mode number n. A wave dispersion analysis based on a one-interface uniform-density model predicts these modes in a range of electron densities corresponding to those measured by a Langmuir probe in the experiment. ¬© 1997 IOP Publishing Ltd.</t>
  </si>
  <si>
    <t>60000264;60000264;60000264;60018735;60000264</t>
  </si>
  <si>
    <t>7006519215;56298473100;6701807338;7005173972;7101665824</t>
  </si>
  <si>
    <t>Nagatsu, M.;Xu, G.;Ghanashev, I.;Kanoh, M.;Sugai, H.</t>
  </si>
  <si>
    <t>Toshiba Corporation;Nagoya University</t>
  </si>
  <si>
    <t>60018735;60000264</t>
  </si>
  <si>
    <t>Nagatsu M.</t>
  </si>
  <si>
    <t>Mode identification of surface waves excited in a planar microwave discharge</t>
  </si>
  <si>
    <t>S096302529785044X</t>
  </si>
  <si>
    <t>10.1088/0963-0252/6/3/020</t>
  </si>
  <si>
    <t>2-s2.0-0031209286</t>
  </si>
  <si>
    <t>['polarized wave', 'original problem', 'one concerning', 'internal problem', 'inhomogeneous material', 'faces loaded', 'corrugated horns', 'analyze horns']</t>
  </si>
  <si>
    <t>The scattering of a TE-polarized wave from a perfectly conducting wedge with one of its faces loaded with cavities is considered. The proposed formulation reduces the analysis of the original problem to two simpler configurations: one concerning the geometry of the corrugation (internal problem) and one concerning the geometry of the perfectly conducting wedge (external problem). By resorting to a suitable numerical technique, it is possible to account for arbitrarily shaped corrugations filled with inhomogeneous material. Numerical results demonstrate the validity of the technique and its applicability to general shape corrugations. The analysis of corrugated horns is considered and results are shown that demonstrate the flexibility of the procedure to analyze horns with arbitrarily shaped corrugations. ¬© 1997 IEEE.</t>
  </si>
  <si>
    <t>1265-1269</t>
  </si>
  <si>
    <t>60021859;60025778;60021859;60025778</t>
  </si>
  <si>
    <t>7003591033;7004441098;7102464308;7102576479</t>
  </si>
  <si>
    <t>Borgioli, Andrea;Coccioli, Roberto;Pelosi, Giuseppe;Volakis, John L.</t>
  </si>
  <si>
    <t>United States;Italy</t>
  </si>
  <si>
    <t>Ann Arbor;Florence</t>
  </si>
  <si>
    <t>University of Michigan, Ann Arbor;Universit√† degli Studi di Firenze</t>
  </si>
  <si>
    <t>60025778;60021859</t>
  </si>
  <si>
    <t>Borgioli A.</t>
  </si>
  <si>
    <t>Electromagnetic scattering from a corrugated wedge</t>
  </si>
  <si>
    <t>S0018926X97056093</t>
  </si>
  <si>
    <t>10.1109/8.611246</t>
  </si>
  <si>
    <t>2-s2.0-0031209334</t>
  </si>
  <si>
    <t>['selectable making', 'rf frequencies', 'fabricated using', 'describe wavelength', 'beamforming control', 'array antenna', 'addressed 3', '48 ghz', '3 ghz', '09 ps']</t>
  </si>
  <si>
    <t>Fiber bragg grating | Microwave photonics | Phased-array antennas</t>
  </si>
  <si>
    <t>We describe wavelength-addressed 3- and 6-b fiberoptic true time-delay (TTD) lines implemented using ultravioletinscribed Bragg gratings. The 3-b delay line is fabricated from an array of discrete- and uniform-period Bragg gratings and a minimum time delay of 9.09 ps is selectable making it suitable for phased-array antenna (PAA) beamforming control at RF frequencies of up to about 3 GHz with 10¬∞ phase resolution. The 6-b delay line is fabricated using a chirped-period Bragg grating and is suitable for beamforming control at RF frequencies of up to ~ 48 GHz with 10¬∞ phase resolution. ¬© 1997 IEEE.</t>
  </si>
  <si>
    <t>1527-1530</t>
  </si>
  <si>
    <t>Molony, Anna</t>
  </si>
  <si>
    <t>Aston University</t>
  </si>
  <si>
    <t>Molony A.</t>
  </si>
  <si>
    <t>Fiber bragg-grating true time-delay systems: discrete-grating array 3-b delay lines and chirped-grating 6-b delay lines</t>
  </si>
  <si>
    <t>S0018948097060110</t>
  </si>
  <si>
    <t>10.1109/22.618470</t>
  </si>
  <si>
    <t>2-s2.0-0031209968</t>
  </si>
  <si>
    <t>Naval Surface Warfare Center</t>
  </si>
  <si>
    <t>N00178-96-C-003</t>
  </si>
  <si>
    <t>NSWC</t>
  </si>
  <si>
    <t>['transmitting modes', 'steering millimeter', 'semiconductor plate', 'scanning capability', 'reconfigurable pipg', 'output aperture', 'new antenna', 'either vertical', 'dramatic decrease', 'demonstrated ).', 'compact device', 'circular polarization', 'array counterparts', '8 db']</t>
  </si>
  <si>
    <t>Optical control | Scanning mmw antennas</t>
  </si>
  <si>
    <t>Beam-steering millimeter-wave (MMW) antennas using photo-induced plasma gratings (PIPG's) offer a dramatic decrease in fabrication cost compared to their phased-array counterparts. We describe a totally new antenna design which has been tested in both the receiving and the transmitting modes. The new antenna is a compact device with a reconfigurable PIPG in a semiconductor plate as an output aperture. This aperture is fed by a tunnel-coupling dielectric waveguide. We demonstrated the antenna's scanning capability over a ¬±15¬∞ range. The new design permits the antenna to operate at various polarizations including linear polarization (either vertical or horizontal) and circular polarization (an ellipticity of only 0.8 dB has been demonstrated). ¬© 1997 IEEE.</t>
  </si>
  <si>
    <t>1497-1500</t>
  </si>
  <si>
    <t>Manasson, V. A.</t>
  </si>
  <si>
    <t>Torrance</t>
  </si>
  <si>
    <t>Waveband, Inc.</t>
  </si>
  <si>
    <t>Manasson V.</t>
  </si>
  <si>
    <t>An Optically Controlled MMW Beam-Steering Antenna Based on a Novel Architecture</t>
  </si>
  <si>
    <t>S001894809706016X</t>
  </si>
  <si>
    <t>10.1109/22.618462</t>
  </si>
  <si>
    <t>2-s2.0-0031209969</t>
  </si>
  <si>
    <t>['satellite communications', 'pulsewidth pulse', 'paper presents', 'optical transmitter', 'novel fabry', 'noise degradation', 'laser respectively', 'laser diode', 'integrated e', 'frequency reference', 'distribution network', 'band phased', 'array antennas', 'also evaluated', '3 ghz']</t>
  </si>
  <si>
    <t>Communication satellites | Laser diodes | Modelocking | Optical beamforming networks | Pulse coherency</t>
  </si>
  <si>
    <t>This paper presents the performance of a novel Fabry-Perot (FP) laser diode. The laser is composed of a long gain section and a multiple-quantum-well (MQW) electroabsorption (E/A) modulator. The laser diode is mode locked using the integrated E/A modulator at 19.3 GHz. Sub-carrier data signals at S-band and a frequency reference of 19.3 GHz are simultaneously distributed using modulation of the gain and E/A sections of the laser respectively. This paper also compares performance of this laser diode at various operation points in terms of pulsewidth pulse-to-pulse coherency phase-noise degradation of the frequency reference and two-tone spuriousfree dynamic range. Implication of this laser's performance as an optical transmitter is also evaluated for a fiber-optic (FO) distribution network in Ka-band phased-array antennas for satellite communications. ¬© 1997 IEEE.</t>
  </si>
  <si>
    <t>1288-1295</t>
  </si>
  <si>
    <t>Daryoush, Afshin S.</t>
  </si>
  <si>
    <t>Daryoush A.</t>
  </si>
  <si>
    <t>Dynamic response of long optical-cavity laser diode for ka-band communication satellites</t>
  </si>
  <si>
    <t>S0018948097060237</t>
  </si>
  <si>
    <t>10.1109/22.618426</t>
  </si>
  <si>
    <t>2-s2.0-0031209971</t>
  </si>
  <si>
    <t>N00014-91-J-1234</t>
  </si>
  <si>
    <t>['spectrum signal', 'sequence spread', 'initial acquisition', 'employed prior', 'antenna diversity']</t>
  </si>
  <si>
    <t>Antenna diversity | Coarse acquisition | Spread spectrum</t>
  </si>
  <si>
    <t>The use of antenna diversity is investigated for improving the parallel acquisition performance of a direct-sequence spread-spectrum signal in both flat and frequency-selective fading channels. Noncoherent combining techniques are analyzed because coherent diversity techniques, such as maximal ratio combining, cannot be employed prior to initial acquisition. ¬© 1997 IEEE.</t>
  </si>
  <si>
    <t>903-905</t>
  </si>
  <si>
    <t>60121655;60121655</t>
  </si>
  <si>
    <t>7003904090;7102877674</t>
  </si>
  <si>
    <t>Rick, Roland R.;Milstein, Laurence B.</t>
  </si>
  <si>
    <t>The Electrical and Computer Engineering Department</t>
  </si>
  <si>
    <t>Rick R.</t>
  </si>
  <si>
    <t>Parallel acquisition of spread-spectrum signals with antenna diversity</t>
  </si>
  <si>
    <t>S0090677897057322</t>
  </si>
  <si>
    <t>10.1109/26.618287</t>
  </si>
  <si>
    <t>2-s2.0-0031210160</t>
  </si>
  <si>
    <t>DAAH04-94-G-0087</t>
  </si>
  <si>
    <t>['probe antennas', 'orthogonal monopole', 'based amplifiers', 'band operation', '5 db', '4 db']</t>
  </si>
  <si>
    <t>Active antennas | Active arrays | FDTD methods | Gaussian beams | Lens-focused measurements | Microstrip | Millimeter-wave amplifiers | Millimeter-wave power dividers/combiners | Probe antennas | Quasi-optical amplifiers</t>
  </si>
  <si>
    <t>A quasi-optical amplifier array designed for Ku-band operation is presented. Orthogonal monopole-probe antennas are used to couple the power into, and out from, an array of microstrip-based amplifiers. The array has a gain of 5.4 dB at 16.4 GHz using packaged high electron mobility transistors (HEMT's). This gain is 3.5 dB below the maximum stable gain for this device at this frequency. ¬© 1997 IEEE.</t>
  </si>
  <si>
    <t>1204-1207</t>
  </si>
  <si>
    <t>8 PART 1</t>
  </si>
  <si>
    <t>60000251-60007776-60005304;60000251-60007776</t>
  </si>
  <si>
    <t>6602653919;7202478023</t>
  </si>
  <si>
    <t>Kolias, Nicholas J.;Compton, Richard C.</t>
  </si>
  <si>
    <t>Ithaca;Waltham;New York</t>
  </si>
  <si>
    <t>Cornell University;Raytheon;IEEE</t>
  </si>
  <si>
    <t>60007776;60005304;60000251</t>
  </si>
  <si>
    <t>Kolias N.</t>
  </si>
  <si>
    <t>A monopole-probe-based quasi-optical amplifier array</t>
  </si>
  <si>
    <t>S0018948097053751</t>
  </si>
  <si>
    <t>10.1109/22.618408</t>
  </si>
  <si>
    <t>2-s2.0-0031210203</t>
  </si>
  <si>
    <t>['used antennas', 'technical data', 'table 2', 'table 1', 'short comparison', 'radar types', 'radar system', 'page 17', 'next page', 'main properties', 'information supplied', 'experimental results', 'doppler evaluation', 'described using', 'car radars', 'car companies', 'block diagram', 'automotive radars', 'automotive radar', 'angle position']</t>
  </si>
  <si>
    <t>The history of development of automotive radars in different countries since 1972 is described using a short comparison of radar types in Table 2, on page 17. Table 1, next page, indicates the planning of introduction of car radars in the near future according to information supplied by car companies. The purpose of the development of an automotive radar in our university was to test different signal processing procedures both for distance and Doppler evaluation and also for a digital wavefront reconstruction to find out the angle position of a target. The block diagram, the main properties, the technical data of the radar system, the used antennas and the multiplexing of two transmitting antennas is described in the following. Finally some experimental results have been obtained under real traffic conditions.</t>
  </si>
  <si>
    <t>15-19</t>
  </si>
  <si>
    <t>60019722;60019722</t>
  </si>
  <si>
    <t>7004676434;7003783890</t>
  </si>
  <si>
    <t>Groll, H. P.;Detlefsen, J.</t>
  </si>
  <si>
    <t>Munich</t>
  </si>
  <si>
    <t>Technical University of Munich</t>
  </si>
  <si>
    <t>Groll H.</t>
  </si>
  <si>
    <t>History of automotive anticollision radars and final experimental results of a MM-wave car radar developed by the Technical University of Munich</t>
  </si>
  <si>
    <t>10.1109/62.609525</t>
  </si>
  <si>
    <t>2-s2.0-0031210546</t>
  </si>
  <si>
    <t>['distributed optical', 'correct phase', 'compact free', 'array antennas', 'amplitude values']</t>
  </si>
  <si>
    <t>Amplitudemodulated spatial-light modulators | Iq vector modulation | Phased-array antennas | Phased-based beamforming | Photonic beamforming</t>
  </si>
  <si>
    <t>A compact free-space/solid optics photonic controller for phased-array antennas/transducers is introduced which uses the principle of in-phase (I) and quadrature (Q) vector modulation via two-dimensional (2-D) spatial light modulators (SLM's). The SLM's are used as distributed optical-gain control devices to implement the vector modulation operation required to generate the desired RF signals with the correct phase and amplitude values. ¬© 1997 IEEE.</t>
  </si>
  <si>
    <t>1508-1512</t>
  </si>
  <si>
    <t>Riza, Nabeel A.</t>
  </si>
  <si>
    <t>Analog vector modulation-based widely tunable frequency photonic beamformer for phased-array antennas</t>
  </si>
  <si>
    <t>S0018948097059899</t>
  </si>
  <si>
    <t>10.1109/22.618465</t>
  </si>
  <si>
    <t>2-s2.0-0031210656</t>
  </si>
  <si>
    <t>['stage forms', 'phase noise', 'phase control', 'optical source', 'microwave phase', 'array antennas']</t>
  </si>
  <si>
    <t>Microwave antennas | Microwave communication | Optical delay lines | Optical signal processing | Signal-processing antennas</t>
  </si>
  <si>
    <t>Switchable optical time-delay (TD) networks are used for the phase control of array antennas and for microwave signal processing because of their wide instantaneous bandwidth. In each optical switch crosstalk signals are generated and its influence on the microwave phase accuracy is investigated. Due to the crosstalk of the switches each stage forms an interferometer which converts the phase noise of the optical source into amplitude noise whose influence on the microwave phase is analyzed. ¬© 1997 IEEE.</t>
  </si>
  <si>
    <t>1519-1521</t>
  </si>
  <si>
    <t>Sch√§ffer, Christian</t>
  </si>
  <si>
    <t>Lubeck</t>
  </si>
  <si>
    <t>Fachhochschule L√ºbeck</t>
  </si>
  <si>
    <t>Sch√§ffer C.</t>
  </si>
  <si>
    <t>Influence of crosstalk in switchable optical time-delay networks for microwave array antennas</t>
  </si>
  <si>
    <t>S0018948097060031</t>
  </si>
  <si>
    <t>10.1109/22.618467</t>
  </si>
  <si>
    <t>2-s2.0-0031210717</t>
  </si>
  <si>
    <t>['reciprocity theorem', 'radiation efficiency', 'phased arrays', 'numerical results', 'mutual coupling', 'method solutions', 'input impedance', 'infinite array', 'finite array', 'dielectric slab', 'analytical results']</t>
  </si>
  <si>
    <t>In this paper, analytical results for finite-phased arrays of aperture-coupled stacked microstrip antennas are presented. In order to evaluate the characteristics of aperturecoupled microstrip antennas in a finite array and derive the moment-method solutions for the unknown current distributions on the patches and slots, the reciprocity theorem and the spectral domain Green's functions for a dielectric slab are used. Various sized arrays are considered and compared with solutions for an infinite array. Numerical results are presented to illustrate the input impedance, mutual coupling, active reflection coefficient versus scan angle, radiation efficiency, and active-element gain patterns. ¬© 1997 IEEE.</t>
  </si>
  <si>
    <t>1201-1204</t>
  </si>
  <si>
    <t>60094206;60094206;60094206;60094206;60094206</t>
  </si>
  <si>
    <t>36822200300;17137210300;7402662429;7402126718;7601569193</t>
  </si>
  <si>
    <t>Jang, Byung Jun;Lee, Yong Kook;Moon, Ho Won;Yoon, Young Joong;Park, Han Kyu</t>
  </si>
  <si>
    <t>LG Electronics, Korea</t>
  </si>
  <si>
    <t>Jang B.</t>
  </si>
  <si>
    <t>Analysis of finite-phased arrays of aperture-coupled stacked microstrip antennas</t>
  </si>
  <si>
    <t>S0018926X97055890</t>
  </si>
  <si>
    <t>10.1109/8.611237</t>
  </si>
  <si>
    <t>2-s2.0-0031211236</t>
  </si>
  <si>
    <t>['structure parameters', 'numerically solving', 'method presented', 'high gain', 'geometrical parameters', 'equations governing', 'desired gain', 'design results', 'design curves', 'cassegrain antenna', 'antenna geometry']</t>
  </si>
  <si>
    <t>High power microwaves | Offset Cassegrain antenna</t>
  </si>
  <si>
    <t>Starting from the geometrical parameters of the feed and the desired gain of the Cassegrain antenna, a method to determine the design starting parameters for a high-power offset Cassegrain antennas is discussed. Then, by numerically solving the equations governing the antenna geometry, a set of design curves are obtained, with which the structure of the antenna can be determined by trading off the electrical and geometrical system requirements. The method presented can be applied to both high or low gain feeds for constructing a high power microwave electromagnetic environment, where complex electronic systems can be tested. For linearly polarized feeds with high gain, the structure parameters of antenna with zero cross polarization can be obtained, which is equal to the design results of Brown and Prata.</t>
  </si>
  <si>
    <t>255-260</t>
  </si>
  <si>
    <t>Zhefu, Zhong</t>
  </si>
  <si>
    <t>Zhefu Z.</t>
  </si>
  <si>
    <t>A method for designing high-power offset Cassegrain antennas</t>
  </si>
  <si>
    <t>S0018937597062959</t>
  </si>
  <si>
    <t>10.1109/15.618055</t>
  </si>
  <si>
    <t>2-s2.0-0031211606</t>
  </si>
  <si>
    <t>04-94-G-0137</t>
  </si>
  <si>
    <t>['wave antennas', 'used underneath', 'relatively wideband', 'microstrip antenna', 'micromachined 635', 'including 3', 'high dielectric', 'gaas substrates', 'etc .)', 'constant substrate', 'constant environment', 'avoidance systems', '3 ).', '0 ghz']</t>
  </si>
  <si>
    <t>Micromachining techniques using closely spaced holes have been used underneath a microstrip antenna on a high dielectric-constant substrate (er -10.8) to synthesize a localized low dielectric-constant environment (er -2.3). The measured radiation efficiency of a microstrip antenna on a micromachined 635-jum thick er -10.8 Duroid 6010 substrate increased from 48 ¬±3% to 73 ¬±3% at 12.8-13.0 GHz (including 3.3-cm feed line losses). We believe that this technique can be applied to millimeter-wave antennas (microstrip, dipoles, slots, etc.) on silicon and GaAs substrates to result in relatively wideband (3-6%) monolithic microwave integrated circuits (MMIC) active antenna modules for phased-arrays and collision-avoidance systems. ¬© 1997 IEEE.</t>
  </si>
  <si>
    <t>1310-1314</t>
  </si>
  <si>
    <t>56228926500;6602336914;7006384021</t>
  </si>
  <si>
    <t>Gauthier, Gildas P.;Courtay, Alan;Rebeiz, Gabriel M.</t>
  </si>
  <si>
    <t>Gauthier G.P.</t>
  </si>
  <si>
    <t>Microstrip antennas on synthesized low dielectric-constant substrates</t>
  </si>
  <si>
    <t>S0018926X97056020</t>
  </si>
  <si>
    <t>10.1109/8.611252</t>
  </si>
  <si>
    <t>2-s2.0-0031211736</t>
  </si>
  <si>
    <t>['wave solutions', 'theoretical results', 'resonant frequency', 'quality factor', 'good agreement', 'cylindrical substrate', 'curvature effects', 'also shown']</t>
  </si>
  <si>
    <t>Microstrip antenna | Microstrip resonator</t>
  </si>
  <si>
    <t>Full-wave solutions for the complex-resonant frequency of a triangular microstrip patch printed on a cylindrical substrate are presented. Curvature effects on the complex-resonant frequency, as well as the quality factor of the cylindrical-triangular microstrip structure, are analyzed. Measured resonant frequencies are also shown for comparison. Good agreement between measured and theoretical results is obtained. ¬© 1997 IEEE.</t>
  </si>
  <si>
    <t>1270-1272</t>
  </si>
  <si>
    <t>Resonance in a cylindrical-triangular microstrip structure</t>
  </si>
  <si>
    <t>S0018948097053878</t>
  </si>
  <si>
    <t>10.1109/22.618420</t>
  </si>
  <si>
    <t>2-s2.0-0031212042</t>
  </si>
  <si>
    <t>['several parameters', 'outdoor environments', 'measured results', 'head parameters', 'handheld terminals', 'gain measurements', 'field measurement', 'correlation factor', 'box size', 'average gain', 'antenna gain', 'also measured']</t>
  </si>
  <si>
    <t>Antenna-gain measurement | Handheld terminal | Human carrier | RFM method</t>
  </si>
  <si>
    <t>This paper presents antenna-gain measurements of handheld terminals by the random-field measurement (RFM) method. We have measured the relative antenna gain for different-sized terminal boxes in indoor and outdoor environments to show a gain decrease caused by the box size. The measured results are explained by calculating the average gain of the horizontal radiation pattern. To find the effect by a different human carrier, we also measured the antenna gain for several parameters, such as weight, height, head parameters, and the antenna protruding length from the head. We present a correlation factor of the antenna-gain deviation due to different human carriers. ¬© 1997 IEEE.</t>
  </si>
  <si>
    <t>537-543</t>
  </si>
  <si>
    <t>60018279;60021178;100711847</t>
  </si>
  <si>
    <t>7402657600;6506161665;7006871079</t>
  </si>
  <si>
    <t>Aral, Hiroyuki;Igi, Nobuhiro;Hanaoka, Hirokazu</t>
  </si>
  <si>
    <t>Tokyo;Yokohama;Tokyo</t>
  </si>
  <si>
    <t>Sony Corporation;Yokohama National University;DDI Corp</t>
  </si>
  <si>
    <t>60021178;60018279;100711847</t>
  </si>
  <si>
    <t>Aral H.</t>
  </si>
  <si>
    <t>Antenna-gain measurement of handheld terminals at 900 MHz</t>
  </si>
  <si>
    <t>S001895459704615X</t>
  </si>
  <si>
    <t>10.1109/25.618178</t>
  </si>
  <si>
    <t>2-s2.0-0031212054</t>
  </si>
  <si>
    <t>NCHC-86-03-011</t>
  </si>
  <si>
    <t>['z orientation', 'yoriented loop', 'x -,', 'wire radius', 'wire antenna', 'top pocket', 'ten times', 'strongly influenced', 'smallest efficiency', 'scale human', 'rf design', 'reduced due', 'real part', 'radiation efficiencies', 'radiation characteristics', 'paper presents', 'paging communications', 'paging applications', 'pager antenna', 'oriented loops', 'numerical simulation', 'numerical results', 'mhz band', 'loop antenna', 'internal antenna', 'input impedance', 'impedance increases', 'human body', 'highest body', 'frequencies considered', 'free space', 'feeding structure', 'coupling problem', 'close proximity', 'chest position', 'budget consideration', 'body model', 'body absorption', 'belt level', 'antenna patterns', 'antenna ohmic', 'antenna efficiencies', 'antenna characteristics', 'absorption rate', 'absorption effect', '7 cm', '61 %).', '400 mhz', '39 %)', '3 %,', '280 mhz', '170 cm', '072 cm']</t>
  </si>
  <si>
    <t>CIE/MoM | Human-body effect | Loop antenna | Magnetic frill | Radio pager</t>
  </si>
  <si>
    <t>In radio-paging communications, the internal antenna of a pager is usually a loop antenna, and its radiation characteristics are strongly influenced by the human body due to the very close proximity. This paper presents an extensive computer simulation of the influence of the human body on a circular-loop-wire antenna to simulate the pager antenna. The coupled integral equations (CIE's) approach and the method of moments (MoM) are employed for numerical simulation of this antenna-body-coupling problem. The magnetic frill source is used to model the antenna-feeding structure. A realistically shaped full-scale human-body model (1.7 m) is constructed. A small loop antenna (loop radius b -1.7 cm and wire radius a -0.072 cm) of x, y, and z orientation, in free space or proximate to the human body at the top pocket (chest position) or belt level (waist position), is considered. Numerical results of the antenna characteristics and body absorption at 152, 280, and 400 MHz are presented and discussed for radio-paging applications. At 280 MHz, it is found that the real part of the impedance increases about five to ten times, and, hence, the antenna ohmic-loss radiation efficiency increases from 17% (in free space) to 69%, 44.3%, and 58.4%, respectively, for the x-, y-, and z-oriented loops when proximate to the body. The radiation efficiencies, reduced by the body-absorption effect, are 5%, 61%, and 25% for the x-, y-, and z-oriented loops, respectively. For the yoriented loop, which is found to be the most suitable for paging communications, the antenna efficiencies are almost the same at the two location levels for all frequencies considered. Compared with the body-absorption radiation efficiency (reduced due to the antenna-radiated power absorbed by the body) at the 280(68%-70%) and 400-MHz band (65%-67%), the 152-MHz band has the smallest efficiency (39%) and the highest body-absorption rate (61%). This may be due to the reason that it is close to the second resonant frequency of a human body (170 cm) in free space. The computed antenna characteristics influenced by the human body, including the input impedance, antenna patterns, cross-polarization field level, radiation efficiencies, and maximum and minimum power gains, are important for the antenna/RF design and the link-budget consideration of the radio-paging communication systems. ¬© 1997 IEEE.</t>
  </si>
  <si>
    <t>544-559</t>
  </si>
  <si>
    <t>7103110709;37162609900</t>
  </si>
  <si>
    <t>Chuang, Huey Ru;Chen, Wen Tzu</t>
  </si>
  <si>
    <t>Computer simulation of the human-body effects on a circular-loop-wire antenna for radio-pager communications at 152, 280, and 400 MHz</t>
  </si>
  <si>
    <t>S0018954597063810</t>
  </si>
  <si>
    <t>10.1109/25.618179</t>
  </si>
  <si>
    <t>2-s2.0-0031212108</t>
  </si>
  <si>
    <t>['stacked configurations', 'results indicate', 'mutual coupling', 'flared angles', 'dielectric constant', 'antenna separations', 'antenna lengths']</t>
  </si>
  <si>
    <t>Antenna proximity factors | Slot antennas</t>
  </si>
  <si>
    <t>Mutual coupling between two linearly tapered slot antennas arranged in coplanar as well as stacked configurations has been measured. Results indicate that mutual coupling level generally decreases with antenna separations and varies with dielectric constant, flared angles, and antenna lengths. ¬©1997 IEEE.</t>
  </si>
  <si>
    <t>1320-1322</t>
  </si>
  <si>
    <t>60026717;60026717</t>
  </si>
  <si>
    <t>24522606100;7202166511</t>
  </si>
  <si>
    <t>Lee, R. Q.;Simons, R. N.</t>
  </si>
  <si>
    <t>Lee R.</t>
  </si>
  <si>
    <t>Measured mutual coupling between linearly tapered slot antennas</t>
  </si>
  <si>
    <t>S0018926X97056068</t>
  </si>
  <si>
    <t>10.1109/8.611256</t>
  </si>
  <si>
    <t>2-s2.0-0031212141</t>
  </si>
  <si>
    <t>['two algorithms', 'sufficiently large', 'standard music', 'relatively low', 'recursive suppression', 'power variations', 'moderate noise', 'mild sensitivity', 'correlated noise', 'antenna array']</t>
  </si>
  <si>
    <t>Algorithms | Antenna arrays | Noise</t>
  </si>
  <si>
    <t>The effects of nonuniform noise power and correlated noise in an antenna array on the performance of the recursive suppression, standard MUSIC, and reduced MUSIC superresolution algorithms are examined. It is shown that the speeds of resolution of all the algorithms are slowed, but their steady-state errors exhibit only a mild sensitivity to moderate noise-power variations if the signal-to-noise (SNR) is sufficiently large. The sensitivity of the standard MUSIC algorithm to correlated noise is shown to be much more than that of the other two algorithms, which can tolerate considerable correlated noise even when the SNR is relatively low. ¬©1997 IEEE.</t>
  </si>
  <si>
    <t>1214-1218</t>
  </si>
  <si>
    <t>60033252;100343433</t>
  </si>
  <si>
    <t>7003426663;6602724688</t>
  </si>
  <si>
    <t>Torrieri, Don;Bakhru, Kesh</t>
  </si>
  <si>
    <t>Adelphi;San Diego</t>
  </si>
  <si>
    <t>U.S. Army Research Laboratory;Cubic Defense Systems</t>
  </si>
  <si>
    <t>Torrieri D.</t>
  </si>
  <si>
    <t>The effects of nonuniform and correlated noise on superresolution algorithms</t>
  </si>
  <si>
    <t>S0018926X97056081</t>
  </si>
  <si>
    <t>10.1109/8.611239</t>
  </si>
  <si>
    <t>2-s2.0-0031212212</t>
  </si>
  <si>
    <t>W8477-1-TB10/01-SV</t>
  </si>
  <si>
    <t>['surface zoning', 'surface reflections', 'surface matching', 'reflection loss', 'ray tubes', 'ray divergence', 'radiation patterns', 'radiation characteristics', 'outer surfaces', 'new method', 'measured results', 'lens design', 'kirchhofps integral', 'feed illumination', 'contiguous set', 'arbitrary inner', 'aperture fields', 'antenna gain', 'analysis method']</t>
  </si>
  <si>
    <t>Lens antennas</t>
  </si>
  <si>
    <t>A new method of analysis for the radiation characteristics of dielectric lens antennas with arbitrary inner and outer surfaces is presented. The analysis is based on representing the feed illumination by a contiguous set of ray tubes and including the effects of surface reflections and ray divergence. Radiation patterns and the antenna gain are then computed by evaluating the closed-form expressions developed for the KirchhofPs integral of the aperture fields. The validity of the analysis method has been demonstrated by comparing the computations with measured results of two different spherical lenses and a shaped lens configurations. The analysis method presented takes into account some of the practical aspects associated with lens design such as surface zoning to reduce the mass and surface matching to minimize the reflection loss. ¬© 1997 IEEE.</t>
  </si>
  <si>
    <t>1277-1285</t>
  </si>
  <si>
    <t>101437757-60013506;60030821-106795705;101437757-60013506;60030821-106795705</t>
  </si>
  <si>
    <t>7406035405;7404179299;35194406800;7401974024</t>
  </si>
  <si>
    <t>Chan, Kwok Kee;Rao, Sudhakar K.;Morin, Gilbert A.;Tang, Minh Q.</t>
  </si>
  <si>
    <t>United States;Canada;Canada;United States</t>
  </si>
  <si>
    <t>Chicago;Edmonton;Ottawa;</t>
  </si>
  <si>
    <t>Boeing Corporation;L-3 Communications SPAR Aerospace Limited;Defence Res. Telecommun. Est.;Chan Technologies Inc.</t>
  </si>
  <si>
    <t>60030821;60013506;106795705;101437757</t>
  </si>
  <si>
    <t>Triangular ray-tube analysis of dielectric lens antennas</t>
  </si>
  <si>
    <t>S0018926X97055981</t>
  </si>
  <si>
    <t>10.1109/8.611248</t>
  </si>
  <si>
    <t>2-s2.0-0031212639</t>
  </si>
  <si>
    <t>Naval Medical Research Unit and Molecular Bioeffects, Wright-Patterson Air Force Base</t>
  </si>
  <si>
    <t>['rf signal', 'proper phasing', 'optical output', 'modulated onto', 'light channels', 'intermediate frequency', 'arrival applications']</t>
  </si>
  <si>
    <t>Direction of arrival estimation | Heterodyning | Integrated optoelectronics | Optical fibers | Optical phase-locked loops</t>
  </si>
  <si>
    <t>We report fully functional fiber-optic and integratedoptic Butler matrices each with four input channels and four output channels. Simulated antenna excitation is modulated onto the four input optical channels to predict these devices' performance when employed with circular antenna arrays for angle-of-arrival applications. Heterodyne detection techniques are employed to recover the RF signal at the optical output of the matrices and for conversion to an intermediate frequency. An RF pilot tone is injected at the input to calibrate the system and an active feedback loop maintains the proper phasing of the light channels. ¬© 1997 IEEE.</t>
  </si>
  <si>
    <t>1501-1507</t>
  </si>
  <si>
    <t>Gallo, John T.</t>
  </si>
  <si>
    <t>Harris Corporation</t>
  </si>
  <si>
    <t>Gallo J.T.</t>
  </si>
  <si>
    <t>Experimental demonstration of optical guided-wave butler matrices</t>
  </si>
  <si>
    <t>S0018948097060146</t>
  </si>
  <si>
    <t>10.1109/22.618463</t>
  </si>
  <si>
    <t>2-s2.0-0031212668</t>
  </si>
  <si>
    <t>['using traveling', 'telephone distribution', 'suitably time', 'single output', 'primarily limited', 'photodetector optical', 'paper presents', 'optic links', 'operating bandwidth', 'insertion loss', 'embedded within', 'element twda', 'discrete photodiodes', 'db improvement', 'antenna remoting', 'analog fiber', '18 ghz', '12 ghz']</t>
  </si>
  <si>
    <t>-i-n photodiodes | Analog fiber-optic links | Artificial transmission line p | High illumination | Microwave | Optical-power handling | Photodetector photodetector array | Traveling wave</t>
  </si>
  <si>
    <t>Analog fiber-optic links are used in a variety of microwave applications including cable-TV and cellular-telephone distribution as well as antenna remoting. The RF insertion loss and output power obtainable from externally modulated links is primarily limited by photodetector optical-power handling capabilities. Using traveling-wave concepts similar to those in microwave distributed amplifiers we demonstrate the principle of traveling-wave detector arrays (TWDA's) in which discrete photodiodes are embedded within an artificial transmission line. By feeding these detectors with suitably time-delayed optical signals this arrangement coherently combines multiple RF photocurrents into a single output. This paper presents the theory construction details and results of two- and four-element TWDA's operating up into the Ku-band. We demonstrate a two-element TWDA yielding a 6-dB improvement in insertion loss and RF output power with 12 GHz of operating bandwidth and a four-element TWDA yielding 12-dB improvement up to 18 GHz. ¬© 1997 IEEE.</t>
  </si>
  <si>
    <t>1342-1350</t>
  </si>
  <si>
    <t>Goldsmith, Charles L.</t>
  </si>
  <si>
    <t>Goldsmith C.L.</t>
  </si>
  <si>
    <t>Principles and performance of traveling-wave photodetector arrays</t>
  </si>
  <si>
    <t>S0018948097060092</t>
  </si>
  <si>
    <t>10.1109/22.618433</t>
  </si>
  <si>
    <t>2-s2.0-0031212735</t>
  </si>
  <si>
    <t>['sweep includes', 'subsequent recursion', 'recursive method', 'recursive fashion', 'paper presents', 'p sections', 'fewer sweeps', 'electrically large', 'electrical size', 'body increases', 'accurately compute']</t>
  </si>
  <si>
    <t>Electromagnetic radiation | Electromagnetic scattering | Moment methods</t>
  </si>
  <si>
    <t>This paper presents the multiple sweep method of moments (MSMM) analysis of the radiation and scattering from electrically large, smooth, perfectly conducting bodies. The MSMM is an O(N2) recursive method for solving the large matrix equations, which arise in the method of moments (MM) analysis of electrically large bodies. In the MSMM, the body is split into P sections and the currents on these sections are found in a recursive fashion. The first MSMM recursion or sweep includes the dominant scattering mechanisms and each subsequent recursion or sweep includes higher order mechanisms. Thus, as the electrical size of the body increases, fewer and fewer sweeps are required to accurately compute the current on the body. ¬© 1997 IEEE.</t>
  </si>
  <si>
    <t>1252-1258</t>
  </si>
  <si>
    <t>8355886600;7203066664</t>
  </si>
  <si>
    <t>Torrungrueng, Danai;Newman, Edward H.</t>
  </si>
  <si>
    <t>Torrungrueng D.</t>
  </si>
  <si>
    <t>The multiple sweep method of moments (MSMM) analysis of electrically large bodies</t>
  </si>
  <si>
    <t>S0018926X97055968</t>
  </si>
  <si>
    <t>10.1109/8.611244</t>
  </si>
  <si>
    <t>2-s2.0-0031213038</t>
  </si>
  <si>
    <t>['signals originating', 'receiving element', 'optic beamformer', 'microwave domain', 'instantaneous bandwidth', 'free steering', 'coherent combining', 'azimuth scan', 'array performance', 'anechoic chamber', '120 ¬∞']</t>
  </si>
  <si>
    <t>Antenna array feeds | Optical control | Optical fiber delay lines | Phased arrays</t>
  </si>
  <si>
    <t>We report the development and demonstration of the first true time-delay (TTD) fiber-optic beamformer for ultrawideband antenna receive operation. The beamformer is based on a dispersive-fiber prism configuration that properly time delays the signals originating at each receiving element for coherent combining in the microwave domain. The time-steered receive antenna consists of eight spiral elements arranged into a onedimensional (1-D) sparsely populated array. The receive array shows an instantaneous bandwidth of 6-18 GHz limited by the available matched microwave amplifiers. The array performance is measured in an anechoic chamber and exhibits unprecedented squint-free steering over an azimuth scan of 120¬∞ over the full frequency range.</t>
  </si>
  <si>
    <t>1522-1526</t>
  </si>
  <si>
    <t>Frankel, Michael Y.</t>
  </si>
  <si>
    <t>Frankel M.</t>
  </si>
  <si>
    <t>Fiber-optic true time steering of an ultrawide-band receive array</t>
  </si>
  <si>
    <t>S0018948097059851</t>
  </si>
  <si>
    <t>10.1109/22.618469</t>
  </si>
  <si>
    <t>2-s2.0-0031213113</t>
  </si>
  <si>
    <t>['revised model', 'result validates', 'expected performance', 'analytical model', '5 db']</t>
  </si>
  <si>
    <t>Modeling | Noise | Nonlinearities | Optical fiber communication | Optical modulation/demodulation | Optoelectronic devices</t>
  </si>
  <si>
    <t>We present a 6-12-GHz external modulation fiberoptic link with a spurious-free dynamic range (SFDR) of 65.5 dB-MHz2/3. This result validates an analytical model for external modulation link performance which we have updated from a previously published model to account for the use of a travelingwave external modulator. Using the revised model we compare the expected performance of two different link architectures. ¬© 1997 IEEE.</t>
  </si>
  <si>
    <t>1436-1442</t>
  </si>
  <si>
    <t>Ackerman, Edward I.</t>
  </si>
  <si>
    <t>Ackerman E.</t>
  </si>
  <si>
    <t>Broad-band external modulation fiber-optic links for antenna-remoting applications</t>
  </si>
  <si>
    <t>S0018948097060067</t>
  </si>
  <si>
    <t>10.1109/22.618449</t>
  </si>
  <si>
    <t>2-s2.0-0031213114</t>
  </si>
  <si>
    <t>['thus measured', 'steering properties', 'steered 23', 'radiation beam', 'bias field', '2874 oe', '10 ghz']</t>
  </si>
  <si>
    <t>We have fabricated a linear dipole array antenna containing four elements fed by ferrite phase shifters. The steering properties of the array have been thus measured. At f = 10 GHz, the radiation beam was steered 23 when the bias field was changed from 2775 to 2874 Oe. ¬© 1997 IEEE.</t>
  </si>
  <si>
    <t>3436-3438</t>
  </si>
  <si>
    <t>60028628;60028628-60099443-60076904</t>
  </si>
  <si>
    <t>57199010443;7005835162</t>
  </si>
  <si>
    <t>Sun, L.;Vittoria, C.</t>
  </si>
  <si>
    <t>Lakewood;Wright-Patterson AFB;Boston</t>
  </si>
  <si>
    <t>Electro Magnetic Applications, Inc.;Air Force Materiel Command;Northeastern University</t>
  </si>
  <si>
    <t>60099443;60076904;60028628</t>
  </si>
  <si>
    <t>Sun L.</t>
  </si>
  <si>
    <t>Steerable linear dipole antenna using ferrite phase shifters</t>
  </si>
  <si>
    <t>10.1109/20.617969</t>
  </si>
  <si>
    <t>2-s2.0-0031224526</t>
  </si>
  <si>
    <t>['waveguided radiation', 'waveguide leads', 'wave range', 'substantial narrowing', 'radiative attenuation', 'possible antenna', 'diffracted radiation', 'conducting strips', 'angular spread']</t>
  </si>
  <si>
    <t>Diffraction grating antennas | Leaky-wave antennas</t>
  </si>
  <si>
    <t>A dielectric planar waveguide periodically loaded with conducting strips is considered as a possible antenna for millimeter-wave range. We show that separating the grating from the waveguide leads to the reduction of radiative attenuation of the waveguided radiation and substantial narrowing of the angular spread of the diffracted radiation. ¬© 1997 IEEE.</t>
  </si>
  <si>
    <t>1637-1640</t>
  </si>
  <si>
    <t>60012519;60012519</t>
  </si>
  <si>
    <t>54679392800;6701700151</t>
  </si>
  <si>
    <t>Blcdowski, Aleksander;Zakowicz, W. Ladyslaw</t>
  </si>
  <si>
    <t>Poland</t>
  </si>
  <si>
    <t>Warsaw</t>
  </si>
  <si>
    <t>Institute of Physics of the Polish Academy of Sciences</t>
  </si>
  <si>
    <t>Blcdowski A.</t>
  </si>
  <si>
    <t>Radiation Properties of a Planar Dielectric Waveguide Loaded with Conducting-Strip Diffraction Grating</t>
  </si>
  <si>
    <t>S0018948097060699</t>
  </si>
  <si>
    <t>10.1109/22.622934</t>
  </si>
  <si>
    <t>2-s2.0-0031232972</t>
  </si>
  <si>
    <t>['successful excitation', 'observing regions', 'filling pressure', 'dispersion relation', 'axial profiles']</t>
  </si>
  <si>
    <t>Excited wave characteristics in a large-diameter plasma produced by a planar spiral antenna are investigated. Radial and axial profiles of the excited magnetic fields, a dispersion relation and observing regions of the excited magnetic fields are studied, for variations in the filling pressure and the static axial magnetic field; successful excitation of the propagating helicon wave with an azimuthal mode number of m = 0 is shown. ¬© 1997 IOP Publishing Ltd.</t>
  </si>
  <si>
    <t>1479-1486</t>
  </si>
  <si>
    <t>7102082310;36836462400;7006572241;55572797300</t>
  </si>
  <si>
    <t>Shinohara, Shunjiro;Takechi, Seiji;Kaneda, Naoya;Kawai, Yoshinobu</t>
  </si>
  <si>
    <t>Shinohara S.</t>
  </si>
  <si>
    <t>Helicon m = 0 mode characteristics in large-diameter plasma produced by a planar spiral antenna</t>
  </si>
  <si>
    <t>S0741333597820969</t>
  </si>
  <si>
    <t>10.1088/0741-3335/39/9/013</t>
  </si>
  <si>
    <t>2-s2.0-0031233250</t>
  </si>
  <si>
    <t>['various feeds', 'rigorous theory', 'resonant frequency', 'resonant frequencies', 'radiation q', 'pol levels', 'order theory', 'mode degeneracy', 'microstrip slot', 'microstrip line', 'lowest order', 'experimental investigations']</t>
  </si>
  <si>
    <t>In this paper, theoretical and experimental investigations on rectangular dielectric resonator antennas having a value of Œµr in the range of 10 to 100 are reported. The resonant frequencies and radiation Q-factors of lowest order "magneticdipole" modes are derived on the basis of a first-order theory. The accuracy of the model in predicting the resonant frequency and radiation Q-factor is verified by comparison with results of a rigorous theory and experiments. Various feeds for the antennas such as probe, microstrip slot, and microstrip line are described. Measured radiation patterns are shown and the effect of feed and mode degeneracy on the cross-pol levels is discussed. ¬© 1997 Canadian Crown Copyright.</t>
  </si>
  <si>
    <t>1348-1356</t>
  </si>
  <si>
    <t>60013738;60018714</t>
  </si>
  <si>
    <t>57208023373;57027512900</t>
  </si>
  <si>
    <t>Mongia, Rajesh Kumar;Ittipiboon, Apisak</t>
  </si>
  <si>
    <t>Ottawa;Cambridge</t>
  </si>
  <si>
    <t>Communications Research Centre;COM DEV Ltd</t>
  </si>
  <si>
    <t>60018714;60013738</t>
  </si>
  <si>
    <t>Mongia R.</t>
  </si>
  <si>
    <t>Theoretical and experimental investigations on rectangular dielectric resonator antennas</t>
  </si>
  <si>
    <t>S0018926X97062650</t>
  </si>
  <si>
    <t>10.1109/8.623123</t>
  </si>
  <si>
    <t>2-s2.0-0031233748</t>
  </si>
  <si>
    <t>['system parameters', 'subspace analysis', 'recent publications', 'perfect recovery', 'original subspace', 'multiple inputs', 'inputs less', 'general case', 'free environment', 'efficient second', 'contribution addresses', 'blind identification', 'based approach', 'also available']</t>
  </si>
  <si>
    <t>Blind identification | Convolutive channel | Sources FIR channel</t>
  </si>
  <si>
    <t>This contribution addresses the blind identification of multiple inputs multiple outputs linear finite impulse response systems having a number of inputs less than the number of outputs. Recent publications have proposed an efficient second-order identification method in the single input multiple output case. Based on a subspace analysis, it allows a perfect recovery of the system parameters and excitation in a noise-free environment. Some extensions to the case of multiple inputs are also available under quite specific conditions. In this paper we indicate how to extend the original subspace-based approach to the general case. ¬© 1997 IEEE.</t>
  </si>
  <si>
    <t>813-820</t>
  </si>
  <si>
    <t>IEEE Transactions on Circuits and Systems I: Fundamental Theory and Applications</t>
  </si>
  <si>
    <t>60029116;60012164</t>
  </si>
  <si>
    <t>55950880800;7006533184</t>
  </si>
  <si>
    <t>Gorokhov, Alexei;Loubaton, Philippe</t>
  </si>
  <si>
    <t>Palaiseau;Marne-la-Vallee</t>
  </si>
  <si>
    <t>T√©l√©com Paris;Universit√© de Marne-La-Vall√©e</t>
  </si>
  <si>
    <t>Gorokhov A.</t>
  </si>
  <si>
    <t>Subspace-based techniques for blind separation of convolutive mixtures with temporally correlated sources</t>
  </si>
  <si>
    <t>S1057712297067226</t>
  </si>
  <si>
    <t>10.1109/81.622984</t>
  </si>
  <si>
    <t>2-s2.0-0031234388</t>
  </si>
  <si>
    <t>['whole function', 'fpga ).', 'basic function', '10 dsps']</t>
  </si>
  <si>
    <t>Adaptive antenna | ASIC | CMA | DBF antenna | DSP</t>
  </si>
  <si>
    <t>We demonstrate the feasibility of a Digital Beam Forming (DBF) and Beam Space CMA (Constant Modulus Algorithm) adaptive array antenna by implementing a Digital Signal Processor (DSP) in ASICs using field programmable gate arrays (FPGA). This DBF can synthesize 16 multi beams and eliminate interference signals by CMA adaptive processing. The whole function was implemented in 10 DSPs about 127,000 equivalent gates. Simple experimental results have confirmed the basic function of the DBF and BSCMA adaptive array antenna.</t>
  </si>
  <si>
    <t>31-40</t>
  </si>
  <si>
    <t>60101699-101500502;109541926-100344271;60107885;60001271</t>
  </si>
  <si>
    <t>7004961264;7103322075;7406725075;7102618328</t>
  </si>
  <si>
    <t>Chiba, Isamu;Miura, Ryu;Tanaka, Toyohisa;Karasawa, Yoshio</t>
  </si>
  <si>
    <t>Tokyo;Tokyo;Kyoto;Koganei;Kyoto;Tenri</t>
  </si>
  <si>
    <t>HP Japan Inc.;Mitsubishi Electric Corporation;Advanced Telecommunications Research Institute International (ATR);Communication Research Laboratory;Electric Corp;MPT</t>
  </si>
  <si>
    <t>60107885;60101699;60001271;109541926;101500502;100344271</t>
  </si>
  <si>
    <t>Chiba I.</t>
  </si>
  <si>
    <t>Digital beam forming (DBF) antenna system for mobile communications</t>
  </si>
  <si>
    <t>10.1109/62.618017</t>
  </si>
  <si>
    <t>2-s2.0-0031235235</t>
  </si>
  <si>
    <t>Stichting voor de Technische Wetenschappen</t>
  </si>
  <si>
    <t>STW</t>
  </si>
  <si>
    <t>['upstream direction', 'startup procedure', 'realize access', 'initialization protocol', 'initialization process', 'determine timing', '3 ].']</t>
  </si>
  <si>
    <t>An initialization protocol for a CDMA based communications system for Hybrid Fiber Coax (HFC) Central Antenna Television (CATV) networks is described. HFC CATV networks are shared medium access networks, employing the coaxial bus principle between an optical network terminator and the subscriber. To realize access in the upstream direction, a multiple access scheme based on CDMA can be used [1,2,3]. However, before access is granted in the upstream direction, each cable modem connected to the coaxial bus needs to undergo a startup procedure at activation of the modem to determine timing and physical layer related settings. The initialization mechanism described here performs time synchronization of a modem and the determination of the power the modem should use. Next to these physical layer settings, also the identity of a modem is determined during the initialization process. ¬© 1997 IEEE.</t>
  </si>
  <si>
    <t>60000251-60021378;60000251-60032882;60021378-60026638</t>
  </si>
  <si>
    <t>7004629599;7005578709;6507768246</t>
  </si>
  <si>
    <t>Wolters, R. P.C.;Khoe, G. D.;Otterbach, Juergen</t>
  </si>
  <si>
    <t>Netherlands;Finland;United States;United States</t>
  </si>
  <si>
    <t>Eindhoven;Espoo;Murray;New York</t>
  </si>
  <si>
    <t>Technische Universiteit Eindhoven;Nokia Corporation;Nokia Bell Labs;IEEE</t>
  </si>
  <si>
    <t>60032882;60026638;60021378;60000251</t>
  </si>
  <si>
    <t>Wolters R.</t>
  </si>
  <si>
    <t>An initialisation protocol for a CDMA based communications scheme for HFC CATV networks</t>
  </si>
  <si>
    <t>S0018931697079122</t>
  </si>
  <si>
    <t>10.1109/11.632953</t>
  </si>
  <si>
    <t>2-s2.0-0031235570</t>
  </si>
  <si>
    <t>Centre National de la Recherche Scientifique</t>
  </si>
  <si>
    <t>CNRS</t>
  </si>
  <si>
    <t>['theoretical design', 'scale model', 'predicted values', 'overall performance', 'measured results', 'ghz band', 'excellent agreement']</t>
  </si>
  <si>
    <t>Multireflector antennas</t>
  </si>
  <si>
    <t>A new compact dual-reflector Gregorian feed system has been designed to improve the overall performance of the Nan√ßay radio telescope. To operate continuously within the 1.0-3.5-GHz band, two wideband compact corrugated horns are used. The new feed system improves the sensitivity of the telescope by a factor between 2 and 3. To verify the theoretical design, a l/20th-scale model was constructed and tested. The measured results were in excellent agreement with the predicted values. ¬© 1997 IEEE.</t>
  </si>
  <si>
    <t>1366-1373</t>
  </si>
  <si>
    <t>60030000;60028160;60028160</t>
  </si>
  <si>
    <t>7003474509;7201399131;6507490194</t>
  </si>
  <si>
    <t>Granet, Christophe;James, Graeme L.;Pezzani, Jacques</t>
  </si>
  <si>
    <t>Australia;France</t>
  </si>
  <si>
    <t>Sydney;Nancay</t>
  </si>
  <si>
    <t>CSIRO Industrial Physics;USN - Station de Radioastronomie de Nancay</t>
  </si>
  <si>
    <t>60030000;60028160</t>
  </si>
  <si>
    <t>Granet C.</t>
  </si>
  <si>
    <t>A new dual-reflector feed system for the nan√ßay radio telescope</t>
  </si>
  <si>
    <t>S0018926X97062789</t>
  </si>
  <si>
    <t>10.1109/8.623125</t>
  </si>
  <si>
    <t>2-s2.0-0031235584</t>
  </si>
  <si>
    <t>F49620-95-1-0367</t>
  </si>
  <si>
    <t>['using cyclostationarity', 'respective spectra', 'rake finger', 'quantities needed', 'proposed algorithm', 'presented demonstrating', 'optimum beamformer', 'optimally combine', 'optimal beamformer', 'far scenario', 'exact time', 'either periodic', 'desired user', 'correlator based', 'bit period', 'asymptotically provides']</t>
  </si>
  <si>
    <t>Array processing | CDMA | RAKE</t>
  </si>
  <si>
    <t>An algorithm is presented for estimating the quantities needed by a space-time RAKE receiver for DS-CDMA to achieve maximum SINR for the desired user. The proposed algorithm, which is applicable in the case of either periodic or aperiodic spreading codes, asymptotically provides the exact time of arrival of each dominant multipath within a bit period, and the optimum beamformer for extracting each multipath. This is achieved by using cyclostationarity to exploit the difference between the respective spectra of the desired user and each multiuser access interferer at the output of the correlator based on the desired user's code. Estimates of the relative time delay and optimal beamformer for each RAKE finger are used by the space-time RAKE receiver to optimally combine the desired user's multipath while simultaneously canceling strong multiuser access interference. Simulations of a near-far scenario are presented demonstrating the efficacy of the proposed algorithm.</t>
  </si>
  <si>
    <t>262-265</t>
  </si>
  <si>
    <t>60028442;60009254;60021918</t>
  </si>
  <si>
    <t>7401901320;55664103800;36100496000</t>
  </si>
  <si>
    <t>Ramos, Javier;Zoltowski, Michael D.;Liu, Hui</t>
  </si>
  <si>
    <t>Spain;United States;United States</t>
  </si>
  <si>
    <t>Madrid;Charlottesville;West Lafayette</t>
  </si>
  <si>
    <t>Universidad Polit√©cnica de Madrid;University of Virginia;Purdue University</t>
  </si>
  <si>
    <t>60028442;60021918;60009254</t>
  </si>
  <si>
    <t>Ramos J.</t>
  </si>
  <si>
    <t>A low-complexity space-time RAKE receiver for DS-CDMA communications</t>
  </si>
  <si>
    <t>10.1109/97.623044</t>
  </si>
  <si>
    <t>2-s2.0-0031235716</t>
  </si>
  <si>
    <t>F49620-95-C-0045</t>
  </si>
  <si>
    <t>['unknown full', 'simple model', 'separating hyperplane', 'noisy data', 'key step', 'hyperplanes defining', 'geometric interpretation', 'elements drawn', 'complex quadrature', 'amplitude modulation']</t>
  </si>
  <si>
    <t>Blind equalization | Hyperplane | SDMA | Smart antennas | Source separation</t>
  </si>
  <si>
    <t>The relationship between the blind digital co-channel communications problem and the problem of finding a separating hyperplane in IRd is explored. A simple model for the blind digital co-channel communications problem is X = AS, where X is a known IRd√óN matrix, A is an unknown full-rank IRd√ód matrix, and S is an unknown full-rank d √ó N matrix with elements drawn from a multiple-amplitude-shift-keying (M-ASK) alphabet S. An algorithm with proof is given that solves for A and S up to a simple matrix factor. The algorithm is extended to the complex quadrature-amplitude modulation (QAM) alphabet. The key step in this algorithm involves finding a separating hyperplane parallel to one of the hyperplanes defining the received signal vectors. The geometric interpretation of this relationship is discussed. Examples with noisy data are presented and refinements to the algorithm are discussed. ¬© 1997 IEEE.</t>
  </si>
  <si>
    <t>1536-1548</t>
  </si>
  <si>
    <t>A hyperplane-based algorithm for the digital co-channel communications problem</t>
  </si>
  <si>
    <t>S0018944897057131</t>
  </si>
  <si>
    <t>10.1109/18.623150</t>
  </si>
  <si>
    <t>2-s2.0-0031235997</t>
  </si>
  <si>
    <t>['physical aperture', 'particular horn', 'main object', 'k .,', 'given frequency', 'first principles', 'first finding', 'finite length', 'field pattern', 'edge waves', 'directional pattern', 'diffraction theory', 'aperture plane', '4 db']</t>
  </si>
  <si>
    <t>A method is presented for calculating the directional pattern of a pyramidal horn antenna from first principles by diffraction theory. It is based on first finding the field in the plane of the aperture, both inside and outside the physical aperture. This is then transformed to find the far-field pattern. The field in the aperture plane is made up of contributions from the primary wave reaching the aperture, whose phase surfaces are assumed to be spherical, edge waves propagating in the plane of the apertures and edge waves that have been reflected from inside the horn. The edge waves traveling in the plane of the aperture are the main object of interest. They propagate not only perpendicular to the edges, but also diffract parallel to the edges because of the finite length of the edges. By taking this fully into account, a directional pattern over the whole forward hemisphere can be predicted for any given frequency from the geometry of the horn. For a particular horn the principal cuts agree with direct measurements made at the National Physical Laboratory, Teddington, U.K., to within about 4 dB (except near deep minima). ¬© 1997 IEEE.</t>
  </si>
  <si>
    <t>1357-1365</t>
  </si>
  <si>
    <t>Nye, J. F.</t>
  </si>
  <si>
    <t>Nye J.</t>
  </si>
  <si>
    <t>Theory of the directional pattern of a pyramidal horn</t>
  </si>
  <si>
    <t>S0018926X97062662</t>
  </si>
  <si>
    <t>10.1109/8.623124</t>
  </si>
  <si>
    <t>2-s2.0-0031236127</t>
  </si>
  <si>
    <t>['simultaneously demodulating', 'simulations presented', 'significant improvement', 'segmental k', 'parameter estimation', 'means algorithm', 'iterative procedure', 'hidden markov', 'given estimates', 'demodulated signals', 'current multiple', 'based technique', 'antenna array']</t>
  </si>
  <si>
    <t>Array processing | Convolutional coding/decoding | Space/time adaptive processing</t>
  </si>
  <si>
    <t>In this paper, a method for simultaneously demodulating and estimating the parameters of a number of convolutional coded communication signals incident on an antenna array is presented. The method has the potential to increase the throughput of current multiple-access channel systems, e.g., satellite communications and digital mobile cellular phones, by using an antenna array. The contribution of this paper is the use of sequence estimation combined jointly with parameter estimation in array processing problems. A hidden Markov-model-based technique, the segmental k-means algorithm, is applied to the problem. This algorithm is an iterative procedure with two steps per iteration. The first step involves computing the most likely state sequence for each of the signals (demodulating the signals) given estimates of the signals' parameters. The second step refines the parameter estimates using the signals' mostly likely state sequence estimates. In the simulations presented, it is shown that a significant improvement in the accuracy of the demodulated signals and in the estimation of the signals' angle of arrivals is obtained when compared to a deterministic maximum likelihood estimation method. ¬© 1997 IEEE.</t>
  </si>
  <si>
    <t>1144-1153</t>
  </si>
  <si>
    <t>6602943482;35561247100</t>
  </si>
  <si>
    <t>Brushe, Gary D.;White, Langford B.</t>
  </si>
  <si>
    <t>Brushe G.</t>
  </si>
  <si>
    <t>Spatial filtering of superimposed convolutional coded signals</t>
  </si>
  <si>
    <t>S0090677897066282</t>
  </si>
  <si>
    <t>10.1109/26.623080</t>
  </si>
  <si>
    <t>2-s2.0-0031236360</t>
  </si>
  <si>
    <t>N00014-96-C-0264</t>
  </si>
  <si>
    <t>['uda antennas', 'several yagi', 'published results', 'optimization techniques', 'optimization process', 'moments code', 'genetic algorithm', 'element spacing']</t>
  </si>
  <si>
    <t>A method of using genetic algorithms to optimize the element spacing and lengths of Yagi-Uda antennas is presented. A method of moments code, NEC2, performs the task of evaluating each of the antenna designs generated by the genetic algorithm (GA) during the optimization process. To illustrate the capabilities of the method, the length and spacing of several Yagi-Uda antennas are optimized for various performance characteristics. The results are compared to published results from other optimization techniques and to well-designed equally spaced arrays. ¬© 1997 IEEE.</t>
  </si>
  <si>
    <t>1386-1392</t>
  </si>
  <si>
    <t>60008724;60008724</t>
  </si>
  <si>
    <t>7404231822;7004721662</t>
  </si>
  <si>
    <t>Jones, Eric A.;Joines, William T.</t>
  </si>
  <si>
    <t>Duke University</t>
  </si>
  <si>
    <t>Jones E.</t>
  </si>
  <si>
    <t>Design of yagi-uda antennas using genetic algorithms</t>
  </si>
  <si>
    <t>S0018926X97062704</t>
  </si>
  <si>
    <t>10.1109/8.623128</t>
  </si>
  <si>
    <t>2-s2.0-0031236671</t>
  </si>
  <si>
    <t>['weights including', 'training period', 'total amount', 'time basis', 'signal intercoherency', 'preconditionally achieved', 'paper presents', 'new technique', 'new set', 'mobile communications', 'main advantages', 'interfering signals', 'interference ratio', 'every snapshot', 'eventually increases', 'entire procedure', 'desired signal', 'communication channel', 'chip correlator', 'alternative method', 'adaptive beaniforrning', '12n ).']</t>
  </si>
  <si>
    <t>Adaptive arrays | Mobile communication</t>
  </si>
  <si>
    <t>This paper presents an alternative method of adaptive beaniforrning. Under an assumption that the desired signal is large enough compared to each of interfering signals at the receiver, which is preconditionally achieved in code division multiple access (CDMA) mobile communications by the chip correlator, the proposed technique provides for a suboptimal beam pattern that increases the signal-to-noise/signal-to-interference ratio (SNR/SIR) and eventually increases the capacity of the communication channel. The main advantages of the new technique are: 1) the procedure requires neither reference signals nor a training period; 2) the signal intercoherency does not affect the performance or complexity of the entire procedure; and 3) the total amount of computation is tremendously reduced compared to that of most conventional beamforming techniques such that the suboptimal beam pattern is produced at every snapshot on a real-time basis. In fact, the total computational load for generating a new set of weights including the update of an Nby-N autocovariance matrix is O(3N2 + 12N). It can further be reduced down to O(11N) by approximating the matrix with the instantaneous signal vector. ¬© 1997 IEEE.</t>
  </si>
  <si>
    <t>1393-1404</t>
  </si>
  <si>
    <t>60024872;60024872</t>
  </si>
  <si>
    <t>55413900600;7103133406</t>
  </si>
  <si>
    <t>Choi, Seungwon;Yun, Dongun</t>
  </si>
  <si>
    <t>Hanyang University</t>
  </si>
  <si>
    <t>Design of an adaptive antenna array for tracking the source of maximum power and its application to CDMA mobile communications</t>
  </si>
  <si>
    <t>S0018926X97062716</t>
  </si>
  <si>
    <t>10.1109/8.623129</t>
  </si>
  <si>
    <t>2-s2.0-0031237813</t>
  </si>
  <si>
    <t>['ultimately take', 'several arrays', 'rigorous element', 'results obtained', 'perturbation approach', 'multilayered cases', 'multilayer case', 'linitc size', 'including nonperiodic', 'complex excitation', 'byeplement method', 'arrays presenting', 'antenna characteristics', 'adjacent cells']</t>
  </si>
  <si>
    <t>Array analysis | Microstrip arrays</t>
  </si>
  <si>
    <t>A simple but efficient analysis tool for printed antenna arrays is presented. It relies on a perturbation approach, which starts from the infinite periodic array assumption to ultimately take into account effects due to linitc size, nonperiodicity, double-periodicity in a multilayer case, complex excitation with nonlinear phase shifts between elements, etc. The technique is an approximation, as are most of the array analysis tools. However, it gives good results for arrays presenting a relatively smooth variation of the antenna characteristics between adjacent cells. Results will be shown for several arrays, including nonperiodic and multilayered cases. The method is validated through the comparison with results obtained by a rigorous element-byePlement method. ¬© 1997 IEEE.</t>
  </si>
  <si>
    <t>1411-1418</t>
  </si>
  <si>
    <t>60028186;60028186</t>
  </si>
  <si>
    <t>6701417455;7006665188</t>
  </si>
  <si>
    <t>Skrivervik, Anja K.;Mosig, Juan R.</t>
  </si>
  <si>
    <t>Skrivervik A.</t>
  </si>
  <si>
    <t>Analysis of printed array antennas</t>
  </si>
  <si>
    <t>S0018926X9706273X</t>
  </si>
  <si>
    <t>10.1109/8.623131</t>
  </si>
  <si>
    <t>2-s2.0-0031238167</t>
  </si>
  <si>
    <t>['strongly modify', 'small population', 'numerical calculations', 'light impurities', 'impurity concentration', 'hydrogen plasma', 'explored via', 'also shown', '1996 nucl']</t>
  </si>
  <si>
    <t>The effects of light impurities, such as helium, boron or carbon, on Alfv√©n wave dispersion characteristics are studied. It is shown that a small population of light impurities in a hydrogen plasma can strongly modify the dispersion of the global Alfv√©n waves and the Alfv√©n continuum. It is also shown that the global Alfv√©n wave enters into the Alfv√©n continuum. Under these conditions, it is possible to heat the plasma core efficiently by using an antenna with a narrow toroidal wavelength spectrum. The relationship between impurity concentration and the efficiency of Alfv√©n wave heating is demonstrated. This effect is explored via a series of numerical calculations of the heating conditions specifically for the Tokamak Chauffage Alfv√©n wave heating experiment in Brazil (TCA/BR) (1996 Nucl. Fusion 30 503). ¬© 1997 IOP Publishing Ltd.</t>
  </si>
  <si>
    <t>1551-1560</t>
  </si>
  <si>
    <t>60008088;60008088;60008088;60008088</t>
  </si>
  <si>
    <t>7005987181;22947030900;7005378904;6508036610</t>
  </si>
  <si>
    <t>Elfimov, A. G.;Galv√£o, R. M.O.;Nascimento, I. C.;Amarante-Segundo, G.</t>
  </si>
  <si>
    <t>Elfimov A.</t>
  </si>
  <si>
    <t>Modification of Alfv√©n wave dispersion and Alfv√©n wave heating in multiple ion species tokamak plasmas</t>
  </si>
  <si>
    <t>S0741333597841395</t>
  </si>
  <si>
    <t>10.1088/0741-3335/39/10/005</t>
  </si>
  <si>
    <t>2-s2.0-0031246011</t>
  </si>
  <si>
    <t>['wave solution', 'slab modes', 'single antennas', 'shorted antennas', 'scattering experiments', 'rectangular waveguide', 'prove useful', 'oscillator circuits', 'numerical models', 'network models', 'loaded waveguide', 'integral equation', 'experimental study', 'excellent agreement', 'device power', 'combining circuits', '5 ghz']</t>
  </si>
  <si>
    <t>Antennas | Method of moments (MoM) | Quasi-optics | Waveguide</t>
  </si>
  <si>
    <t>A theoretical and experimental study of strip dipole antennas located on a supporting dielectric slab mounted transversely in rectangular waveguide is presented. Galerkin's method is used in the full-wave solution of an integral equation for each antenna's surface-current density using the Green's function for the slab-loaded waveguide. The paper is motivated by the need for multiport-network models to aid the development of multiple-device power-combining circuits in rectangular waveguide. The design data presented here for single antennas should prove useful for planar-mixer and oscillator circuits. The presence of slab modes is noted and the slab-mode resonant frequencies are predicted. Validation of the numerical models is provided by scattering experiments on the shorted antennas, and excellent agreement is obtained in the range of 8.0-12.5 GHz. ¬© 1997 IEEE.</t>
  </si>
  <si>
    <t>1756-1766</t>
  </si>
  <si>
    <t>10 PART 1</t>
  </si>
  <si>
    <t>60012070-100909824;60000251-60012070;60000251-60012070</t>
  </si>
  <si>
    <t>7401909996;56897613300;35578345100</t>
  </si>
  <si>
    <t>Adams, Andrew R.;Pollard, Roger D.;Snowden, Christopher M.</t>
  </si>
  <si>
    <t>United Kingdom;United States;Australia</t>
  </si>
  <si>
    <t>Leeds;New York;</t>
  </si>
  <si>
    <t>University of Leeds;IEEE;Standard Communications Pty Ltd.</t>
  </si>
  <si>
    <t>60012070;60000251;100909824</t>
  </si>
  <si>
    <t>Adams A.</t>
  </si>
  <si>
    <t>A method-of-moments study of strip dipole antennas in rectangular waveguide</t>
  </si>
  <si>
    <t>S0018948097071111</t>
  </si>
  <si>
    <t>10.1109/22.641724</t>
  </si>
  <si>
    <t>2-s2.0-0031246187</t>
  </si>
  <si>
    <t>['theoretical results', 'tem mode', 'results provided', 'resonant frequencies', 'rectangular waveguide', 'paper presents', 'modes calculated', 'metallic patch', 'magnetic walls', 'last case', 'integral method', 'input impedance', 'good agreement', 'experimental results', 'element method', 'coaxial line', 'available data']</t>
  </si>
  <si>
    <t>Antenna theory | Boundary-element method | Coaxial waveguides | Electromagnetic fields | Green's functions | Integral equations | Microstrip antennas | Propagation</t>
  </si>
  <si>
    <t>This paper presents an integral method in combination with Green's functions and the boundary-element method to characterize a rectangular waveguide with electric or magnetic walls, loaded with a conductor of arbitrary cross section. The results provided by this method are in good agreement with available data in the literature. The modes of this type of waveguide are determined in the case of an arbitrarily shaped inner conductor with no consideration of size. The existence of the TEM mode has been verified. The modes calculated by this method are used as numerical basis functions in other applications. It is shown that they can be used to determine the resonant frequencies of a metallic patch or the input impedance of a planar antenna fed by a coaxial line. In this last case, the theoretical results are confronted with the experimental results. ¬© 1997 IEEE.</t>
  </si>
  <si>
    <t>1662-1671</t>
  </si>
  <si>
    <t>60028112;60028112;60028112;60000251-60028112</t>
  </si>
  <si>
    <t>6505990861;6601962534;6602259267;7007171277</t>
  </si>
  <si>
    <t>Proust, Isabelle;Sauviac, Bruno;Amalric, Jean Louis;Baudrand, Henri</t>
  </si>
  <si>
    <t>Toulouse;New York</t>
  </si>
  <si>
    <t>ENSEEIHT Ecole Nationale Sup√©rieure d'Electrotechnique, d'Electronique, d'Informatique, d'Hydraulique et des T√©l√©communications;IEEE</t>
  </si>
  <si>
    <t>60028112;60000251</t>
  </si>
  <si>
    <t>Proust I.</t>
  </si>
  <si>
    <t>Systematic elaboration of trial function bases for the study of planar structures</t>
  </si>
  <si>
    <t>S0018948097071007</t>
  </si>
  <si>
    <t>10.1109/22.641709</t>
  </si>
  <si>
    <t>2-s2.0-0031248323</t>
  </si>
  <si>
    <t>University of California</t>
  </si>
  <si>
    <t>UC</t>
  </si>
  <si>
    <t>['tuning devices', 'simulations validation', 'significant role', 'several low', 'recent advances', 'pifa ).', 'parallel development', 'paper addresses', 'new radiators', 'microwave high', 'measured results', 'integrated antennas', 'enhanced bandwidth', 'efficient antennas', 'difference time']</t>
  </si>
  <si>
    <t>Broad-band antennas | Conformai antennas | FDTD | Mom | PIFA | Wireless communications</t>
  </si>
  <si>
    <t>The development of small integrated antennas plays a significant role in the progress of the rapidly expanding military and commercial communications applications. The recent advances in RF and microwave high-density circuit packaging technologies in multifunction wireless communications systems have called for the parallel development of compact and efficient antennas that can be used over a wide frequency range. This paper addresses the development and characterization of several low-profile and integrated antennas with enhanced bandwidth for wireless communications systems. The new radiators are developed by adding parasitic elements or tuning devices to a familiar integrated antenna-the planar inverted F antenna (PIFA). Simulations based upon the finite-difference time-domain (FDTD) method and method of moments (MoM) are used to model the performance of the antennas. Comparisons with measured results on fabricated antenna structures are provided for simulations validation. ¬© 1997 IEEE.</t>
  </si>
  <si>
    <t>1879-1888</t>
  </si>
  <si>
    <t>10 PART 2</t>
  </si>
  <si>
    <t>60010065;60010065</t>
  </si>
  <si>
    <t>6506065488;7102110120</t>
  </si>
  <si>
    <t>Virga, Kathleen L.;Rahmat-Samii, Yahya</t>
  </si>
  <si>
    <t>Virga K.L.</t>
  </si>
  <si>
    <t>Low-profile enhanced-B and width PIFA antennas for wireless communications packaging</t>
  </si>
  <si>
    <t>S0018948097073973</t>
  </si>
  <si>
    <t>10.1109/22.641786</t>
  </si>
  <si>
    <t>2-s2.0-0031248324</t>
  </si>
  <si>
    <t>DAAL03-92-G-0262</t>
  </si>
  <si>
    <t>['waveguide transitions', 'wave finite', 'underlined formulation', 'spiral inductors', 'solder bumps', 'patch antennas', 'multiple striplines', 'multilayer substrates', 'microstrip transitions', 'extensively verified', 'element method', 'element formulation', 'difference time', 'computational statistics', 'bond wires', 'also discussed']</t>
  </si>
  <si>
    <t>Electronic packaging | Finite-element method | Interconnects | Passive circuits</t>
  </si>
  <si>
    <t>A full-wave finite-element method (FEM) is formulated and applied in the analysis of practical electronic packaging circuits and interconnects. The method is used to calculate S-parameters of unshielded microwave components such as patch antennas, filters, spiral inductors, bridges, bond wires, and microstrip transitions through a via. Although only representative microwave passive circuits and interconnects are analyzed in this paper, the underlined formulation is applicable to structures of arbitrary geometrical complexities including microstrip and coplanar-waveguide transitions, multiple conducting vias and solder bumps, multiple striplines, and multilayer substrates. The accuracy of the finite-element formulation is extensively verified by calculating the respective S-parameters and comparing them with results obtained using the finite-difference time-domain (FDTD) method. Computational statistics for both methods are also discussed. ¬© 1997 IEEE.</t>
  </si>
  <si>
    <t>1868-1874</t>
  </si>
  <si>
    <t>60003892;60003892;60003892</t>
  </si>
  <si>
    <t>7005461077;6701682267;35583458100</t>
  </si>
  <si>
    <t>Polycarpou, Anastasis C.;Tirkas, Panayiotis A.;Balanis, Constantine A.</t>
  </si>
  <si>
    <t>Polycarpou A.</t>
  </si>
  <si>
    <t>The finite-element method for modeling circuits and interconnects for electronic packaging</t>
  </si>
  <si>
    <t>S0018948097073997</t>
  </si>
  <si>
    <t>10.1109/22.641784</t>
  </si>
  <si>
    <t>2-s2.0-0031249224</t>
  </si>
  <si>
    <t>GR/K03760</t>
  </si>
  <si>
    <t>['square patch', 'sequential rotation', 'receive paths', 'receive isolation', 'receive gain', 'range communication', 'radar systems', 'potential uses', 'polarization duplexed', 'paper discusses', 'output power', 'orthogonal edges', 'novel two', 'integrated oscillator', 'element includes', 'db transmit', 'array gives', 'amplifier mounted', 'active antennas', '4 dbm', '2 db', '05 ghz']</t>
  </si>
  <si>
    <t>Active antennas | Antennas | Quasi-optics</t>
  </si>
  <si>
    <t>This paper discusses the design and implementation of a novel two-element active transmit-receive array using dual linear polarization and sequential rotation. Each element includes an integrated oscillator and amplifier mounted on orthogonal edges of a square patch, such that the transmit and receive paths are isolated and polarization duplexed. The array gives in excess of 45-dB transmit-receive isolation with an output power of 5.4 dBm and a receive gain of 8.2 dB at 4.05 GHz. Link budget calculations are used to show expected system performances. These active antennas have potential uses in both short-range communication and radar systems. ¬© 1997 IEEE.</t>
  </si>
  <si>
    <t>1742-1748</t>
  </si>
  <si>
    <t>60000251-60019702;60000251-60019702;60019702;60000251-60019702</t>
  </si>
  <si>
    <t>16554512900;57213425197;7102255976;14122142200</t>
  </si>
  <si>
    <t>Cryan, Martin J.;Hall, Peter S.;Tsang, S. H.;Sha, Jizhang</t>
  </si>
  <si>
    <t>Birmingham;New York</t>
  </si>
  <si>
    <t>University of Birmingham;IEEE</t>
  </si>
  <si>
    <t>60019702;60000251</t>
  </si>
  <si>
    <t>Integrated active antenna with full duplex operation</t>
  </si>
  <si>
    <t>S0018948097071081</t>
  </si>
  <si>
    <t>10.1109/22.641721</t>
  </si>
  <si>
    <t>2-s2.0-0031249260</t>
  </si>
  <si>
    <t>84-NSPO-A-RDD-009-01</t>
  </si>
  <si>
    <t>['transverse directions', 'space waves', 'reactive mode', 'radiation region', 'radiation efficiency', 'mode distinction', 'microstrip line', 'line source', 'first microstrip', 'fire direction', 'experimental results', 'domain approach', 'dielectric constant', 'antenna mode']</t>
  </si>
  <si>
    <t>First microstrip-line higher-order mode | Leaky-wave antenna | Radiation efficiency | Space wave | Surface wave</t>
  </si>
  <si>
    <t>Using the first microstrip-line higher order mode as an example, mode distinction and radiation efficiency of leakywave line sources in the radiation region are presented in this paper. The spectral-domain approach is used to calculate complex power flows, leaving the line source in the transverse directions and those guided down the line source. By observing the behavior of these complex power flows in different frequency regions, the leaky-wave line source can be distinguished into the antenna mode and the reactive mode in the radiation region. Experimental results are shown to confirm this mode distinction. Moreover, by comparing the power carried away by the surface and the space waves, radiation efficiency of the first microstrip-line higher order mode of various structural parameters is analyzed. The microstrip line is more efficient as a leaky-wave line source when its substrate is thin, the dielectric constant of the substrate is low, and the antenna main beam is away from the end-fire direction. ¬© 1997 IEEE.</t>
  </si>
  <si>
    <t>1672-1680</t>
  </si>
  <si>
    <t>60000251-60012370;60012370-60022847</t>
  </si>
  <si>
    <t>57209831312;7004999780</t>
  </si>
  <si>
    <t>Lin, Yu De;Sheen, Jyh Wen</t>
  </si>
  <si>
    <t>Industrial Technology Research Institute of Taiwan;National Chiao Tung University;IEEE</t>
  </si>
  <si>
    <t>60022847;60012370;60000251</t>
  </si>
  <si>
    <t>Mode distinction and radiation-efficiency analysis of planar leaky-wave line source</t>
  </si>
  <si>
    <t>S0018948097071019</t>
  </si>
  <si>
    <t>10.1109/22.641710</t>
  </si>
  <si>
    <t>2-s2.0-0031250841</t>
  </si>
  <si>
    <t>Department of Science and Technology, Government of Kerala</t>
  </si>
  <si>
    <t>['wave mode', 'paper presents', 'mirror machine', 'impact ionization', 'helical antenna', 'fast wave', 'eliminated completely', 'earlier studies', 'detailed study', 'conical horn', 'bulk plasma', '90 %]', '20 %].']</t>
  </si>
  <si>
    <t>Ecr discharges | Microwave discharges | Mirror machine | Slotted helical antenna | Slow-wave structures</t>
  </si>
  <si>
    <t>This paper presents a detailed study on plasma production using an optimally designed slotted helical antenna, excited by a conical horn, in a mirror machine. For maximizing plasma production efficiency, the helical antenna is designed so that only its slow-wave mode (SWM) is excited and the fast wave is eliminated completely. The horn also excites efficiently the dominant field components of the SWM of the helical antenna. It is shown that this type of aperture excitation leads to much higher ionization efficiencies [23-90 %] than could be obtained in earlier studies (A. Ganguli et al., IEEE Trans. Plasma Sei., vol. 19, p. 433, 1991) using coaxial feeds [w5-20%]. As a consequence, the present experiments yield higher bulk plasma densities, broader radial profiles, and larger plasma volumes. The study also confirms that the bulk plasma in these experiments is produced by a warm electron population by impact ionization of the neutral gas atoms. ¬© 1997 IEEE.</t>
  </si>
  <si>
    <t>1086-1095</t>
  </si>
  <si>
    <t>60032730;60032730;60032730;60032730</t>
  </si>
  <si>
    <t>57146946800;6603302303;6602834941;7202578068</t>
  </si>
  <si>
    <t>Ganguli, A.;Jarwal, R. K.;Tarey, R. D.;Akhtar, M. K.</t>
  </si>
  <si>
    <t>Indian Institute of Technology Delhi</t>
  </si>
  <si>
    <t>Ganguli A.</t>
  </si>
  <si>
    <t>Characterization of microwave discharges produced by a slotted helical antenna in a mirror machine</t>
  </si>
  <si>
    <t>S0093381397065740</t>
  </si>
  <si>
    <t>10.1109/27.649630</t>
  </si>
  <si>
    <t>2-s2.0-0031251450</t>
  </si>
  <si>
    <t>U.S. Department of Commerce</t>
  </si>
  <si>
    <t>DOC</t>
  </si>
  <si>
    <t>['slot antenna', 'relative position', 'radiation patterns', 'radiated power', 'photonic crystal', 'found configurations', 'considerably improve', '3 db', '15 ghz']</t>
  </si>
  <si>
    <t>The radiation patterns of a slot antenna placed on a photonic band gap crystal have been measured. We used a layer-by-layer photonic band gap crystal having a three-dimensional stop band between 12 and 15 GHz. The slot antenna radiation depends sensitively on the relative position and orientation of the slot in the surface unit cell of the photonic crystal. We have found configurations of the slot antenna with an increase of radiated power by 2-3 dB. The photonic band gap crystal can considerably improve the performance of a simple slot antenna. ¬© 1997 IEEE.</t>
  </si>
  <si>
    <t>1569-1570</t>
  </si>
  <si>
    <t>60008023-60004354</t>
  </si>
  <si>
    <t>Leung, W. Y.</t>
  </si>
  <si>
    <t>Leung W.</t>
  </si>
  <si>
    <t>Slot antennas on photonic band gap crystals</t>
  </si>
  <si>
    <t>S0018926X97062753</t>
  </si>
  <si>
    <t>10.1109/8.633871</t>
  </si>
  <si>
    <t>2-s2.0-0031257033</t>
  </si>
  <si>
    <t>['rotation arrays', 'radiation properties', 'polarization levels', 'mutual coupling', 'limited symmetry', 'investigated experimentally', 'excitation errors', 'element polarization', 'compact configurations', 'axis xpd', '35 db', '30 db', '20 db', '18 db', '0 %.']</t>
  </si>
  <si>
    <t>The radiation properties of 2 √ó 2 sequential-rotation arrays with single-feed circularly polarized patch radiators are investigated experimentally with the goal to maximize the bandwidth for an XPD &gt; 30 dB. Based on a particular crosspolarization discrimination (XPD) description for such arrays, the impacts of element polarization, mutual coupling, limited symmetry, and excitation errors on the array cross polarization are presented. It is shown that compact configurations can be obtained, which provide an on-axis XPD of 30 dB over up to 2.0% bandwidth and of 35 dB over up to 1.0%. These arrays exhibit copolarized sidelobes below -18 dB and off-axis peak cross-polarization levels below -20 dB. ¬© 1997 IEEE.</t>
  </si>
  <si>
    <t>1459-1466</t>
  </si>
  <si>
    <t>Kraft, Ulrich R.</t>
  </si>
  <si>
    <t>An experimental study on 2 √ó 2 sequential-rotation arrays with circularly polarized microstrip radiators</t>
  </si>
  <si>
    <t>S0018926X9707378X</t>
  </si>
  <si>
    <t>10.1109/8.633850</t>
  </si>
  <si>
    <t>2-s2.0-0031257068</t>
  </si>
  <si>
    <t>['transmitting antenna', 'simple criterion', 'required number', 'power density', 'pattern measurements', 'main application', 'hertzian dipoles', 'finite number', 'field sphere', 'electromagnetic fields', 'derived formula', 'also establishes', 'accurate estimation']</t>
  </si>
  <si>
    <t>The derivation of a formula for accurate estimation of the total radiated power from a transmitting antenna for which the radiated power density is known in a finite number of points on the far-field sphere is presented. The main application of the formula is determination of directivity from power-pattern measurements. The derivation is based on the theory of spherical wave expansion of electromagnetic fields, which also establishes a simple criterion for the required number of samples of the power density. An array antenna consisting of Hertzian dipoles is used to test the accuracy and rate of convergence of the derived formula. Its performance is compared to that of numerical integration using Simpson's formula. ¬© 1997 IEEE.</t>
  </si>
  <si>
    <t>1502-1505</t>
  </si>
  <si>
    <t>Dich, Mikael</t>
  </si>
  <si>
    <t>Dich M.</t>
  </si>
  <si>
    <t>Accurate determination of antenna directivity</t>
  </si>
  <si>
    <t>S0018926X97072177</t>
  </si>
  <si>
    <t>10.1109/8.633857</t>
  </si>
  <si>
    <t>2-s2.0-0031257433</t>
  </si>
  <si>
    <t>['wave propagation', 'suitable conditions', 'successfully applied', 'propagating signals', 'ocean acoustics', 'mfp methods', 'matchedfield processing', 'integral part', 'field processing', 'field predictions', 'environmental parameters', 'electromagnetic domain']</t>
  </si>
  <si>
    <t>Signal processing antennas</t>
  </si>
  <si>
    <t>Recent waveguide array processing methods have incorporated the physics of wave propagation as an integral part of the processing. Matched-field processing (MFP) refers to signal and array processing techniques in which, rather than a planewave arrival model, complex-valued (amplitude and phase) field predictions for propagating signals are used. Matchedfield processing has been successfully applied in ocean acoustics. In this paper, the extension of MFP to the electromagnetic domain, i.e., electromagnetic (EM) MFP (EM-MFP) is described. Simulations of EM-MFP in the tropospheric setting suggest that under suitable conditions, EM-MFP methods can enable EM sources to be both detected/localized and used as sources of opportunity for estimating the environmental parameters that determine EM propagation.</t>
  </si>
  <si>
    <t>1536-1545</t>
  </si>
  <si>
    <t>Gingras, Donald F.</t>
  </si>
  <si>
    <t>Gingras D.F.</t>
  </si>
  <si>
    <t>Electromagnetic matched-field processing: basic concepts and tropospheric simulations</t>
  </si>
  <si>
    <t>S0018926X97072244</t>
  </si>
  <si>
    <t>10.1109/8.633863</t>
  </si>
  <si>
    <t>2-s2.0-0031257434</t>
  </si>
  <si>
    <t>['integral equation', 'incident upon', 'field resulting', 'far field', 'expressions include', 'electromagnetic radiation']</t>
  </si>
  <si>
    <t>Electromagnetic surface waves</t>
  </si>
  <si>
    <t>Expressions are derived for the far field that results when electromagnetic radiation is incident upon an imperfectly conducting nonhomogeneous plane surface. In particular, these expressions include the second-order far field and thus allow consideration of surface wave effects. It is shown that the far field satisfies an integral equation and this is used to study the field resulting from a dipole that sits above a finite ground screen. ¬© 1997 British Crown Copyright.</t>
  </si>
  <si>
    <t>1445-1450</t>
  </si>
  <si>
    <t>60000251-60003480</t>
  </si>
  <si>
    <t>Coleman, Christopher J.</t>
  </si>
  <si>
    <t>Edinburgh;New York</t>
  </si>
  <si>
    <t>Defence Science and Technology Group;IEEE</t>
  </si>
  <si>
    <t>60003480;60000251</t>
  </si>
  <si>
    <t>Coleman C.J.</t>
  </si>
  <si>
    <t>The effect of an imperfectly conducting plane upon an incident electromagnetic field</t>
  </si>
  <si>
    <t>S0018926X97072098</t>
  </si>
  <si>
    <t>10.1109/8.633848</t>
  </si>
  <si>
    <t>2-s2.0-0031257452</t>
  </si>
  <si>
    <t>0018-926X(97)07211-6</t>
  </si>
  <si>
    <t>['two feeds', 'paper describes', 'mode capabilities', 'internal antennas', 'good dual', 'ghz bands', 'frequency ratios', 'f antenna', 'domain analysis', 'difference time', 'dcs1800 systems', 'conventional inverted', 'cellular handsets', 'band inverted', 'band antenna', 'band action', 'also obtained', '9 ghz', '17 db']</t>
  </si>
  <si>
    <t>Cellular telephone handsets are now being designed to have dual-mode capabilities. In particular, there is a requirement for internal antennas for GSM and DCS1800 systems. This paper describes a novel planar dual-band inverted-F antenna for cellular handsets, which operates at the 0.9-GHz and 1.8-GHz bands. The dual-band antenna has almost the same size as a conventional inverted-F antenna operating at 0.9 GHz and has an isolation between bands of better than 17 dB. The bandwidths of the antenna are close to those required for the above systems. Good dual-band action is also obtained for other frequency ratios in the range of 1.3-2.4. Studies also show that the dual-band antenna can operate with one or two feeds. A finite-difference time-domain analysis has been shown to give calculated results close to those measured. ¬© 1997 IEEE.</t>
  </si>
  <si>
    <t>1451-1458</t>
  </si>
  <si>
    <t>Dong, Zi</t>
  </si>
  <si>
    <t>Dong Z.</t>
  </si>
  <si>
    <t>Dual-frequency planar inverted-f antenna</t>
  </si>
  <si>
    <t>S0018926X97072116</t>
  </si>
  <si>
    <t>10.1109/8.633849</t>
  </si>
  <si>
    <t>2-s2.0-0031257453</t>
  </si>
  <si>
    <t>CSA</t>
  </si>
  <si>
    <t>['slow fading', 'signal energy', 'shift keying', 'scheme offers', 'rayleigh fading', 'paper proposes', 'mobile receiver', 'large enough', 'ineffective due', 'entire l', 'dimensional fading', 'different degree', 'base station', 'antenna undergoes']</t>
  </si>
  <si>
    <t>This paper proposes a bandwidth-efficient fadingresistant transmission scheme which implements transmitter diversity using L antennas at the base station. When the antennas are spaced sufficiently far apart, the transmission from each antenna undergoes a different degree of fading. These transmissions are coordinated to mitigate the effects of Rayleigh fading, and the mobile receiver can recover the entire L-dimensional transmitted vector signal as long as the signal energy of at least one coordinate is large enough. L-dimensional fading-resistant signal constellations are generated by maximizing a figure of merit for the Rayleigh fading channel. This scheme offers a significant performance improvement over a conventional singleantenna binary phase-shift keying (BPSK) scheme when coding is ineffective due to slow fading.</t>
  </si>
  <si>
    <t>60026638;60026638</t>
  </si>
  <si>
    <t>6603117281;7004889537</t>
  </si>
  <si>
    <t>DaSilva, Victor M.;Sousa, Elvino S.</t>
  </si>
  <si>
    <t>Nokia Corporation</t>
  </si>
  <si>
    <t>DaSilva V.</t>
  </si>
  <si>
    <t>Fading-resistant modulation using several transmitter antennas</t>
  </si>
  <si>
    <t>S0090677897072802</t>
  </si>
  <si>
    <t>10.1109/26.634687</t>
  </si>
  <si>
    <t>2-s2.0-0031257563</t>
  </si>
  <si>
    <t>['well known', 'form expressions', 'derived using', 'circular arrays', 'circulant matrix', 'circulant matrices', 'bcm case', 'approach suggested']</t>
  </si>
  <si>
    <t>Arrays | Matrix inversion</t>
  </si>
  <si>
    <t>Closed-form expressions of the inverse of a block-circulant matrix (BCM) are well known. Such expressions are derived here following two alternative procedures, which are based on the discrete Fourier transform (DFT) and appear to be simple and brief when compared to previously published procedures. In the case of circulant matrices of scalars, the formulas of inversion are derived using the theory of circular arrays and this approach suggested an extension of the DFT to the BCM case. ¬© 1997 IEEE.</t>
  </si>
  <si>
    <t>1565-1567</t>
  </si>
  <si>
    <t>Vescovo, Roberta</t>
  </si>
  <si>
    <t>Trieste</t>
  </si>
  <si>
    <t>Universit√† degli Studi di Trieste</t>
  </si>
  <si>
    <t>Vescovo R.</t>
  </si>
  <si>
    <t>Inversion of block-circulant matrices and circular array approach</t>
  </si>
  <si>
    <t>S0018926X97072281</t>
  </si>
  <si>
    <t>10.1109/8.633869</t>
  </si>
  <si>
    <t>2-s2.0-0031257897</t>
  </si>
  <si>
    <t>['tilted beam', 'spiral antenna', 'input impedances', 'gain increase', 'frequency bandwidths', 'frequency bandwidth', 'four spirals', 'design frequency', 'circular polarization', 'array radiates', 'array consisting', 'also analyzed', '8 wavelength', '3 wavelengths']</t>
  </si>
  <si>
    <t>Array antenna | Moment method solutions | Spiral antenna</t>
  </si>
  <si>
    <t>A monofilar spiral antenna is analyzed in the presence of a conducting plane reflector, using the method of moments. The circumference of the spiral antenna is chosen to be 2.3 wavelengths. A tilted beam of circular polarization is realized by superposing the fields from two active regions. The gain of the tilted beam is approximately 8 dB. The frequency bandwidths for 1-dB gain drop and 3-dB axial ratio criterions are 12% and 23%, respectively. An array consisting of the four monofilar spiral antennas is also analyzed, where the array element spacing is chosen to be 0.8 wavelength at a design frequency /o. The input impedances of the four spirals are almost the same as the impedance of the single monofilar spiral antenna at /o. The array radiates a tilted fan beam with a gain increase of approximately 6 dB from the gain of the single spiral antenna at /o. The frequency bandwidth for a 3-dB axial ratio criterion is almost the same as that of the single spiral antenna. ¬© 1997 IEEE.</t>
  </si>
  <si>
    <t>1506-1511</t>
  </si>
  <si>
    <t>Nakano, Hisamatsu</t>
  </si>
  <si>
    <t>A monofilar spiral antenna and its array above a ground plane-formation of a circularly polarized tilted fan beam</t>
  </si>
  <si>
    <t>S0018926X97072190</t>
  </si>
  <si>
    <t>10.1109/8.633858</t>
  </si>
  <si>
    <t>2-s2.0-0031257907</t>
  </si>
  <si>
    <t>['wide bandwidth', 'significantly reduced', 'portable handsets', 'new antenna', 'n antenna', 'detailed investigations', 'compact structure', 'antenna system']</t>
  </si>
  <si>
    <t>Antennas | Portable radio communication</t>
  </si>
  <si>
    <t>In this paper, a new antenna, the N antenna, is proposed for use in mobile communication systems. Detailed investigations are presented through the results obtained using numerical simulations and measurements. The newly proposed antenna has many attractive features such as a wide bandwidth, stable radiation patterns, and a compact structure. The application of the N antenna is exemplified through portable handsets. It is shown that in the presence of an operator, the efficiency of the antenna system of a portable handset increases and the maximum specific absorption rate (SAR) is significantly reduced by using the N antenna. ¬© 1997 IEEE.</t>
  </si>
  <si>
    <t>1475-1483</t>
  </si>
  <si>
    <t>60000251-60072505;60072505;60072505</t>
  </si>
  <si>
    <t>7402713229;6602746542;6504384065</t>
  </si>
  <si>
    <t>Pan, Sheng Gen;Becks, Thomas;Bahrwas, Achim</t>
  </si>
  <si>
    <t>Kamp-Lintfort;New York</t>
  </si>
  <si>
    <t>IMST GmbH;IEEE</t>
  </si>
  <si>
    <t>60072505;60000251</t>
  </si>
  <si>
    <t>TV antennas and their applications in portable handsets</t>
  </si>
  <si>
    <t>S0018926X9707213X</t>
  </si>
  <si>
    <t>10.1109/8.633853</t>
  </si>
  <si>
    <t>2-s2.0-0031258134</t>
  </si>
  <si>
    <t>['transmitter configuration', 'technological features', 'satellite payloads', 'rendered parametric', 'paper proposes', 'modeling approach', 'direct impact', 'design tools', 'critical compromise', 'antenna specifications', 'achieved results']</t>
  </si>
  <si>
    <t>This paper proposes a modeling approach to relate the power section reliability of satellite payloads to the on-board antenna complexity. The aim of the model is to support the development of design tools for satellite systems adopting active phased arrays. The achieved results are rendered parametric with respect to a key system requirement, the effective isotropic radiated power, due to its direct impact on transmitter configuration and technological features as well as on the critical compromise between transmitter and antenna specifications.</t>
  </si>
  <si>
    <t>23-29</t>
  </si>
  <si>
    <t>60027509-60021030</t>
  </si>
  <si>
    <t>Ruggieri, Marina</t>
  </si>
  <si>
    <t>Rome;Roanoke</t>
  </si>
  <si>
    <t>Universit√† degli Studi di Roma "Tor Vergata";ITT Night Vision</t>
  </si>
  <si>
    <t>60027509;60021030</t>
  </si>
  <si>
    <t>Ruggieri M.</t>
  </si>
  <si>
    <t>A (design-oriented) reliability model for active phased arrays in satellite communications systems</t>
  </si>
  <si>
    <t>10.1109/62.624324</t>
  </si>
  <si>
    <t>2-s2.0-0031258382</t>
  </si>
  <si>
    <t>['whole gso', 'various altitudes', 'service areas', 'local vertical', 'intersatellite link', 'interference paths', 'gts systems', 'gts system', 'either side', 'efficient utilization', 'e .,', 'communication capacity', 'communication capacities', 'also examined']</t>
  </si>
  <si>
    <t>The geostationary satellite orbit (GSO) is a limited natural resource and its efficient utilization is very important. The geostationary tether satellite (GTS) system has a number of satellites aligned along the local vertical on either side of the nominal geostationary position. The system is synchronized with the Earth's rotation and all the various altitudes are geostationary. Furthermore, optical-fiber geostationary tether satellite (F-GTS) system has been introduced to improve the GTS system, with regard to increment of communication capacity, simplification of interference paths and intersatellite link (ISL) capability. The F-GTS system design is discussed with the purpose of achieving a realistic satellite network. Three frequency bands, i.e., the 14/11, 30/20, and 50/40 GHz bands, are examined for selection of the optimum frequency band. The F-GTS system example for covering the service areas in Japan is discussed with regard to satellite antenna diameter, communication capacities, etc. To apply the F-GTS system to the whole GSO, the diagonal azimuth orbit arrangement method is proposed for low latitude service areas. Moreover, the F-GTS communication capacity and total communication capacity, when the F-GTS systems are applied to the whole GSO, are also examined. ¬© 1997 IEEE.</t>
  </si>
  <si>
    <t>1235-1241</t>
  </si>
  <si>
    <t>60032859-60025555;60032859</t>
  </si>
  <si>
    <t>7005318623;6507460185</t>
  </si>
  <si>
    <t>Hatsuda, Takeshi;Motozumi, Yoshikuni</t>
  </si>
  <si>
    <t>Hokkaido;Tokyo</t>
  </si>
  <si>
    <t>Hokkaido University of Science;Nippon Telegraph and Telephone Corporation</t>
  </si>
  <si>
    <t>60032859;60025555</t>
  </si>
  <si>
    <t>Hatsuda T.</t>
  </si>
  <si>
    <t>Optical fiber geostationary tether satellite (F-GTS) system design</t>
  </si>
  <si>
    <t>10.1109/7.625120</t>
  </si>
  <si>
    <t>2-s2.0-0031258423</t>
  </si>
  <si>
    <t>['space environment', 'polygonal approximation', 'modeled using', 'large bandwidth', 'fdtd mesh', 'difference time', 'curved boundaries', 'band applications']</t>
  </si>
  <si>
    <t>FDTD methods | Horn antennas</t>
  </si>
  <si>
    <t>The finite-difference time-domain (FDTD) method is applied to study the performances of E-plane sectoral horn antennas designed for broad-band applications. These antennas have a large bandwidth, and they are easily array integrated. These antennas have a highly complicated geometry that is modeled using a polygonal approximation in the curved boundaries. Perfect matched layers (PML's) combined with first-order absorbing boundaries are employed to simulate the free-space environment in the FDTD mesh. ¬© 1997 IEEE.</t>
  </si>
  <si>
    <t>1484-1487</t>
  </si>
  <si>
    <t>Reig, Candid</t>
  </si>
  <si>
    <t>Reig C.</t>
  </si>
  <si>
    <t>FDTD analysis of e-sectoral horn antennas for broad-band applications</t>
  </si>
  <si>
    <t>S0018926X97072141</t>
  </si>
  <si>
    <t>10.1109/8.633854</t>
  </si>
  <si>
    <t>2-s2.0-0031258801</t>
  </si>
  <si>
    <t>['simultaneously determine', 'several examples', 'radiate nearer', 'matching network', 'low vswr', 'load components', 'identifying candidates', 'genetic algorithm', 'elevation plane', 'eightarm antennas', 'design procedure', 'current distribution', 'central stem', 'best performance', 'band characteristics', 'azimuth plane', 'armed antennas', 'antenna characteristics', '1 illustrate']</t>
  </si>
  <si>
    <t>The purpose of this paper is to investigate new designs of loaded wire antennas with broad-band characteristics. A two-step design procedure is proposed for the design. First, different unloaded antennas configurations are examined with a view to identifying candidates that exhibit the lowest voltage standing wave ratio (VSWR) and highest gain characteristics. Multi-armed antennas with straight wire segments that branch off symmetrically from a central stem are found to be excellent potential candidates. Next, the antenna with the best performance is loaded with resonant tank circuits and a matching network is designed. The loads can enhance the antenna characteristics to yield high gain and low VSWR by modifying the current distribution and can force it to radiate nearer to the horizon in the elevation plane with an almost omnidirectional pattern in the azimuth plane. An efficient optimization procedure based on the genetic algorithm is employed to simultaneously determine the load components, their locations, and the parameters of the matching network. Several examples of four- and eightarm antennas with bandwidth of 7.5:1 and 15:1 illustrate the effectiveness of the design procedure. ¬© 1997 IEEE.</t>
  </si>
  <si>
    <t>1494-1501</t>
  </si>
  <si>
    <t>60104081;60001439</t>
  </si>
  <si>
    <t>56028199700;55197051100</t>
  </si>
  <si>
    <t>Altman, Zwi;Mittra, Raj</t>
  </si>
  <si>
    <t>Issy-les-Moulineaux;University Park</t>
  </si>
  <si>
    <t>Orange Labs;Pennsylvania State University</t>
  </si>
  <si>
    <t>Altman Z.</t>
  </si>
  <si>
    <t>New designs of ultra wide-band communication antennas using a genetic algorithm</t>
  </si>
  <si>
    <t>S0018926X97072165</t>
  </si>
  <si>
    <t>10.1109/8.633856</t>
  </si>
  <si>
    <t>2-s2.0-0031258938</t>
  </si>
  <si>
    <t>['yields closed', 'vector sensor', 'vector cross', 'spatial diversity', 'signal frequencies', 'sensor esprit', 'product operation', 'priori knowledge', 'polarization diversity', 'pencil pair', 'paper introduces', 'pairs automatically', 'novel eigenstructure', 'near field', 'method exploits', 'manifold size', 'form direction', 'far field', 'electromagnetic sources', 'doa ambiguity', 'computational load', 'comparable array']</t>
  </si>
  <si>
    <t>Antenna arrays | Array signal processing | Direction of arrival estimation | Diversity | Eigenvalues/eigenfunctions, frequency estimation | Polarization</t>
  </si>
  <si>
    <t>This paper introduces a novel eigenstructure-based algorithm uni-vector-sensor ESPRIT that yields closed-form direction-of-arrival (DOA) estimates and polarization estimates using one electromagnetic vector sensor. A vector sensor is composed of six spatially co-located rcorcisotropic polarizationsensitive antennas, measuring all six electromagnetic field components of the incident wave field. Uni-vector-sensor ESPRIT is based on a matrix-pencil pair of temporally displaced data sets collected from a single electromagnetic vector sensor. The closed-form parameter estimates are obtained through a vector cross-product operation on each decoupled signalsubspace eigenvector of the data correlation matrix. This method exploits the electromagnetic sources' polarization diversity in addition to their spatial diversity, requires no a priori knowledge of signal frequencies, suffers no frequency-DOA ambiguity, pairs automatically the x-axis direction cosines with the j/-axis direction cosines, eliminates array interelement calibration, can resolve up to five completely polarized uncorrelated monochromatic sources from near field or far field. It impressively out-performs an array of spatially displaced identically polarized antennas of comparable array-manifold size and computational load. ¬© 1997 IEEE.</t>
  </si>
  <si>
    <t>60000251-60022054;60009254</t>
  </si>
  <si>
    <t>Laurel;West Lafayette;New York</t>
  </si>
  <si>
    <t>Johns Hopkins University Applied Physics Laboratory;Purdue University;IEEE</t>
  </si>
  <si>
    <t>60022054;60009254;60000251</t>
  </si>
  <si>
    <t>Uni-Vector-Sensor ESPRIT for Multisource AzimuthElevation, and Polarization Estimation</t>
  </si>
  <si>
    <t>S0018926X97072128</t>
  </si>
  <si>
    <t>10.1109/8.633852</t>
  </si>
  <si>
    <t>2-s2.0-0031259309</t>
  </si>
  <si>
    <t>['use gradient', 'optimization algorithm', 'numerical codes', 'integral code', 'greatly enhanced', 'element boundary', 'attractive way']</t>
  </si>
  <si>
    <t>The utility of numerical codes is greatly enhanced if they can be used in design, a situation that typically involves iterative optimization algorithms. An attractive way is to use gradient-based algorithms developed for solving nonlinear programming (NLP) problems. In this letter, we examine the performance of a general sequential quadratic programming (SQP) optimization algorithm for designing patch antennas in conjunction with a finite-element boundary-integral code. ¬© 1997 IEEE.</t>
  </si>
  <si>
    <t>1689-1692</t>
  </si>
  <si>
    <t>60000251;60025778;60025778</t>
  </si>
  <si>
    <t>55707117700;7005457530;7102576479</t>
  </si>
  <si>
    <t>Li, Zhifang;Papalambros, Panos Y.;Volakis, John L.</t>
  </si>
  <si>
    <t>Ann Arbor;New York</t>
  </si>
  <si>
    <t>University of Michigan, Ann Arbor;IEEE</t>
  </si>
  <si>
    <t>60025778;60000251</t>
  </si>
  <si>
    <t>Li Z.</t>
  </si>
  <si>
    <t>Designing broad-band patch antennas using the sequential quadratic programming method</t>
  </si>
  <si>
    <t>S0018926X97079921</t>
  </si>
  <si>
    <t>10.1109/8.650081</t>
  </si>
  <si>
    <t>2-s2.0-0031268224</t>
  </si>
  <si>
    <t>['national institute', 'input impedance', 'effective length', 'computed values', 'antenna impedance']</t>
  </si>
  <si>
    <t>Antenna input impedance | Effective length | Standard antenna method | Standard dipole</t>
  </si>
  <si>
    <t>Computed values for the effective length and input impedance for a set of standard dipoles used at the National Institute of Standards and Technology will be presented. These dipoles are used as calculable reference antennas in the calibration of dipole-like electromagnetic interference antennas in an open-area test site. Estimates for the uncertainty in the computed values of the effective length and antenna impedance will also be given.</t>
  </si>
  <si>
    <t>404-408</t>
  </si>
  <si>
    <t>60023053;60023053</t>
  </si>
  <si>
    <t>6507368171;35578175900</t>
  </si>
  <si>
    <t>Kawalko, Stephen F.;Kanda, Motohisa</t>
  </si>
  <si>
    <t>Kawalko S.</t>
  </si>
  <si>
    <t>Effective length and input impedance of the NIST standard dipoles</t>
  </si>
  <si>
    <t>S0018937597085499</t>
  </si>
  <si>
    <t>10.1109/15.649849</t>
  </si>
  <si>
    <t>2-s2.0-0031268548</t>
  </si>
  <si>
    <t>DAAL03-90-G-0181</t>
  </si>
  <si>
    <t>['transverse plane', 'stripline feed', 'strip excited', 'spatial representations', 'rectangular waveguide', 'preliminary step', 'point along', 'one wall', 'numerical method', 'monopole fed', 'loaded strip', 'gap source', 'experimental study', 'experimental results', 'dipole sources']</t>
  </si>
  <si>
    <t>Stripline | Waveguides</t>
  </si>
  <si>
    <t>An analysis and an experimental study of a strip in a transverse plane of a rectangular waveguide below cutoff are presented in this paper. This work is a preliminary step in analyzing a stripline-fed slot antenna array in which each stripline feed is enclosed in a rectangular waveguide below cutoff. A numerical method is developed to solve a pseudo mixedpotential integral equation for the current on the strip excited by a delta-gap source at some point along the strip. The Green's function for dipole sources in the rectangular waveguide is used in the spectral and spatial representations and Shanks' transform is employed to speed up the convergence of the doubly infinite series. Numerical and experimental results are presented for a monopole fed at one wall of a rectangular waveguide and for a bottom-fed and bottom-loaded strip in a rectangular waveguide. ¬© 1997 IEEE.</t>
  </si>
  <si>
    <t>1636-1644</t>
  </si>
  <si>
    <t>60026610-100578134</t>
  </si>
  <si>
    <t>Freeman, C. L.</t>
  </si>
  <si>
    <t>Clemson;Norcross</t>
  </si>
  <si>
    <t>Clemson University;EMS Technologies, Inc.</t>
  </si>
  <si>
    <t>60026610;100578134</t>
  </si>
  <si>
    <t>Freeman C.</t>
  </si>
  <si>
    <t>Analysis of a strip in a waveguide</t>
  </si>
  <si>
    <t>S0018926X97079982</t>
  </si>
  <si>
    <t>10.1109/8.650075</t>
  </si>
  <si>
    <t>2-s2.0-0031268843</t>
  </si>
  <si>
    <t>['whereas polarization', 'polarization associated', 'obtained via', 'lshaped array', 'estimate angles', 'electromagnetic energy']</t>
  </si>
  <si>
    <t>Direction of arrival estimation</t>
  </si>
  <si>
    <t>An algorithm to estimate angles of arrival (azimuth and elevation) and polarization associated with narrow-band plane waves is presented. Electromagnetic energy is assumed to be collected by an Lshaped array of small crossed dipoles. The estimation of the directions of arrival is based on the matrix pencil method, whereas polarization is obtained via a least squares problem. ¬© 1997 IEEE.</t>
  </si>
  <si>
    <t>1693-1694</t>
  </si>
  <si>
    <t>60015179;60015179</t>
  </si>
  <si>
    <t>6602448866;15842946800</t>
  </si>
  <si>
    <t>Fernandez Del Rio, J. E.;C√¢tedra-P√©rez, M. F.</t>
  </si>
  <si>
    <t>Fernandez Del Rio J.E.</t>
  </si>
  <si>
    <t>The matrix pencil method for two-dimensional direction of arrival estimation employing an l-shaped array</t>
  </si>
  <si>
    <t>S0018926X9707991X</t>
  </si>
  <si>
    <t>10.1109/8.650082</t>
  </si>
  <si>
    <t>2-s2.0-0031268928</t>
  </si>
  <si>
    <t>['two antennas', 'strongly coupled', 'producing high', 'plasma profile', 'numerical calculations', 'magnetic field', 'inductive component', 'helicon discharge', 'helical antenna', 'faraday shield', 'dimensional images', 'density plasmas', 'centrally peaked', 'ccd camera', 'caused primarily', 'capacitive coupling', 'antenna coupling', '1 mode']</t>
  </si>
  <si>
    <t>Two-dimensional images of the ionized argon light of a helicon discharge are made both along and across the magnetic field with various antenna configurations. Two antennas, a Nagoya type III and a helical antenna, are used to create a magnetized RF plasma with density in the range n ‚â§ 5 √ó 1013 cm-3. A CCD camera with a 488 nm bandpass filter is used to image the plasma as magnetic field and power are changed. By inserting a Faraday shield, it is demonstrated that the inductive component of the antenna coupling is responsible for producing high-density plasmas. Asymmetries in the plasma profile are shown to be caused primarily by capacitive coupling, with the purely inductively coupled plasmas being symmetric and centrally peaked. Numerical calculations of antenna coupling show that the configurations having the largest antenna loading correspond to the brightest plasmas observed in the experiment, with the m = +1 mode being the most strongly coupled.</t>
  </si>
  <si>
    <t>569-576</t>
  </si>
  <si>
    <t>35489958400;7404907705</t>
  </si>
  <si>
    <t>Blackwell, David D.;Chen, Francis F.</t>
  </si>
  <si>
    <t>Blackwell D.</t>
  </si>
  <si>
    <t>Two-dimensional imaging of a helicon discharge</t>
  </si>
  <si>
    <t>10.1088/0963-0252/6/4/015</t>
  </si>
  <si>
    <t>2-s2.0-0031269505</t>
  </si>
  <si>
    <t>CNR</t>
  </si>
  <si>
    <t>['vehicle communications', 'urban environments', 'system performance', 'system parameters', 'system operability', 'system availability', 'suitable model', 'selection combining', 'rice fading', 'rain absorption', 'paper presents', 'optimum value', 'multiuser context', 'monodimensional topology', 'manhattan scenario', 'link budget', 'interfering signals', 'highway environments', 'ghz bands', 'e .,', 'downlink performance', 'division multiple', 'channel characterization', 'channel access', 'att applications', 'antenna diversity', 'analytical method', 'also investigated', '60 ghz']</t>
  </si>
  <si>
    <t>Diversity | Millimeter waves | Mobile | Outage</t>
  </si>
  <si>
    <t>In the context of a short-range communication system for advanced transport telematics (ATT) applications, this paper presents an analytical method to derive outage probability in the presence of Rice fading, noise, interference, and antenna diversity with selection combining; the approach is exploited to evaluate the performance of beacon-to-vehicle communications in urban environments. ATT applications are becoming more and more relevant for the purpose of designing a road traffic management system, either in urban or highway environments. The interest of researchers in this field mainly indicated two different frequency ranges for system operability, i.e., the 5.8- and 60-64-GHz bands. The advantage of using millimeter waves is discussed with reference to efficient spatial filtering effects, having chosen a suitable model for channel characterization at 60 GHz. The validity of the analytical method is checked by means of Monte Carlo simulation. The role of oxygen and rain absorption on system performance is also investigated. By considering a monodimensional topology and a Manhattan scenario, system availability is evaluated in a multiuser context by taking the role of interfering signals on downlink performance into account. As an example of application, a time-division multiple-access (TDMA) scheme is assumed for channel access. The methodology exploited allows the definition of suitable design criteria; numerical results give the optimum value of distance between beacons as a function of system parameters and link budget. ¬© 1997 IEEE.</t>
  </si>
  <si>
    <t>1027-1039</t>
  </si>
  <si>
    <t>Verdone, Roberto</t>
  </si>
  <si>
    <t>Bologna</t>
  </si>
  <si>
    <t>Alma Mater Studiorum Universit√† di Bologna</t>
  </si>
  <si>
    <t>Verdone R.</t>
  </si>
  <si>
    <t>Outage probability analysis for short-range communication systems at 60 ghz in att urban environments</t>
  </si>
  <si>
    <t>S0018954597051153</t>
  </si>
  <si>
    <t>10.1109/25.653076</t>
  </si>
  <si>
    <t>2-s2.0-0031269515</t>
  </si>
  <si>
    <t>['triangular subsections', 'pulse function', 'point matching', 'paper presents', 'numerical data', 'moments based', 'curvilinear rectangular', 'basis function']</t>
  </si>
  <si>
    <t>Capacitance evaluation | Isolated paraboloidal bowl | Moment method | Sperical bowl</t>
  </si>
  <si>
    <t>The paper presents a method of the evaluation of capacitance of paraboloidal and spherical bowl using the method of moments based on pulse function as the basis function and point matching for testing. The analysis is carried out on dividing the surface into curvilinear rectangular and triangular subsections. Numerical data on capacitance are presented.</t>
  </si>
  <si>
    <t>390-393</t>
  </si>
  <si>
    <t>60004750;60023345</t>
  </si>
  <si>
    <t>35753097600;7103158845</t>
  </si>
  <si>
    <t>Das, B. N.;Chakrabarty, S. B.</t>
  </si>
  <si>
    <t>Bengaluru;Kharagpur</t>
  </si>
  <si>
    <t>Indian Space Research Organization;Indian Institute of Technology Kharagpur</t>
  </si>
  <si>
    <t>60023345;60004750</t>
  </si>
  <si>
    <t>Das B.</t>
  </si>
  <si>
    <t>Capacitance of metallic structures in the form of paraboloidal and spherical reflectors</t>
  </si>
  <si>
    <t>S0018937597083737</t>
  </si>
  <si>
    <t>10.1109/15.649845</t>
  </si>
  <si>
    <t>2-s2.0-0031269972</t>
  </si>
  <si>
    <t>['suburban environments', 'station antenna', 'simplified version', 'path loss', 'original format', 'good accuracy', 'easy implementation', 'dimension integration', 'building shadowing', 'analytical model']</t>
  </si>
  <si>
    <t>Mobile systems planning and engineering | Radio propagation prediction</t>
  </si>
  <si>
    <t>An analytical propagation model has recently been developed to predict radio signal attenuation in urban and suburban environments. This analytical model explicates the path loss as a result of signal reduction due to free space wavefront spreading, multiple diffraction past rows of buildings, and building shadowing. It is applicable for cellular mobile services as well as personal communications services (PCS) in both macroand microcellular environments. Good accuracy was found for this analytical model by comparing the predictions with numerous measurements made in various propagation environments. However, since the analytical model involves multiple-dimension integration to calculate the signal attenuation due to multiple diffraction past rows of buildings, the model in its original format does not lend itself to easy implementation into a radio system planning tool. A simplified version of the analytical model is developed in this paper, which can be used for three different propagation scenarios with base-station antenna above, below, and near the average rooftop level. ¬© 1997 IEEE.</t>
  </si>
  <si>
    <t>1040-1046</t>
  </si>
  <si>
    <t>Xia, Howard H.</t>
  </si>
  <si>
    <t>Newbury</t>
  </si>
  <si>
    <t>Vodafone</t>
  </si>
  <si>
    <t>Xia H.</t>
  </si>
  <si>
    <t>A simplified analytical model for predicting path loss in urban and suburban environments</t>
  </si>
  <si>
    <t>S0018954597046161</t>
  </si>
  <si>
    <t>10.1109/25.653077</t>
  </si>
  <si>
    <t>2-s2.0-0031270924</t>
  </si>
  <si>
    <t>['superresolution algorithms', 'rbfnn ),', 'paper discusses', 'network weights', 'music algorithm', 'music ),', 'modified using', 'modeled using', 'layer radial', 'element array', 'doa problem', 'direction findings', 'cpu time', 'correlated signals', 'computational complexity', 'also shown']</t>
  </si>
  <si>
    <t>Antenna arrys | Direction of arrival estimation</t>
  </si>
  <si>
    <t>The problem of direction of arrival (DOA) estimation of mobile users using linear antenna arrays is addressed. To reduce the computational complexity of superresolution algorithms, e.g. multiple signal classification (MUSIC), the DOA problem is approached as a mapping which can be modeled using a suitable artificial neural network trained with input output pairs. This paper discusses the application of a three-layer radial-basis function neural network (RBFNN), which can learn multiple source-direction findings of a six-element array. The network weights are modified using the normalized cumulative delta rule. The performance of this network is compared to that of the MUSIC algorithm for both uncorrelated and correlated signals. It is also shown that the RBFNN substantially reduced the CPU time for the DOA estimation computations. ¬© 1997 IEEE.</t>
  </si>
  <si>
    <t>1611-1617</t>
  </si>
  <si>
    <t>El Zooghby, Ahmed H.</t>
  </si>
  <si>
    <t>El Zooghby A.</t>
  </si>
  <si>
    <t>Performance of radial-basis function networks for direction of arrival estimation with antenna arrays</t>
  </si>
  <si>
    <t>S0018926X97080009</t>
  </si>
  <si>
    <t>10.1109/8.650072</t>
  </si>
  <si>
    <t>2-s2.0-0031271507</t>
  </si>
  <si>
    <t>['zone gains', 'wave solutions', 'radiation problem', 'oeg aperture', 'frequncy range', 'efie ).', 'calculated gain', 'also given']</t>
  </si>
  <si>
    <t>Anechoic chamber | Near-zone gain | Open-ended waveguides</t>
  </si>
  <si>
    <t>Full-wave solutions to the problem of radiation by open-ended rectangular waveguides (OEG) are presented. The radiation problem is formulated in terms of an electric field integral equation (EFIE). The EFIE issolved using the method of moments for three OEG antennas covering the frequncy range from 200 to 750 M Hz. Results for the near-zone gains as a function of both frequency and distance from the OEG aperture are presented. Estimates for uncertainties in the calculated gain are also given.</t>
  </si>
  <si>
    <t>Near-zone gain of open-ended rectangular waveguides</t>
  </si>
  <si>
    <t>S0018937597085505</t>
  </si>
  <si>
    <t>10.1109/15.649850</t>
  </si>
  <si>
    <t>2-s2.0-0031271624</t>
  </si>
  <si>
    <t>['stacked geometry', 'simple model', 'radiation patterns', 'outstanding gain', 'modal analysis', 'mobile communications', 'lower cavities', 'improved bandwidth', 'fringe fields', 'frequency behavior', 'form solutions', 'experimental data', 'dispersion effects', 'dielectric material', 'conventional patches', 'cavity model', 'bandwidth characteristics']</t>
  </si>
  <si>
    <t>Microstrip ring antennas deserve special attention because they can yield a larger bandwidth compared to other conventional patches and outstanding gain-bandwidth characteristics that renders them useful for applications that require reduced size and good radiation efficiency, like the area of mobile communications. In this paper, the stacked microstrip ring antennas for dual-frequency behavior and improved bandwidth are studied and analyzed. The cavity model for single microstrip antennas is extended with some modifications for the stacked geometry to account for coupling between the upper and lower cavities, fringe fields, dispersion effects, and effective loss tangent of the dielectric material. Green's functions are used to allow for modal analysis and closed-form solutions. Results for radiation patterns and input impedance predicted through this simple model are compared with experimental data. ¬© 1997 IEEE.</t>
  </si>
  <si>
    <t>1626-1635</t>
  </si>
  <si>
    <t>6602386834;35465847700</t>
  </si>
  <si>
    <t>G√∂mez-Tagle, Javier;Christodoulou, Christos G.</t>
  </si>
  <si>
    <t>G√∂mez-Tagle J.</t>
  </si>
  <si>
    <t>Extended cavity model analysis of stacked microstrip ring antennas</t>
  </si>
  <si>
    <t>S0018926X97079994</t>
  </si>
  <si>
    <t>10.1109/8.650074</t>
  </si>
  <si>
    <t>2-s2.0-0031271756</t>
  </si>
  <si>
    <t>['transition situations', 'thermal noise', 'system performance', 'state situations', 'simulation tool', 'several figures', 'selection combining', 'random access', 'protocol parameters', 'network performance', 'joint impact', 'highway environment', 'ghz band', 'fst ),', 'field indicates', 'evaluated either', 'distributed nature', 'dfp ).', 'cooperative driving', 'antenna diversity', 'analytically evaluated', 'analytical approach', 'aloha protocol']</t>
  </si>
  <si>
    <t>Highway | Intervehicle | Millimeter waves | Multihop</t>
  </si>
  <si>
    <t>With reference to road transport information (RTI) applications, such as cooperative driving, short-range intervehicle communications in a highway environment are investigated in this paper. The research in this field indicates the suitability of the 60-64-GHz band. Due to the distributed nature of the intervehicle communication system, an R-ALOHA protocol is considered; multihop (MH) and single-hop (SH) strategies are compared. Network performance is assessed by considering the joint impact of random access, interference, thermal noise, propagation, and packet capture effect. Several figures of merit are analyzed and discussed: packet success probability (PSP), system stabilization time (SST), first success time (FST), and deadline failure probability (DFP). Network performance is evaluated either by an analytical approach or by a software tool able to simulate a one-lane highway scenario. Both steady-state and transition situations are considered. System performance in terms of PSP (in the presence of two-ray Rice fading, noise, and interference with antenna diversity and selection combining) is analytically evaluated to validate the simulation tool and to prove the suitability of an MH network strategy. The simulation approach allows the evaluation of the impact of protocol parameters on network performance, with reference to nonsteady-state situations. ¬© 1997 IEEE.</t>
  </si>
  <si>
    <t>992-1005</t>
  </si>
  <si>
    <t>Multihop r-aloha for intervehicle communications at millimeter waves</t>
  </si>
  <si>
    <t>S0018954597051165</t>
  </si>
  <si>
    <t>10.1109/25.653073</t>
  </si>
  <si>
    <t>2-s2.0-0031272435</t>
  </si>
  <si>
    <t>NSC85-2213-E-145-001</t>
  </si>
  <si>
    <t>['wave analysis', 'vswr ),', 'theoretical formulation', 'studied theoretically', 'spectral domain', 'single circular', 'ring loaded', 'resonance frequencies', 'radiation characteristics', 'polarization radiation', 'patch case', 'numerical results', 'numerical calculation', 'moment method', 'larger cross', 'input impedance', 'impedance bandwidth', 'coaxial probe']</t>
  </si>
  <si>
    <t>In this paper, an annular-ring loaded (ARL) spherical-circular microstrip antenna is studied theoretically. The antenna is excited by a coaxial probe. The theoretical formulation is based on full-wave analysis in the spectral domain by using vector Legendre transform and Galerkin's moment method is used for numerical calculation. Numerical results of the resonance frequencies, input impedance, voltage standing wave ratio (VSWR), and radiation characteristics are presented. It is shown that the impedance bandwidth of the spherical-circular microstrip antenna can be broadened by adding an annular-ring parasitic patch. By comparing to the single circular-patch case, the spherical-circular microstrip antenna with an annular-ring parasitic patch has larger minor lobes and larger cross-polarization radiation. ¬© 1997 IEEE.</t>
  </si>
  <si>
    <t>60002069;60002069</t>
  </si>
  <si>
    <t>35755202500;7404915703</t>
  </si>
  <si>
    <t>Chen, H. T.;Cheng, Y. T.</t>
  </si>
  <si>
    <t>Feng Shan</t>
  </si>
  <si>
    <t>Chinese Military Academy Taiwan</t>
  </si>
  <si>
    <t>Full-wave analysis of the annular-ring loaded spherical-circular microstrip antenna</t>
  </si>
  <si>
    <t>S0018926X97080034</t>
  </si>
  <si>
    <t>10.1109/8.650068</t>
  </si>
  <si>
    <t>2-s2.0-0031272839</t>
  </si>
  <si>
    <t>['three turbo', 'speech transmission', 'proposed turbo', 'different complexity', 'designed turbo', 'described concisely', 'aforementioned jd']</t>
  </si>
  <si>
    <t>CDMA | Joint detection | Mobile radio | Multiuser detection | Third generation | Turbo-codes</t>
  </si>
  <si>
    <t>In this paper, turbo-codes which are applicable to speech transmission in digital mobile radio systems shall be treated. Three turbo-codes of different complexity will be presented. The proposed turbo-codes are suitable for the application to speech transmission in the recently introduced joint detection code-division multiple access (JD-CDMA) mobile radio system with coherent receiver antenna diversity (CRAD) which will be described concisely. The performance of the designed turbo-codes in terms of bit and frame error rates shall be shown in the case of additive white Gaussian noise (AWGN) channels, flat Rayleigh fading channels, and in the uplink of the aforementioned JD-CDMA mobile radio system. ¬© 1997 IEEE.</t>
  </si>
  <si>
    <t>862-870</t>
  </si>
  <si>
    <t>Jung, Peter</t>
  </si>
  <si>
    <t>Results on turbo-codes for speech transmission in a joint detection cdma mobile radio system with coherent receiver antenna diversity</t>
  </si>
  <si>
    <t>S0018954597051220</t>
  </si>
  <si>
    <t>10.1109/25.653060</t>
  </si>
  <si>
    <t>2-s2.0-0031272920</t>
  </si>
  <si>
    <t>['receiver modules', 'radar applications', 'paper describes', 'good performance', 'experimental results', 'calibration procedures', 'calibration network', 'antenna elements', 'also presented', '12 channel']</t>
  </si>
  <si>
    <t>This paper describes a 12 channel S-band digital beamforming antenna aimed at radar applications. It has a 2.8-3.3 GHz agile band and the signal is sampled at IF. The design of antenna elements, calibration network, receiver modules and signal processing ASIC are discussed. Calibration procedures and experimental results, showing very good performance, are also presented. The purpose of this work is to evaluate design parameters, requirements and limitations.</t>
  </si>
  <si>
    <t>19-26</t>
  </si>
  <si>
    <t>113054388-60003554;113054388-60000502;113054388</t>
  </si>
  <si>
    <t>7103106321;6603435013;57238494900</t>
  </si>
  <si>
    <t>Pettersson, Lars;Danestig, Magnus;Sjostrom, Ulf</t>
  </si>
  <si>
    <t>Sweden;Sweden;Sweden</t>
  </si>
  <si>
    <t>Stockholm;Stockholm;</t>
  </si>
  <si>
    <t>Totalforsvarets forskningsinstitut;Ericsson Radio Systems AB;Swedish Defence Research Establishment</t>
  </si>
  <si>
    <t>60003554;60000502;113054388</t>
  </si>
  <si>
    <t>Pettersson L.</t>
  </si>
  <si>
    <t>An experimental S-band digital beamforming antenna</t>
  </si>
  <si>
    <t>10.1109/62.636800</t>
  </si>
  <si>
    <t>2-s2.0-0031272945</t>
  </si>
  <si>
    <t>86-2213-E-009-062</t>
  </si>
  <si>
    <t>['theoretical prediction', 'pencil beam', 'pass design', 'measured result', 'linear eight', 'excellent agreement', 'db beamwidth', '5 db', '3 ¬∞.']</t>
  </si>
  <si>
    <t>The first-pass design of a linear eight-element microstrip leaky-mode antenna array is proposed, built, and tested, showing a gain of 18.5 dB, directivity of 23.5 dB, and pencil beam with 3-dB beamwidth (Az/El) of 10.2¬∞/14.3¬∞. Excellent agreement between the theoretical prediction and measured result for the array antenna performance is obtained. ¬© 1997 IEEE.</t>
  </si>
  <si>
    <t>1698-1699</t>
  </si>
  <si>
    <t>57214062292;55412221300</t>
  </si>
  <si>
    <t>Hu, Cheng Nan;Tzuang, Ching Kuang C.</t>
  </si>
  <si>
    <t>Hu C.N.</t>
  </si>
  <si>
    <t>Microstrip leaky-mode antenna array</t>
  </si>
  <si>
    <t>S0018926X97079891</t>
  </si>
  <si>
    <t>10.1109/8.650085</t>
  </si>
  <si>
    <t>2-s2.0-0031273150</t>
  </si>
  <si>
    <t>['¬± 0', 'range gain', 'pyramidal horns', 'pyramidal horn', 'improved accuracy', 'frequency range', 'expressions compare', 'earlier formulas', 'direct integration', 'aperture field', '5 ghz', '15 db']</t>
  </si>
  <si>
    <t>Finite-range gain | Pyramidal horn</t>
  </si>
  <si>
    <t>Expressions are presented for estimating the finite-range gain of pyramidal horns with improved accuracy. These are obtained by avoiding the conventional path length approximation in estimating the gain reduction factors, by a direct integration of the aperture field. In the frequency range from 18 to 26.5 GHz, these expressions compare with available measured data on a pyramidal horn with an accuracy of better than ¬±0.15 dB, which is an improvement of about the same order over the earlier formulas.</t>
  </si>
  <si>
    <t>374-376</t>
  </si>
  <si>
    <t>60070264;60070264;60070264</t>
  </si>
  <si>
    <t>7404660772;6701834327;57188557257</t>
  </si>
  <si>
    <t>Rao, Patnam Hanumantha;Selvan, Krishnasamy T.;Das, Sisir K.</t>
  </si>
  <si>
    <t>SAMEER-Centre for Electromagnetics India</t>
  </si>
  <si>
    <t>Rao P.</t>
  </si>
  <si>
    <t>Finite-range gain prediction of pyramidal horn with improved accuracy</t>
  </si>
  <si>
    <t>S001893759708424X</t>
  </si>
  <si>
    <t>10.1109/15.649840</t>
  </si>
  <si>
    <t>2-s2.0-0031273643</t>
  </si>
  <si>
    <t>University of South Alabama</t>
  </si>
  <si>
    <t>USA</t>
  </si>
  <si>
    <t>['published analytical', 'experimental data', 'equivalent circuit']</t>
  </si>
  <si>
    <t>Dipole antennas | Equivalent circuits</t>
  </si>
  <si>
    <t>The purpose of this letter is to derive an equivalent circuit for a dipole of any length and to compare the input impedance versus frequency of the resulting equivalent circuit with published analytical and experimental data. ¬© 1997 IEEE.</t>
  </si>
  <si>
    <t>1695-1696</t>
  </si>
  <si>
    <t>60000705;100533724</t>
  </si>
  <si>
    <t>7103051886;7006017293</t>
  </si>
  <si>
    <t>Hamid, M.;Hamid, R.</t>
  </si>
  <si>
    <t>Mobile;New Orleans</t>
  </si>
  <si>
    <t>University of South Alabama;Walk Haydel</t>
  </si>
  <si>
    <t>Hamid M.</t>
  </si>
  <si>
    <t>Equivalent circuit of dipole antenna of arbitrary length</t>
  </si>
  <si>
    <t>S0018926X97079908</t>
  </si>
  <si>
    <t>10.1109/8.650083</t>
  </si>
  <si>
    <t>2-s2.0-0031274932</t>
  </si>
  <si>
    <t>NSC 84-2213-E-155-029</t>
  </si>
  <si>
    <t>['simulation results', 'problems due', 'monitor screen', 'measured distance', 'higher values', 'fdtd method', 'fcc regulations', 'experimental data', 'electromagnetic radiation', 'electromagnetic compatibility', 'difference time', 'crt ).', 'computer monitor', 'computational efficiency', 'also found']</t>
  </si>
  <si>
    <t>Electromagnetic radiation | Finite-difference time-domain method | Monitor</t>
  </si>
  <si>
    <t>The finite-difference time-domain (FDTD) method is used to analyze the electromagnetic compatibility and interference (EMC and EMI) problems due to the electromagnetic radiation from a video output amplifier located inside a computer monitor. The multiple grid technique is implemented in the FDTD method to improve the computational efficiency. The video output amplifier is modeled by a rectangular iron container with an equivalent dipole antenna located at the center of one opened wall faced to the cathode-ray-tube (CRT). The coupled electric fields inside and outside the monitor are calculated. It is found that higher values of coupled electric fields occur near the monitor screen. It is also found that the coupled electric fields outside the CRT region drop sharply in amplitude. Simulation results of coupled electric fields at a distance of 3 m from the monitor screen also comply with the FCC regulations. Calculation results also agree with the experimental data for coupled electric fields outside the monitor screen at a measured distance of 3 m.</t>
  </si>
  <si>
    <t>394-397</t>
  </si>
  <si>
    <t>7501614342;57220254980</t>
  </si>
  <si>
    <t>Chen, Hsing Yi;Tarn, I. Young</t>
  </si>
  <si>
    <t>Chen H.Y.</t>
  </si>
  <si>
    <t>Analysis of electromagnetic radiation from a video output amplifier inside a monitor by using FDTD method</t>
  </si>
  <si>
    <t>S0018937597083786</t>
  </si>
  <si>
    <t>10.1109/15.649847</t>
  </si>
  <si>
    <t>2-s2.0-0031274971</t>
  </si>
  <si>
    <t>['wg resonators', 'wg resonator', 'variable diameter', 'transmission line', 'theoretical predictions', 'radial directions', 'problems connected', 'merit factor', 'main peculiarities', 'laser radiation', 'high directivity', 'good agreement', 'field intensities', 'field distribution', 'far infrared', 'experimental results', 'experimental characterization', 'electromagnetic propagation', 'different resonators', 'dielectric waveguides', 'dielectric resonators', 'dielectric antennas', 'carefully discussed', 'best choice', 'basic problem', 'acquire knowledge', 'accurate measurements']</t>
  </si>
  <si>
    <t>Dielectric resonators | Far infrared (fir) radiation | Whispering gallery modes</t>
  </si>
  <si>
    <t>Applications of whispering-gallery-mode (WGM) dielectric resonators in the millimeter and submillimeter frequency range are discussed. A summary of the main peculiarities of these resonators is given, and a method to obtain approximate analytical expressions of electromagnetic field components is developed. Problems connected with the excitation by far infrared (FIR) laser radiation are examined. The analysis of electromagnetic propagation in different structures drives the best choice for the transmission line (metallic and dielectric waveguides), and the same theoretical analysis allows to face the basic problem of optimizing the matching between transmission-line and WG resonators; the role in this application of dielectric waveguides with variable diameter is discussed. All of the predictions are obtained in a unified theoretical picture. The experimental characterization of a WG resonator at 240 GHz involved the measurement of the effectiveness of the coupling between the transmission line and the resonator, the determination of the merit factor and free spectral range for the different resonance families in different resonators. Accurate measurements were carried out to acquire knowledge of the field distribution in both axial and radial directions; to this purpose, dielectric antennas with high directivity were used to sense the field intensities for different resonance modes. The good agreement between the experimental results and the theoretical predictions is carefully discussed. ¬©1997 IEEE.</t>
  </si>
  <si>
    <t>2025-2034</t>
  </si>
  <si>
    <t>60021199;60030674;60021199;60030674</t>
  </si>
  <si>
    <t>7003720580;6602989089;23110789600;57196029162</t>
  </si>
  <si>
    <t>Annino, Giuseppe;Cassettari, Mario;Longo, Iginio;Martinelli, Massimo</t>
  </si>
  <si>
    <t>Pisa;Rome</t>
  </si>
  <si>
    <t>Scuola Normale Superiore di Pisa;Consiglio Nazionale delle Ricerche</t>
  </si>
  <si>
    <t>60030674;60021199</t>
  </si>
  <si>
    <t>Annino G.</t>
  </si>
  <si>
    <t>Whispering Gallery Modes in a Dielectric Resonator: Characterization at Millimeter Wavelength</t>
  </si>
  <si>
    <t>S0018948097080204</t>
  </si>
  <si>
    <t>10.1109/22.644226</t>
  </si>
  <si>
    <t>2-s2.0-0031275024</t>
  </si>
  <si>
    <t>['waves associated', 'uncoated cylinder', 'transverse electrical', 'research presented', 'ram increases', 'interesting traits', 'frequency regime', 'frequency range', 'electrical phenomenology', 'electrical backscatter', 'concentric layers', 'bistatic behavior', '25 ghz']</t>
  </si>
  <si>
    <t>Frequency domain | Method of moments | Radar absorbing materials | Time domain | Transient electromagnetics | Wire antenna</t>
  </si>
  <si>
    <t>The research presented here examines the maximum attenuation available from concentric layers of radar absorbing materials (RAM) surrounding an infinitely long perfect electrically conducting circular cylinder. The electrical phenomenology of normally incident transverse magnetic (TM) and transverse electrical (TE) waves associated with backscattered and bistatic behavior is investigated for a frequency range up to 25 GHz. Some of the more interesting traits of the behavior were found to occur at relatively low frequencies. In this frequency regime, the TE case dearly shows that the addition of RAM increases the electrical backscatter over that which would be received from the uncoated cylinder.</t>
  </si>
  <si>
    <t>324-331</t>
  </si>
  <si>
    <t>60011754;60011754;60000251-60011754</t>
  </si>
  <si>
    <t>6506982075;7005985707;7003909714</t>
  </si>
  <si>
    <t>Jarriel, George W.;Riggs, Lloyd S.;Baginski, Michael E.</t>
  </si>
  <si>
    <t>Auburn;New York</t>
  </si>
  <si>
    <t>Auburn University;IEEE</t>
  </si>
  <si>
    <t>60011754;60000251</t>
  </si>
  <si>
    <t>Jarriel G.</t>
  </si>
  <si>
    <t>A simple method for optimizing radar absorbent material coatings on HF rope antennas for the increased attenuation of unwanted reflections</t>
  </si>
  <si>
    <t>S0018937597083816</t>
  </si>
  <si>
    <t>10.1109/15.649824</t>
  </si>
  <si>
    <t>2-s2.0-0031275666</t>
  </si>
  <si>
    <t>NCR 9115820</t>
  </si>
  <si>
    <t>['work found', 'varying fading', 'using essentially', 'transmitter diversity', 'traditional single', 'symbolassisted modulation', 'stationary fading', 'psam ).', 'proper selections', 'paper presents', 'paper examines', 'necessary time', 'mobile communications', 'many applications', 'major benefit', 'longer feasible', 'interleaving depth', 'ideal interleaving', 'good performance', 'g .,', 'fading channels', 'enough antennas', 'detail using', 'correlated fading', 'coded sequence', 'coded modulations', 'coded modulation', 'code symbols', 'code symbol', 'antenna psam', '0 ).']</t>
  </si>
  <si>
    <t>Coding | Pilot-symbol-assisted modulation | Transmitter diversity</t>
  </si>
  <si>
    <t>Coded modulation (usually with interleaving) is used in fading channel communications to achieve good error performance. The major benefit from using coded modulation in fading channels is achieved if each code symbol of a codeword (or coded sequence) suffers statistically different fading (preferably independent fading). However, in many applications of mobile communications (e.g., in a metropolitan environment), a low vehicle speed (and hence, a small Doppler spread, fo) is very common. With a small Doppler spread, ideal or close-to-ideal interleaving is no longer feasible and all code symbols of a codeword would suffer highly correlated fading especially in stationary fading (fo ~ 0). Coded modulations will thus suffer seriously degraded performance. Previous performance analyses based on ideal interleaving are not accurate when a small Doppler spread is encountered and the much used union bound error probability analysis is loose for small Doppler spreads. To rectify this situation, this paper presents an improved performance analysis of coded modulations with correlated fading and pilot-symbolassisted modulation (PSAM). Transmitter diversity can generate the necessary time-varying fading to maintain the effectiveness of a coded signaling scheme and this paper examines in detail using an intentional frequency offset between antennas. This work found that proper selections of the intentional frequency offset and interleaving depth can lead to good performance with traditional coded modulations (if enough antennas are used) using essentially the same simple demodulation structure as used in the traditional single-antenna PSAM. ¬© 1997 IEEE.</t>
  </si>
  <si>
    <t>871-881</t>
  </si>
  <si>
    <t>Kuo, Wen Yi</t>
  </si>
  <si>
    <t>Kuo W.</t>
  </si>
  <si>
    <t>Design and analysis of transmitter diversity using intentional frequency offset for wireless communications</t>
  </si>
  <si>
    <t>S0018954597046173</t>
  </si>
  <si>
    <t>10.1109/25.653061</t>
  </si>
  <si>
    <t>2-s2.0-0031275937</t>
  </si>
  <si>
    <t>['paper describes', 'measured results', 'l2 frequencies', 'electrical performance', 'design procedure', 'antenna operates', 'also included', '1227 mhz']</t>
  </si>
  <si>
    <t>This paper describes the design and testing of an aperture-coupled circularly polarized antenna for global positioning satellite (GPS) applications. The antenna operates at both the LI and L2 frequencies of 1575 and 1227 MHz, which is required for differential GPS systems in order to provide maximum positioning accuracy. Electrical performance, lowprofile, and cost were equally important requirements for this antenna. The design procedure is discussed, and measured results are presented. Results from a manufacturing sensitivity analysis are also included. ¬© 1997 IEEE.</t>
  </si>
  <si>
    <t>1618-1625</t>
  </si>
  <si>
    <t>7006061921;7202065715</t>
  </si>
  <si>
    <t>Pozar, David M.;Duffy, Scan M.</t>
  </si>
  <si>
    <t>A dual-band circularly polarized aperture-coupled stacked microstrip antenna for global positioning satellite</t>
  </si>
  <si>
    <t>RS0018926X97079866</t>
  </si>
  <si>
    <t>10.1109/8.650073</t>
  </si>
  <si>
    <t>2-s2.0-0031276226</t>
  </si>
  <si>
    <t>['visual council', 'one based', 'new model', 'model shows', 'digital audio', 'consolidated end', 'based networks']</t>
  </si>
  <si>
    <t>We present further details of a new model for the prediction of consolidated end-to-end costs across complex interoperable networks. This new model extends established work by adding detailed profile information via a generic network architecture representation for Asynchronous Transfer Mode (ATM) based networks. The model is further extended by considering network architectures which fit the Digital Audio-Visual Council (DAVIC) specifications, particularly those which use the Community Antenna Television (CATV) infrastructure. The model shows that the introduction of a linearisation function dependent on the protocol profile produces a fairer tariff model as opposed to one based on effective bandwidth alone.</t>
  </si>
  <si>
    <t>;;;60001881</t>
  </si>
  <si>
    <t>7005289962;6507252354;7006158681;6602576322</t>
  </si>
  <si>
    <t>Smythe, C.;Stergiou, I.;Cvetkovic, S.;Tzerefos, P.</t>
  </si>
  <si>
    <t>Smythe C.</t>
  </si>
  <si>
    <t>Simple models for cost prediction over DAVIC based architectures</t>
  </si>
  <si>
    <t>2-s2.0-0031276918</t>
  </si>
  <si>
    <t>['satellite application', 'radar antennas', 'low sidelobes', 'elliptical beam', 'also suitable']</t>
  </si>
  <si>
    <t>An offset elliptical reflector antenna suitable for satellite application was designed and investigated when it was fed by a rectangular horn partially filled with a dielectric. The reflector antenna exhibits high gain, low cross polarization, low sidelobes and an elliptical beam. Although this study has been carried out in view of possible satellite applications, it is clear that this antenna is also suitable for use in radar antennas.</t>
  </si>
  <si>
    <t>Journal of Beijing Institute of Technology (English Edition)</t>
  </si>
  <si>
    <t>60016835;60016835;60016835</t>
  </si>
  <si>
    <t>55706593300;7201753522;56098298000</t>
  </si>
  <si>
    <t>Liu, Gang;Gao, Benqing;Wang, Yue</t>
  </si>
  <si>
    <t>Beijing Institute of Technology</t>
  </si>
  <si>
    <t>Liu G.</t>
  </si>
  <si>
    <t>Elliptical-beam reflector antenna for satellite communication system</t>
  </si>
  <si>
    <t>2-s2.0-0031293649</t>
  </si>
  <si>
    <t>['sommerfeld integrals', 'patch antenna', 'nim ).', 'matching network', 'feeding structure', 'dcit ),', 'accurately calculated']</t>
  </si>
  <si>
    <t>A broadband microstrip patch antenna was analyzed and designed. Full-wave analysis method (FWAM) was employed to show that a stacked microstrip dual-patch antenna (SMDPA) might have a much wider bandwidth than that of the ordinary unipatch one. By means of discrete complex image theory (DCIT), the Sommerfeld integrals (SI) involved were accurately calculated at a speed several hundred times faster than numerical integration method (NIM). The feeding structure of the SMDPA was then improved and the bandwidth was extended to about 22% or more for voltage standing wave ratio (VSWR) s‚â§2. Finally, a matching network was constructed to obtain a bandwidth of about 25% for s‚â§1.5.</t>
  </si>
  <si>
    <t>357-362</t>
  </si>
  <si>
    <t>60016835;60016835;60016835;60016835;60016835</t>
  </si>
  <si>
    <t>7405297152;57196736500;7406680306;7401683039;55741005400</t>
  </si>
  <si>
    <t>Xu, Xiaowen;Xu, Jian;Liu, Zhangfa;Zhu, Bocheng;Li, Sizhi</t>
  </si>
  <si>
    <t>Xu X.</t>
  </si>
  <si>
    <t>Analysis and design of broadband stacked microstrip patch antennas</t>
  </si>
  <si>
    <t>2-s2.0-0031294495</t>
  </si>
  <si>
    <t>['transmission characteristics', 'small planar', 'receiving characteristics', 'received signal', 'polarization switching', 'polarization diversity', 'polarization directivity', 'new type', 'meaningful results', 'internal oscillator', 'fundamental experiments', 'conductor posts', 'conductor alternately', 'cable connected']</t>
  </si>
  <si>
    <t>Small planar-type loop antennas used in pagers have fixed directivity patterns. As a result, the received signal strength on depends on the orientation of the antenna. A new type of small planar loop antenna (PLA) is, therefore, proposed. The position of conductor posts can be changed and MOSFET's are adopted for switching the conductor posts. If the positions of the posts can be switched at will, then the dependence of the received signal on the orientation of the antenna can be minimized. Fundamental experiments were performed in order to investigate the characteristics of polarization switching. Polarization directivity was measured while switching each conductor alternately. The receiving characteristics are affected by a cable connected to the receiver. Therefore, the transmission characteristics are measured by using an internal oscillator. As a result, meaningful results were obtained and the possibility of polarization diversity was shown.</t>
  </si>
  <si>
    <t>1818-1821</t>
  </si>
  <si>
    <t>60014652;60014652;60014652</t>
  </si>
  <si>
    <t>7006339851;7402368349;7404897527</t>
  </si>
  <si>
    <t>Muramoto, Mitsuru;Ishii, Nozomu;Itoh, Kiyohiko</t>
  </si>
  <si>
    <t>Muramoto M.</t>
  </si>
  <si>
    <t>Characteristics of a small planar loop antenna</t>
  </si>
  <si>
    <t>10.1109/8.650200</t>
  </si>
  <si>
    <t>2-s2.0-0031332595</t>
  </si>
  <si>
    <t>['scattered fields', 'observation point', 'matching technique', 'distributed target', 'backscattering property', 'automotive applications']</t>
  </si>
  <si>
    <t>The backscattering property of the 90¬∞ dihedral corner reflector is exploited to define a distributed target for automotive applications. In the analysis, the scatterer is described as a junction among three radial waveguides and the problem is solved by applying the mode-matching technique in a convenient matrix form. Once the structure is characterized in terms of a multimodal scattering matrix, the evaluation of the scattered fields at any observation point is straightforward.</t>
  </si>
  <si>
    <t>1823-1829</t>
  </si>
  <si>
    <t>6507499649;7003971368;7005438782;7004085807</t>
  </si>
  <si>
    <t>Cugiani, Corrado;Orta, Renato;Savi, Patrizia;Tascone, Riccardo</t>
  </si>
  <si>
    <t>Cugiani C.</t>
  </si>
  <si>
    <t>Full-wave investigation of a corner reflector proposed as reference line target for automotive applications</t>
  </si>
  <si>
    <t>10.1109/8.650201</t>
  </si>
  <si>
    <t>2-s2.0-0031332944</t>
  </si>
  <si>
    <t>['sampling expansions', 'interpolation theorem', 'data compression', 'applications include']</t>
  </si>
  <si>
    <t>This paper describes generalizations of Shannon's sampling and interpolation theorem to irregularly-sampled bandlimited signals, and shows how truncation error bounds may be derived for the sampling expansions. Applications include: communications, data compression, optical image reconstruction, and the analysis of arrays of irregularly-spaced radar antennas or sonobuoys.</t>
  </si>
  <si>
    <t>GEC Journal of Technology</t>
  </si>
  <si>
    <t>Martin, R. J.</t>
  </si>
  <si>
    <t>Martin R.J.</t>
  </si>
  <si>
    <t>Introduction to Shannon sampling and interpolation theory, with generalizations to nonuniform sampling</t>
  </si>
  <si>
    <t>2-s2.0-0031333304</t>
  </si>
  <si>
    <t>['smart cards', 'reduced number', 'reduce size', 'processing costs', 'many applications', 'manufacturing steps', 'lower temperatures', 'lower equipment', 'exceptional reliability', 'environmental cleanliness', 'direct interconnect', 'automated production']</t>
  </si>
  <si>
    <t>Polymer flip chip technology is helping to reduce size and cost of smart cards while increasing their performance. Polymer flip chip also allows a direct interconnect between the chip and the antenna in a contactless smart card. In comparison to other flip chip methods, the polymer flip chip process is distinguished by a reduced number of manufacturing steps, lower equipment and processing costs, environmental cleanliness, lower temperatures, suitability for automated production, and exceptional reliability for many applications.</t>
  </si>
  <si>
    <t>39-40, 42, 44</t>
  </si>
  <si>
    <t>Electronic Packaging and Production</t>
  </si>
  <si>
    <t>100443549;100443549</t>
  </si>
  <si>
    <t>6602799923;7006560042</t>
  </si>
  <si>
    <t>Kulesza, Frank W.;Estes, Richard H.</t>
  </si>
  <si>
    <t>Billerica</t>
  </si>
  <si>
    <t>Polymer Flip Chip Corp</t>
  </si>
  <si>
    <t>Kulesza F.</t>
  </si>
  <si>
    <t>Assembling smart cards with polymer flip chip technology</t>
  </si>
  <si>
    <t>2-s2.0-0031334304</t>
  </si>
  <si>
    <t>['total carrier', 'system employs', 'system construction', 'speed p', 'signal transmission', 'signal bandwidth', 'sharp beam', 'related technologies', 'optical signal', 'noise ratio', 'network applications', 'n detector', 'mmw high', 'highspeed digital', 'future high', 'experiments demonstrate', 'demonstration system', 'band millimeterwave', 'atr ).', 'analog fm', 'also feasible', 'also described', 'adaptively controlled', '75 ghz', '45 db', '2 db', '18 mhz', '118 mb', '10 6']</t>
  </si>
  <si>
    <t>Beamforming network | Millimeter wave | Millimeter wave/optical interaction | Millimeter-wave subcarrier system | Mobile communication system | Optical signal-processing antennas</t>
  </si>
  <si>
    <t>This paper describes work on wide-band millimeterwave (MMW)/optical-network applications in Japan-in particular, projects being pursued at the Advanced Telecommunications Research Institute (ATR). Digital-signal transmission at 118 Mb/s was tested. Results of the experiments demonstrate that highspeed digital-signal transmission, with a total carrier-to-noise ratio (C/N) degradation of less than 1.2 dB from a modem at a BER of 10 6, is feasible. Similarly, analog FM-signal transmission with a weighted S/N of more than 45 dB is also feasible at a signal bandwidth of 18 MHz and FM carrier frequency of 43.75 GHz. Based on these results, a demonstration system was constructed, and the feasibility of the system was confirmed. Several key technologies for system construction such as an MMW optical modulator and an MMW high-speed p-i-n detector and some related technologies are also described. In addition, an advanced system considered suitable for future high-speed mobile communications is proposed. This system employs an optical signal-processing multibeam antenna, where the direction of each sharp beam can be adaptively controlled. ¬© 1997 IEEE.</t>
  </si>
  <si>
    <t>2197-2207</t>
  </si>
  <si>
    <t>12 PART 2</t>
  </si>
  <si>
    <t>Imai, Nobuaki</t>
  </si>
  <si>
    <t>Imai N.</t>
  </si>
  <si>
    <t>Wide-band millimeter-wave/optical-network applications in japan</t>
  </si>
  <si>
    <t>S0018948097083622</t>
  </si>
  <si>
    <t>10.1109/22.643816</t>
  </si>
  <si>
    <t>2-s2.0-0031335409</t>
  </si>
  <si>
    <t>['wavelength comparable', 'various diameters', 'various angles', 'tm modes', 'tex woven', 'tex ,"', 'standard gore', 'radome applications', 'membrane materials', 'incident wave', 'ghz range', 'fts ).', 'first time', 'continuous function', '240 ghz', '1000 ghz']</t>
  </si>
  <si>
    <t>Antenna | Fourier transform spectroscopy | Millimeter-wave | Radomes | Submillimeter-wave | Transmittance</t>
  </si>
  <si>
    <t>Transmittance of a number of woven and nonwoven radorne membranes with various diameters of threads of the fabric and thickness of the laminate has been studied as a continuous function of frequency over the 30-1000-GHz range by utilizing Fourier transform spectroscopy (FTS). These woven and nonwoven radome membranes, now known as "Gore-Tex," were manufactured by W. L. Gore and Associates, Inc. In this paper and for the first time, the transmittance has been measured with various angles of incidence of the incident wave for both TE and TM modes. Strong diffractive scattering has been found above the frequency with wavelength comparable with the fabrics' period (240 GHz for the standard Gore-Tex product). Gore-Tex woven-membrane materials were found to be suitable for radome applications up to 1000 GHz. ¬© 1997 IEEE.</t>
  </si>
  <si>
    <t>2454-2460</t>
  </si>
  <si>
    <t>Afsar, Mohammed Nurul</t>
  </si>
  <si>
    <t>Medford</t>
  </si>
  <si>
    <t>Tufts University</t>
  </si>
  <si>
    <t>Afsar M.</t>
  </si>
  <si>
    <t>Measurement of transmittance and scattering of radome membranes from 30 to 1000 ghz</t>
  </si>
  <si>
    <t>S0018948097083233</t>
  </si>
  <si>
    <t>10.1109/22.643859</t>
  </si>
  <si>
    <t>2-s2.0-0031335625</t>
  </si>
  <si>
    <t>['spectral gap', 'space harmonics', 'periodic structure', 'periodic leaky', 'one finds', 'nonphysical ).', 'modal solutions', 'metallic strips', 'interesting features', 'interesting differences', 'infinite number', 'infinite array', 'higher frequencies', 'general class', 'gap behavior', 'frequency end', 'forward endfire', 'dielectric layer', 'conclusions reached', 'behavioral differences', 'also radiating']</t>
  </si>
  <si>
    <t>Leaky waves | Leaky-wave antennas | Periodic structures</t>
  </si>
  <si>
    <t>The nature of the spectral gap at forward endfire for a periodic leaky-wave structure consisting of an infinite array of metallic strips on a lossless grounded dielectric layer is studied and compared with that for a simple grounded dielectric layer. The conclusions reached are expected to be valid for a general class of open periodic structures. One of the interesting features of the periodic structure is that a different branch choice is possible for each of the infinite number of space harmonics (although most of these will be nonphysical). This leads to an infinite number of steepest descent planes (SDP's) for the modal solutions, instead of only one as for the dielectric layer. As a result, one finds some interesting differences in the spectral-gap behavior, compared with that for the dielectric layer. One basic difference is that the nature of the spectral gap depends on whether or not a second space harmonic begins radiating before the main radiating harmonic is scanned to forward endfire. The spectral gap resembles that for a lossy dielectric layer when a second space harmonic is also radiating, and resembles that for a lossless dielectric layer otherwise. In addition, for the latter of these cases, the purely bound solution (which has a real propagation wavenumber and which occurs at the high-frequency end of the spectral gap) is physical only over a small frequency range, in contrast to the dielectric layer case, where that solution is present and physical at all higher frequencies. These behavioral differences are explained in detail in this paper. ¬© 1997 IEEE.</t>
  </si>
  <si>
    <t>2296-2307</t>
  </si>
  <si>
    <t>Majumder, Swati</t>
  </si>
  <si>
    <t>Houston</t>
  </si>
  <si>
    <t>University of Houston</t>
  </si>
  <si>
    <t>Majumder S.</t>
  </si>
  <si>
    <t>The nature of the spectral gap for leaky waves on a periodic strip-grating structure</t>
  </si>
  <si>
    <t>S0018948097083531</t>
  </si>
  <si>
    <t>10.1109/22.643833</t>
  </si>
  <si>
    <t>2-s2.0-0031336456</t>
  </si>
  <si>
    <t>['line elements', 'ground plane', 'gradually increasing', 'frequency bandwidth', 'axial ratio', 'antenna height', '5 %.', '3 db']</t>
  </si>
  <si>
    <t>An array antenna composed of crank-line elements is investigated on the basis of the element current distributions determined by the method of moments. A technique of gradually increasing the antenna height above the ground plane is adopted to enhance the gain. It is found both numerically and experimentally that a gain of approximately 30 dB is obtained with an axial ratio of less than 3 dB over a frequency bandwidth of 2.5%.</t>
  </si>
  <si>
    <t>1881-1883</t>
  </si>
  <si>
    <t>60003414;60003414</t>
  </si>
  <si>
    <t>7403255155;55633340100</t>
  </si>
  <si>
    <t>Hirose, K.;Nakano, H.</t>
  </si>
  <si>
    <t>Tokyo Denki University</t>
  </si>
  <si>
    <t>Hirose K.</t>
  </si>
  <si>
    <t>Crank-line array antenna radiating a circularly polarized wave</t>
  </si>
  <si>
    <t>10.1109/8.650209</t>
  </si>
  <si>
    <t>2-s2.0-0031336881</t>
  </si>
  <si>
    <t>['trimode horns', 'systematically determine', 'mode ratios', 'letter presents', 'feeds relative', 'dual mode', 'design variables', 'cross polarization']</t>
  </si>
  <si>
    <t>This letter presents an algorithm for suppressing the cross polarization of single offset reflector antennas illuminated by a cluster of multimode horn feeds using a constrained minimization routine. The design variables are the mode ratios for the higher order modes excited in the feeds relative to the dominant TE11 mode. The goal is to systematically determine the optimum mode ratios such that the overall crosspol performance of the reflector antenna improves relative to the single TE11 mode excitation. The multimode horns considered are Potter-type (dual mode) horns and trimode horns.</t>
  </si>
  <si>
    <t>1883-1885</t>
  </si>
  <si>
    <t>6506362754;7406473521</t>
  </si>
  <si>
    <t>Shee, K. K.;Smith, W. T.</t>
  </si>
  <si>
    <t>Shee K.</t>
  </si>
  <si>
    <t>Optimizing multimode horn feed arrays for offset reflector antennas using a constrained minimization algorithm to reduce cross polarization</t>
  </si>
  <si>
    <t>10.1109/8.650210</t>
  </si>
  <si>
    <t>2-s2.0-0031336882</t>
  </si>
  <si>
    <t>['r module', 'patch radiators', 'large range', 'key components', 'ground links', 'beamforming architecture', 'band satellite']</t>
  </si>
  <si>
    <t>The design of novel phased array panel that provides the L-band satellite to ground links for the IRIDIUM global communications system is presented. Key components and aspects of this phased array antenna are discussed, including the beamforming architecture, radiated intermodulation products, the patch radiators, and the T/R module. The strategy for minimizing DC power consumption over a large range of multicarrier rf output power is described. Finally, test results showing compliant array operation are summarized.</t>
  </si>
  <si>
    <t>60005304;60005304;60005304;60005304;60005304;60005304;60005304;60005304;60024590;60024590</t>
  </si>
  <si>
    <t>6701592281;7103221993;7202684448;6507874484;6602787242;6506503279;7101920339;7003752235;6505925671;57226050924</t>
  </si>
  <si>
    <t>Schuss, J. J.;Upton, J.;Myers, B.;Sikina, T.;Rohwer, A.;Makridakas, P.;Francois, R.;Wardle, L.;Kreutel, W.;Smith, R.</t>
  </si>
  <si>
    <t>Schaumburg;Waltham</t>
  </si>
  <si>
    <t>Motorola;Raytheon</t>
  </si>
  <si>
    <t>60024590;60005304</t>
  </si>
  <si>
    <t>Schuss J.J.</t>
  </si>
  <si>
    <t>The IRIDIUM¬Æ main mission antenna concept</t>
  </si>
  <si>
    <t>10.1109/62.641860</t>
  </si>
  <si>
    <t>2-s2.0-0031337006</t>
  </si>
  <si>
    <t>['waveguide modes', 'transverse magnetic', 'transverse electric', 'rectangular apertures', 'produced incorporating', 'mutual admittance', 'extensive validation', 'equations allow', 'different size', 'dielectric covering']</t>
  </si>
  <si>
    <t>Expressions are presented for the computation of mutual admittance between rectangular apertures of different size, in a finite planar array. The equations allow any orientation for any of the apertures, with any number of transverse electric (TE) and transverse magnetic (TM) waveguide modes. Furthermore, the expressions also include the effect of dielectric covering of these apertures. A versatile software package, useful for the design and analysis of finite phased arrays, is produced incorporating these features, and its extensive validation is provided.</t>
  </si>
  <si>
    <t>1749-1756</t>
  </si>
  <si>
    <t>100333886;100333886</t>
  </si>
  <si>
    <t>56232738200;7401639390</t>
  </si>
  <si>
    <t>Patel, Parbhu D.;Bailey, M. C.</t>
  </si>
  <si>
    <t>Racal Radar Defence Systems Ltd</t>
  </si>
  <si>
    <t>Patel P.D.</t>
  </si>
  <si>
    <t>Effects of high-order mode coupling in dielectric covered finite array of dissimilar rectangular waveguides</t>
  </si>
  <si>
    <t>10.1109/8.650192</t>
  </si>
  <si>
    <t>2-s2.0-0031337124</t>
  </si>
  <si>
    <t>321OA</t>
  </si>
  <si>
    <t>['thumb given', 'tem horns', 'staircasing errors', 'staircased representation', 'staircase diagonal', 'splitting approach', 'ratio cells', 'put forward', 'one wall', 'necessary condition', 'modeled using', 'make conclusions', 'horn feed', 'general problems', 'fdtd results', 'eliminate nearly', 'difference time', 'cartesian grid', 'carefully comparing', 'boundary walls', 'approximated using', 'analytic solution', 'also provided', 'additional improvement']</t>
  </si>
  <si>
    <t>Two-dimensional (2-D) TEM horns are modeled using the finite-difference time-domain (FDTD) method. The boundary walls are perfect electric conductors and one wall, which does not align with the Cartesian grid, is approximated using a staircased representation. By carefully comparing the FDTD results to those of the analytic solution, one can make conclusions about the coarseness with which a boundary can be represented. It is found that staircasing errors are small when the staircase diagonal (the hypotenuse of the right triangle created by the stairstep) is smaller than half a wavelength at the highest significant frequency in the excitation. This rule-of-thumb is put forward as a necessary condition for the discretization of general problems. Results are also provided for some simple FDTD schemes that are designed to reduce staircasing errors. By using large aspect-ratio cells, a grid can be constructed that satisfies the rule-of-thumb given above. While this approach eliminates general staircasing errors, some errors persist owing to the presence of step discontinuities immediately adjacent to the horn feed. These errors can be further reduced by using a cell-splitting approach. It is shown that the contour path FDTD technique can be used to eliminate nearly all staircasing errors, while some additional improvement is shown to be provided by using a stabilized contour path FDTD approach. Finally, a recently proposed conformal technique that permits simple implementation is shown to provide results comparable with those of the stabilized contour path approach.</t>
  </si>
  <si>
    <t>1830-1838</t>
  </si>
  <si>
    <t>60018208;60018208</t>
  </si>
  <si>
    <t>7404422146;6701421310</t>
  </si>
  <si>
    <t>Schneider, John B.;Shlager, Kurt L.</t>
  </si>
  <si>
    <t>Pullman</t>
  </si>
  <si>
    <t>Washington State University Pullman</t>
  </si>
  <si>
    <t>Schneider J.B.</t>
  </si>
  <si>
    <t>FDTD simulations of TEM horns and the implications for staircased representations</t>
  </si>
  <si>
    <t>10.1109/8.650202</t>
  </si>
  <si>
    <t>2-s2.0-0031337127</t>
  </si>
  <si>
    <t>['various purposes', 'recent years', 'polarization suppression', 'paper describes', 'new method', 'known cross', 'increasing interest', 'high cross']</t>
  </si>
  <si>
    <t>In recent years, there has been an increasing interest in dual linear polarization antennas for various purposes, e.g. polarimetric synthetic aperture radar (SAR) imaging. A key design goal for dual polarization antennas is to obtain a high cross-polarization suppression. When using standard techniques for improving the cross-polarization suppression in dual linear polarization antenna arrays undesired sidelobes appear. This paper describes the properties of some known cross-polarization suppression methods and presents a new method for obtaining high cross-polarization suppression and simultaneously avoiding undesired sidelobes.</t>
  </si>
  <si>
    <t>1727-1740</t>
  </si>
  <si>
    <t>60011373;60011373</t>
  </si>
  <si>
    <t>6602213720;6603887792</t>
  </si>
  <si>
    <t>Woelders, Kim;Granholm, Johan</t>
  </si>
  <si>
    <t>Woelders K.</t>
  </si>
  <si>
    <t>Cross-polarization and sidelobe suppression in dual linear polarization antenna arrays</t>
  </si>
  <si>
    <t>10.1109/8.650190</t>
  </si>
  <si>
    <t>2-s2.0-0031337592</t>
  </si>
  <si>
    <t>NUS</t>
  </si>
  <si>
    <t>['wave eigenfunctions', 'thin circular', 'series form', 'radiated fields', 'paper presents', 'numerical computations', 'loop everywhere', 'loop antennas', 'limiting cases', 'first kind', 'fields radiated', 'far zones', 'exact solution', 'exact representations', 'em fields', 'dyadic green', 'closed form', 'arbitrary radius', 'approximate formulas', 'also given']</t>
  </si>
  <si>
    <t>This paper presents an alternative vector analysis of the electromagnetic (EM) fields radiated from thin circular-loop antennas of arbitrary radius a. This method, which employs the dyadic Green's function in the derivation of the EM radiated fields, makes the analysis more general, compact, and straight-forward than those two methods published recently by Werner and Overfelt. Both near and far zones are considered so that the EM radiated fields are expressed in terms of the vector-wave eigenfunctions. Not only the exact solution of the EM fields in the near and far zones outside the region (where r&gt;a) is derived by the use of the spherical Hankel function of the first kind, but also the closed-series form of the EM fields radiated in the near zone inside the region 0‚â§r&lt;a is obtained in series of the spherical Bessel functions of the first kind. As an example, a Fourier cosine series is used to expand an arbitrary current distribution along the loop and the exact representations of the EM radiated fields due to the loop everywhere are obtained in closed form. The closed form reduces to those for the sinusoidal current loop and further for the uniform current loop. Validity of the approximate formulas is discussed and clarified. Error analysis based on numerical computations of the radiated fields is also given to show the accuracy of the limiting cases.</t>
  </si>
  <si>
    <t>1741-1748</t>
  </si>
  <si>
    <t>Li, Le Wei;Leong, Mook Seng;Kooi, Pang Shyan;Yeo, Tat Soon</t>
  </si>
  <si>
    <t>Exact solutions of electromagnetic fields in both near and far zones radiated by thin circular-loop antennas: A general representation</t>
  </si>
  <si>
    <t>10.1109/8.650191</t>
  </si>
  <si>
    <t>2-s2.0-0031337593</t>
  </si>
  <si>
    <t>83-90</t>
  </si>
  <si>
    <t>GEC Review</t>
  </si>
  <si>
    <t>60018829;60018829;60018829</t>
  </si>
  <si>
    <t>6508092745;6507701150;7003622841</t>
  </si>
  <si>
    <t>Pegram, T. W.;Molyneux-Berry, R. B.;Boswell, A. G.P.</t>
  </si>
  <si>
    <t>Farnborough</t>
  </si>
  <si>
    <t>BAE Systems plc</t>
  </si>
  <si>
    <t>Pegram T.</t>
  </si>
  <si>
    <t>The coherer era: The original marconi system of wireless telegraphy</t>
  </si>
  <si>
    <t>2-s2.0-0031339670</t>
  </si>
  <si>
    <t>['self calibration', 'relatively insensitive', 'paper describes', 'minor alteration', 'locked voltage', 'high two', 'controlled oscillator', 'compact two', 'antenna topology']</t>
  </si>
  <si>
    <t>This paper describes the behavior of a compact two-port integrated mixer active antenna element with low cross polarization, high two-port circuit isolation, and good mixer detection sensitivity. Using this element as an elemental building block, a self-tracking antenna array has been realized which uses an in-band carrier signal for self calibration. The array is relatively insensitive to absolute carrier power level and is capable of tracking incoming signals over ¬±80¬∞. By minor alteration of the antenna topology, a minimum complexity variant of a heterodyne retrodirective array has been demonstrated over a ¬±40¬∞ retransmission angle. Finally, the use of the antenna in conjunction with an injection-locked voltage-controlled oscillator (VCO) is included in order to demonstrate ¬±35¬∞ phase-shifterless beam steering.</t>
  </si>
  <si>
    <t>1863-1868</t>
  </si>
  <si>
    <t>57213337971;7102894931</t>
  </si>
  <si>
    <t>Gupta, Sanjeev;Fusco, Vincent F.</t>
  </si>
  <si>
    <t>Gupta S.</t>
  </si>
  <si>
    <t>Tracking antenna architectures based on a planar two-port microstrip patch mixer antenna</t>
  </si>
  <si>
    <t>10.1109/8.650206</t>
  </si>
  <si>
    <t>2-s2.0-0031352317</t>
  </si>
  <si>
    <t>['results showed', 'open regions', 'open region', 'observed values', '440 mhz', '150 mhz']</t>
  </si>
  <si>
    <t>Path loss | Prediction methods | VHF/UHF</t>
  </si>
  <si>
    <t>Field strength measurements were conducted at VHF and UHF for different base station antenna heights in the south Indian coastal zones in urban, sub-urban, quasi-open and open regions. These experimentally observed values are compared with different prediction methods like Hata, ITU-R, Blomquist &amp; Ladell , Egli, and Ibrahim &amp; Parsons. The results showed that in sub-urban and urban regions Hata's method gave reasonable agreement with the observed values and in the open region it gave better agreement at 440 MHz than at 150 MHz. All the other methods deviated appreciably from the observed values. ¬© 1997 IEEE.</t>
  </si>
  <si>
    <t>459-486</t>
  </si>
  <si>
    <t>7201465504;54679319000</t>
  </si>
  <si>
    <t>Prasad, M. V.S.N.;Ahrnad, Iqbal</t>
  </si>
  <si>
    <t>Comparison of some path loss prediction methods with vhf/uhf measurements</t>
  </si>
  <si>
    <t>S0018931697092597</t>
  </si>
  <si>
    <t>10.1109/11.664027</t>
  </si>
  <si>
    <t>2-s2.0-0031354839</t>
  </si>
  <si>
    <t>['two sets', 'searches globally', 'road surfaces', 'receiver antennas', 'polarization states', 'polarimetric responses', 'parameter space', 'optimum point', 'optimized solution', 'optimization problem', 'optimization algorithm', 'optimal design', 'objective function', 'latter study', 'highly nonlinear', 'genetic algorithm', 'discretized form', 'assess traction', 'asphalt surfaces', 'affordable millimeter', '94 ghz']</t>
  </si>
  <si>
    <t>In this paper, a stochastic optimization algorithm is used to characterize the polarization states of a nonpolarimetric radar transmitter and receiver antennas for optimal target classification. Specifically, the optimized solution is sought when a multitude of targets are to be categorized. It is shown that the objective function of the optimization problem is highly nonlinear and discontinuous, hence, classical optimization algorithms fail to provide satisfactory results. The stochastic optimization algorithm used in this paper is based on a genetic algorithm (GA) which operates on a discretized form of the parameter space and searches globally for the optimum point. In this process, it is assumed that the polarimetric responses of the targets are known a priori. The optimization algorithm is applied to two sets of data: 1) a synthetic backscatter data for four point targets with similar radar cross sections (RCS's) and 2) a set of polarimetric backscatter measurements of asphalt surfaces under different physical conditions at 94 GHz. The purpose of the latter study is to come up with the optimal design for polarization states of an affordable millimeter-wave radar sensor that can assess traction of road surfaces.</t>
  </si>
  <si>
    <t>1810-1817</t>
  </si>
  <si>
    <t>35585913500;7201410170</t>
  </si>
  <si>
    <t>Sarabandi, Kamal;Li, Eric S.</t>
  </si>
  <si>
    <t>Characterization of optimum polarization for multiple target discrimination using genetic algorithms</t>
  </si>
  <si>
    <t>10.1109/8.650199</t>
  </si>
  <si>
    <t>2-s2.0-0031357867</t>
  </si>
  <si>
    <t>['splitting element', 'realized prototype', 'optimum structure', 'novel solution', 'holography offers', 'holographic image', 'holographic approach', 'high inter', 'element isolation', 'beam splitter', 'approximate model', 'antenna array', 'analysis serves']</t>
  </si>
  <si>
    <t>Holographic power dividers/combiners | Holographic recording | Millimeter-wave power dividers/combiners | Millimeter-wave technology</t>
  </si>
  <si>
    <t>It is shown that holography offers a novel solution to the problem of millimeter-wave power splitting and combining. With the help of an approximate model, we demonstrate that a hologram will work as a beam-splitting element, provided that it records the holographic image of the beams to be generated. To verify this observation, a beam splitter consisting of a hologram and an antenna array is analyzed by means of a rigorous network model. This analysis serves to find the optimum structure of the beam splitter. Measurements on a realized prototype of the beam splitter prove the possibility of achieving a high splitting efficiency, a high inter-element isolation, and a relatively large bandwidth. Flexibility in the orientation and the number of outputs is another outstanding feature of this holographic approach. ¬© 1997 IEEE.</t>
  </si>
  <si>
    <t>2316-2323</t>
  </si>
  <si>
    <t>Shahabadi, Mahmoud</t>
  </si>
  <si>
    <t>Hamburg University of Technology</t>
  </si>
  <si>
    <t>Shahabadi M.</t>
  </si>
  <si>
    <t>Millimeter-wave holographic power splitting/combining</t>
  </si>
  <si>
    <t>S0018948097083300</t>
  </si>
  <si>
    <t>10.1109/22.643836</t>
  </si>
  <si>
    <t>2-s2.0-0031360560</t>
  </si>
  <si>
    <t>['studies using', 'planet venus', 'pioneer antenna', 'measure earth', 'massachusetts inst', 'helped found', 'author describes', '1959 attempts']</t>
  </si>
  <si>
    <t>Author describes the history of attempts to use radar waves in astronomy. In 1958-1959 attempts to bounce radar waves off the planet Venus were made at the Massachusetts Inst of Technology. This and further studies using other radars (the Millstone Hill radar, the Pioneer antenna at the Jet Propulsion Laboratory) allowed to measure Earth's distance from the sun and helped found a whole new planetary science.</t>
  </si>
  <si>
    <t>31-38</t>
  </si>
  <si>
    <t>Butrica, A. J.</t>
  </si>
  <si>
    <t>Butrica A.</t>
  </si>
  <si>
    <t>In conjunction with Venus</t>
  </si>
  <si>
    <t>10.1109/6.642966</t>
  </si>
  <si>
    <t>2-s2.0-0031361675</t>
  </si>
  <si>
    <t>['wirelessly readable', 'theoretical estimation', 'temperature variations', 'piezoelectric wafers', 'paper presents', 'idt microsensors', 'experimental results', 'dynamic strain', 'digital transducers']</t>
  </si>
  <si>
    <t>This paper presents the experimental results of wireless passive IDT strain microsensors, which consist of inter-digital transducers (IDTs) on piezoelectric wafers to transmit and receive surface acoustic waves. By connecting the IDTs to a small microwave antenna, the IDT microsensors are wirelessly readable by a microwave reading system. The sensors are calibrated on a static cantilever beam and used to measure the dynamic strain of a vibrating beam wirelessly. The calibrated sensitivity compares reasonably with the theoretical estimation. The feasibility of compensating for temperature variations and reading multiple sensors simultaneously and the ability to combine the sensor and the wireless recognition systems are discussed.</t>
  </si>
  <si>
    <t>745-751</t>
  </si>
  <si>
    <t>Smart Materials and Structures</t>
  </si>
  <si>
    <t>60001439;60001439;60001439;60001439;60001439</t>
  </si>
  <si>
    <t>7202350150;36039583900;8976391200;7102449178;6506208994</t>
  </si>
  <si>
    <t>Varadan, Vasundara V.;Varadan, Vijay K.;Bao, Xiaoqi;Ramanathan, Srinivasan;Piscotty, Daniel</t>
  </si>
  <si>
    <t>Varadan V.V.</t>
  </si>
  <si>
    <t>Wireless passive IDT strain microsensor</t>
  </si>
  <si>
    <t>S0964172697889392</t>
  </si>
  <si>
    <t>10.1088/0964-1726/6/6/012</t>
  </si>
  <si>
    <t>2-s2.0-0031362014</t>
  </si>
  <si>
    <t>['serious drawback', 'sampling scope', 'planar structure', 'packing density', 'outputs due', 'experimentally investigated', 'delay step', 'bit true', 'bandwidth measurements', 'bandwidth measurement', '5 thz', '5 lines', '45 ¬∞.']</t>
  </si>
  <si>
    <t>Phased array antenna | Photopolymer holograms | Substrate guided waves | True-time-delay</t>
  </si>
  <si>
    <t>A 3-bit true-time-delay lines device having a packing density of 5 lines/cm2 with a minimum delay step of ‚Ä≤100 ps is designed, fabricated and demonstrated. This device is based on substrate guided wave propagation combined with slanted photopolymer volume phase gratings. In this paper, we report the delay and bandwidth measurements for the 3-bit delay lines fabricated on BK-7 glass substrates with a substrate bouncing angle of 45¬∞. The power fluctuation among the outputs due to the cascading fanout effect (a serious drawback for real system applications) is experimentally investigated as well. A power fluctuation controlled to within ¬±10% is achieved. A femtosecond laser pulse is sent through the device and a bandwidth measurement of up to 2.5 THz is obtained. The delay step is measured by employing an ultrafast photodetector together with a sampling scope. The true-time-delay device presented herein has the potential to be integrated with photodetector arrays due to its planar structure on a single substrate together with the surface normal fan-in and fan-out features.</t>
  </si>
  <si>
    <t>2253-2258</t>
  </si>
  <si>
    <t>60013372;;</t>
  </si>
  <si>
    <t>7404722775;56076533000;55507881400</t>
  </si>
  <si>
    <t>Li, R. L.Q.;Zhenhai, Fu;Chen, R.</t>
  </si>
  <si>
    <t>High packing density 2.5 THz true-time-delay lines using spatially multiplexed substrate guided waves in conjunction with volume holograms on a single substrate</t>
  </si>
  <si>
    <t>S0733872497088889</t>
  </si>
  <si>
    <t>10.1109/50.643550</t>
  </si>
  <si>
    <t>2-s2.0-0031362104</t>
  </si>
  <si>
    <t>['significantly reduced', 'coordinate transformation']</t>
  </si>
  <si>
    <t>A coordinate transformation is used to reduce the dimensionality of impedance integrals coupling linear filamentary monopoles printed on grounded dielectric substrates. Computer processing times for the remaining numerical integrations are significantly reduced while accuracy is maintained.</t>
  </si>
  <si>
    <t>1880-1881</t>
  </si>
  <si>
    <t>Faster computation of mutual impedances between printed filamentary monopoles</t>
  </si>
  <si>
    <t>10.1109/8.650208</t>
  </si>
  <si>
    <t>2-s2.0-0031362281</t>
  </si>
  <si>
    <t>['mutual coupling', 'galerkin method', 'ended waveguides', 'calculations inside']</t>
  </si>
  <si>
    <t>A double line integral representation of the mutual coupling between open-ended waveguides of arbitrary cross section is presented, which is useful to speed up calculations inside the framework of a Galerkin method of moments.</t>
  </si>
  <si>
    <t>1887-1889</t>
  </si>
  <si>
    <t>60002838;60002838;60002838</t>
  </si>
  <si>
    <t>6507431385;7003509990;7005998607</t>
  </si>
  <si>
    <t>Mioc, F.;Capolino, F.;Maci, S.</t>
  </si>
  <si>
    <t>Siena</t>
  </si>
  <si>
    <t>Mioc F.</t>
  </si>
  <si>
    <t>Efficient formulation for calculating the modal coupling for open-ended waveguide problems</t>
  </si>
  <si>
    <t>10.1109/8.650212</t>
  </si>
  <si>
    <t>2-s2.0-0031362282</t>
  </si>
  <si>
    <t>['shorting pin', 'pin position', 'novel design', 'microstrip patch', 'letter presents', 'frequency operation', 'experimental results', 'circuited using']</t>
  </si>
  <si>
    <t>This letter presents a novel design of triangular microstrip antenna with dual-frequency operation. In this design the microstrip patch is short-circuited using a shorting pin and fed by a single probe feed. By varying the shorting-pin position in the microstrip patch, such a design can provide a large tunable frequency ratio of about 2.5-4.9 for the two operating frequencies. Experimental results are presented and discussed.</t>
  </si>
  <si>
    <t>1889-1891</t>
  </si>
  <si>
    <t>Dual-frequency triangular microstrip antenna with a shorting pin</t>
  </si>
  <si>
    <t>10.1109/8.650213</t>
  </si>
  <si>
    <t>2-s2.0-0031362818</t>
  </si>
  <si>
    <t>['various polarizers', 'used waveguides', 'royal institution', 'research carried', 'original equipment', 'new 1', 'millimeter wavelengths', 'k .,', 'horn antennas', 'even semiconductors', 'dielectric lenses', 'bose institute', 'bose described', '60 ghz']</t>
  </si>
  <si>
    <t>History | Microwave technology | Millimeter-wave technology</t>
  </si>
  <si>
    <t>Just 100 years ago, J. C. Bose described to the Royal Institution, London, U.K., his research carried out in Calcutta, India, of millimeter wavelengths. He used waveguides, horn antennas, dielectric lenses, various polarizers, and even semiconductors at frequencies as high as 60 GHz. Much of his original equipment is still in existence, currently at the Bose Institute, Calcutta, India. Some concepts from his original 1897 papers have been incorporated into a new 1.3-mm multibeam receiver now in use on the National Radio Astronomy Observatory (NRAO) 12-m telescope. ¬© 1997 IEEE.</t>
  </si>
  <si>
    <t>2267-2273</t>
  </si>
  <si>
    <t>Emerson, Darrel T.</t>
  </si>
  <si>
    <t>National Radio Astronomy Observatory Tucson</t>
  </si>
  <si>
    <t>Emerson D.T.</t>
  </si>
  <si>
    <t>The work of jagadis chandra bose: 100 years of millimeter-wave research</t>
  </si>
  <si>
    <t>S0018948097089126</t>
  </si>
  <si>
    <t>10.1109/22.643830</t>
  </si>
  <si>
    <t>2-s2.0-0031366017</t>
  </si>
  <si>
    <t>['robust capabilities', 'proposed technique', 'paper deals', 'less sensitivity', 'efficient technique', 'conventional beamformers']</t>
  </si>
  <si>
    <t>This paper deals with adaptive array beamforming based on eigenspace-based (ESB) techniques with robust capabilities. It has been shown that ESB adaptive beamformers demonstrate the advantages of fast convergence speed and less sensitivity to steering angle error over conventional beamformers. In conjunction with a signal subspace construction method, we present an efficient technique to achieve the advantages of ESB adaptive beamforming with less computing cost and more robust capabilities over existing ESB techniques. Several computer simulation examples are provided for illustrating the effectiveness of the proposed technique.</t>
  </si>
  <si>
    <t>1711-1716</t>
  </si>
  <si>
    <t>Eigenspace-based adaptive array beamforming with robust capabilities</t>
  </si>
  <si>
    <t>10.1109/8.650188</t>
  </si>
  <si>
    <t>2-s2.0-0031372406</t>
  </si>
  <si>
    <t>['primary goal', 'paper compares', 'neural networks', 'neural network', 'finding task']</t>
  </si>
  <si>
    <t>Antenna arrays | Array antenna control | Direction of arrival estimation | Neural network applications</t>
  </si>
  <si>
    <t>The primary goal of this paper is tutorial. Neural networks are beginning to have a role in array antenna control, and this paper compares the operation of a neural network and a Butler matrix performing the same direction-finding task.</t>
  </si>
  <si>
    <t>27-32</t>
  </si>
  <si>
    <t>60076904-60028628-60009982-105219194-105195205-60000251;60076904-60028628-60003467-60021285-60001262-112495515-60000251</t>
  </si>
  <si>
    <t>55951888900;7003993075</t>
  </si>
  <si>
    <t>Mailloux, R. J.;Southall, Hugh L.</t>
  </si>
  <si>
    <t>United States;United States;United States;United States;United States;United States;United States;United States;United States;United States</t>
  </si>
  <si>
    <t>Wright-Patterson AFB;Boston;Lubbock;Cambridge;Arlington;;New York;;Lexington;Cambridge</t>
  </si>
  <si>
    <t>Air Force Materiel Command;Northeastern University;Texas Tech University;Harvard University;The University of Texas at Arlington;United States Air Force;IEEE;AF Systems Command Headquarters;Rome Air Development Center;AF Cambridge Research Laboratories</t>
  </si>
  <si>
    <t>60076904;60028628;60021285;60009982;60003467;60001262;60000251;112495515;105219194;105195205</t>
  </si>
  <si>
    <t>Mailloux R.</t>
  </si>
  <si>
    <t>The analogy between the Butler matrix and the neural-network direction-finding array</t>
  </si>
  <si>
    <t>10.1109/74.646800</t>
  </si>
  <si>
    <t>2-s2.0-0031372678</t>
  </si>
  <si>
    <t>['thin substrates', 'structural support', 'measured 2', 'heat sink', 'easily reduced', 'dielectric material', 'coupled cavity', 'array applications', 'antenna incorporates', '26 %.', '1 bandwidth']</t>
  </si>
  <si>
    <t>The feasibility and performance of an aperture-coupled cavity-fed microstrip patch antenna and an aperture-coupled cavity antenna are demonstrated using reciprocity and moment method analyses, followed by practical design guidelines and equivalent circuit models. Each antenna incorporates a thick ground plane that can be useful as a heat sink for active MMIC circuitry and as structural support for thin substrates. Prototype antennas show good experimental agreement with the analyses in each case. The resonators of the aperture-coupled cavity-fed patch antenna are optimized to achieve a prototype having a measured 2:1 bandwidth of 26%. The size of the aperture-coupled cavity antenna can be easily reduced for array applications by filling the cavity with a dielectric material.</t>
  </si>
  <si>
    <t>1717-1726</t>
  </si>
  <si>
    <t>7102888744;7006061921</t>
  </si>
  <si>
    <t>Haddad, Pamela R.;Pozar, David M.</t>
  </si>
  <si>
    <t>Haddad P.</t>
  </si>
  <si>
    <t>Analysis of two aperture-coupled cavity-backed antennas</t>
  </si>
  <si>
    <t>10.1109/8.650189</t>
  </si>
  <si>
    <t>2-s2.0-0031381707</t>
  </si>
  <si>
    <t>['taking advantage', 'ended waveguide', 'arbitrary mode']</t>
  </si>
  <si>
    <t>A line integral representation of the Kirchhoff-type aperture integration is derived for an open-ended waveguide with arbitrary cross section, excited by an arbitrary mode. The problem is formulated by taking advantage of the equivalence between the radiation of the aperture and the radiation of the modal currents along the semi-infinite waveguide walls.</t>
  </si>
  <si>
    <t>1885-1887</t>
  </si>
  <si>
    <t>7005998607;7003509990;6507431385</t>
  </si>
  <si>
    <t>Maci, S.;Capolino, F.;Mioc, F.</t>
  </si>
  <si>
    <t>Line integral representation of the modal radiation for an open-ended waveguide</t>
  </si>
  <si>
    <t>10.1109/8.650211</t>
  </si>
  <si>
    <t>2-s2.0-0031383649</t>
  </si>
  <si>
    <t>['wireless accelerometer', 'vibration sensors', 'unique combination', 'traction control', 'technologies results', 'strain sensors', 'smart suspension', 'sensor site', 'sensor makes', 'saw devices', 'required microelectronics', 'remotely sensed', 'power requirements', 'novel accelerometer', 'noise control', 'microwave system', 'microaccelerometer presented', 'conformal antenna']</t>
  </si>
  <si>
    <t>The integration of MEMS, SAW devices and required microelectronics and conformal antenna to realize a programmable wireless accelerometer is presented in this paper. This unique combination of technologies results in a novel accelerometer that can be remotely sensed by a microwave system with the advantage of no power requirements at the sensor site. The microaccelerometer presented is simple in construction and easy to manufacture with existing silicon micromachining techniques. The relatively small size of the sensor makes it an ideal conformal sensor. The accelerometer can be used for applications such as air bag deployment sensors, vibration sensors for noise control, deflection and strain sensors, inertial and dimensional positioning systems, ABS/traction control, smart suspension, active roll stabilization and four wheel steering. The wireless accelerometer is very attractive to study the response of a 'dummy' in automobile crash tests.</t>
  </si>
  <si>
    <t>730-738</t>
  </si>
  <si>
    <t>60001439;60001439;60001439;60006288</t>
  </si>
  <si>
    <t>6701538971;36039583900;7202350150;7005410031</t>
  </si>
  <si>
    <t>Subramanian, Hareesh;Varadan, Vijay K.;Varadan, Vasundara V.;Vellekoop, M. J.</t>
  </si>
  <si>
    <t>Netherlands;United States</t>
  </si>
  <si>
    <t>Delft;University Park</t>
  </si>
  <si>
    <t>Delft University of Technology;Pennsylvania State University</t>
  </si>
  <si>
    <t>60006288;60001439</t>
  </si>
  <si>
    <t>Subramanian H.</t>
  </si>
  <si>
    <t>Design and fabrication of wireless remotely readable MEMS based microaccelerometers</t>
  </si>
  <si>
    <t>S0964172697889409</t>
  </si>
  <si>
    <t>10.1088/0964-1726/6/6/010</t>
  </si>
  <si>
    <t>2-s2.0-0031383699</t>
  </si>
  <si>
    <t>['received signal', 'often regarded', 'objective quantity', 'net ber', 'measure additionally', 'digital broadcasting', 'dab service', 'dab multiplex', 'coverage obtained', 'author proposes', 'analogue broadcasting', 'absolutely essential']</t>
  </si>
  <si>
    <t>In the case of analogue broadcasting, it is often regarded as adequate to measure just the received field strength in order to evaluate the coverage obtained by a transmitter. With digital broadcasting, however, it is absolutely essential to measure additionally the bit error rate in the received signal. While the net BER in the decoded audio signal can be used to assess the coverage of a DAB service, it requires the transmission of a special test signal which uses up a complete sound channel in the DAB multiplex. In this article, the Author proposes the use of a so-called "pseudo channel BER" as an objective quantity for assessing the coverage of a DAB service. This method does not require the use of a specially transmitted test signal; it is applied to ordinary DAB programme material.</t>
  </si>
  <si>
    <t>23-30</t>
  </si>
  <si>
    <t>EBU Technical Review</t>
  </si>
  <si>
    <t>Schramm, R.</t>
  </si>
  <si>
    <t>Schramm R.</t>
  </si>
  <si>
    <t>Pseudo channel BER - An objective quantity for assessing DAB coverage</t>
  </si>
  <si>
    <t>2-s2.0-0031383864</t>
  </si>
  <si>
    <t>['within 0', 'synthetic phase', 'successfully obtained', 'successfully developed', 'output ports', 'mmic ).', 'mean square', 'implanted resistors', 'db root', 'amplitude controllers', '527 metal', '5 ghz', '357 ion', '32 pairs', '20 mhz', '128 metal']</t>
  </si>
  <si>
    <t>Active phased arrays | Beamforming | Cold fet's | Microwave attenuators | Microwave phase shifters | Microwave signal processing | Mmic's, power dividers/combiners | Satellite communication onboard systems | Varistors | Wafer-scale integration</t>
  </si>
  <si>
    <t>A microwave signal processing (MSP) architecture is presented for active phased array beam forming and steering. A large scale network, comprising 63 power dividers and 32 pairs of vector-synthetic phase/amplitude controllers, has been successfully developed in an 11 mm x 13 mm GaAs monolithic microwave integrated circuit (MMIC). It has a huge integration level of 128 metal-semiconductor field effect transmitters (MESFET's), 448 spiral inductors, 527 metal-insulator-metal (MIM) capacitors, and 357 ion-implanted resistors. The expected 360¬∞ phase is successfully obtained at all the output ports. Vector error standard deviations exhibited are within 0.38-dB root-mean square (rms) and 2.8¬∞ rms over the bandwidth of 20 MHz at 2.5 GHz. This megalithic chip could mark an epoch in phased array systems. ¬© 1997 IEEE.</t>
  </si>
  <si>
    <t>2324-2332</t>
  </si>
  <si>
    <t>Ohira, Takashi</t>
  </si>
  <si>
    <t>Ohira T.</t>
  </si>
  <si>
    <t>Megalithic microwave signal processing for phased-array beamforming and steering</t>
  </si>
  <si>
    <t>S0018948097083361</t>
  </si>
  <si>
    <t>10.1109/22.643837</t>
  </si>
  <si>
    <t>2-s2.0-0031384651</t>
  </si>
  <si>
    <t>['using tuned', 'theoretical model', 'telluric variations', 'telemetric system', 'south aegean', 'respectively ).', 'recent observations', 'field stations', 'electromagnetic field', 'crete island', 'continuously records', '53 mhz', '41 mhz', '3 khz', '2 antennas', '10 khz']</t>
  </si>
  <si>
    <t>Aegean | Earthquake precursors | Greece</t>
  </si>
  <si>
    <t>Recent observations of telluric and electromagnetic field variations (radioemissions) associated with shallow and intermediate depth earthquakes in the South Aegean are presented. A telemetric system, installed on Crete Island, which continuously records the telluric and electromagnetic field variations is described. In the field stations of the system we measure both the telluric variations (using an appropriate electric dipole configuration) and the horizontal electric component of the electromagnetic field in 3 kHz, 10 kHz, 41 MHz and 53 MHz (using tuned and Œª/2 antennas, respectively). Furthermore, a theoretical model is given on the generation and the form of preseismic telluric variations based on the charge dislocation model.</t>
  </si>
  <si>
    <t>361-374</t>
  </si>
  <si>
    <t>Annali di Geofisica</t>
  </si>
  <si>
    <t>60110806;60032307;60032307;60032307;60032307</t>
  </si>
  <si>
    <t>6507720350;56264486500;56595030600;7005413151;6507181278</t>
  </si>
  <si>
    <t>Nomikos, Konstaninos;Vallianatos, Filippos;Kaliakatsos, Ioannis;Sideris, Efstathios;Bakatsakis, Michails</t>
  </si>
  <si>
    <t>Athens;Heraklion</t>
  </si>
  <si>
    <t>University of West Attica;Hellenic Mediterranean University</t>
  </si>
  <si>
    <t>60110806;60032307</t>
  </si>
  <si>
    <t>Nomikos K.</t>
  </si>
  <si>
    <t>The latest aspects of telluric and electromagnetic variations associated with shallow and intermediate depth earthquakes in the South Aegean</t>
  </si>
  <si>
    <t>2-s2.0-0031391140</t>
  </si>
  <si>
    <t>['trisetose exopod', 'swimming legs', 'segmented endopods', 'new species', 'new genus', 'mandible blades', 'major significance', 'leg 5', 'leg 1', 'evolutionary changes', 'et sp', 'distinctly 2', 'combined presence', 'certain characters', 'arabica gen', 'arabica differs', 'ancestral segmentation']</t>
  </si>
  <si>
    <t>Ancestral | Arabian Sea | Archioncaea gen. nov. | Copepoda | Plankton | Poecilostomatoida</t>
  </si>
  <si>
    <t>A new genus, Archioncaea, is proposed to accommodate a new species of Oncaeidae (Poecilostomatoida) collected from the deep northern Arabian Sea. A. arabica gen. et sp. nov. is known from females only and is considered the most primitive oncaeid copepod known to date on account of the combined presence of a trisetose exopod on leg 5 and a long inner coxal seta on leg 1. Other unique plesiomorphic character states are found in the armature of the antennule, maxilla and maxilliped and in the presence of an endopodal surface suture marking the ancestral segmentation of the antenna. A. arabica differs from all other oncaeids in the naked endopodal claw of the maxilliped, the presence of distinctly 2-segmented endopods on all swimming legs and the absence of the outer basal seta of leg 5. The discovery of A. arabica is of major significance in assessing and polarizing the evolutionary changes of certain characters in the family, such as the ornamentation of mandible blades and the evolution of integumental conical processes on the swimming legs.</t>
  </si>
  <si>
    <t>Cahiers de Biologie Marine</t>
  </si>
  <si>
    <t>60079129;60025352</t>
  </si>
  <si>
    <t>56635420000;7004143544</t>
  </si>
  <si>
    <t>B√∂ttger-Schnack, Ruth;Huys, Rony</t>
  </si>
  <si>
    <t>Kiel;London</t>
  </si>
  <si>
    <t>GEOMAR - Helmholtz-Zentrum f√ºr Ozeanforschung Kiel;The Natural History Museum, London</t>
  </si>
  <si>
    <t>B√∂ttger-Schnack R.</t>
  </si>
  <si>
    <t>Archioncaea arabica gen. et sp. no v., a remarkable oncaeid (Copepoda: Poecilostomatoida) from the northern Arabian Sea</t>
  </si>
  <si>
    <t>2-s2.0-0031399442</t>
  </si>
  <si>
    <t>['utilize retro', 'useful source', 'swath coverages', 'steerable antennae', 'soil moisture', 'remote sensing', 'radarsat products', 'operational status', 'incidence angle', 'canada centre', 'also described', 'agricultural environment']</t>
  </si>
  <si>
    <t>Knowledge about soil moisture is important for a number of applications and synthetic aperture radar systems have been shown to be a useful source of data for this information. RADARSAT, with it's steerable antennae and operational status, can provide timely coverage at a variety of swath coverages and resolutions. However, to make effective use of these various products careful consideration of the differences between the various beam modes and positions is needed. This paper describes work being done at the Canada Centre for Remote sensing and the Universite de Sherbrooke to establish an approach to utilize retro-calibration information together with current information inherent in RADARSAT products to calibrate Standard mode data for soil moisture estimation. Work is also described which is leading to a first order correction for incidence angle as a function of land-cover in an agricultural environment to further develop this capability of RADARSAT for soil moisture estimation.</t>
  </si>
  <si>
    <t>143-148</t>
  </si>
  <si>
    <t>Earth Surface Remote Sensing. Proc. SPIE conference, London, 1997</t>
  </si>
  <si>
    <t>60005603;60005603;60005603;60005603;60005603</t>
  </si>
  <si>
    <t>7003880605;56224608000;7003505161;8419170400;7003799996</t>
  </si>
  <si>
    <t>Pultz, T. J.;Sokol, J.;Brisco, B.;Brown, R. J.;Gwyn, Q. H.J.</t>
  </si>
  <si>
    <t>Canada Centre for Remote Sensing</t>
  </si>
  <si>
    <t>Pultz T.</t>
  </si>
  <si>
    <t>Soil moisture estimation with RADARSAT</t>
  </si>
  <si>
    <t>2-s2.0-0031403445</t>
  </si>
  <si>
    <t>['varying irradiance', 'transient state', 'tl measurements', 'thylakoid œîph', 'sustained trans', 'relaxing component', 'provided evidence', 'powerful tool', 'light pulse', 'investigate high', 'electron transport', 'chlorophyll fluorescence', 'barley leaves', 'apparently impaired', 'apparently able']</t>
  </si>
  <si>
    <t>Chlorophyll fluorescence quenching | Photoinhibition | Photoprotection | Photosynthesis</t>
  </si>
  <si>
    <t>We have used the technique of thermoluminescence (TL) to investigate high-light-induced chlorophyll fluorescence quenching phenomena in barley leaves, and have shown it to be a powerful tool in such investigations. TL measurements were taken from wild-type and chlorina f2 barley leaves which had been dark-adapted or exposed to 20 min illumination of varying irradiance or given varying periods of recovery following strong irradiance. We have found strong evidence that there is a sustained trans-thylakoid ŒîpH in leaves following illumination, and that this ŒîpH gives rise to quenching of chlorophyll fluorescence which has previously been identified as a slowly-relaxing component of antenna-related protective energy dissipation; we have identified a state of the PS II reaction centre resulting from high light treatments which is apparently able to perform normal charge separation and electron transport but which is 'non-photochemically' quenched, in that the application of a light pulse of high irradiance cannot cause the formation of a high fluorescent state; and we have provided evidence that a transient state of the PS II reaction centre is formed during recovery from such high light treatments, in which electron transport from Q(A) to Q(B) is apparently impaired.</t>
  </si>
  <si>
    <t>169-183</t>
  </si>
  <si>
    <t>60001881;101850662-60003771</t>
  </si>
  <si>
    <t>57202455571;7405718763</t>
  </si>
  <si>
    <t>Walters, Robin G.;Johnson, Giles N.</t>
  </si>
  <si>
    <t>United Kingdom;United Kingdom;France</t>
  </si>
  <si>
    <t>Manchester;Sheffield;Saclay</t>
  </si>
  <si>
    <t>The University of Manchester;The University of Sheffield;SBE</t>
  </si>
  <si>
    <t>60003771;60001881;101850662</t>
  </si>
  <si>
    <t>Walters R.</t>
  </si>
  <si>
    <t>The effects of elevated light on Photosystem II function: A thermoluminescence study</t>
  </si>
  <si>
    <t>10.1023/A:1005969312448</t>
  </si>
  <si>
    <t>2-s2.0-0031434273</t>
  </si>
  <si>
    <t>['tarsus transformation', 'tarsus identity', 'tarsus determination', 'study characterizes', 'simultaneous removal', 'signaling factor', 'scr results', 'scr leads', 'scr interaction', 'scr interact', 'scr indicating', 'scr activity', 'proboscis identity', 'previous analysis', 'posterior axis', 'pb leads', 'maxillary palp', 'major role', 'late second', 'head region', 'expression pattern', 'expected transformation', 'ectopic expression', 'detectable genetically', 'data suggest', 'containing complex', 'combinatorial interaction', 'arista transformation', 'antennal identity', 'antenna transformation']</t>
  </si>
  <si>
    <t>Drosophila | HOX function | Induction | Limb development | Pattern formation | Proboscipedia | Sex combs reduced</t>
  </si>
  <si>
    <t>Both Proboscipedia (PB) and Sex Combs Reduced (SCR) activities are required for determination of proboscis identity. Here we show that simultaneous removal of PB and SCR activity results in a proboscis-to-antenna transformation. Dominant negative PB molecules inhibit the activity of SCR indicating that PB and SCR interact in a multimeric protein complex in determination of proboscis identity. These data suggest that the expression pattern of PB and SCR and the ability of PB and SCR to interact in a multimeric complex control the determination of four adult structures. The absence of PB and SCR expression leads to antennal identity; expression of only PB leads to maxillary palp identity; expression of only SCR leads to tarsus identity; and expression of both PB and SCR, which results in the formation of a PB-SCR-containing complex, leads to proboscis identity. However, the PB-SCR interaction is not detectable in vitro and is not detectable genetically in the head region during embryogenesis, indicating the PB-SCR interaction may be regulated and indirect. This regulation may also explain why ectopic expression of SCR(Q50K) and SCR do not result in the expected transformation of the maxillary palp to an antennae and proboscis, respectively. Previous analysis of the requirements of SCR activity for adult pattern formation has shown that ectopic expression of SCR results in an antenna-to-tarsus transformation, but removal of SCR activity in a clone of cells does not result in a tarsus-to-arista transformation. Here we show in five independent assays the reason for this apparent contradictory requirement of SCR activity in tarsus determination. SCR activity is required cell nonautonomously for tarsus determination. Specifically, we propose that SCR activity is required in the mesodermal adepithelial cells of all leg imaginal discs at late second/early third instar larval stage for the synthesis of a mesoderm-specific, tarsus-inducing, signaling factor, which after secretion from the adepithelial cells acts on the overlaying ectodermal cells determining tarsus identity. This study characterizes a combinatorial interaction between two HOX proteins; a mechanism that may have a major role in patterning the anterior-posterior axis of other animals.</t>
  </si>
  <si>
    <t>5049-5062</t>
  </si>
  <si>
    <t>60010884;60010884;60010884;60010884</t>
  </si>
  <si>
    <t>6701814819;56391280400;36874496200;55587017100</t>
  </si>
  <si>
    <t>Percival-Smith, Anthony;Weber, Jennifer;Gilfoyle, Elaine;Wilson, Peggy</t>
  </si>
  <si>
    <t>Percival-Smith A.</t>
  </si>
  <si>
    <t>Genetic characterization of the role of the two HOX proteins, Proboscipedia and Sex Combs Reduced, in determination of adult antennal, tarsal, maxillary palp and proboscis identities in Drosophila melanogaster</t>
  </si>
  <si>
    <t>2-s2.0-0031440222</t>
  </si>
  <si>
    <t>Deutscher Akademischer Austauschdienst France</t>
  </si>
  <si>
    <t>ERB CHRX CT 940619</t>
  </si>
  <si>
    <t>['two proteins', 'toxic effects', 'role would', 'results reveal', 'relative level', 'ps ii', 'proteolytic digestion', 'one third', 'low light', 'lhc ii', 'known although', 'inducible proteins', 'functional significance', 'free chlorophyll', 'experimentally supported', 'elips may', 'elip accumulation', 'damaging effects', 'close correlation', 'chlorophyll molecules', 'chlorophyll alb', 'binding sites', 'binding proteins', 'binding protein', 'bind pigments', 'antenna size', 'acclimative proteolysis', 'acclimation process']</t>
  </si>
  <si>
    <t>Chlorophyll | Early light-inducible protein | Light acclimation | Light-harvesting complex | Photoinhibition | Thylakoid proteases</t>
  </si>
  <si>
    <t>The PS II-S protein and the so-called early light-inducible proteins (ELIPs) are homologous to the chlorophyll alb-binding (Cab) gene products functioning in light-harvesting. The functional significance of these two CAB homologues is not known although they have been considered to bind pigments and in the case of the PS II-S protein this has been experimentally supported. The role of these two proteins does not appear to be light-harvesting but instead they are suggested to play a role as quenchers of free chlorophyll molecules during biogenesis and/or degradation of pigment-binding proteins. Such a role would be essential to eliminate the toxic and damaging effects that can be induced by free chlorophyll in the light. To this end the expression and characteristics of the ELIPs and the PS II-S protein were investigated in spinach leaves acclimating from low to high light intensities. Under these conditions there is a reduction in the antenna size of Photosystem II due to proteolytic digestion of its major chlorophyll alb-binding protein (LHC II). During this acclimative proteolysis, up to one third of LHC II can be degraded and consequently substantial amounts of chlorophyll molecules will lose their binding sites. Our results reveal that there is a close correlation between ELIP accumulation and the onset of the LHC II degradation as low light-grown spinach leaves are subjected to increased light intensities. In contrast, there was no change in the relative level of the PS II-S protein during the acclimation process. It is concluded that the role for the ELIPs may be related to binding of liberated chlorophyll molecules and quenching of the toxic effects during LHC II degradation. In addition it was shown that in spinach four different ELIP species can be expressed and that they show different accumulation patterns in response to increased light intensities.</t>
  </si>
  <si>
    <t>227-236</t>
  </si>
  <si>
    <t>60001950-60007903;60001950-60159889;60001950;60001950;60001950-60028717;60001950</t>
  </si>
  <si>
    <t>7005729390;7102175069;7402196904;6506581439;7004131607;7401941729</t>
  </si>
  <si>
    <t>Lindahl, Marika;Funk, Christiane;Webster, Jeanette;Bingsmark, Sophie;Adamska, Iwona;Andersson, Bertil</t>
  </si>
  <si>
    <t>Australia;Germany;Israel;Sweden</t>
  </si>
  <si>
    <t>Canberra;Munich;Jerusalem;Stockholm</t>
  </si>
  <si>
    <t>ANU Research School of Biology;Ludwig-Maximilians-Universit√§t M√ºnchen;Hebrew University of Jerusalem;Arrhenius Laboratory</t>
  </si>
  <si>
    <t>60159889;60028717;60007903;60001950</t>
  </si>
  <si>
    <t>Lindahl M.</t>
  </si>
  <si>
    <t>Expression of ELIPs and PS II-S protein in spinach during acclimative reduction of the Photosystem II antenna in response to increased light intensities</t>
  </si>
  <si>
    <t>10.1023/A:1005920730947</t>
  </si>
  <si>
    <t>2-s2.0-0031450423</t>
  </si>
  <si>
    <t>R01GM047985</t>
  </si>
  <si>
    <t>['vertex primordium', 'otd expression', 'limb primordia', 'head capsule', 'genes wingless', 'expressed throughout', 'early activation', 'dpp depends', 'discs provide', 'default fate', 'compound eye', 'antennal disc', 'also demonstrate', 'adult fly', 'adjacent primordia']</t>
  </si>
  <si>
    <t>decapentaplegic | Drosophila | hedgehog | Imaginal disc | orthodenticle | wingless</t>
  </si>
  <si>
    <t>The eye-antennal imaginal discs of Drosophila melanogaster form the head capsule of the adult fly. Unlike the limb primordia, each eye-antennal disc gives rise to morphologically and functionally distinct structures. As a result, these discs provide an excellent model system for determining how the fates of primordia are specified during development. In this study, we investigated how the adjacent primordia of the compound eye and dorsal head vertex are specified. We show that the genes wingless (wg) and orthodenticle (otd) are expressed throughout the entire second instar eye-antennal disc, conferring a default fate of dorsal vertex cuticle. Activation of decapentaplegic (dpp) expression in the posterior eye disc eliminates lug and otd expression, thereby permitting eye differentiation. We also demonstrate that otd is activated by wg in the vertex primordium. Finally, we show that early activation of dpp depends on hedgehog (hh) expression in the eye anlage prior to morphogenetic furrow formation.</t>
  </si>
  <si>
    <t>4793-4800</t>
  </si>
  <si>
    <t>60006297-60007257;60006297</t>
  </si>
  <si>
    <t>57203624981;7102596360</t>
  </si>
  <si>
    <t>Royet, Julien;Finkelstein, Robert</t>
  </si>
  <si>
    <t>Heidelberg;Philadelphia</t>
  </si>
  <si>
    <t>European Molecular Biology Laboratory Heidelberg;University of Pennsylvania</t>
  </si>
  <si>
    <t>60007257;60006297</t>
  </si>
  <si>
    <t>Royet J.</t>
  </si>
  <si>
    <t>Establishing primordia in the Drosophila eye-antennal imaginal disc: The roles of decapentaplegic, wingless and hedgehog</t>
  </si>
  <si>
    <t>2-s2.0-0031453474</t>
  </si>
  <si>
    <t>['two patients', 'tumors disappeared', 'tumor surface', 'responded well', 'regional control', 'radiation therapy', 'precisely attach', 'oral cavity', 'oral cancer', 'mucosal reactions', 'microwave antenna', 'intraarterial infusion', 'infused via', 'indwelling catheter', 'improve loco', 'dental splint', 'conservative management', 'anticancer drug', 'another patient']</t>
  </si>
  <si>
    <t>Hyperthermia | Intraarterial infusion | Oral cancer | Radiation therapy | Simultaneous</t>
  </si>
  <si>
    <t>To improve loco-regional control for carcinoma of the oral cavity, we developed a simultaneous trimodal therapy consisting of radiation therapy, hyperthermia, and intraarterial infusion of an anticancer drug. By preparing a dental splint for each patient, we were able to precisely attach a microwave antenna to the tumor surface during heating. Drugs were infused via the ipsilateral superficial temporal artery using an indwelling catheter. In two patients with oral cancer, irradiation was performed during heating and intraarterial infusion of a drug. In another patient, irradiation was done during heating. All tumors disappeared after treatment. Skin and mucosal reactions were the major acute toxicity and responded well to conservative management in all patients. This treatment system may be useful for loco-regional control of superficially seated oral cancer.</t>
  </si>
  <si>
    <t>339-344</t>
  </si>
  <si>
    <t>Journal of JASTRO</t>
  </si>
  <si>
    <t>60004948;60004948;60004948;60004948;60004948;60004948;60004948</t>
  </si>
  <si>
    <t>7003578915;7403091178;7404289840;7003525047;7403008288;35763510500;7201673490</t>
  </si>
  <si>
    <t>Ebe, K.;Kawamura, M.;Okada, M.;Karino, Y.;Tsuji, T.;Fukuda, T.;Matsunaga, N.</t>
  </si>
  <si>
    <t>Ube</t>
  </si>
  <si>
    <t>Yamaguchi University School of Medicine</t>
  </si>
  <si>
    <t>Ebe K.</t>
  </si>
  <si>
    <t>Novel methods for a simultaneous trimodal therapy for oral cancer consisting of radiotherapy and hyperthermia and intraarterial drug infusion</t>
  </si>
  <si>
    <t>2-s2.0-0031454992</t>
  </si>
  <si>
    <t>['two antennas', 'receiving antenna', 'quick profiling', 'one borehole', 'key requirement']</t>
  </si>
  <si>
    <t>The development of a cost-effective crosshole ground penetrating radar (GPR) system by Sensors and Software of Mississauga, Canada, is described. A borehole transmitting antenna can be lowered into one borehole while a receiving antenna can be lowered into an adjacent hole 10-20 m distant. A key requirement for this system is that the two antennas are interfaced to a surface-based GPR isntrument. Quick profiling and multiple offset profiling techniques using this system are described.</t>
  </si>
  <si>
    <t>Ground Engineering</t>
  </si>
  <si>
    <t>55918396600;7408340311</t>
  </si>
  <si>
    <t>Fenning, P.;Brown, A.</t>
  </si>
  <si>
    <t>Fenning P.</t>
  </si>
  <si>
    <t>Radar resolution</t>
  </si>
  <si>
    <t>2-s2.0-0031455639</t>
  </si>
  <si>
    <t>['transformed aristaes', 'tarsal segments', 'six legs', 'sex combs', 'severe loss', 'observed variations', 'new allele', 'mesothoracic leg', 'mentioned features', 'heat shock', 'function mutations', 'function mutation', 'flies transformed', 'first leg', 'extreme alleles', 'ectopic expression', 'drosophila melanogaster', 'distal segments', 'distal parts', 'different ss', 'different segments', 'c suggests', 'adult phenotypes', ')) gene']</t>
  </si>
  <si>
    <t>ANT-C | Antennae | Arista | BX-C | Determination | Drosophila melanogaster | Leg | ss(a) | Tarsal segments</t>
  </si>
  <si>
    <t>Mutations in the spineless-aristapedia (ss(a)) gene of Drosophila melanogaster are pleiotropic, and their classical manifestations include a reduction in size of all bristles (spineless phenotype), transformation of distal parts of antennae into tarsal segments of the mesothoracic leg (aristapedia phenotype), and, in extreme alleles, fusion of tarsal segments on all six legs and the transformed aristaes. We isolated a new allele, which is a severe loss-of-function mutation and, in addition to the above-mentioned features, is characterized by amplification of sex combs on the first leg. This phenotype can be caused by a change in the expression of the Sex combs reduced (Scr) gene of the ANTP-C. Identification of this phenotype, together with observed variations in the extent of the fusion of tarsal segments in the legs of different segments, raised the possibility that. ss(a) interacts with homeotic genes controlling the identity of segments. This possibility was tested in genetical experiments using flies with loss-of-function mutations in several homeotic genes and flies transformed by heat shock- driven homeotic genes. Analysis of adult phenotypes of different ss(a) alleles in the background of under-, over-, or ectopic expression of some genes of BX-C and ANT-C suggests that the ss(a) product is required to prevent the effect of the homeotic gene products in the distal segments of the appendages.</t>
  </si>
  <si>
    <t>867-875</t>
  </si>
  <si>
    <t>International Journal of Developmental Biology</t>
  </si>
  <si>
    <t>60101985;60101985;60101985-60009189</t>
  </si>
  <si>
    <t>7004050084;6505989405;7007042088</t>
  </si>
  <si>
    <t>Kuzin, Boris;Doszhanov, Kuanysh;Mazo, Alexander</t>
  </si>
  <si>
    <t>Moscow;Philadelphia</t>
  </si>
  <si>
    <t>NK Koltsov Institute of Developmental Biology RAS;Sidney Kimmel Cancer Center at Jefferson</t>
  </si>
  <si>
    <t>60101985;60009189</t>
  </si>
  <si>
    <t>Kuzin B.</t>
  </si>
  <si>
    <t>Interaction between spineless-aristapedia gene and genes from Antennapedia and bithorax complexes of Drosophila melanogaster</t>
  </si>
  <si>
    <t>2-s2.0-0031456735</t>
  </si>
  <si>
    <t>['significantly different', 'significant differences', 'proliferation indices', 'mitotic indices', 'exposed lymphocytes', 'exchange aberrations', 'chromosomal aberrations', 'blood aliquots', 'binucleate lymphocytes', 'also recorded', 'acentric fragments', '90 min', '72 h', '30 min']</t>
  </si>
  <si>
    <t>Aliquots of human peripheral blood collected from two healthy human volunteers were exposed in vitro to continuous wave 2450 MHz radiofrequency radiation (RFR), either continuously for a period of 90 min or intermittently for a total exposure period of 90 min (30 min on and 30 min off, repeated three times). Blood aliquots which were sham-exposed or exposed in vitro to 150 cGy gamma radiation served as controls. The continuous wave 2450 MHz RFR was generated with a net forward power of 34¬∑5 W and transmitted from a standard gain rectangular antenna horn in a vertically downward direction. The mean power density at the position of the cells was 5¬∑0 mW/cm2. The mean specific absorption rate calculated by Finite Difference Time Domain analysis was 12¬∑16 W/kg. Immediately after exposure, lymphocytes were cultured for 48 and 72 h to determine the incidence of chromosomal aberrations and micronuclei, respectively. Proliferation indices were also recorded. There were no significant differences between RFR-exposed and sham- exposed lymphocytes with respect to; (a) mitotic indices; (b) incidence of cells showing chromosome damage; (c) exchange aberrations; (d) acentric fragments; (e) binucleate lymphocytes, and (f) micronuclei, for either the continuous or intermittent RFR exposures. In contrast, the response of positive control cells exposed to 150 cGy gamma radiation was significantly different from RFR-exposed and sham-exposed lymphocytes. Thus, there is no evidence for an effect on mitogen-stimulated proliferation kinetics or for excess genotoxicity within 72 h in human blood lymphocytes exposed in vitro to 2450 MHz RFR.</t>
  </si>
  <si>
    <t>751-757</t>
  </si>
  <si>
    <t>International Journal of Radiation Biology</t>
  </si>
  <si>
    <t>60018573;60018573;60018573;60018573</t>
  </si>
  <si>
    <t>57216377486;7102581801;36857559600;57190121532</t>
  </si>
  <si>
    <t>Vijayalaxmi, ;Mohan, N.;Meltz, M. L.;Wittler, M. A.</t>
  </si>
  <si>
    <t>University of Texas Health Science Center at San Antonio</t>
  </si>
  <si>
    <t xml:space="preserve">Vijayalaxmi </t>
  </si>
  <si>
    <t>Proliferation and cytogenetic studies in human blood lymphocytes exposed in vitro to 2450 MHz radiofrequency radiation</t>
  </si>
  <si>
    <t>10.1080/095530097142915</t>
  </si>
  <si>
    <t>2-s2.0-0031459832</t>
  </si>
  <si>
    <t>Netherlands Organization for International Cooperation in Higher Education</t>
  </si>
  <si>
    <t>Nuffic</t>
  </si>
  <si>
    <t>['worker aggression', 'three times', 'stingless bees', 'species stayed', 'species behaved', 'nest mainly', 'nest entrance', 'nectar dehydrating', 'melipona fasciata', 'may leave', 'mating biology', 'drones spent', 'drones leave', 'drone behaviour', 'different species', 'costa rica', 'closed hive', 'average age', 'aggregation temporary', '74 days', '6 days', '45 days']</t>
  </si>
  <si>
    <t>Drone behaviour | M. beecheii | M. fasciata | M. favosa | Melipona | Stingless bees</t>
  </si>
  <si>
    <t>The behaviour of drones of different species of Melipona was studied in Costa Rica and on Tobago. Drones of all species behaved very similarly. The intranidal behavioural analysis indicates that drones spent most time on standing, walking, stirring the antennae and self-grooming. The only 'typical worker behaviour', occasionally performed by 16 to 18 days old drones of Melipona, was the participation in nectar dehydrating. The age-relatedness and location in the nest where a behaviour is performed is being discussed. Worker aggression against drones was observed only three times. The behaviour of drones when they leave the nest is described. Drones leave the nest mainly between 8 and 11 AM, at an average age of 18.6 days. It was observed that drones do not return after they have once left the hive. A description is given of a nest-associated drone aggregation of Melipona fasciata on a wall. Drones of this species stayed in the aggregation for an average of 7.6 days, spending moat time on standing or flying in a 'cloud' near the nest entrance. They spent about five hours daily on the average and may leave the aggregation temporary. Drones were able to live up to 74 days in a closed hive, the average being 45 days. Implications of drone behaviour for the mating biology of stingless bees are discussed.</t>
  </si>
  <si>
    <t>435-447</t>
  </si>
  <si>
    <t>Insectes Sociaux</t>
  </si>
  <si>
    <t>60007989;60007989;60007989</t>
  </si>
  <si>
    <t>57218926101;6701840715;6602372366</t>
  </si>
  <si>
    <t>Van Veen, J. W.;Sommeijer, M. J.;Meeuwsen, F.</t>
  </si>
  <si>
    <t>Utrecht</t>
  </si>
  <si>
    <t>Utrecht University</t>
  </si>
  <si>
    <t>Van Veen J.W.</t>
  </si>
  <si>
    <t>Behaviour of drones in Melipona (Apidae, Meliponinae)</t>
  </si>
  <si>
    <t>10.1007/s000400050063</t>
  </si>
  <si>
    <t>2-s2.0-0031463504</t>
  </si>
  <si>
    <t>['yielding gcps', 'yield gcps', 'within 1', 'vertical accuracy', 'user may', 'real time', 'one method', 'many countries', 'immediately aware', 'gps receiver', 'gps antenna', 'generate orthoimages', 'comparable horizontal', 'clear path']</t>
  </si>
  <si>
    <t>Highly accurate ground control points (GCPs) are necessary to generate orthoimages. One method of collection is to use a GPS receiver. A high-quality GPS receiver with post-processing differential correction can yield GCPs with a horizontal and vertical accuracy of within 1 m and 2 m, respectively. The problem with post-processing differential correction is that the user cannot accurately plot the GCPs on-site. For example, if the GPS antenna does not have a clear path to the satellites, the user may not be immediately aware of the error. A new service called real-time differential correction, whereby the user can find out the coordinate of any point in real time, is now available in many countries. This eliminates the post-processing differential correction step while yielding GCPs of comparable horizontal and vertical accuracy.</t>
  </si>
  <si>
    <t>35-37</t>
  </si>
  <si>
    <t>Earth Observation Magazine</t>
  </si>
  <si>
    <t>57225926016;7006247244</t>
  </si>
  <si>
    <t>Cheng, P.;Toutin, T.</t>
  </si>
  <si>
    <t>Cheng P.</t>
  </si>
  <si>
    <t>On-site interactive GPS and geometric modeling: a winning combination</t>
  </si>
  <si>
    <t>2-s2.0-0031464103</t>
  </si>
  <si>
    <t>['technology pathfinder', 'spacecraft technologies', 'real possibility', 'landsat 8', 'heat dissipation', 'advanced technologies']</t>
  </si>
  <si>
    <t>Advanced technologies are available that may potentially lower the cost and improve the quality of future Landsat systems. The NASA New Millennium Program (NMP) Earth Orbiter Mission (EO-1), serving as a technology pathfinder, is implementing several sensor and spacecraft technologies to further define the possibilities for Landsat 8 and beyond. The technologies involved include high spectral resolution grating and wedge imaging spectrometers; advanced multispectral chip assemblies; a Pulsed Plasma Thruster (PPT), included as a reaction wheel replacement for improved spacecraft attitude control; X-band phase array ground transmission antenna and high speed fiber optics data bus (FODB) for enhanced data transmission; a carbon-carbon radiator panel for power/heat dissipation; and a light-weight flexible solar array employing highly efficient photosensitive materials. In aggregate, these technologies and others not only offer considerable enhancements, but also the real possibility of implementing and operating future Landsat systems at substantially less cost.</t>
  </si>
  <si>
    <t>901-905</t>
  </si>
  <si>
    <t>Photogrammetric Engineering and Remote Sensing</t>
  </si>
  <si>
    <t>Ungar, Stephen G.</t>
  </si>
  <si>
    <t>Ungar S.</t>
  </si>
  <si>
    <t>Technologies for future Landsat missions</t>
  </si>
  <si>
    <t>2-s2.0-0031471376</t>
  </si>
  <si>
    <t>['wave equation', 'various plasma', 'shooting method', 'shafranov equation', 'plasma size', 'perturbative treatment', 'order expansions', 'optimum design', 'fwcd system', 'flux coordinates', 'fast wave', 'current drive', 'aspect ratio', 'arbitrary choice', 'antenna parameters', 'analytic model']</t>
  </si>
  <si>
    <t>A full-wave numerical simulation is presented for the analysis of fast wave current drive (FWCD) in the KSTAR tokamak currently proposed as a superconducting advanced tokamak for the national fusion program in Korea. The wave equation describing the propagation and absorption of fast wave has been derived by the reduced-order expansions and the perturbative treatment of the parallel electric field. To investigate the characteristics of FWCD in shaped tokamak geometries, flux coordinates are adopted for describing the wave equation with the help of a general analytic solution of the Grad-Shafranov equation for arbitrary choice of plasma size, aspect ratio, elongation, and triangularity. Toroidal and poloidal mode expansions and shooting method with a variable step size integrator are employed to solve the wave equation in the flux coordinates. In the simulation, a phase-shifted antenna array is used to give net toroidal momentum to electrons via electron Landau damping and transit time magnetic pumping, and a semi-analytic model for current drive is applied. As a result of the simulation, the characteristics of FWCD for various plasma and antenna parameters are discussed, and the optimum design of a FWCD system is performed for KSTAR.</t>
  </si>
  <si>
    <t>SUPPL. PART 2</t>
  </si>
  <si>
    <t>Journal of the Korean Physical Society</t>
  </si>
  <si>
    <t>60013682;60013682;60017818</t>
  </si>
  <si>
    <t>56531262200;7405765456;36962725000</t>
  </si>
  <si>
    <t>Chung, Moses;Hong, Sang Hee;Cho, Suwon</t>
  </si>
  <si>
    <t>Suwon;Seoul</t>
  </si>
  <si>
    <t>Kyonggi University;Seoul National University</t>
  </si>
  <si>
    <t>60017818;60013682</t>
  </si>
  <si>
    <t>Chung M.</t>
  </si>
  <si>
    <t>A full-wave numerical simulation of fast wave current drive in tokamak plasma with circular cross section</t>
  </si>
  <si>
    <t>2-s2.0-0031503861</t>
  </si>
  <si>
    <t>['unmagnetized plasmas', 'stable discharge', 'power balance', 'power absorption', 'plasma resistance', 'plasma density', 'parameters include', 'magnetic field', 'geometrical configurations', 'equilibrium density', 'discharge parameters', 'collision frequency', 'analytic expressions']</t>
  </si>
  <si>
    <t>The dependence of the power absorption and the plasma density on various physical parameters of helicon plasma sources are investigated. The parameters include those for geometrical configurations of the chamber and the antenna, and discharge parameters such as the magnetic field and the collision frequency. In this work, analytic expressions for the wave field excited by Boswell and Nagoya III type antennas are used to calculate the plasma resistance and then the simple method based on the power balance is applied to find the equilibrium density for the stable discharge. Finally, the dependence of the power absorption on the collision frequency is discussed for both magnetized and unmagnetized plasmas.</t>
  </si>
  <si>
    <t>Cho, Suwon</t>
  </si>
  <si>
    <t>Suwon</t>
  </si>
  <si>
    <t>Kyonggi University</t>
  </si>
  <si>
    <t>Cho S.</t>
  </si>
  <si>
    <t>The dependence of the power absorption and the plasma density on physical parameters of helicon plasma sources</t>
  </si>
  <si>
    <t>2-s2.0-0031523001</t>
  </si>
  <si>
    <t>['project manager', 'luca cellai']</t>
  </si>
  <si>
    <t>Luca Cellai of Space Engineering SpA, Rome, Italy, is the Project Manager for testing the active array antennas on the Globalstar mobile communication satellites and describes here how the process has been automated.</t>
  </si>
  <si>
    <t>Cellai, Luca</t>
  </si>
  <si>
    <t>Roma</t>
  </si>
  <si>
    <t>Space Engineering SpA</t>
  </si>
  <si>
    <t>Cellai L.</t>
  </si>
  <si>
    <t>Custom robot speeds up active array testing of Globalstar satellites</t>
  </si>
  <si>
    <t>2-s2.0-0031543368</t>
  </si>
  <si>
    <t>['j vindevoghel', 'f bouazza', 'automotive applications']</t>
  </si>
  <si>
    <t>Short range radars for industrial or automotive applications will require low cost antennas. In this paper P Descamps, J Vindevoghel and F Bouazza of Institut d'Electronique et de Microelectronique du Nord at the University of Lille, France, describe a microstrip array structure for X and K-band.</t>
  </si>
  <si>
    <t>60104665;60104665;60104665</t>
  </si>
  <si>
    <t>35551660200;6602517840;7801411364</t>
  </si>
  <si>
    <t>Descamps, P.;Vindevoghel, J.;Bouazza, F.</t>
  </si>
  <si>
    <t>X and K-band multi-layer microstrip antennas for short-range radar applications</t>
  </si>
  <si>
    <t>2-s2.0-0031543398</t>
  </si>
  <si>
    <t>['six cross', 'rapidly reducing', 'radar equipment', 'mhz antenna', 'maximum thickness', 'lower sector', 'ice thickness', 'gran sasso', 'geophysical surveys', 'echo sounding', 'corno grande', 'calderone glacier', 'bedrock morphology']</t>
  </si>
  <si>
    <t>Apennines | Calderone | Glacier | Gran Sasso | Radioglaciology</t>
  </si>
  <si>
    <t>The Calderone Glacier is situated on Corno Grande, Gran Sasso d'Italia. It is the only glacier in the Apennine mountain chain and is now rapidly reducing and thinning. Geophysical surveys were conducted there in 1992 for the purposes of measuring the ice thickness and determining the bedrock morphology. Six cross and one longitudinal radio-echo sounding (R.E.S.) profiles were carried out on the lower sector of the glacier. G.S.S. radar equipment, including an 80-Mhz antenna, was used. The glacier showed ice thickness of 26 m at most, with evident over-deepening. The debris cover showed a maximum thickness of 2 m.</t>
  </si>
  <si>
    <t>305-308</t>
  </si>
  <si>
    <t>Geografia Fisica e Dinamica Quaternaria</t>
  </si>
  <si>
    <t>6505669633;7003480907;7202652731;7004155786;6507630132</t>
  </si>
  <si>
    <t>Fiucci, A.;Gigante, B.;Rossi, C.;Smiraglia, C.;Veggetti, O.</t>
  </si>
  <si>
    <t>Fiucci A.</t>
  </si>
  <si>
    <t>The Calderone Glacier (Gran Sasso d'Italia). Determination of ice thickness and bedrock morphology by means of radio-echo sounding</t>
  </si>
  <si>
    <t>2-s2.0-0031545275</t>
  </si>
  <si>
    <t>['technical specifications', 'target services', 'systems based', 'system specifications', 'smatv based', 'satellite sections', 'satellite section', 'quickly towards', 'paper describes', 'nowadays interactivity', 'key word', 'internet access', 'interaction channel', 'implemented following', 'computers world', 'competitive world', 'commercial feasibility', 'coaxial section', 'catv system', 'broadcasting world', 'adequate subset']</t>
  </si>
  <si>
    <t>The Broadcasting world has evolved very quickly towards the Digital technology supported by the DVB European consensus for the harmonisation of technical specifications for Satellite Digital TV distribution, as well as for SMATV, Cable, Terrestrial and Microwaves based systems. Nowadays interactivity is the key word in order to enhance Broadcasting systems for getting user acceptance in a very competitive world. Internet access through the satellite is one of the target services which makes very attractive the convergence between the broadcasting and the computers world. Interactive broadcasting systems are under definition in the frame of the DVB for the several transmission media. This paper describes the DVB Interaction Channel solution for Satellite Master Antenna Television (SMATV) systems based on the concatenation of a coaxial and a satellite sections, which at the time of writing this paper is being discussed at the DVB-RC. The satellite section is based on inexpensive low power Ku band satellite terminals known as Interactive TVRO terminals. The coaxial section can be implemented following the DVB-RC-CATV system, but selecting the adequate subset of options with the aim of getting nearly consumer type SMATV headend equipment. The DIGISAT ACTS project has developed the system specifications as well as prototypes in order to demonstrate the technical and commercial feasibility of the Interaction channel for SMATV based on Satellite Interactive Terminals and the corresponding coaxial section.</t>
  </si>
  <si>
    <t>;101595602;101595602;101595602</t>
  </si>
  <si>
    <t>6602704465;6602823323;36829660900;6507351580</t>
  </si>
  <si>
    <t>Sese√±a, Juli√°n;Prieto, H.;Molina, A.;Sedes, M. J.</t>
  </si>
  <si>
    <t>HISPASAT Telecommunications Division</t>
  </si>
  <si>
    <t>Sese√±a J.</t>
  </si>
  <si>
    <t>The satellite role in the interactive broadcasting era. Application to SMATV (DIGISAT project)</t>
  </si>
  <si>
    <t>2-s2.0-0031560678</t>
  </si>
  <si>
    <t>['type species', 'two species', 'twelve species', 'subsaharan africa', 'pyralid moths', 'one species', 'new genus', 'male genitalia', 'junior synonym', 'hampson ).', 'hampson ),', 'female genitalia', 'consistency index', 'adult moths']</t>
  </si>
  <si>
    <t>Africa | Cladistics | Lepidoptera | Moths | Peoriini | Phycitinae</t>
  </si>
  <si>
    <t>Parematheudes, a new genus of pyralid moths is described from subsaharan Africa. Twelve species are recognized and described, including the type species, P. interpunctella (Hampson), and eight new species: P. tenuis, P. diacantha, P. immaculata, P. dionyx, P. onyx, P. hamulus, P. crista, and P. dentatus. Commotria rufimedia Hampson is considered a junior synonym of P. polystictella (Hampson). Photographs of adult moths and male genitalia are provided for all species, female genitalia for one species, and scanning electron photomicrographs of antennae for two species. Cladistic analysis using Hennig86 yielded one tree with a consistency index of 55. A key to the species is provided.</t>
  </si>
  <si>
    <t>397-427</t>
  </si>
  <si>
    <t>Journal of African Zoology</t>
  </si>
  <si>
    <t>Shaffer, Jay C.</t>
  </si>
  <si>
    <t>Fairfax</t>
  </si>
  <si>
    <t>George Mason University</t>
  </si>
  <si>
    <t>Shaffer J.</t>
  </si>
  <si>
    <t>Parematheudes, description and cladistic analysis of a new genus of African Peoriini (Lepidoptera: Pyralidae: Phycitinae)</t>
  </si>
  <si>
    <t>2-s2.0-0242576988</t>
  </si>
  <si>
    <t>58-63</t>
  </si>
  <si>
    <t>60071762;100435610-100452200</t>
  </si>
  <si>
    <t>55220448200;56212355200</t>
  </si>
  <si>
    <t>Popov, Alexandre P.;Milligan, Tom</t>
  </si>
  <si>
    <t>Papua New Guinea;United States;United States</t>
  </si>
  <si>
    <t>Lae;Littleton;Littleton</t>
  </si>
  <si>
    <t>Papua New Guinea University of Technology;Miligan and Associates;Milligan and Associates</t>
  </si>
  <si>
    <t>60071762;100452200;100435610</t>
  </si>
  <si>
    <t>Popov A.</t>
  </si>
  <si>
    <t>Amplitude aperture-distribution control in displaced-axis two-reflector antennas</t>
  </si>
  <si>
    <t>10.1109/74.646802</t>
  </si>
  <si>
    <t>2-s2.0-0342459787</t>
  </si>
  <si>
    <t>['two groups', 'treatment outcome', 'third protocol', 'side effects', 'shown superiority', 'showing improvement', 'rl groups', 'relative improvement', 'relative change', 'randomized study', 'prostatic urethra', 'prostate volume', 'originally designed', 'median lobe', 'madsen score', 'low effect', 'life scores', 'increased morbidity', 'inclusion criterias', 'heat maximum', 'hb group', 'france ).', 'complementary treatment', 'clinical results', 'bruker spectrospin', 'apex level', '70 ml', '70 min', '6 months', '350 ml']</t>
  </si>
  <si>
    <t>Treatment outcome after transurethral microwave thermotherapy (TUMT) for benign prostatic hyperplasia (BPH) has been considered to be dose-dependent. However so far, no randomized study has shown superiority for high effect versus low. There are no results showing whether or not the localization of heat maximum in the prostatic urethra is of importance for the clinical results. This study was originally designed as a two arm prospective randomized study comparing high and low effect (RH and RL, respectively) included I % patients. TUMT was performed with a first generation antenna with heat maximum at apex level. During the course of the study a third protocol with high effect TUMT with heat maximum at the base of the prostate (HB, close to the bladder neck). was added which included 31 patients. Inclusion criterias were prostate volume 25-70 ml, Madsen score ‚â•8, Qmax ‚â§15 ml/s, residual urine volume &lt;350 ml and no median lobe. The groups were similar concerning age, prostate volume and length. Treatment was performed as an out-patient single session procedure for 70 min with the Prostcare (Bruker Spectrospin, France). The results showed improvement after 6 months in all three groups regarding Madsen, bothering and quality of life scores and Qmax. The relative change of Qmax was better in the RH group compared with the other two groups. The relative improvement of Madsen score was more pronounced in the HB group compared with the other two groups. The groups were divided in responders and non-responders. Responders were defined as showing improvement in Madsen score after 6 months, satisfied with treatment outcome and not in need of or planned for complementary treatment at 6 months follow-up. There were significant more responders in the HB group compared with the RH and RL groups (87, 63 and 58%, respectively). The change of PSA and side effects after treatment were more pronounced in the HB group. Conclusion. Treatment outcome after TUMT is both dose-related and dependent on localization of heat maximum in the prostatic urethra, The improvement in outcome is associated with an increased morbidity.</t>
  </si>
  <si>
    <t>SUPPL. 2</t>
  </si>
  <si>
    <t>British Journal of Urology</t>
  </si>
  <si>
    <t>60031040;60031040;60031040</t>
  </si>
  <si>
    <t>7004857194;6603559108;7007149688</t>
  </si>
  <si>
    <t>Eliasson, Tomas;Abramsson, Leif;Damber, Jan Erik</t>
  </si>
  <si>
    <t>Umea</t>
  </si>
  <si>
    <t>Ume√• Universitet</t>
  </si>
  <si>
    <t>Eliasson T.</t>
  </si>
  <si>
    <t>Randomized study between high versus low effect with various localization of heat maximum in transurethral microwave thermotherapy of benign prostatic hyperplasia</t>
  </si>
  <si>
    <t>2-s2.0-0344191143</t>
  </si>
  <si>
    <t>['structure relationship', 'standing problem', 'spectroscopy relationship', 'reasonable explanation', 'protein complex', 'prosthecochloris aestuarii', 'previous studies', 'preliminary solution', 'main function', 'low temperature', 'exciton model', 'essentially result', 'energy transfer', 'dipole interactions', 'controlled solution', '4 k']</t>
  </si>
  <si>
    <t>Absorption | Exciton | Fenna-Matthews-Olson complex of Prosthecochloris aestuarii | Light-harvesting antenna | Linear dichroism | Photosynthesis</t>
  </si>
  <si>
    <t>The long-standing problem of interpretation of the spectroscopy-structure relationship of the Fenna-Matthews-Olson (FMO) protein complex from Prosthecochloris aestuarii is revisited. The main problems associated with the best current interpretations have been identified and an approach for a better-controlled solution is considered. On the conjecture that a reasonable explanation of the structure-spectroscopy relationship of the FMO should essentially result from the analysis of linear optical data that had not been employed by or available for previous studies, the low temperature (4 K) absorption and linear dichroism spectra have been simulated simultaneously using an exciton model. The model is based on the assumption that the FMO excited states that are responsible for the main function (energy transfer) are the excitonic states resulting from the dipole-dipole interactions of the individual Qy transitions among the bacteriochlorophylls of the unaggregated C3 symmetric crystalline form. On the basis of simulations, a preliminary solution to the excited state structure is provided and a strategy for further refinement is suggested. ¬© T√úBƒ∞TAK.</t>
  </si>
  <si>
    <t>1129-1143</t>
  </si>
  <si>
    <t>Turkish Journal of Physics</t>
  </si>
  <si>
    <t>60004305;60004305</t>
  </si>
  <si>
    <t>6506333240;6602366587</t>
  </si>
  <si>
    <t>I≈üeri, Erkut Inan;G√ºlen, Demet</t>
  </si>
  <si>
    <t>Middle East Technical University (METU)</t>
  </si>
  <si>
    <t>I≈üeri E.</t>
  </si>
  <si>
    <t>Absorption and linear dichroism of the Fenna-Matthews-Olson pigment-protein complex of Prosthecochloris aestuarii: An exciton model</t>
  </si>
  <si>
    <t>2-s2.0-0345571469</t>
  </si>
  <si>
    <t>['survey region', 'solved using', 'signals received', 'scale wind', 'radar measurement', 'presents data', 'power potential', 'possible methods', 'paper studies', 'operational parameters', 'mesoscale field', 'limiting sensitivity', 'large number', 'generated waves', 'frequency phasometers', 'emitted signal', 'correlation coefficient', 'article examines', 'antenna phasometer', 'ambiguous readings']</t>
  </si>
  <si>
    <t>This article examines the problem of radar measurement (recovery) of the mesoscale field of the ocean surface level in the presence of small-scale wind-generated waves. Out of a large number of possible methods, only 'panoramic radio altimetry' methods using side-looking space radars are examined. It is shown that this problem can be solved using a dual-frequency, single-antenna phasometer. The paper studies the correlation coefficient of signals received by dual-antenna (single-frequency) phasometers and by dual-frequency phasometers, random and systematic error components and the problem of ambiguous readings. It presents data which can be used to estimate the necessary spectral bandwidth of an emitted signal and the system's power potential from its operational parameters, the limiting sensitivity, the size of a spot for averaging and the width of the survey region on the surface.</t>
  </si>
  <si>
    <t>697-712</t>
  </si>
  <si>
    <t>Pereslegin, S. V.</t>
  </si>
  <si>
    <t>Pereslegin S.V.</t>
  </si>
  <si>
    <t>Recovering the Mesoscale Field of the Ocean Level Using Space Radar Phasometry Techniques</t>
  </si>
  <si>
    <t>2-s2.0-0345811158</t>
  </si>
  <si>
    <t>['wing reduction', 'second species', 'partly brachypterous', 'one species', 'monegros region', 'long antennae', 'first example', 'conical pronotum', 'bicoloured thorax']</t>
  </si>
  <si>
    <t>Brachyptery | Chalcidoidea | Hymenoptera | Idiomacromerus conicollis n. sp. Idiomacromerus longicornis n. sp. | Torymidae</t>
  </si>
  <si>
    <t>Two new species of Idiomacromerus are described from the Monegros region. One species, I. conicollis, has a conical pronotum and is partly brachypterous, the first example of wing reduction to be recorded in Torymidae; the second species, I. longicornis, is a parasitoid in cecidomyiid (Diptera) galls on Salsola and is characterized by long antennae and ovipositor and a bicoloured thorax.</t>
  </si>
  <si>
    <t>65-70</t>
  </si>
  <si>
    <t>Miscellania Zoologica</t>
  </si>
  <si>
    <t>Askew, R. R.</t>
  </si>
  <si>
    <t>Askew R.</t>
  </si>
  <si>
    <t>Two new species of Idiomacromerus Crawford (Hymenoptera, Chalcidoidea, Torymidae) from Spain</t>
  </si>
  <si>
    <t>2-s2.0-0346310913</t>
  </si>
  <si>
    <t>100546461-60121438-60029278-60025038-60027030-101861755;60013983-60121438-60025038-122904374-60000251;60007592-60121438-60025038-60014313;60121438-60031581-60009982-60021939;60013983-60121438-60005465-60025488-60020273</t>
  </si>
  <si>
    <t>United States;United States;United States;United States;United States;United States;United States;United States;United States;Hong Kong;United States;Spain;China;United States;United States;United States;United States</t>
  </si>
  <si>
    <t>Berkeley;Pasadena;Chicago;New York;Salt Lake City;Berkeley;Malibu;Binghamton;Amherst MA;Kowloon;Cambridge;Barcelona;Chengdu;New York;Falls;Sunnyvale;Sunnyvale</t>
  </si>
  <si>
    <t>University of California, Berkeley;California Institute of Technology;The University of Chicago;McKinsey &amp; Company;The University of Utah;University of California, Berkeley;HRL Laboratories;Binghamton University State University of New York;University of Massachusetts Amherst;City University of Hong Kong;Harvard University;Universitat Polit√®cnica de Catalunya;University of Electronic Science and Technology of China;IEEE;University of Wisconsin;Geometries Inc.;Geometric, Inc</t>
  </si>
  <si>
    <t>60121438;60031581;60029278;60027030;60025488;60025038;60021939;60020273;60014313;60013983;60009982;60007592;60005465;60000251;122904374;101861755;100546461</t>
  </si>
  <si>
    <t>2-s2.0-10644272893</t>
  </si>
  <si>
    <t>In this paper, a technique is presented to reduce the computational effort involved in the full-wave frequency analysis of printed antennas, as done via the method of moments (MoM) discretization of EFIE. The technique is based on the resonance properties of one or more radiating elements presented in the structure, as assessed through the singular value decomposition (SVD) of the associated matrices. Examples of the application of the method are presented: the obtained results are compared with exact evaluation and experimental data. ¬© 1997 John Wiley &amp; Sons, Inc.</t>
  </si>
  <si>
    <t>2-s2.0-10644282387</t>
  </si>
  <si>
    <t>N000149410853</t>
  </si>
  <si>
    <t>['time dependence', 'simultaneous existence', 'new type', 'inflating antenna', 'induction signal', 'increasing amplitude', 'free induction', 'formalism developed', 'expanding area', 'exciton continuum', 'exciting pulse', 'dephasing processes', 'bound state', 'bound excitons']</t>
  </si>
  <si>
    <t>A theory of the free-induction signal from biexcitons and bound excitons is presented. Simultaneous existence of the exciton continuum and a bound state is shown to result in a new type of the time dependence of the free induction. The optically detected signal increases in time and oscillates with increasing amplitude until damped by radiative and dephasing processes. The expanding area of coherent exciton polarization (inflating antenna) produced by the exciting pulse is the underlying physical mechanism. The formalism developed can be applied to various biexciton transients ¬© 1997 American Institute of Physics.</t>
  </si>
  <si>
    <t>176-181</t>
  </si>
  <si>
    <t>JETP Letters</t>
  </si>
  <si>
    <t>60068683-60025488</t>
  </si>
  <si>
    <t>Rashba, E. I.</t>
  </si>
  <si>
    <t>Chernogolovka;Salt Lake City</t>
  </si>
  <si>
    <t>Landau Institute for Theoretical Physics, Russian Academy of Sciences;The University of Utah</t>
  </si>
  <si>
    <t>60068683;60025488</t>
  </si>
  <si>
    <t>Inflating antenna: Dynamics of exciton wave packets</t>
  </si>
  <si>
    <t>S0021364097010025</t>
  </si>
  <si>
    <t>10.1134/1.567314</t>
  </si>
  <si>
    <t>2-s2.0-20444368488</t>
  </si>
  <si>
    <t>['way similar', 'total number', 'species presents', 'smaller number', 'sensilla placodea', 'sensilla coeloconica', 'sensilla campaniformia', 'sensilla ampullacea', 'scaptotrigona postica', 'pheromone trails', 'nannotrigona testaceicornis', 'larger quantity', 'larger number', 'gradually decreasing', 'flagellomere 10', 'basal flagellomeres']</t>
  </si>
  <si>
    <t>The total number and distribution per antennal flagellomere of sensilla placodea (olfactory disks), sensilla coeloconica, sensilla ampullacea and sensilla campaniformia were determined in workers of Nannotrigona testaceicornis Lepeletier a stingless bee species quite common in Brazil. The distribution of the sensilla was uniform, with the largest number occurring in flagellomere 10 and gradually decreasing in the direction of the basal flagellomeres in a way similar to that observed in Scaptotrigona postica Latreille. Nannotrigona testaceicornis had a larger number of sensilla ampullacea and a smaller number of sensilla coeloconica and sensilla campaniformia than Scaptotrigona postica. Although Nannotrigona testaceicornis does not communicate through the formation of pheromone trails, this species presents a larger quantity of sensilla placodea (relative to the length of the flagellum) than Scaptotrigona postica.</t>
  </si>
  <si>
    <t>230-235</t>
  </si>
  <si>
    <t>Journal of the New York Entomological Society</t>
  </si>
  <si>
    <t>6603137947;8702810700</t>
  </si>
  <si>
    <t>Stort, Antonio Carlos;Moraes-Alves, Monica M.B.</t>
  </si>
  <si>
    <t>Sensory structures of the antennae of Nannotrigona testaceicornis (apidae: meliponinae)</t>
  </si>
  <si>
    <t>2-s2.0-22044453539</t>
  </si>
  <si>
    <t>['small pronotum', 'previously known', 'numerous features', 'large head', 'geniculate antennae', 'elytral punctation', 'antennal segments']</t>
  </si>
  <si>
    <t>Aleocharinae | Coleoptera | Philippines | Staphylinidae | Strabocephalium | Taxonomy</t>
  </si>
  <si>
    <t>Two new Philippine species of the aleocharine genus Strabocephalium are described. Members of Strabocephalium, previously known from Borneo only, resemble ant soldiers by the shape of the large head with geniculate antennae, in combination with a small pronotum. The three constituent species may be distinguished by numerous features, particularly by the respective body size, the length of the antennal segments, the size of the eyes, the elytral punctation and the characters of the abdominal tergites 7 and 8.</t>
  </si>
  <si>
    <t>17-21</t>
  </si>
  <si>
    <t>Annales Zoologici</t>
  </si>
  <si>
    <t>L√∂bl, Ivan</t>
  </si>
  <si>
    <t>Natural History Museum of Geneva</t>
  </si>
  <si>
    <t>L√∂bl I.</t>
  </si>
  <si>
    <t>Strabocephalium mroczkowskii sp. nov. and S. Kistneri sp. nov. from the Philippines (coleoptera: staphylinidae: aleocharinae)</t>
  </si>
  <si>
    <t>2-s2.0-23744443530</t>
  </si>
  <si>
    <t>['ultimately expressed', 'transformed signal', 'transformed frequency', 'radiating modes', 'order harmonics', 'noticeable contribution', 'nonlinear object', 'field pattern', 'detection distance', 'antenna feeder']</t>
  </si>
  <si>
    <t>Higher-order waves excited in the antenna feeder of a nonlinear object both in the probing and radiating modes of a transformed signal of higher-order harmonics are calculated. It is shown that higher-order oscillations make a noticeable contribution, which is ultimately expressed in the increase of the detection distance. The behavior of the far-field pattern of the object horn antenna at the transformed frequency is analyzed.</t>
  </si>
  <si>
    <t>1350-1354</t>
  </si>
  <si>
    <t>Journal of Communications Technology and Electronics</t>
  </si>
  <si>
    <t>6602885726;7006462799</t>
  </si>
  <si>
    <t>Vernigorov, N. S.;Kharin, V. B.</t>
  </si>
  <si>
    <t>Vernigorov N.S.</t>
  </si>
  <si>
    <t>The Influence of the Antenna Feeder of a Nonlinear Object on the Distance of Detection in a Nonlinear Location</t>
  </si>
  <si>
    <t>2-s2.0-2742511375</t>
  </si>
  <si>
    <t>['optimal thickness', 'numerical analysis', 'matching layers', 'matching layer', 'layer lenses', 'different values']</t>
  </si>
  <si>
    <t>Numerical analysis of the characteristics of spherical lens antennas with matching layers is performed. The optimal thickness of the matching layer is determined for homogeneous and double-layer lenses for different values of the diameter and permittivity.</t>
  </si>
  <si>
    <t>635-637</t>
  </si>
  <si>
    <t>Kharlanov, Yu Ya</t>
  </si>
  <si>
    <t>Kharlanov Y.</t>
  </si>
  <si>
    <t>Investigation and Optimization of Spherical Lens Antennas with Matching Layers</t>
  </si>
  <si>
    <t>2-s2.0-2742514850</t>
  </si>
  <si>
    <t>['radiator coordinates', 'phase distribution', 'optimal amplitude', 'numerical examples', 'mutual coupling', 'minimum condition', 'induced emf', 'generalized method', 'corresponding functional', 'array radiators']</t>
  </si>
  <si>
    <t>An approach to the synthesis of a non uniform array by a given amplitude pattern, which takes into account the mutual coupling of the array radiators and is based on the generalized method of induced emf, is presented for the case of a linear dipole array. Optimal amplitude-phase distribution of the array impressed voltages and the radiator coordinates are obtained from the minimum condition of the corresponding functional. Numerical examples of the particular pattern synthesis are presented.</t>
  </si>
  <si>
    <t>521-525</t>
  </si>
  <si>
    <t>55973232200;6506544288</t>
  </si>
  <si>
    <t>Savenko, P. A.;Pasnak, L. M.</t>
  </si>
  <si>
    <t>Synthesis of a Linear Nonuniform Antenna Array of Coupled Dipoles by a Given Amplitude Pattern</t>
  </si>
  <si>
    <t>2-s2.0-2742521475</t>
  </si>
  <si>
    <t>['noise stability', 'local disturbance', 'isotropic background', 'frequency processor', 'adaptive space']</t>
  </si>
  <si>
    <t>The algorithm of an adaptive space-frequency processor is presented. The noise stability of the system, which detects a small stochastic signal against an isotropic background and a local disturbance, is studied.</t>
  </si>
  <si>
    <t>638-644</t>
  </si>
  <si>
    <t>7202673450;6701649006;6507854971</t>
  </si>
  <si>
    <t>Gusev, V. G.;Yakubovskii, A. M.;Yanutsh, A. D.</t>
  </si>
  <si>
    <t>Gusev V.</t>
  </si>
  <si>
    <t>Adaptive Wideband Antenna Array Designed on the Basis of Fast Fourier Transform</t>
  </si>
  <si>
    <t>2-s2.0-2742524796</t>
  </si>
  <si>
    <t>['specular reflection', 'operator method', 'given direction', 'field pattern', 'energy coefficient']</t>
  </si>
  <si>
    <t>The problem of the scattering of a three-dimensional linearly polarized Gaussian wave beam by the aperture of a reflection phased array (PA) composed of short-circuited rectangular waveguides is solved by the operator method. The energy coefficient of the specular reflection and the far-field pattern are calculated for the case when the antenna is phased in the given direction.</t>
  </si>
  <si>
    <t>961-966</t>
  </si>
  <si>
    <t>60068504;60068504</t>
  </si>
  <si>
    <t>14063345800;54419121500</t>
  </si>
  <si>
    <t>Gribovskii, A. V.;Prosvirnin, S. L.</t>
  </si>
  <si>
    <t>Institute of Radio Astronomy National Academy of Sciences of Ukraine</t>
  </si>
  <si>
    <t>Gribovskii A.V.</t>
  </si>
  <si>
    <t>Scattering of a Wave Beam by a Reflection Array Made of Rectangular Waveguides</t>
  </si>
  <si>
    <t>2-s2.0-2742526952</t>
  </si>
  <si>
    <t>['three methods', 'superresolution based', 'reddi method', 'projection method', 'likewise superior', 'large number', 'coordinate estimates', 'considerably superior', 'characteristic decompositions', 'array elements', 'antenna array']</t>
  </si>
  <si>
    <t>Expressions are obtained for the moments of coordinate estimates of the noise sources observed with the help of an antenna array. Three methods of superresolution based on characteristic decompositions are applied: the projection method, the Reddi method, and the rank reduction method. It is established that for a large number of the array elements, the projection method is considerably superior to the Reddi method, which in turn, is likewise superior to the rank reduction method.</t>
  </si>
  <si>
    <t>74-77</t>
  </si>
  <si>
    <t>55996837400;7004360250;55190354900</t>
  </si>
  <si>
    <t>Apresyan, L. A.;Karavaev, V. V.;Molodtsov, V. S.</t>
  </si>
  <si>
    <t>Comparison of the Parametric Spectral Analysis Algorithms with Reference to the Direction Finding of Sources by an Antenna Array</t>
  </si>
  <si>
    <t>2-s2.0-2742530274</t>
  </si>
  <si>
    <t>['substantially distort', 'rigorous manner', 'metal sheets', 'joint solution', 'certain conditions', 'canonical problem', 'antenna radiation']</t>
  </si>
  <si>
    <t>Under certain conditions, a semi-infinite dielectric cover can substantially distort the antenna radiation properties. A joint solution to the canonical problem of the surface wave diffraction on a dielectric and metal sheets and the problem of the antenna radiation from under the infinite dielectric layer enables investigation of these distortions in a rigorous manner.</t>
  </si>
  <si>
    <t>619-623</t>
  </si>
  <si>
    <t>7004852385;6507976428</t>
  </si>
  <si>
    <t>Vasil'ev, E. N.;Okhmatovskii, V. I.</t>
  </si>
  <si>
    <t>Vasil'ev E.</t>
  </si>
  <si>
    <t>Effect of a Semi-Infinite Dielectric Cover on the Radiation Properties of a Phased Array</t>
  </si>
  <si>
    <t>2-s2.0-2742532522</t>
  </si>
  <si>
    <t>['shaped waveguides', 'mathematical model', 'lens antenna', 'infinite array']</t>
  </si>
  <si>
    <t>A mathematical model of a lens antenna based on waveguides of an arbitrary cross section is developed. The characteristics of a lens antenna are calculated through representing the surfaces of the lens as a finite excited domain of an infinite array of waveguides with an arbitrary cross section. The results are compared with experimental data obtained for lens antennas made of cross-shaped waveguides.</t>
  </si>
  <si>
    <t>271-277</t>
  </si>
  <si>
    <t>7003358467;57096791300;6603584865</t>
  </si>
  <si>
    <t>Vasilenko, Yu N.;Il'inskii, A. S.;Kharlanov, Yu Ya</t>
  </si>
  <si>
    <t>Vasilenko Y.</t>
  </si>
  <si>
    <t>Modeling of Lens Antennas on the Basis of Waveguides with Complex Cross Section</t>
  </si>
  <si>
    <t>2-s2.0-2742536938</t>
  </si>
  <si>
    <t>['radiation characteristics', 'orthogonality conditions', 'extreme properties', 'electromagnetic energy', 'antenna scattering']</t>
  </si>
  <si>
    <t>Orthogonality conditions for the antenna scattering and radiation characteristics are derived on the basis of the antenna theorem generalized for the case of an arbitrary load connected to the receiving antenna output. It is shown that the orthogonality conditions determine the extreme properties of antennas as scatterers of the electromagnetic energy.</t>
  </si>
  <si>
    <t>78-82</t>
  </si>
  <si>
    <t>60032321;60032321</t>
  </si>
  <si>
    <t>6701816402;6505882369</t>
  </si>
  <si>
    <t>Erokhin, G. A.;Kocherzhevskii, V. G.</t>
  </si>
  <si>
    <t>Erokhin G.A.</t>
  </si>
  <si>
    <t>The Relation between Radiation and Scattering Antenna Characteristics, and the Problem of the Scattered Power Minimization (Maximization)</t>
  </si>
  <si>
    <t>2-s2.0-2742541337</t>
  </si>
  <si>
    <t>['resolution limit', 'random sources', 'parametric algorithms', 'noise background', 'multiplicative distortions', 'gain fluctuations', 'fluctuation bounds', 'direction finding', 'bearing accuracy']</t>
  </si>
  <si>
    <t>Effects of multiplicative distortions (antenna-gain fluctuations) on parametric algorithms of direction finding for random sources are studied. The algorithms are characterized by the resolution limit and bearing accuracy. Fluctuation bounds that indicate considerable degradation of the two quantities compared to those for reception with additive-white-noise background are determined.</t>
  </si>
  <si>
    <t>526-530</t>
  </si>
  <si>
    <t>Parametric Spectral Analysis for Multiplicative Distortions</t>
  </si>
  <si>
    <t>2-s2.0-2742541390</t>
  </si>
  <si>
    <t>['œä ),', 'transmitting aperture', 'transmitting antenna', 'power applied', 'optimum distribution', 'noticeably higher', 'loss transmission', 'larger power', 'given distance', 'following constraints']</t>
  </si>
  <si>
    <t>The problem of maximizing the electromagnetic power transmitted between two apertures separated by a given distance is addressed under the following constraints: the power flow density near the transmitting antenna is limited, the power applied to the antenna is in excess of what actually can be transmitted, and the field is focused on the receiving aperture center. It is clear that the more uniformly the radiators are distributed over the transmitting aperture, the larger power can be obtained at the receiving antenna output. Although, in this case, for small Fresnel numbers (of the order of œÄ), the loss is higher than that for the optimum distribution, the power that can be transmitted is noticeably higher than the power for the minimum-loss transmission.</t>
  </si>
  <si>
    <t>Vaganov, R. B.</t>
  </si>
  <si>
    <t>Fryazino</t>
  </si>
  <si>
    <t>Kotel'nikov Institute of Radio Engineering and Electronics of Russian Academy of Sciences, Fryazino Branch</t>
  </si>
  <si>
    <t>Vaganov R.</t>
  </si>
  <si>
    <t>Maximum Power Transmission between Two Apertures with the Help of a Wave Beam</t>
  </si>
  <si>
    <t>2-s2.0-2742549001</t>
  </si>
  <si>
    <t>['refractive surfaces', 'refraction index', 'ray approximation', 'lens antenna', 'law establishing']</t>
  </si>
  <si>
    <t>In the ray approximation, the solution to the problem of the synthesis of an axial-symmetric gradient lens is obtained with the refraction index depending on the distance to the axis. The form of one of the refractive surfaces of a lens or the law of the variation of the refraction index can be specified, as well as the law establishing the correspondence between the points of the input and exit beam fronts, which defines basic parameters of the lens antenna.</t>
  </si>
  <si>
    <t>1355-1361</t>
  </si>
  <si>
    <t>60029225;60029225</t>
  </si>
  <si>
    <t>6508369080;7003747598</t>
  </si>
  <si>
    <t>Venetskii, A. S.;Kaloshin, V. A.</t>
  </si>
  <si>
    <t>Venetskii A.</t>
  </si>
  <si>
    <t>Synthesis of a Gradient Lens Antenna with Axial Symmetry and a Curvilinear Form of Refractive Surfaces</t>
  </si>
  <si>
    <t>2-s2.0-2742569649</t>
  </si>
  <si>
    <t>['rigorous formulation', 'integral equations', 'infinite cover', 'high degree', 'edge effects', 'dielectric cover', 'array radiators']</t>
  </si>
  <si>
    <t>Edge effects in a slot phased antenna array (PAA) caused by boundedness of both the array and the dielectric cover are investigated in a rigorous formulation on the basis of the method of integral equations. Analysis is performed for the model of a semi-infinite cover, taking into account possible mutual influence of the array radiators. Such an approach enables one to study edge effects with a high degree of adequacy.</t>
  </si>
  <si>
    <t>1232-1238</t>
  </si>
  <si>
    <t>Edge Effects in a Slot Phased Antenna Array in the Case of Radiation from under a Semi-Infinite Dielectric Cover</t>
  </si>
  <si>
    <t>2-s2.0-2742574092</t>
  </si>
  <si>
    <t>['software package', 'radome curvature', 'radome boundaries', 'oriented inside', 'numerical results', 'multiple reflections', 'magnetic dipoles', 'huygens sources', 'elementary radiators', 'electromagnetic radiation', 'developed algorithms', 'arbitrarily located']</t>
  </si>
  <si>
    <t>The electromagnetic radiation of a system of elementary radiators (electric and magnetic dipoles and Huygens sources) arbitrarily located and oriented inside a spherically layered radome is studied with a rigorous electrodynamical approach. For radomes of small and medium electric dimensions, this mathematical model takes into account the effect of multiple reflections from the radome boundaries and the effect of the radome curvature on the antenna radiation characteristics. The developed algorithms are implemented as a software package. The numerical results are discussed.</t>
  </si>
  <si>
    <t>1321-1326</t>
  </si>
  <si>
    <t>60005913;60005913;60005913</t>
  </si>
  <si>
    <t>7006839310;7004901004;6603577134</t>
  </si>
  <si>
    <t>Bodrov, V. V.;Surkov, V. I.;Surkova, I. V.</t>
  </si>
  <si>
    <t>National Research University ‚ÄúMoscow Power Engineering Institute‚Äù</t>
  </si>
  <si>
    <t>Bodrov V.</t>
  </si>
  <si>
    <t>Influence of a Spherically Layered Radome on the Pattern of a System of Arbitrarily Located Radiators</t>
  </si>
  <si>
    <t>2-s2.0-2742581700</t>
  </si>
  <si>
    <t>['sight environments', 'sight area', 'shaped corridor', 'selected area', 'results show', 'polarization diversity', 'non line', 'first time', 'diversity systems', 'diversity scheme', 'diversity gains', 'dipole antenna', 'centre line', 'carrier frequency', 'also investigated', 'also compare', 'adjacent room']</t>
  </si>
  <si>
    <t>In this paper, we use a novel ray tracing technique to study indoor propagation channels and diversity systems in the millimetre wave band. This technique is used for the first time to study diversity techniques in non line-of-sight environments. The selected area has an L-shaped corridor and an adjacent room. The CPD's (Cumulative Probability Distribution) of the centre line of the corridor and the room are calculated showing almost Rayleigh and Rician distribution respectively. The rms delay spread in the corridor is found to be more than that for the room. The influence of carrier frequency on CPD and rms delay spreads is also investigated. Frequency, space and polarization diversity are investigated and diversity gains are calculated for different frequency separation and different antenna separation. We also compare the results of using the diversity scheme with omnidirectional transmitter antenna and the case of no diversity with a transmitter dipole antenna. The results show that the performance of the diversity scheme is better than using of a dipole antenna in the transmitter in the non line-of-sight area.</t>
  </si>
  <si>
    <t>60030480;60030480;60030480</t>
  </si>
  <si>
    <t>24474815100;7101657439;7004068328</t>
  </si>
  <si>
    <t>Ghobadi, Ch;Shepherd, P. R.;Pennock, S. R.</t>
  </si>
  <si>
    <t>Bath</t>
  </si>
  <si>
    <t>University of Bath</t>
  </si>
  <si>
    <t>Ghobadi C.</t>
  </si>
  <si>
    <t>The Study of Beyond Line-Of-Sight Indoor Propagation Channels and Diversity Techniques</t>
  </si>
  <si>
    <t>2-s2.0-2742591566</t>
  </si>
  <si>
    <t>['numerical results', 'direct inversion', 'analytical expression', 'adaptive system']</t>
  </si>
  <si>
    <t>An analytical expression is derived for an estimation of influence of the learning sample size on the efficiency of an adaptive system for the spatial interference selection (ASSIS) using the direct inversion of the input signal covariance matrix. Numerical results for four-, six-, and nine-channel linear adaptive antenna arrays are presented.</t>
  </si>
  <si>
    <t>Mironov, V. A.</t>
  </si>
  <si>
    <t>Mironov V.</t>
  </si>
  <si>
    <t>Estimation of Influence of the Learning Sample Size on the Efficiency of Adaptive Antenna Systems</t>
  </si>
  <si>
    <t>2-s2.0-2742592653</t>
  </si>
  <si>
    <t>['useful signal', 'synthesis problem', 'proposed algorithms', 'phase synthesis', 'main lobe', 'interference directions', 'first sidelobe', 'different variants', 'array elements']</t>
  </si>
  <si>
    <t>Methods for the phase synthesis of antenna array pattern nulls in the interference directions, which protect a useful signal from suppression, are considered. The synthesis problem is reduced to minimization of a positive semidefinite functional with respect to phases of excitations of the array elements. Different variants of this functional are considered, and fast iterative monotonically converging algorithms for its minimization are proposed. A comparative numerical investigation of the proposed algorithms is carried out for the case of nulling a linear antenna pattern in the domain of the first sidelobe and the slope of the main lobe.</t>
  </si>
  <si>
    <t>60005913;101596558</t>
  </si>
  <si>
    <t>7003764513;7003513371</t>
  </si>
  <si>
    <t>Kondrat'yev, A. S.;Khzmalyan, A. D.</t>
  </si>
  <si>
    <t>National Research University ‚ÄúMoscow Power Engineering Institute‚Äù;GosNPO Al'tair</t>
  </si>
  <si>
    <t>Kondrat'yev A.S.</t>
  </si>
  <si>
    <t>Stabilization of the Antenna Array Pattern Maximum in Phase Synthesis of the Pattern Nulls</t>
  </si>
  <si>
    <t>2-s2.0-2742601641</t>
  </si>
  <si>
    <t>['variable passive', 'simple example', 'scattered field', 'relations including', 'matrix method', 'active loads']</t>
  </si>
  <si>
    <t>The effect of loads of an arbitrary receiving antenna on its scattered field is considered with the help of the S-matrix method. Relations including the effect of the variable passive and active loads, and passive constant loads on the scattered field power and the total and averaged radar cross-section (RCS) are derived. The results are illustrated by a simple example.</t>
  </si>
  <si>
    <t>83-85</t>
  </si>
  <si>
    <t>Voropaev, Yu P.</t>
  </si>
  <si>
    <t>Voropaev Y.</t>
  </si>
  <si>
    <t>Effect of Antenna Loads on the Antenna Scattered Field</t>
  </si>
  <si>
    <t>2-s2.0-2742614967</t>
  </si>
  <si>
    <t>['two criteria', 'specified value', 'opposite directions', 'operating frequencies', 'maximum band', 'linear array', 'frequency responses', 'fold widening', 'extreme frequencies', 'electric length', 'directional characteristics', '3db suppression']</t>
  </si>
  <si>
    <t>Directional characteristics and frequency responses are investigated for a linear array of radiating elements excited by two traveling waves that propagate in opposite directions. The maximum band of operating frequencies of such antennas has been determined for a specified value of their electric length, with the use of two criteria, namely, 1) two-fold widening of the main pattern lobe at the extreme frequencies of the band and 2) appearance of a 3dB suppression in the normalized broadside radiation pattern of the array. ¬© 1997 Begell House, Inc.</t>
  </si>
  <si>
    <t>100337301;100337301;100337301</t>
  </si>
  <si>
    <t>6507830362;15730986300;14023999900</t>
  </si>
  <si>
    <t>Gorobetz, N. N.;Gorobetz, Y. N.;Dakhov, V. M.</t>
  </si>
  <si>
    <t>Kharkov University</t>
  </si>
  <si>
    <t>Directivity characteristics of the dual-end-fed traveling wave antennas</t>
  </si>
  <si>
    <t>2-s2.0-27844552854</t>
  </si>
  <si>
    <t>['scattering problem', 'rigorous solution', 'power characteristics', 'investigated numerically', 'galerkin method', 'computational algorithm', 'approximate model', 'antenna estimated', 'allowed obtaining']</t>
  </si>
  <si>
    <t>Properties of the microstrip disk antenna have been investigated numerically in the paper. The scattering problem has been solved with the use of the partial inversion technique in combination with the Galerkin method, which allowed obtaining an infinite, second-kind Fredholm set of linear algebraic equations. The computational algorithm has been optimized, and power characteristics of the antenna estimated. The rigorous solution is compared with that obtained for the approximate model of a magnetic current ring. ¬© 1997 Begell House, Inc.</t>
  </si>
  <si>
    <t>Bliznyuk, N. Y.</t>
  </si>
  <si>
    <t>Numerical simulation of a microstrip disk antenna with axially-symmetric excitation</t>
  </si>
  <si>
    <t>2-s2.0-27844587761</t>
  </si>
  <si>
    <t>['wild type', 'synechocystis sp', 'sole exception', 'ps2 complex', 'protein complexes', 'predominantly connected', 'phycobilisomes ).', 'photosystem 2', 'mutants delta', 'medium determines', 'lacking ps2', 'lacking phycobilisomes', 'higher plants', 'harvesting structures', 'harvesting antenna', 'evolutionary precursor', 'contain one', 'bo 9201', 'bo 8402', '8402 strain']</t>
  </si>
  <si>
    <t>CP36 | CP43‚Ä≤ | Iron deficiency | Migration of energy | Photosynthesis | Photosystems 1 and 2 | Pigment-protein complex | Synechocystis sp.</t>
  </si>
  <si>
    <t>The effect of accumulation of the pigment complex CP36 on the ratio between pigment-protein complexes was studied under various cultivation conditions of Synechocystis sp. PCC, 6803, wild type, and mutants Delta-2 (lacking PS2) and Delta-3 (lacking PS1); Synechocystis sp. BO 8402 (lacking phycobilisomes) and BO 9201 (a derivative of 8402 strain with phycobilisomes). The concentration of iron in the medium determines the content of CP36, which does not depend on the intensity of illumination during growth. Strain 8402 compensates the deficit of light-harvesting antenna of PS2 by synthesizing large amounts of PS2 complex. Under conditions of moderate iron deficiency the studied strains including mutants that do not contain one of the photosystems accumulate CP36; a sole exception was BO 8402. The content of phycobiliproteins was not decreased and the concentrations of both photosystems decreased proportionally. The content of PS2 monomers per phycobilisome decreased from 2-3 to 1. CP36 effectively transfers the electron excitation energy to both photosystems but it is predominantly connected with photosystem 2. This suggests that CP36 can stabilize the PS2 complex and can be an evolutionary precursor of the light-harvesting structures of higher plants.</t>
  </si>
  <si>
    <t>523-529</t>
  </si>
  <si>
    <t>Biochemistry (Moscow)</t>
  </si>
  <si>
    <t>6602270221;6701691920;6507185104</t>
  </si>
  <si>
    <t>Tetenkin, V. L.;Gulyaev, B. A.;Golitsin, V. M.</t>
  </si>
  <si>
    <t>Tetenkin V.</t>
  </si>
  <si>
    <t>The pigment-protein complexes of photosynthetic membranes of the cyanobacterium Synechocystis sp. The effect of iron deficiency</t>
  </si>
  <si>
    <t>2-s2.0-3042788734</t>
  </si>
  <si>
    <t>['used sensors', 'site testing', 'signals inside', 'second part', 'relevant part', 'practical conclusions', 'partial discharges', 'paper deals', 'new results', 'new description', 'insulated substations', 'gis ).', 'conventional p', 'attenuation due', 'antenna valid', '300 mhz', '3 ghz']</t>
  </si>
  <si>
    <t>Gas-insulated substation, sf6, partial discharges, ultra high frequency, uhf-method, monitoring</t>
  </si>
  <si>
    <t>This paper deals with the application of the Ultra-High frequency method (UHF-method) for the detection of partial discharges (p.d.) in gas-insulated substations (GIS). First a review of the GIS-relevant part of the theory of electromagnetic wave propagation in the UHF-range (300 MHz - 3 GHz) is given. New information considering the attenuation due to reflections of UHF-signals at spacers is presented. For the used sensors to pick up the UHF-signals inside the GIS a new description as antenna valid in the UHF-range is introduced. The second part of this paper presents measurements with the UHF-method to compare the sensitivity to the conventional p.d. detection method according to EC-270. Practical conclusions are drawn from these new results for the application of the UHF-method for on-site testing and online-p.d. monitoring of GIS.</t>
  </si>
  <si>
    <t>IEEE Power Engineering Review</t>
  </si>
  <si>
    <t>6508188916;7005373374</t>
  </si>
  <si>
    <t>Kurrer, R.;Feser, K.</t>
  </si>
  <si>
    <t>Kurrer R.</t>
  </si>
  <si>
    <t>The application of ultra-high-frequency partial discharge measurements to gas-insulated substations</t>
  </si>
  <si>
    <t>2-s2.0-33747509258</t>
  </si>
  <si>
    <t>['toeplitz matrix', 'sources exceeds', 'rao bounds', 'partially augmentable', 'paper considers', 'interelement spacings', 'given set', 'entropy positive', 'difference set', 'definite completion', 'covariance lags', 'corresponding cramer', 'computer simulations', 'completed matrix', 'closest approximation', 'antenna arrays']</t>
  </si>
  <si>
    <t>This paper considers the problem of direction-of-arrival (DOA) estimation for multiple uncorrelated plane waves incident upon "partially augmentable" antenna arrays; the difference set of interelement spacings for such arrays is not complete. The DOA estimation problem for the case when the number of sources exceeds the number of contiguous covariance lags gives rise to the covariance matrix completion problem. Maximum-entropy positive-definite completion for partially specified Toeplitz covariance matrices is developed using convex programming techniques. By this approach, the classical Burg extension problem for the given set of covariance lags is generalized for the situation when some lags are missing. For DOA estimation purposes, the p.d. Toeplitz matrix with fixed eigensubspace dimension is found, which is the closest approximation of the ME-completed matrix. The results of computer simulations are provided to demonstrate the DOA estimation accuracy of the proposed technique compared with the corresponding Cramer-Rao bounds. ¬© 1997 IEEE.</t>
  </si>
  <si>
    <t>60103581-60029116;60103581;60103581</t>
  </si>
  <si>
    <t>7006472158;24465889900;55950880800</t>
  </si>
  <si>
    <t>Abramovich, Yuri I.;Spencer, Nicholas K.;Gorokhov, Alexei Y.</t>
  </si>
  <si>
    <t>Adelaide;Palaiseau</t>
  </si>
  <si>
    <t>Cooperative Research Centre for Sensor Signal and Information Processing;T√©l√©com Paris</t>
  </si>
  <si>
    <t>60103581;60029116</t>
  </si>
  <si>
    <t>Abramovich Y.</t>
  </si>
  <si>
    <t>Positive-definite toeplitz completion in doa estimation for nonuniform linear antenna arrays-part ii: partially augmentable arrays</t>
  </si>
  <si>
    <t>S1053587X97018928</t>
  </si>
  <si>
    <t>2-s2.0-33747671416</t>
  </si>
  <si>
    <t>['steering vectors', 'sparse arrays', 'rank deficient', 'rank deficiency', 'paper addresses', 'necessarily imply', 'music fail', 'minimum redundancy', 'manifold ambiguities', 'linear combination', 'inherent nonidentiflability', 'inherent ambiguity', 'fisher matrix', 'correctly identify', 'antenna manifold', 'always unambiguous']</t>
  </si>
  <si>
    <t>This paper addresses the problem of ambiguities in directionof-arrival (DOA) estimation for nonuniform linear arrays. Until now, DOA estimation ambiguities have usually been associated with linear dependence among the points on the antenna manifold; that is, the steering vectors degenerate so that each can be expressed as a linear combination of the other steering vectors. Most nonuniform (sparse) linear antenna geometries, including so-called "minimum redundancy" arrays, admit such manifold ambiguities. While the standard subspace algorithms such as MUSIC fail to provide unambiguous DOA estimates under these conditions, we demonstrate that this failure does not necessarily imply an inherent DOA estimation ambiguity since there exist modern algorithms that can correctly identify the sources. We show that inherent ambiguity for a nonuniform linear array is defined by rank deficiency of the associated Fisher information matrix and that so-called "fully-augmentable" sparse arrays are always unambiguous in this sense. Examples of inherent nonidentiflability for partially augmentable arrays are given. For arbitrary linear antenna geometries, a new generalized augmentation approach is proposed. We show that for the manifold ambiguity situation, this approach can resolve DOA ambiguity if the Fisher matrix is not rank deficient. ¬© 1997 IEEEr.</t>
  </si>
  <si>
    <t>60103581;60103581;60103581</t>
  </si>
  <si>
    <t>14120783000;24465889900;55950880800</t>
  </si>
  <si>
    <t>Abramovitch, Yuri I.;Spencer, Nicholas K.;Gorokhov, Alexei Y.</t>
  </si>
  <si>
    <t>Cooperative Research Centre for Sensor Signal and Information Processing</t>
  </si>
  <si>
    <t>Abramovitch Y.</t>
  </si>
  <si>
    <t>Ambiguities in direction-ofartival estimation for nonuniform linear antenna arrays: The general case</t>
  </si>
  <si>
    <t>S1053587X97011689</t>
  </si>
  <si>
    <t>2-s2.0-33747674268</t>
  </si>
  <si>
    <t>['way model', 'studied analytically', 'statistical performance', 'standard algorithm', 'spread angle', 'propagation environment', 'plain wavefronts', 'ordinary assumption', 'local scattering', 'asymptotic performance']</t>
  </si>
  <si>
    <t>In antenna array applications, the propagation environment is often more complicated than the ordinary assumption of plain wavefronts. Here, a low complexity algorithm is suggested for estimating both the DOA and the spread angle of a mobile source subject to local scattering, using a uniform linear array. The parameters are calculated from the estimates obtained using a standard algorithm such as rootMUSIC to fit a two-way model to the data. The algorithm is shown to give consistent estimates, and the statistical performance is studied analytically and through simulations. As a by-product, the asymptotic performance of root-MUSIC in the presence of spatially colored noise is derived. ¬©1997 IEEE.</t>
  </si>
  <si>
    <t>60002014;60002014</t>
  </si>
  <si>
    <t>57193744800;7007005676</t>
  </si>
  <si>
    <t>Bengtsson, Mats;Ottersten, Bj√∂rn</t>
  </si>
  <si>
    <t>Stockholm</t>
  </si>
  <si>
    <t>The Royal Institute of Technology (KTH)</t>
  </si>
  <si>
    <t>Bengtsson M.</t>
  </si>
  <si>
    <t>Low complexity estimators for distributed sources</t>
  </si>
  <si>
    <t>S1053587X97073625</t>
  </si>
  <si>
    <t>2-s2.0-33747700278</t>
  </si>
  <si>
    <t>['various well', 'transmission channel', 'single output', 'recent contributions', 'polyphase channels', 'order statistics', 'optimal settings', 'mostly interested', 'known types', 'equalization structures', 'antenna array']</t>
  </si>
  <si>
    <t>In this paper, we consider the problem of blind linear equation of polyphase channels. These channels may result from oversampling the single output of a transmission channel and/or by receiving multiple outputs of an antenna array. A number of recent contributions in the field of blind channel identification have shown that polyphase channels can be blindly identilied using only second-order statistics (SOS) of the output. In this work, we are mostly interested in the blind linear equalization of these channels: We show how optimal settings of various well-known types of equalization structures (linear or nonlinear) can be obtained blindly using only the output's SOS. ¬© 1997 IEEE.</t>
  </si>
  <si>
    <t>60029859;60029859</t>
  </si>
  <si>
    <t>7006207071;8751989500</t>
  </si>
  <si>
    <t>Slock, Dirk T.M.;Papadias, Constantinos B.</t>
  </si>
  <si>
    <t>EURECOM Ecole d'Ing√©nieur et Centre de Recherche en Sciences du Num√©rique</t>
  </si>
  <si>
    <t>Slock D.T.M.</t>
  </si>
  <si>
    <t>Blind fractionally spaced equalization of linear polyphase channels</t>
  </si>
  <si>
    <t>S1053587X97042050</t>
  </si>
  <si>
    <t>2-s2.0-33747715158</t>
  </si>
  <si>
    <t>['unknown response', 'signals resolvable', 'search procedure', 'require calibration', 'maximum number', 'larger class', 'array may', 'antenna array']</t>
  </si>
  <si>
    <t>Array processing | Coherent signals | Cumulants | Direction finding | Higher order statistics | Multipath propagation</t>
  </si>
  <si>
    <t>We present a subspacebased directionfinding method for coherent signal environments using an antenna array. Our method, which uses fourthorder statistics, is capable of resolving more signals than a comparable secondorder statisticsbased subspace method and is applicable to a larger class of arrays. The maximum number of signals resolvable with our method may exceed the number of sensors in the array. Only a uniform linear subarray is needed; the rest of the array may have arbitrary and unknown response and does not require calibration. On the other hand, the comparable secondorder statisticsbased method is limited to uniform linear arrays only. No search procedure is needed in our method. Simulation experiments supporting our conclusions are provided. ¬© 1997 IEEE.</t>
  </si>
  <si>
    <t>100513476;100513476;60029311</t>
  </si>
  <si>
    <t>G√∂nen, Egemen;Mendel, Jerry M.;Dogan, Mithat C.</t>
  </si>
  <si>
    <t>Los Angeles;San Jose</t>
  </si>
  <si>
    <t>University of Southern California;Globalstar L.P</t>
  </si>
  <si>
    <t>60029311;100513476</t>
  </si>
  <si>
    <t>G√∂nen E.</t>
  </si>
  <si>
    <t>Applications of cumulants to array processingpart IV: Direction finding in coherent signals case</t>
  </si>
  <si>
    <t>S1053587X97070542</t>
  </si>
  <si>
    <t>2-s2.0-33747720730</t>
  </si>
  <si>
    <t>['wavelength units', 'superior case', 'remarkable proximity', 'rao bound', 'randomized approach', 'point corresponds', 'plane wavefronts', 'original array', 'noninteger values', 'investigate direction', 'incomplete set', 'high efficiency', 'fixed number', 'extremal point', 'estimate doa', 'doa estimation', 'doa estimates', 'covariance lags', 'approach based']</t>
  </si>
  <si>
    <t>We investigate direction-of-arrival (DOA) estimation for arbitrary-geometry linear arrays, where the antenna positions may be noninteger values in half-wavelength units. We introduce an approach based on arbitrary virtual linear arrays to resolve manifold ambiguity and estimate DOA's in the superior case. These virtual arrays adopt the set of covariance lags specified by the original array and, themselves, have an incomplete set of covariance lags. A maximum entropy completion algorithm for the partially specified Hermitian covariance matrix is proposed. This is followed by an algorithm that searches for a fixed number of plane wavefronts (generalized Pisarenko completion). The variety of possible virtual array geometries also permits a randomized approach, whereby the DOA estimates are determined as the extremal point of partial solutions calculated over the set of particular virtual geometries, where this point corresponds to the minimal fitting error for the specified covariance lags. Numerical simulations demonstrate the high efficiency of manifold ambiguity resolution, and a remarkable proximity to the Cramer-Rao bound for DOA estimation. ¬©1997 IEEE.</t>
  </si>
  <si>
    <t>60103581;60029116;60029116</t>
  </si>
  <si>
    <t>Generalized augmentation approach for arbitrary-geometry linear antenna arrays</t>
  </si>
  <si>
    <t>S1053587X97033291</t>
  </si>
  <si>
    <t>2-s2.0-33747724626</t>
  </si>
  <si>
    <t>['test line', 'spatial sensitivity', 'propagation characteristics', 'pd signals', 'pd sensors', 'partial discharge', 'n characteristics', 'laying test', 'deep tunnel', 'contact defects', 'constructed long', 'also proposed']</t>
  </si>
  <si>
    <t>After-laying test | Contact defects | External antenna | Fiberoptic temperature distribution sensor | Gas insulated transmission line | GIS | In-tunnel | Metallic foil electrode | Metallic particle | Partial discharge</t>
  </si>
  <si>
    <t>Technologies for the after-laying test of a long-distance gas insulated transmission line (GIL) have been developed for the detection of partial discharge (PD) and contact defects. We constructed long (168 m) test line in a deep tunnel and clarified the propagation characteristics of PD signals through the GIL as well as the spatial sensitivity and S/N characteristics of PD sensors for locating metallic particles. We have also proposed the application of a fiber-optic temperature distribution sensor for locating contact defects and confirmed the validity of this sensor for the GIL test line.</t>
  </si>
  <si>
    <t>7102428728;21934733600;7201588382;14071403900;7801450188;36850088300;14124231500</t>
  </si>
  <si>
    <t>Nojima, T.;Shimizu, M.;Miyazaki, A.;Araki, T.;Nishima, H.;Hata, H.;Ymaguchi, H.</t>
  </si>
  <si>
    <t>Nojima T.</t>
  </si>
  <si>
    <t>Study on an after-laying test for a long distance GIL</t>
  </si>
  <si>
    <t>2-s2.0-33747805330</t>
  </si>
  <si>
    <t>Microstrip antennas | Mutual coupling</t>
  </si>
  <si>
    <t>A coordinate transformation is used to reduce the dimensionality of impedance integrals coupling linear filamentary monopoles printed on grounded dielectric substrates. Computer processing times for the remaining numerical integrations are significantly reduced while accuracy is maintained. ¬© 1997 IEEE.</t>
  </si>
  <si>
    <t>S0018926X9709056X</t>
  </si>
  <si>
    <t>2-s2.0-33747895702</t>
  </si>
  <si>
    <t>Antenna arrays | Horn antennas | Reflector antennas</t>
  </si>
  <si>
    <t>This letter presents an algorithm for suppressing the cross polarization of single offset reflector antennas illuminated by a cluster of multimode horn feeds using a constrained minimization routine. The design variables are the mode ratios for the higher order modes excited in the feeds relative to the dominant TEn mode. The goal is to systematically determine the optimum mode ratios such that the overall crosspol performance of the reflector antenna improves relative to the single TEn mode excitation. The multimode horns considered are Pottertype (dual mode) horns and trimode horns. ¬© 1997 IEEE.</t>
  </si>
  <si>
    <t>S0018926X97090583</t>
  </si>
  <si>
    <t>2-s2.0-33747915433</t>
  </si>
  <si>
    <t>['various purposes', 'recent years', 'paper describes', 'new method', 'increasing interest', 'crosspolarization suppression']</t>
  </si>
  <si>
    <t>Antenna arrays | Dual polarization antennas</t>
  </si>
  <si>
    <t>In recent years, there has been an increasing interest in dual linear polarization antennas for various purposes, e.g. polarimetric synthetic aperture radar (SAR) imaging. A key design goal for dual polarization antennas is to obtain a high crosspolarization suppression. When using standard techniques for improving the crosspolarization suppression in dual linear polarization antenna arrays undesired sidelobes appear. This paper describes the properties of some known crosspolarization suppression methods and presents a new method for obtaining high crosspolarization suppression and simultaneously avoiding undesired sidelobes. ¬© 1997 IEEE.</t>
  </si>
  <si>
    <t>Crosspolarization and sidelobe suppression in dual linear polarization antenna arrays</t>
  </si>
  <si>
    <t>S0018926X97088066</t>
  </si>
  <si>
    <t>2-s2.0-33747915434</t>
  </si>
  <si>
    <t>['shortingpin position', 'shorting pin', 'shortcircuited using', 'novel design', 'microstrip patch', 'letter presents', 'experimental results', 'dualfrequency operation']</t>
  </si>
  <si>
    <t>This letter presents a novel design of triangular microstrip antenna with dualfrequency operation. In this design the microstrip patch is shortcircuited using a shorting pin and fed by a single probe feed. By varying the shortingpin position in the microstrip patch, such a design can provide a large tunable frequency ratio of about 2.54.9 for the two operating frequencies. Experimental results are presented and discussed. ¬©1997 IEEE.</t>
  </si>
  <si>
    <t>Pan S.C.</t>
  </si>
  <si>
    <t>Dualfrequency triangular microstrip antenna with a shorting pin</t>
  </si>
  <si>
    <t>S0018926X97090613</t>
  </si>
  <si>
    <t>2-s2.0-33747918274</t>
  </si>
  <si>
    <t>['two sets', 'searches globally', 'road surfaces', 'receiver antennas', 'polarization states', 'polarimetric responses', 'parameter space', 'optimum point', 'optimized solution', 'optimization problem', 'optimization algorithm', 'optimal design', 'objective function', 'latter study', 'highly nonlinear', 'genetic algorithm', 'discretized form', 'assess traction', 'asphalt surfaces', '94 ghz']</t>
  </si>
  <si>
    <t>Genetic algorithms | Object detection</t>
  </si>
  <si>
    <t>In this paper, a stochastic optimization algorithm is used to characterize the polarization states of a nonpolarimetric radar transmitter and receiver antennas for optimal target classification. Specifically, the optimized solution is sought when a multitude of targets are to be categorized. It is shown that the objective function of the optimization problem is highly nonlinear and discontinuous, hence, classical optimization algorithms fail to provide satisfactory results. The stochastic optimization algorithm used in this paper is based on a genetic algorithm (GA) which operates on a discretized form of the parameter space and searches globally for the optimum point. In this process, it is assumed that the polarimetric responses of the targets are known a priori. The optimization algorithm is applied to two sets of data: 1) a synthetic backscatter data for four point targets with similar radar cross sections (RCS's) and 2) a set of polarimetric backscatter measurements of asphalt surfaces under different physical conditions at 94 GHz. The purpose of the latter study is to come up with the optimal design for polarization states of an affordable millimeterwave radar sensor that can assess traction of road surfaces. ¬© 1997 IEEE.</t>
  </si>
  <si>
    <t>S0018926X97090479</t>
  </si>
  <si>
    <t>2-s2.0-33747921847</t>
  </si>
  <si>
    <t>['openended waveguides', 'mutual coupling', 'galerkin method', 'calculations inside']</t>
  </si>
  <si>
    <t>Aperture antennas | Electromagnetic coupling</t>
  </si>
  <si>
    <t>A double line integral representation of the mutual coupling between openended waveguides of arbitrary cross section is presented, which is useful to speed up calculations inside the framework of a Galerkin method of moments. ¬© 1997 IEEE.</t>
  </si>
  <si>
    <t>60002838-60021859;60002838-60021859;60002838-60021859</t>
  </si>
  <si>
    <t>An efficient formulation for calculating the modal coupling for openended waveguide problems</t>
  </si>
  <si>
    <t>S0018926X97090601</t>
  </si>
  <si>
    <t>2-s2.0-33747935508</t>
  </si>
  <si>
    <t>['tem horns', 'staircasing errors', 'staircased representation', 'staircase diagonal', 'ruleofthumb given', 'put forward', 'one wall', 'necessary condition', 'modeled using', 'make conclusions', 'horn feed', 'general problems', 'finitedifference timedomain', 'fdtd results', 'eliminate nearly', 'cellsplitting approach', 'cartesian grid', 'carefully comparing', 'boundary walls', 'approximated using', 'analytic solution', 'also provided', 'additional improvement']</t>
  </si>
  <si>
    <t>Twodimensional (2D) TEM horns are modeled using the finitedifference timedomain (FDTD) method. The boundary walls are perfect electric conductors and one wall, which does not align with the Cartesian grid, is approximated using a staircased representation. By carefully comparing the FDTD results to those of the analytic solution, one can make conclusions about the coarseness with which a boundary can be represented. It is found that staircasing errors are small when the staircase diagonal (the hypotenuse of the right triangle created by the stairstep) is smaller than half a wavelength at the highest significant frequency in the excitation. This ruleofthumb is put forward as a necessary condition for the discretization of general problems. Results are also provided for some simple FDTD schemes that are designed to reduce staircasing errors. By using large aspectratio cells, a grid can be constructed that satisfies the ruleofthumb given above. While this approach eliminates general staircasing errors, some errors persist owing to the presence of step discontinuities immediately adjacent to the horn feed. These errors can be further reduced by using a cellsplitting approach. It is shown that the contour path FDTD technique can be used to eliminate nearly all staircasing errors, while some additional improvement is shown to be provided by using a stabilized contour path FDTD approach. Finally, a recently proposed conformai technique that permits simple implementation is shown to provide results comparable with those of the stabilized contour path approach. ¬© 1997 IEEE.</t>
  </si>
  <si>
    <t>60018208-60002959;60018208-60002959</t>
  </si>
  <si>
    <t>Pullman;Bethesda</t>
  </si>
  <si>
    <t>Washington State University Pullman;Lockheed Martin Corporation</t>
  </si>
  <si>
    <t>60018208;60002959</t>
  </si>
  <si>
    <t>S0018926X97090509</t>
  </si>
  <si>
    <t>2-s2.0-33747947138</t>
  </si>
  <si>
    <t>['self calibration', 'relatively insensitive', 'paper describes', 'minor alteration', 'antenna topology']</t>
  </si>
  <si>
    <t>Antenna arrays | Mixers</t>
  </si>
  <si>
    <t>This paper describes the behavior of a compact twoport integrated mixer active antenna element with low cross polarization, high twoport circuit isolation, and good mixer detection sensitivity. Using this element as an elemental building block, a selftracking antenna array has been realized which uses an inband carrier signal for self calibration. The array is relatively insensitive to absolute carrier power level and is capable of tracking incoming signals over ¬±80¬∞. By minor alteration of the antenna topology, a minimum complexity variant of a heterodyne retrodirective array has been demonstrated over a ¬±40¬∞ retransmission angle. Finally, the use of the antenna in conjunction with an injectionlocked voltagecontrolled oscillator (VCO) is included in order to demonstrate ¬±35¬∞ phaseshifterless beam steering. ¬© 1997 IEEE.</t>
  </si>
  <si>
    <t>Tracking antenna architectures based on a planar twoport microstrip patch mixer antenna</t>
  </si>
  <si>
    <t>S0018926X97090546</t>
  </si>
  <si>
    <t>2-s2.0-33747953855</t>
  </si>
  <si>
    <t>['thin substrates', 'structural support', 'measured 2', 'heat sink', 'easily reduced', 'dielectric material', 'array applications', 'antenna incorporates', '26 %.', '1 bandwidth']</t>
  </si>
  <si>
    <t>The feasibility and performance of an aperturecoupled cavityfed microstrip patch antenna and an aperturecoupled cavity antenna are demonstrated using reciprocity and moment method analyses, followed by practical design guidelines and equivalent circuit models. Each antenna incorporates a thick ground plane that can be useful as a heat sink for active MMIC circuitry and as structural support for thin substrates. Prototype antennas show good experimental agreement with the analyses in each case. The resonators of the aperturecoupled cavityfed patch antenna are optimized to achieve a prototype having a measured 2:1 bandwidth of 26%. The size of the aperturecoupled cavity antenna can be easily reduced for array applications by filling the cavity with a dielectric material. ¬© 1997 IEEE.</t>
  </si>
  <si>
    <t>Analysis of two aperturecoupled cavitybacked antennas</t>
  </si>
  <si>
    <t>S0018926X97088078</t>
  </si>
  <si>
    <t>2-s2.0-33747964973</t>
  </si>
  <si>
    <t>['vectorwave eigenfunctions', 'region 0', 'radiated fields', 'paper presents', 'numerical computations', 'loop everywhere', 'limiting cases', 'first kind', 'fields radiated', 'far zones', 'exact solution', 'exact representations', 'em fields', 'dyadic green', 'closedseries form', 'closed form', 'arbitrary radius', 'approximate formulas', 'also given']</t>
  </si>
  <si>
    <t>Closedform solution | Eigenfunction expansion | Electromagnetic radiation | Loop antennas | Vectorwave functions</t>
  </si>
  <si>
    <t>This paper presents an alternative vector analysis of the electromagnetic (EM) fields radiated from thin circularloop antennas of arbitrary radius a. This method, which employs the dyadic Green's function in the derivation of the EM radiated fields, makes the analysis more general, compact, and straightforward than those two methods published recently by Werner and Overfelt. Both near and far zones are considered so that the EM radiated fields are expressed in terms of the vectorwave eigenfunctions. Not only the exact solution of the EM fields in the near and far zones outside the region (where r &gt; a) is derived by the use of the spherical Hankel function of the first kind, but also the closedseries form of the EM fields radiated in the near zone inside the region 0 &lt; r &lt; a is obtained in series of the spherical Bessel functions of the first kind. As an example, a Fourier cosine series is used to expand an arbitrary current distribution along the loop and the exact representations of the EM radiated fields due to the loop everywhere are obtained in closed form. The closed form reduces to those for the sinusoidal current loop and further for the uniform current loop. Validity of the approximate formulas is discussed and clarified. Error analysis based on numerical computations of the radiated fields is also given to show the accuracy of the limiting cases. ¬© 1997 IEEE.</t>
  </si>
  <si>
    <t>Li L.W.</t>
  </si>
  <si>
    <t>Exact solutions of electromagnetic fields in both near and far zones radiated by thin circularloop antennas: A general representation</t>
  </si>
  <si>
    <t>S0018926X97088054</t>
  </si>
  <si>
    <t>2-s2.0-33747975324</t>
  </si>
  <si>
    <t>['ground plane', 'gradually increasing', 'frequency bandwidth', 'crankline elements', 'axial ratio', 'antenna height', '5 %.', '3 db']</t>
  </si>
  <si>
    <t>Array antennas</t>
  </si>
  <si>
    <t>An array antenna composed of crankline elements is investigated on the basis of the element current distributions determined by the method of moments. A technique of gradually increasing the antenna height above the ground plane is adopted to enhance the gain. It is found both numerically and experimentally that a gain of approximately 30 dB is obtained with an axial ratio of less than 3 dB over a frequency bandwidth of 2.5%. ¬© 1997 IEEE.</t>
  </si>
  <si>
    <t>60003414-60030526;60003414-60030526</t>
  </si>
  <si>
    <t>7403255155;7404449964</t>
  </si>
  <si>
    <t>Hosei University;Tokyo Denki University</t>
  </si>
  <si>
    <t>60030526;60003414</t>
  </si>
  <si>
    <t>A crankline array antenna radiating a circularly polarized wave</t>
  </si>
  <si>
    <t>S0018926X97090571</t>
  </si>
  <si>
    <t>2-s2.0-33747976635</t>
  </si>
  <si>
    <t>['transmission characteristics', 'receiving characteristics', 'received signal', 'polarization switching', 'polarization diversity', 'polarization directivity', 'new type', 'meaningful results', 'internal oscillator', 'fundamental experiments', 'conductor posts', 'conductor alternately', 'cable connected']</t>
  </si>
  <si>
    <t>Pager | Planar loop antenna | Polarization diversity | Switch</t>
  </si>
  <si>
    <t>Small planartype loop antennas used in pagers have fixed directivity patterns. As a result, the received signal strength depends on the orientation of the antenna. A new type of small planar loop antenna (PLA) is, therefore, proposed. The position of conductor posts can be changed and MOSFET's are adopted for switching the conductor posts. If the positions of the posts can be switched at will, then the dependence of the received signal on the orientation of the antenna can be minimized. Fundamental experiments were performed in order to investigate the characteristics of polarization switching. Polarization directivity was measured while switching each conductor alternately. The receiving characteristics are affected by a cable connected to the receiver. Therefore, the transmission characteristics are measured by using an internal oscillator. As a result, meaningful results were obtained and the possibility of polarization diversity was shown. ¬© 1997 IEEE.</t>
  </si>
  <si>
    <t>60014652-60084716;60014652-60084716;60014652</t>
  </si>
  <si>
    <t>Tokyo;Sapporo</t>
  </si>
  <si>
    <t>Hitachi Kokusai Electric Inc.;Hokkaido University</t>
  </si>
  <si>
    <t>60084716;60014652</t>
  </si>
  <si>
    <t>S0018926X97090480</t>
  </si>
  <si>
    <t>2-s2.0-33748003638</t>
  </si>
  <si>
    <t>['taking advantage', 'openended waveguide', 'arbitrary mode']</t>
  </si>
  <si>
    <t>A line integral representation of the Kirchhofftype aperture integration is derived for an openended waveguide with arbitrary cross section, excited by an arbitrary mode. The problem is formulated by taking advantage of the equivalence between the radiation of the aperture and the radiation of the modal currents along the semiinflnite waveguide walls. ¬© 1997 IEEE.</t>
  </si>
  <si>
    <t>60021859-60002838;60021859-60002838;60021859-60002838</t>
  </si>
  <si>
    <t>Line integral representation of the modal radiation for an openended waveguide</t>
  </si>
  <si>
    <t>S0018926X97090595</t>
  </si>
  <si>
    <t>2-s2.0-33748008709</t>
  </si>
  <si>
    <t>['temperature control', 'synergic effect', 'mmc concentrations', 'mmc concentration', 'mm c', 'ml ).', 'microwave antenna', 'lamina propria', 'intravesical chemotherapy', 'intravesical catheter', 'inflammatory lesions', 'increasing temperature', 'increasing concentrations', 'heating session', 'grade iii', 'found whatever', 'cytotoxicity study', 'constant respect', 'combined treatment', 'bladder wall', 'achieve hyperthermia', '80 mg', '8 %.', '60 ml', '6 dogs', '100 micrograms', '1 microgram']</t>
  </si>
  <si>
    <t>Preliminary clinical studies combining hyperthermia with intravesical chemotherapy have shown very encouraging results concerning the muftidiscipfinary treatment modality of superficial bladder tumors. We have studied the in vitro and in vivo early effects of such a treatment. MATERIAL and METHODS:To achieve hyperthermia in vivo on dogs, a microwave antenna was inserted in the intravesical catheter. The temperature control was obtained in the bladder wall with 4 optic sensors and in the center of the bladder with the microwave radiometer monitoring the heating session. The bladder was filled with 60 ml of physiological serum mixed with 0,40 or 80 mg of Mitomycin C (=MMC). After each one hour heating session the dogs were sacrificed ; the histological intra vesical lesions were clarified : 0, I or 2 respectively corresponding to no lesion, inflammatory lesions, or existing urothelial lesions. In vitro the T24 cell line of a human bladder papilloma tumor (grade III) was incubated between 36¬∞C and 46¬∞C with increasing concentrations of MM C (from 0 to 100 micrograms/ml). Cytotoxicity was measured by the MTT quantitative colorimetric method. RESULTS In vivo (6 dogs) the cytotoxicity study of the different treatments confirmed the synergic effect of heat and MMC. At 45¬∞C we observed important urothelial lesions with destruction of the urothelium but with a constant respect of the bladder wall under the lamina propria. On the contrary at 43¬∞C only inflammatory lesions were found whatever the MMC concentrations. In vitro, the comparative toxiciry study achieved on the perpetual tumor cell line showed a higher cytotoxic effet for the combined treatment than for the cytostatic one alone. Expressed in % of cytotoxicity as compared with a cell line reference and for a MMC concentration of 1 microgram/ml, the increasing temperature from 37¬∞C to 46¬∞C induced a cytotoxic effect respectively of 11,6 and 93,8%. CONCLUSION: These preliminary results seem to prove that hyperthermia could potentiate MMC action in the prevention of superficial bladder tumor recurrences , allowing an increase of efficiency and/or a decrease of the number of instillations .</t>
  </si>
  <si>
    <t>60104665;60104665;60104665;60104665;60104665;60104665;60104665;60104665;60104665</t>
  </si>
  <si>
    <t>7003411401;7004583077;56238272900;7003814979;14823401300;6602980643;16938811800;7005776225;7006369810</t>
  </si>
  <si>
    <t>Mauroy, B.;Chive, M.;Bonnal, J. P.;Prevost, B.;Lhotteuer, V.;Sozanski, J. P.;Demetriou, D.;Biserte, J.;Mazeman, E.</t>
  </si>
  <si>
    <t>Mauroy B.</t>
  </si>
  <si>
    <t>Study of microwave hyperthermia - Intravesical chemotherapy synergy for the prevention of superficial bladder tumour recurrences: Preliminary results</t>
  </si>
  <si>
    <t>2-s2.0-33749270756</t>
  </si>
  <si>
    <t>['university hospital', 'ultimate result', 'two devices', 'treatment outcomes', 'totally different', 'substantial amount', 'study may', 'shutdowns ".', 'regained interest', 'reflected power', 'profound implications', 'premature conclusions', 'output however', 'outer conductor', 'obtain necrosis', 'network analyzer', 'monopolar antenna', 'microwave energy', 'limited extent', 'inner conductor', 'high temperatures', 'heating patterns', 'gel phantom', 'finer coil', 'dornier device', 'domier antenna', 'dipole antenna', 'different types', 'different devices', 'deepest penetration', 'could influence', 'constant heating', 'coaxial cable', 'close cooperation', 'clinical experience', 'cause rectal', 'best images', 'around 15', 'act like', '30 minutes']</t>
  </si>
  <si>
    <t>The use of microwave energy in the treatment of benign prostatic hyperplasia (BPH) regained interest as new devices could generate intraprostatic temperatures ‚â´ 45¬∞C. Different devices have been produced and their efficacy has been evaluated to a limited extent It should be evident that higher intraprostatic temperatures give better results, but even if these high temperatures are reached, the resulting temperature patterns can be totally different and high rectal temperatures would then cause rectal "shutdowns". These could influence the ultimate result of the treatment as constant heating is substantial to obtain necrosis In close cooperation with the University Hospital of Essen, the Urologix T3‚Ñ¢ and the Dornier "Urowave"‚Ñ¢ machines have been compared "in vitro" by running these devices in a "prostate-like" gel phantom with a built in LCD temperature plate. This LCD was designed for displaying temperature ranges between 0¬∞C and 50¬∞C as our initial tests disclosed that this temperature range delivered the best images for the "in vitro" test, while the two devices were running at the same output for 25-30 minutes. In addition, a network analyzer was used to determine the amount of reflected power by each antenna. Both devices have different types of antennas. The Urologix T3‚Ñ¢ is equiped with a dipole antenna with a 2.8 cm helical coil attached to a coaxial cable. The Dormer's antenna has a totally different design with a finer coil which connects the outer conductor of the coaxial cable with the inner conductor at the end of the antenna. The heating patterns on the LCD temperature plate disclosed substantial differences. The Urologix T3‚Ñ¢ antenna emitted its microwave energy only in the area where the antenna was located with the deepest penetration at the same output However, the Dornier "Urowave"‚Ñ¢ antenna seemed to act like a monopolar antenna, as a substantial amount of microwave energy was seen to be reflected back downwards the catheter in the direction of the external sphincter area. Using a network analyzer, around 15% reflected power has been measured for the Domier antenna and less than 1% for the dipolar Urologix antenna. The impact of those differences on treatment outcomes is unknown, as we have no clinical experience with the Dornier device. This study may have profound implications but one has to be cautious with any premature conclusions.</t>
  </si>
  <si>
    <t>60026841-60007896-60018123;60026841;60026841;60026841;60026841</t>
  </si>
  <si>
    <t>6602690252;14823337100;56231585900;6504587255;7103360048</t>
  </si>
  <si>
    <t>De Geeter, P.;Hoffmann, J.;Goepel, M.;Lindenborn, H.;Melchior, H.</t>
  </si>
  <si>
    <t>Kassel;Kassel;Essen</t>
  </si>
  <si>
    <t>Klinikum Kassel GmbH;Universit√§t Kassel;Universit√§tsklinikum Essen</t>
  </si>
  <si>
    <t>60026841;60018123;60007896</t>
  </si>
  <si>
    <t>De Geeter P.</t>
  </si>
  <si>
    <t>The use of a "prostate-like" gel phantom with an lcd display to disclose differences in different devices used for transurethral microwave thermotherapy</t>
  </si>
  <si>
    <t>2-s2.0-33749285121</t>
  </si>
  <si>
    <t>['urologist armamentarium', 'reflected power', 'reflected back', 'principal investigators', 'patient discomfort', 'office treatment', 'new device', 'network analyzer', 'monopole design', 'monopole antenna', 'microwave thermotherapy', 'microwave engineering', 'microwave energy', 'mayo clinic', 'like phantoms', 'heating patterns', 'efficient antenna', 'dipole antenna', 'coaxial cable', 'bph ).', 'basic science', 'basic engineering', 'averaged 4', 'approximately 15', 'alternative therapy', '3 cm', '1 %.']</t>
  </si>
  <si>
    <t>Microwave thermotherapy is becoming a part of the urologist armamentarium for the office treatment of benign prostatic hyperplasia (BPH). Different devices claim different advantages and mechanisms of action. It is clear that higher intraprostatic temperatures give better results, but occasionally when some devices deliver higher temperatures, patient discomfort and rectal shutdown become a problem. As the U.S. principal investigators for Prostatron and Urologix T3‚Ñ¢ machines, we thought it important for us bench test these devices to understand the basic science of the microwave engineering and not just accept the manufacturers' claims. With the help of the Mayo Clinic electrical engineers, we evaluated each antenna. The Prostatron's antenna is a monopole design. It is a coaxial cable with the outer conductor shaved off for 3.3 cm at the end. The Urologix T3‚Ñ¢ is a dipole antenna with a 2.8 cm helicocoil attached to a coaxial cable. We evaluated the heating patterns in "prostate-like phantoms" with built in LCD temperature plates. The monopole design is not an efficient antenna with energy being reflected back down the catheter. Microwave energy is emitted, not only in the area of the prostate, but down the catheter. With the dipole antenna the microwave energy is emitted only where the antenna is. This could help explain why at Mayo Clinic we averaged 4.64/pt rectal power shutdowns with Prostatron and 0.02/pt with Urologix T3‚Ñ¢. Using a network analyzer, the monopole antenna had approximately 15% reflected power and dipole antenna had less than 1%. In conclusion, it is important for us to understand the basic science and basic engineering of each new device for alternative therapy that we decide to use for our patients.</t>
  </si>
  <si>
    <t>60026952;60026952;60026952;60026952</t>
  </si>
  <si>
    <t>7201845255;35406072700;6506015772;14824228800</t>
  </si>
  <si>
    <t>Larson, Thayne;Blute, Michael L.;Tri, Jeff;Widlock, S.</t>
  </si>
  <si>
    <t>Scottsdale</t>
  </si>
  <si>
    <t>Mayo Clinic Scottsdale-Phoenix, Arizona</t>
  </si>
  <si>
    <t>Larson T.</t>
  </si>
  <si>
    <t>A mayo clinic evaluation of the prostatron and urologix T&lt;sup&gt;3&lt;/sup&gt;‚Ñ¢ antennae - Understanding the basic differences</t>
  </si>
  <si>
    <t>2-s2.0-33749288926</t>
  </si>
  <si>
    <t>['tumoral volumes', 'tumoral tissue', 'transrectal ultrasound', 'tissue contrasts', 'tissu samples', 'study criteria', 'stanford protocol', 'spatial resolution', 'randomized biopsies', 'radical prostatectomy', 'psa density', 'prostatic irm', 'prostatic adenocarcinoma', 'prospective study', 'planimetry ).', 'phased array', 'pelvic scan', 'pathologic analysis', 'partially improved', 'november 1996', 'neoplasic lesions', 'mean error', 'march 1995', 'irm analysis', 'invasive technique', 'high quality', 'greatly improved', 'gleason score', 'glandular volume', 'extracapsular spread', 'dimensional study', 'correctly seen', 'correctly established', 'better stadification', 'allows us', '94 %.', '7 cc', '50 %,']</t>
  </si>
  <si>
    <t>The clinical under-evaluation of prostatic adenocarcinoma is close to 50 %, and partially improved by the use of randomized biopsies, the analysis of PSA and the Gleason score on tissu samples. Traditional imaging techniques, such as transrectal ultrasound and pelvic scan had no more informations. IRM is a non-invasive technique, permitting the three-dimensional study of an organ, with a high quality of tissue contrasts.While using surface antenna "phased array" type, the spatial resolution has been greatly improved. AIMS : To study criteria of extracapsular spread, glandular and tumoral volumes, by IRM analysis. A better stadification and PSA density can be obtained. MATERIALS : In a prospective study from March 1995 to November 1996, we enter 55 patients before a radical prostatectomy for localised prostatic adenocarcinoma. METHODS : IRL 1 Tesla imager (SIEMENS), pelvic phased array antenna. FSE sequences weighted in T1 and T2, axial and frontal. Evaluation of volumes through screen-scales. The Stanford protocol is used for pathologic analysis. RESULTS : Glandular volume are correctly established by IMR (mean difference 0,7 cc from planimetry). Tumoral volumes are under evaluated (mean error : 1,04 cc), with 87 % of agreement in measurements. The staging of the tumor has been correctly seen on iRM in 90 % of cases with a positive predictive value of 94 %. CONCLUSION : Prostatic IRM, using surface antenna, allows us to complete the conventional clinical stadification, by correctly recognizing 75 % of locally extended diseases. Its limits are linked to the nature of the signal of tumoral tissue as well as to the localization of neoplasic lesions.</t>
  </si>
  <si>
    <t>60008905;60008905;60008905;60008905;60008905;60008905</t>
  </si>
  <si>
    <t>6603449687;14823790400;6604074652;7003893838;7005683898;7005420032</t>
  </si>
  <si>
    <t>Tollon, Christophe;Soulie', Michel;Aziza, Richard;Escourrou, Ghislaine;Pontonnier, Francis;Plante, Pierre</t>
  </si>
  <si>
    <t>Hopital de Rangueil</t>
  </si>
  <si>
    <t>Tollon C.</t>
  </si>
  <si>
    <t>IBM (pelvic phased array antenna) in the evaluation of glandular and tumoral volumes of clinically localized prostatic adenocarcinoma</t>
  </si>
  <si>
    <t>2-s2.0-33749305731</t>
  </si>
  <si>
    <t>['tweeks recorded', 'tweek atmospherics', 'south direction', 'polarization measurements', 'polarization characteristics', 'observing station', 'multiflash whistlers', 'initial results', 'elliptical polarization', 'day reached', '15 ),']</t>
  </si>
  <si>
    <t>The crossed loop antenna method has been developed at the low latitude ground station Bichpuri, Agra (Geomagn. lat., 17¬∞1‚Ä≤N; L=1.15), to study the ionospheric transmission characteristics of whistlers and VLF emissions observed at this station by measuring their polarization characteristics. In this paper, the details of this technique is described and some initial results of polarization measurements for the case of multiflash whistlers and tweek atmospherics are presented. It has been shown that the multiflash whistlers (D‚àº18 s1/2) recorded at this observing station were transmitted from the ionosphere 200 km away and reached the station with elliptical polarization. The tweeks recorded on the same day reached with linear polarization within 18¬∞-30¬∞ from north-south direction.</t>
  </si>
  <si>
    <t>60070214;60070214</t>
  </si>
  <si>
    <t>57213970436;57208093293</t>
  </si>
  <si>
    <t>Singh, Raghuraj;Singh, Birbal</t>
  </si>
  <si>
    <t>Singh R.</t>
  </si>
  <si>
    <t>Polarization measurement of low latitude whistlers using crossed loop antenna method</t>
  </si>
  <si>
    <t>2-s2.0-33749610531</t>
  </si>
  <si>
    <t>['studies involved', 'required isolation', 'isolating structure', 'isolating comb', 'isolate near', 'finite distance', 'experimental studies', 'approximate formulas', '5 wavelength']</t>
  </si>
  <si>
    <t>Experimental studies have been made of the possibility to isolate near-omni-directional antennas spaced out at a finite distance on a flat metallic screen. These studies involved the use of a small-size decoupling comb structure whose transverse dimensions are equal to 0.5...1.5 wavelength and positioned between the antennas to be isolated. Based on the findings of the investigations a number of approximate formulas have been derived to determine the parameters of an isolating comb from the prescribed operating frequency range, the magnitude of required isolation and the site where the isolating structure is installed. ¬© 1997 Begell House, Inc.</t>
  </si>
  <si>
    <t>60027251;60027251</t>
  </si>
  <si>
    <t>6507830362;23108967300</t>
  </si>
  <si>
    <t>Gorobetz, N. N.;Kiyko, V. I.</t>
  </si>
  <si>
    <t>V. N. Karazin Kharkiv National University</t>
  </si>
  <si>
    <t>Experimental investigation into the decoupling between antennas isolation using the comb structure of limited transverse dimensions</t>
  </si>
  <si>
    <t>2-s2.0-33751402967</t>
  </si>
  <si>
    <t>73-80</t>
  </si>
  <si>
    <t>Likchogray, B. G.</t>
  </si>
  <si>
    <t>Kharkiv National University of Radio Electronics</t>
  </si>
  <si>
    <t>Likchogray B.G.</t>
  </si>
  <si>
    <t>The effect of amplitude-phase distribution fluctuations on the efficiency of shf-energy transmission between circular-aperture antennas in fresnel zone</t>
  </si>
  <si>
    <t>2-s2.0-33751414876</t>
  </si>
  <si>
    <t>['target arrays', 'target array', 'pn code', 'new algorithm', 'mtdda ).', 'drmtcma ).', 'dr algorithm', 'division multiple', 'code used', '1 ],']</t>
  </si>
  <si>
    <t>CDMA | CMA | Despread-respread algorithms | LS-DRMTCMA | Multi-target arrays</t>
  </si>
  <si>
    <t>In this letter, we apply the concept of the despread-respread (DR) algorithm to multi-target arrays for code-division multiple-access (CDMA) signals. The despread-respread algorithm exploits the knowledge of the pseudo-noise (PN) code used to generate the transmitted CDMA signal. We extend the DR algorithm to not only exploit the knowledge of the PN code but also to preserve the constant modulus property of the signal. This new algorithm is called the Least Squares Despread Respread Multi-target Constant Modulus Array (LS-DRMTCMA). LS-DRMTCMA performs better than the Least Squares Despread Respread Multi-Target Array (LS-DRMTA), Least Squares Multi-Target Constant Modulus Array (LS-MTCMA) [1], and Steepest Descent Multi-Target Decision Directed Array (SD-MTDDA).</t>
  </si>
  <si>
    <t>114-116</t>
  </si>
  <si>
    <t>60027090-60023290;60027090-60097336;60027090;60027090</t>
  </si>
  <si>
    <t>7005497558;6603681283;7006091503;7403641959</t>
  </si>
  <si>
    <t>Rong, Zhigang;Petrus, Paul;Rappaport, Theodore S.;Reed, Jeffrey H.</t>
  </si>
  <si>
    <t>Oak Brook;Blacksburg;Murray</t>
  </si>
  <si>
    <t>ArrayComm LLC;Virginia Polytechnic Institute and State University;Nokia USA</t>
  </si>
  <si>
    <t>60097336;60027090;60023290</t>
  </si>
  <si>
    <t>Rong Z.</t>
  </si>
  <si>
    <t>Despread-respread multi-target constant modulus array for CDMA systems</t>
  </si>
  <si>
    <t>10.1109/4234.602601</t>
  </si>
  <si>
    <t>2-s2.0-3643090676</t>
  </si>
  <si>
    <t>['shibata shift', 'reaction centers', 'pheophytin contained', 'pheo 679', 'partial inhibition', 'heavy water', 'deuterium oxide', 'dark conversion', 'complete blocking', 'chlorophyll biosynthesis', 'chl 675', 'chl 671', 'chide 690', 'antenna chlorophyll', 'absorption spectroscopy']</t>
  </si>
  <si>
    <t>Antenna chlorophyll | Chlorophyll a biosynthesis | Deuterium oxide | Inhibition of chlorophyll biosynthesis | Reaction center chlorophyll</t>
  </si>
  <si>
    <t>Using the methods of luminescence and absorption spectroscopy we have shown that introduction of heavy water (D2O) into etiolated plant leaves leads to a complete blocking of the biosynthesis of the complexes of pheophytin contained in the reaction centers of PS II Chide 684/676 ‚Üí [Pheo 679/675, Chl 675/668, Chl 671/668] and to a partial inhibition of the "Shibata shift" which is responsible for biosynthesis of the bulk of antenna chlorophyll. In the presence of D2O a dark conversion of the native form Chlde 684/676 into Chide 690/680 has been found. An effect of deuterium oxide on other reactions of chlorophyll biosynthesis from chlorophyllide has not been found.</t>
  </si>
  <si>
    <t>312-320</t>
  </si>
  <si>
    <t>7003333040;35606646900</t>
  </si>
  <si>
    <t>Ignatov, N. V.;Litvin, F. F.</t>
  </si>
  <si>
    <t>Ignatov N.</t>
  </si>
  <si>
    <t>Effect of heavy water (D&lt;inf&gt;2&lt;/inf&gt;O) on reactions of chlorophyll biosynthesis in greening plant leaves</t>
  </si>
  <si>
    <t>2-s2.0-4143051376</t>
  </si>
  <si>
    <t>['weight reaches', 'snow falling', 'repellent coatings', 'many cases', 'ice sticks', 'frp samples', 'experimentally studied', 'experimental value', 'estimated value', 'developing water', 'certain value', 'adhesive problems', '5 ¬∞']</t>
  </si>
  <si>
    <t>Antenna | Coating | Communication | PTFE | Repellent | Snow</t>
  </si>
  <si>
    <t>When snow or ice sticks to radio communications antennas, it sometimes causes signal transmission problems. In many cases, the degree to which snow or ice sticks to antennas is based on the degree of adhesion. We have been developing water-repellent coatings to prevent such adhesive problems. In this paper, the snow adhesive property of these water repellent coatings is experimentally studied. We obtained following results. (1)Much more fallen snow adheres to FRP samples than water-repellent coatings. (2)Much more fallen snow adheres to samples at+1.5¬∞ than at -5¬∞C. (3)Snow naturally falls off of the surface when its weight reaches a certain value. (4)The estimated value of snow falling off consists with experimental value.</t>
  </si>
  <si>
    <t>216-219</t>
  </si>
  <si>
    <t>57203645015;55290679100;7006081892;7004039897</t>
  </si>
  <si>
    <t>Saito, Hiroyuki;Takai, Ken Ichi;Takazawa, Hisayoshi;Yamauchi, Goro</t>
  </si>
  <si>
    <t>A study on snow sticking weight to water-repellent coatings</t>
  </si>
  <si>
    <t>2-s2.0-5244242270</t>
  </si>
  <si>
    <t>['structural polypeptides', 'spheroiden predominates', 'purple non', 'photosynthetic growth', 'photosynthetic complexes', 'lh2 formation', 'lh2 complex', 'lh1 complex', 'illumination intensity', 'antenna complexes', 'anaerobic growth']</t>
  </si>
  <si>
    <t>Antenna complex | Carotenoid | Rhodobacter sphaeroides</t>
  </si>
  <si>
    <t>The purple non-sulfur bacterium Rhodobacter sphaeroides can grow under aerobic (chemoheterolrophic) and anaerobic (photosynthetic) conditions. Two photosynthetic antenna complexes, LH1 and LH2, are synthesized at various ratios depending on illumination intensity during anaerobic growth. Carotenoids including spheroiden and spheroidenone, bacteriochlorophyll, and structural polypeptides are components of the antenna complexes. Spheroiden predominates in the LH2 complex and spheroidenone is detected only in the LH1 complex. Accumulation of the two major carotenoids depends on the stoichiometry of the photosynthetic complexes. Carotenoids can participate in the regulation of LH1 and LH2 formation and adaptation of R. sphaeroides to changes in illumination intensity during photosynthetic growth.</t>
  </si>
  <si>
    <t>898-902</t>
  </si>
  <si>
    <t>60096201;60027512</t>
  </si>
  <si>
    <t>6601928813;57203350873</t>
  </si>
  <si>
    <t>Yeliseev, A. A.;Kaplan, S.</t>
  </si>
  <si>
    <t>Moscow;Houston</t>
  </si>
  <si>
    <t>Bach Institute of Biochemistry;University of Texas Health Science Center at Houston</t>
  </si>
  <si>
    <t>Yeliseev A.</t>
  </si>
  <si>
    <t>Role of carotenoids in adaptation of the photosynthetic bacterium Rhodobacter sphaeroides to growth conditions</t>
  </si>
  <si>
    <t>2-s2.0-5244292205</t>
  </si>
  <si>
    <t>['total density', 'striking less', 'shore invertebrates', 'second surveys', 'rock lobsters', 'particular area', 'oil spills', 'oil inhibits', 'natural variation', 'largely due', 'heavy fuel', 'fourth site', 'fouled lobster', 'fish fauna', 'existing data', 'contents confirmed', 'community structure', 'clinus superciliosus', 'changes could', 'boulder beach', 'areas compared', 'apollo sea', '150 km']</t>
  </si>
  <si>
    <t>Fish | Invertebrate | Names of fish species follow Smith &amp; Heemstra (1986) | Pollution | Rock lobster | Rocky shore</t>
  </si>
  <si>
    <t>In 1994, the sinking of the 'Apollo Sea' offthe West coast of South Africa led to the deposition of ca. 2 500 tons of heavy fuel, oil over 150 km of coastline. The impact of the spill on rocky, shore invertebrates, rock-pool fish fauna and rock lobsters was assessed by conducting surveys shortly after the spill, and again two months later. Where possible, results of these surveys were compared with existing data from before the sinking of the Apollo Sea. Among the fish fauna of rock-pools, changes in total density of fishes were largely due to changes in the abundance of Clinus superciliosus and were within the range of natural variation for the species and the community as a whole. Community structure of the rock-pool fish fauna also remained unaffected. At three of four impacted rocky shore sites no changes could be detected in overall benthic community structure, although the winkle Nodilittorina africana was affected. At the fourth site, a boulder beach, statistical analysis showed distinct differences in community structure between heavily and lightly contaminated area, as well as between all areas compared with previously existing data. There were also significant changes in the lightly oiled areas between the first and second surveys after the spill. Oil-fouled lobster were found at one of three sites investigated. Ca. 7% of the seabed in this particular area was polluted. Antennae and forelegs of almost all lobsters in the vicinity of the oil were fouled. Examination of the gut-contents confirmed that oil inhibits the ability of lobster to feed. Although there was no evidence that mortalities of lobster were caused by the spill, growth rates may be reduced by the decreased feeding rate. Overall, the impact of the spill was striking less than might, have been predicted from the effects of other oil spills. ¬© 1997 EUCC.</t>
  </si>
  <si>
    <t>10.1007/BF02908191</t>
  </si>
  <si>
    <t>2-s2.0-52449144830</t>
  </si>
  <si>
    <t>['theoretical performance', 'single pass', 'range x', 'present paper', 'pass system', 'particularly evident', 'particular need', 'motion compensation', 'military mapping', 'increasing interest', 'generically operate', 'dra long', 'describe work', 'data collected', 'considered ,.', 'band single', 'airborne platforms', 'airborne operation', 'airborne hfisar', 'acceptable levels']</t>
  </si>
  <si>
    <t>There is increasing interest in the utilisation of height-finding interferometric synthetic aperture radar (HFISAR) for civil and military mapping, and large area change detection, applications. The technique has been demonstrated from spaceborne platforms using combinations of data collected from multiple imaging passes, and from airborne platforms which generically operate in a 'single pass' mode by deploying two physically distinct antennas. In the case of airborne operation there is a particular need to perform highly accurate motion compensation to the data in order to reduce height reconstruction errors to acceptable levels. The criticality of this is particularly evident in the case of multiple-pass airborne HFISAR. The present paper will describe work which has been carried out at DRA (Malvern) U.K. on motion compensation for airborne HFISAR. Both single pass and multiple pass cases will be considered,. Theoretical performance will be compared with the results of actual trials using the DRA long-range X-Band Canberra system, and the experimental DRA C-Band single-pass system.</t>
  </si>
  <si>
    <t>60020099;60022148;100843760;60020099;100351685</t>
  </si>
  <si>
    <t>7006863241;7102712127;7404509178;7006618937;6506013692</t>
  </si>
  <si>
    <t>Currie, A.;Bullock, R.;Young, S.;Horne, A.;Bungey, T.</t>
  </si>
  <si>
    <t>United Kingdom;United Kingdom;United Kingdom;United Kingdom</t>
  </si>
  <si>
    <t>London;Buckingham;Bath;Liverpool</t>
  </si>
  <si>
    <t>University College London;DRA;SEA;NA Software</t>
  </si>
  <si>
    <t>60022148;60020099;100843760;100351685</t>
  </si>
  <si>
    <t>Currie A.</t>
  </si>
  <si>
    <t>Single and multiple pass height finding interferometry from an airborne platform</t>
  </si>
  <si>
    <t>2-s2.0-5844339989</t>
  </si>
  <si>
    <t>['uncompensated interferograms', 'two looks', 'two cases', 'single pass', 'roll compensation', 'real data', 'paper describes', 'normal flight', 'interferograms generated', 'interferogram generated', 'intentionally performing', 'dra c', 'differential phase', 'board inu', 'band interferometer', 'aircraft roll']</t>
  </si>
  <si>
    <t>The paper describes a data driven technique for roll compensation of interferometric SAR data gathered in a single pass from an aircraft-borne dual antenna system. The data is processed as two independent azimuth looks, and an interferogram generated from each look. The aircraft roll-history is inferred from the differential phase between the two looks. The method is applied to real data from the DRA C-Band interferometer, and the estimated roll curves are compared with output from an on-board INU. The roll is estimated for two cases - one in which the aircraft was intentionally performing a 5¬∞ roll manoeuvre, and another with the aircraft in normal flight. The estimated roll curves are used to correct the interferograms generated from each pass and compared with the uncompensated interferograms.</t>
  </si>
  <si>
    <t>60022148;60022148;60020099;60022148;60022148</t>
  </si>
  <si>
    <t>Bullock, R. J.;Voles, R.;Currie, A.;Griffiths, H. D.;Brennan, P.</t>
  </si>
  <si>
    <t>London;Buckingham</t>
  </si>
  <si>
    <t>University College London;DRA</t>
  </si>
  <si>
    <t>60022148;60020099</t>
  </si>
  <si>
    <t>Two-look method for roll correction of aircraft-borne interferometric SAR data</t>
  </si>
  <si>
    <t>2-s2.0-5844389778</t>
  </si>
  <si>
    <t>60020730;60020730</t>
  </si>
  <si>
    <t>6701837871;7401559260</t>
  </si>
  <si>
    <t>Crumley, G. C.;Evans, N. E.</t>
  </si>
  <si>
    <t>Crumley G.</t>
  </si>
  <si>
    <t>An experimental RF transponder for biomedical signal acquisition</t>
  </si>
  <si>
    <t>2-s2.0-5944245299</t>
  </si>
  <si>
    <t>['widely distributed', 'usually found', 'type n', 'sycamore cell', 'surface glycoconjugates', 'putative function', 'plant n', 'may suggest', 'linked glycans', 'lewis antigen', 'larger mono', 'highly expressed', 'golgi apparatus', 'first characterization', 'containing n', 'cell surface', 'cell communication', 'antennary n', 'adhesion processes']</t>
  </si>
  <si>
    <t>In plants, N-linked glycans are processed in the Golgi apparatus to complex-type N-glycans of limited size containing a Œ≤(1,2)-xylose and/or an Œ±(1,3)-fucose residue. Larger mono- and bi-antennary N-linked complex glycans have not often been described. This study has re-examined the structure of such plant N-linked glycans, and, through both immunological end structural data, it is shown that the antennae are composed of Lewis a (Lea) antigens, comprising the carbohydrate sequence GalŒ≤1-3[FucŒ±1-4]GlcNAc. Furthermore, a fucosyltransferase activity involved in the biosynthesis of this antigen was detected in sycamore cell. This is the first characterization in plants of a Lewis antigen that is usually found on cell-surface glycoconjugates in mammals and involved in recognition and adhesion processes. Lea-containing N-linked glycans are widely distributed in plants and highly expressed at the cell surface, which may suggest a putative function in cell/cell communication.</t>
  </si>
  <si>
    <t>1411-1417</t>
  </si>
  <si>
    <t>Plant Journal</t>
  </si>
  <si>
    <t>106638741;106638741;106638741;60104298;106638741;106638741;101559640;60014564;106638741;106638741</t>
  </si>
  <si>
    <t>6508284553;6701497185;6602266761;7102942184;6504471033;57202633583;57212806377;35547663000;7004662241;7006065863</t>
  </si>
  <si>
    <t>Fitchette-Lain√©, Anne Catherine;Gomord, V√©ronique;Cabanes, Marion;Michalski, Jean Claude;Macary, Mireille Saint;Foucher, Bernard;Cavelier, Brigitte;Hawes, Chris;Lerouge, Patrice;Faye, Lo√Øc</t>
  </si>
  <si>
    <t>France;United Kingdom;France;France</t>
  </si>
  <si>
    <t>Villeneuve-d'Ascq;Oxford;Mont Saint Aignan;Boisguillaume</t>
  </si>
  <si>
    <t>Unit√© de Glycobiologie Structurale et Fonctionnelle (UGSF);Oxford Brookes University;Facult√© des Sciences;Etablissement de Transfus. Sanguine</t>
  </si>
  <si>
    <t>60104298;60014564;106638741;101559640</t>
  </si>
  <si>
    <t>Fitchette-Lain√© A.C.</t>
  </si>
  <si>
    <t>N-glycans harboring the Lewis a epitope are expressed at the surface of plant cells</t>
  </si>
  <si>
    <t>10.1046/j.1365-313x.1997.12061411.x</t>
  </si>
  <si>
    <t>2-s2.0-6844222860</t>
  </si>
  <si>
    <t>['unlikely event', 'stanag 2373', 'reduced substantially', 'proposed herein', 'positioning requirement', 'positioning accuracy', 'nearby points', 'met using', 'labour intensive', 'high level', 'height ),', 'heading requirement', 'guns used', 'gps failure', 'effectue alternative', 'currently met', 'artillery positioning', 'alone mode', 'accuracy levels', '6 mil', '3 mil', '20 minutes', '1 arcmin']</t>
  </si>
  <si>
    <t>The antillery survey requirements ratified by Canada though NATO (STANAG 2373) call for a positioning accuracy of 10 m (PE) fixation (horizontal) and altitude (height), and an orientation (heading) accuracy of 0.3 mil (1 arcmin) to 0.6 mil (PE), depending on the type of guns used. These accuracy levels are to be achieved in a maximum observation time of 20 minutes. The positioning requirement is currently met by Canadian Forces artillery personnel by using conventional survey methods which are labour intensive and requires the availability of known survey points in the area. The heading requirement is met effectively using gyrotheodolites. A cost-effectue alternative to the above methods is proposed herein. It consists of GPS in stand-alone mode, complemented by automated survey methods where required. Using emerging low cost, portable, and robust GPS user equipment, the artillery positioning and heading requirement can be met in minutes. The heading requirement is met using a twin-antenna GPS system. In situations where severe signal masking due to concealment requirements may preclude the use of GPS, the transfer of position and heading from nearby points where GPS signal reception is possible can be carried out using conventional survey methods, which can also be used as backup in the unlikely event of GPS failure. Due to the high level of automation of GPS and of modem survey equipment, it is anticipated that the survey training requirements will be reduced substantially.</t>
  </si>
  <si>
    <t>83-91</t>
  </si>
  <si>
    <t>Canadian Aeronautics and Space Journal</t>
  </si>
  <si>
    <t>60002306;60002306;60017597</t>
  </si>
  <si>
    <t>7005283542;6505586060;7202877828</t>
  </si>
  <si>
    <t>Lachapelle, G.;Carneon, M. E.;Bird, J.</t>
  </si>
  <si>
    <t>Ottawa;Calgary</t>
  </si>
  <si>
    <t>Defence Research and Development Canada;University of Calgary</t>
  </si>
  <si>
    <t>60017597;60002306</t>
  </si>
  <si>
    <t>Lachapelle G.</t>
  </si>
  <si>
    <t>Evaluation of GPS-aided artillery positioning and orientation methods</t>
  </si>
  <si>
    <t>2-s2.0-8744303698</t>
  </si>
  <si>
    <t>['standard rj', 'small fwt', 'providing secure', 'provide supplies', 'indeed one', 'implementation indicates', 'fax machine', 'digital technology', 'communicates via', 'base station', 'analog backbone', '11 jack']</t>
  </si>
  <si>
    <t>Motorola was selected to provide supplies for Hungary's fixed wireless networks. The wireless local loop (WLL) system is based on digital technology over an analog backbone. The base station is a standard Motorola cell site available in all analog cellular systems in the 800 and 900 MHz bands. A fixed wireless terminal (FWT) provides an interface to a standard telephone set, fax machine, or data modem via a standard RJ-11 jack. The small FWT is mounted on the wall in the home or office and communicates via a transceiver and antenna to a base station. The system's implementation indicates that fixed wireless telephony is indeed one of the major technological breakthroughs in providing secure and cost effective voice and data telecommunication services.</t>
  </si>
  <si>
    <t>NTQ (New Telecom Quarterly)</t>
  </si>
  <si>
    <t>Bennatan, Elli</t>
  </si>
  <si>
    <t>Wireless Access Systems Div (WASD)</t>
  </si>
  <si>
    <t>Bennatan E.</t>
  </si>
  <si>
    <t>Wireless local loop in Hungary - a case study</t>
  </si>
  <si>
    <t>2-s2.0-0031550122</t>
  </si>
  <si>
    <t>['zeaxanthin present', 'xanthophyll violaxanthin', 'xanthophyll cycle', 'white light', 'vitro data', 'violaxanthin de', 'thylakoid membranes', 'temperature conditions', 'taken together', 'substantial increase', 'stressful light', 'slowly reversible', 'significantly decrease', 'several rain', 'results indicate', 'red light', 'quantum yield', 'preferentially absorbed', 'potent inhibitor', 'photosystem ii', 'membrane function', 'massive conversion', 'lipid peroxidation', 'light intensity', 'green light', 'emergency mechanism', 'different spin', 'carotenoids incorporated', 'barley leaves', 'artificial membranes', 'arabidopsis mutant']</t>
  </si>
  <si>
    <t>Chloroplast | Light-harvesting chlorophyll-protein complex | Lipid peroxidation | Membrane fluidity | Strong light stress | Xanthophyll</t>
  </si>
  <si>
    <t>Barley leaves were exposed for several rain to a white light of photon flux density 1000 Œºmol m-2 s-1, leading to a massive conversion of the xanthophyll violaxanthin to antheraxanthin and zeaxanthin in the absence of lipid peroxidation. Using electron spin resonance spectroscopy and different spin-labeled stearate probes, we observed that this light treatment noticeably decreased thylakoid membrane lipid fluidity. The light-induced membrane rigidification (i) was proportional to the amount of zeaxanthin present in the membranes, (ii) was blocked by dithiothreitol, a potent inhibitor of the violaxanthin de-epoxidase, (iii) was slowly reversible in the dark, (iv) was not observed in thylakoids of an Arabidopsis mutant that has no xanthophyll cycle and (v) was accompanied by a substantial increase in the thermostability of the ionic permeability properties of the thylakoid membranes. The amount of xanthophyll-cycle pigments found in photosystem II was observed to significantly decrease after illumination. Photoacoustic and chlorophyll fluorometric analyses of the illuminated leaves revealed that strong illumination decreased the quantum yield of photosynthetic oxygen evolution and the pigment antenna size of photosystem II in green light (preferentially absorbed by carotenoids) but not in red light (absorbed by chlorophylls only). Taken together in the light of previous in vitro data on carotenoids incorporated into artificial membranes, our results indicate that the xanthophyll cycle could be an 'emergency mechanism' that rapidly provides thylakoid membrane lipids with rigidifying carotenoid molecules upon sudden increase in light intensity. The significance of this mechanism for the membrane function and adaptation to stressful light and temperature conditions is discussed.</t>
  </si>
  <si>
    <t>179-193</t>
  </si>
  <si>
    <t>Biochimica et Biophysica Acta - Biomembranes</t>
  </si>
  <si>
    <t>60003729;60003729</t>
  </si>
  <si>
    <t>56040897500;57207602542</t>
  </si>
  <si>
    <t>Tardy, Florence;Havaux, Michel</t>
  </si>
  <si>
    <t>Saint Paul lez Durance</t>
  </si>
  <si>
    <t>CEA Cadarache</t>
  </si>
  <si>
    <t>Tardy F.</t>
  </si>
  <si>
    <t>Thylakoid membrane fluidity and thermostability during the operation of the xanthophyll cycle in higher-plant chloroplasts</t>
  </si>
  <si>
    <t>S0005273697001685</t>
  </si>
  <si>
    <t>10.1016/S0005-2736(97)00168-5</t>
  </si>
  <si>
    <t>2-s2.0-0030807802</t>
  </si>
  <si>
    <t>['triplet state', 'temperature range', 'temperature dependence', 'strongly dependent', 'room temperature', 'quantum yield', 'probable reason', 'observed change', 'nonradiative decay', 'isolation procedure', 'internal conversion', 'fluorescence lifetimes', 'core antenna', 'b820 subunit', 'average frequency', 'activation energy', '65 kj', '450 cm', '200 k']</t>
  </si>
  <si>
    <t>The quantum yield and lifetimes of fluorescence and triplet state of the B820 subunit of core antenna of photosynthetic purple bacterium Rhodospirillum rubrum are reported at temperature range from 4.2 to 300K. The fluorescence quantum yield of B820 is strongly dependent on temperature. From 4.2 to about 200 K the yield remains nearly constant. A nonradiative decay process becomes activated around 170-200 K. Between 200 K and room temperature the quantum yield drops by a factor of 4. The fluorescence lifetimes and the B820 triplet yield follow the same temperature dependence as the fluorescence quantum yield. It is concluded that a change in the rate of internal conversion from the excited singlet state to the ground state produces the observed change. The change is modeled by using the energy gap law in the strong coupling limit. An activation energy of 65 kJ/mol and average frequency of 450 cm-1 for the promoting vibrational mode of the nonradiative decay are found by fitting the data by energy gap law expression. The results are compared with the bacterial reaction center and the intact bacterial light harvesting antenna. A change in the rigidity of the structure of the B820 unit induced by the isolation procedure is the probable reason for the strong temperature dependence.</t>
  </si>
  <si>
    <t>10554-10559</t>
  </si>
  <si>
    <t>60008734-60032398;60008734;60008734</t>
  </si>
  <si>
    <t>6602699372;6602135863;35599806700</t>
  </si>
  <si>
    <t>Helenius, Vesa;Monshouwer, Ren√©;Van Grondelle, Rienk</t>
  </si>
  <si>
    <t>Finland;Netherlands</t>
  </si>
  <si>
    <t>Jyvaskyla;Amsterdam</t>
  </si>
  <si>
    <t>University of Jyv√§skyl√§;Vrije Universiteit Amsterdam</t>
  </si>
  <si>
    <t>60032398;60008734</t>
  </si>
  <si>
    <t>Helenius V.</t>
  </si>
  <si>
    <t>Temperature-dependent lifetimes and quantum yield of the singlet and triplet states of the B820 subunit of LHI antenna complex of purple bacterium Rhodospirillum rubrum</t>
  </si>
  <si>
    <t>10.1021/jp972013d</t>
  </si>
  <si>
    <t>2-s2.0-0031553193</t>
  </si>
  <si>
    <t>['using two', 'transfer via', 'transfer rate', 'transfer mediated', 'temperature dependence', 'spectroscopic properties', 'peripheral light', 'harvesting antenna', 'experimentally observed', 'estimates based', 'earlier results', 'crystal structure', 'color pump', 'carotenoid molecule', 'b850 transfer', 'b850 band', '5 ps', '2 k']</t>
  </si>
  <si>
    <t>Using two-color pump-probe femtosecond spectroscopy, the temperature dependence of the energy transfer rate within the peripheral light-harvesting antenna (LH2) of the photosynthetic bacterium Rhodobacter sphaeroides has been measured. The energy transfer time from B800 to B850 is determined to be 0.7, 1.2, and 1.5 ps at 300, 77, and 4.2 K, respectively. These data, combined with earlier results, have been analyzed with regard to the crystal structure and spectroscopic properties of the purple bacterial LH2 complex. We conclude that the transfer within B800 occurs mainly via the incoherent F√∂rster hopping mechanism. For B800 to B850 transfer, estimates based on the F√∂rster formula yield considerably slower transfer times than experimentally observed, suggesting that an additional mechanism may be involved in enhancing the transfer rate. We suggest two possibilities: transfer via the upper excitonic component of B850 band and/or transfer mediated by a carotenoid molecule.</t>
  </si>
  <si>
    <t>10560-10567</t>
  </si>
  <si>
    <t>7004251319;7102293476;6603743050;7006706612</t>
  </si>
  <si>
    <t>Pullerits, T√µnu;Hess, Susan;Herek, Jennifer L.;Sundstr√∂m, Villy</t>
  </si>
  <si>
    <t>Pullerits T.</t>
  </si>
  <si>
    <t>Temperature dependence of excitation transfer in LH2 of Rhodobacter sphaeroides</t>
  </si>
  <si>
    <t>10.1021/jp9720956</t>
  </si>
  <si>
    <t>2-s2.0-0031553294</t>
  </si>
  <si>
    <t>['tharos tharos', 'subsequent rearing', 'southern ontario', 'sandy soils', 'ottawa valley', 'old pastures', 'occurs north', 'northernmost sites', 'northernmost colonies', 'late october', 'late may', 'hay field', 'first time', 'far beyond', 'essentially continuous', 'dune slacks', 'canadian zone', 'antenna race', 'also reported', '65 locations']</t>
  </si>
  <si>
    <t>Aster ciliolatus | Flight period | Foodplants | Habitat | Oviposition</t>
  </si>
  <si>
    <t>The black-antenna race of P. tharos tharos (Drury) occurs north to the Canadian zone of the Ottawa valley, far beyond the Carolinian or Upper Austral range limit previously indicated for the species. It is also reported for the first time from northern New York State and Quebec. The northernmost colonies are restricted to alvars or old pastures over limestone, but hay field and old field mosaics, dune slacks and prairies on sandy soils are utilized farther south. The foodplant at the northernmost sites was Aster ciliolatus based oviposition in the field and subsequent rearing in the laboratory. Available evidence suggests that the black-antenna race of P. tharos tharos may have invaded the Ottawa valley over the past five years: it is now widespread but local in southern Ontario, having been found in 65 locations. The flight period extends from late May to late October and is essentially continuous at some locations.</t>
  </si>
  <si>
    <t>218-226</t>
  </si>
  <si>
    <t>Journal of the Lepidopterists' Society</t>
  </si>
  <si>
    <t>Catling, Paul M.</t>
  </si>
  <si>
    <t>Catling P.</t>
  </si>
  <si>
    <t>Biology of the black-antenna race of Phyciodes tharos tharos (Nymphalidae) in Ontario</t>
  </si>
  <si>
    <t>2-s2.0-0031409033</t>
  </si>
  <si>
    <t>['starting excitations', 'null control', 'new method', 'linear arrays']</t>
  </si>
  <si>
    <t>Antenna pattern synthesis | Linear arrays | Nulling technique | Simulated annealing technique</t>
  </si>
  <si>
    <t>A new method for antenna pattern synthesis of linear arrays is described. The method is based on the application of the simulated annealing technique to achieve the excitations and/or the positions of the elements for a desired radiation pattern. Design specifications include sidelobe level, beamwidth, null control, and other parameters such as variation from starting excitations and / or positions. ¬© 1997 John Wiley &amp; Sons, Inc.</t>
  </si>
  <si>
    <t>322-325</t>
  </si>
  <si>
    <t>6701881810;7006865572</t>
  </si>
  <si>
    <t>Trastoy, A.;Ares, F.</t>
  </si>
  <si>
    <t>Trastoy A.</t>
  </si>
  <si>
    <t>Linear array pattern synthesis with minimum sidelobe level and null control</t>
  </si>
  <si>
    <t>10.1002/(SICI)1098-2760(19971205)16:5&lt;322::AID-MOP16&gt;3.0.CO;2-5</t>
  </si>
  <si>
    <t>2-s2.0-0031555266</t>
  </si>
  <si>
    <t>['volcanic elastics', 'variable thickness', 'subsurface features', 'stone walls', 'soil layer', 'secondary objective', 'rights reserved', 'principle objective', 'previously excavated', 'pottery shards', 'penetrating radar', 'main objectives', 'locate wreckage', 'gpr technique', 'gpr profiles', 'florida survey', 'field work', 'coniferous forest', 'conducted along', 'atlantic coastline', 'arizona survey', 'archeological investigations', 'archeological interest']</t>
  </si>
  <si>
    <t>Archeological investigation | Coniferous forest | Ground-penetrating radar | Near shore marine environment</t>
  </si>
  <si>
    <t>In April and July of 1996, ground-penetrating radar (GPR) surveys were conducted in support of archeological investigations at Flagstaff, Arizona and Sebastian, Florida, respectively. A GSSI SIR System 8 radar unit with a 500-MHz monostatic antenna was used for both surveys. The Flagstaff, Arizona survey was conducted at Elden Pueblo Ruins. The site is located in a coniferous forest and characterized by a myriad of surficial and subsurface features. Surficial features consisted mostly of pottery shards and the remnants of rock walled structures. The subsurface features consist mostly of rock lined pits, stone walls, and grave sites covered by a soil layer of variable thickness. The soil is derived from volcanic elastics and the underlying Kaibab Limestone bedrock. GPR profiles were acquired across various locations, some of which had been previously excavated and backfilled by archeologists. The main objectives were to determine the utility of the GPR technique with respect to locating subsurface features of archeological interest, determine the optimum field parameters in the area, and direct further field work. The Sebastian, Florida survey was conducted along the Atlantic coastline. Data were acquired along five beaches and one coastal sand dune. The beaches and dunes of the area are composed of a medium to coarse grained sand, containing quartz grains and carbonates. The principle objective of the Sebastian, Florida survey was to locate wreckage from a Spanish treasure fleet. A secondary objective was to determine the utility of GPR in a near shore marine environment. ¬© 1998 Published by Elsevier Science Ltd. All rights reserved.</t>
  </si>
  <si>
    <t>1093-1099</t>
  </si>
  <si>
    <t>Computers and Geosciences</t>
  </si>
  <si>
    <t>60024728;60024728;60003342</t>
  </si>
  <si>
    <t>55469107200;7402523944;6506448188</t>
  </si>
  <si>
    <t>Baker, Jesse A.;Anderson, Neil L.;Pilles, Peter J.</t>
  </si>
  <si>
    <t>Rolla;Washington, D.C.</t>
  </si>
  <si>
    <t>Missouri University of Science and Technology;USDA Forest Service</t>
  </si>
  <si>
    <t>60024728;60003342</t>
  </si>
  <si>
    <t>Baker J.</t>
  </si>
  <si>
    <t>Ground-penetrating radar surveying in support of archeological site investigations</t>
  </si>
  <si>
    <t>S0098300497000940</t>
  </si>
  <si>
    <t>10.1016/S0098-3004(97)00094-0</t>
  </si>
  <si>
    <t>2-s2.0-0031412954</t>
  </si>
  <si>
    <t>['technique relies', 'technique improves', 'required time', 'reassign dynamically', 'provides true', 'previous approaches', 'potential reduction', 'optimized technique', 'optical loss', 'dimensional beam', 'dimensional bank', 'dimensional array', 'delay units', 'delay steering', 'delay gradient', 'broadside cone', 'broadband two', 'antenna applications']</t>
  </si>
  <si>
    <t>Holographic interconnection | Photonic beam forming | Switching fabric | Time-steered phased-array antennas | True time delay | Twodimensional steering</t>
  </si>
  <si>
    <t>We present and analyze a hardware-optimized technique that provides true-time-delay steering for broadband two-dimensional array-antenna applications. The technique improves on previous approaches by the reduction of the two-dimensional beam-former architecture complexity, by the provision of flexibility in time-delay unit selection, and by the potential reduction of optical loss. The technique relies on a one-dimensional bank of time-delay units to form the required time-delay gradient for proper off-broadside angle steering. A reconfigurable optical interconnection fabric is used to reassign dynamically the connections between the time-delay units and individual array elements of a two-dimensional array to effect the proper steering angle along the off-broadside cone. ¬© 1997 Optical Society of America.</t>
  </si>
  <si>
    <t>9261-9268</t>
  </si>
  <si>
    <t>35458989800;7005229250</t>
  </si>
  <si>
    <t>Frankel, Michael Y.;Esman, Ronald D.</t>
  </si>
  <si>
    <t>Reconfigurable time-steered array-antenna beam former</t>
  </si>
  <si>
    <t>10.1364/AO.36.009261</t>
  </si>
  <si>
    <t>2-s2.0-18444416381</t>
  </si>
  <si>
    <t>['van grondelle', 'triplet ),', 'sharp features', 'reaction centers', 'reaction center', 'purple bacteria', 'psi particles', 'psi centers', 'primary donor', 'p700 environment', 'ones obtained', 'mutual orientations', 'minimum number', 'large psi', 'large photosystem', 'isolation procedure', 'helium temperature', 'first time', 'fdmr signal', 'electronic state', 'den blanken', 'degraded samples', 'bands involved', 'acta 724', 'acta 1187', '735 nm', '700 nm', '200 particles']</t>
  </si>
  <si>
    <t>Absorption detected magnetic resonance | Fluorescence detected magnetic resonance | P700 | Photosystem I | Triplet state</t>
  </si>
  <si>
    <t>Optically detected magnetic resonance (ODMR) of P700 triplet state has been performed in large photosystem I (PSI) particles. The 'intactness' of the P700 environment in the PSI particles has been proved by the comparison of the spectra with those obtained in thylakoids and leaves. Effect of degradation of the samples on the spectra has also been tested. When detected in 'native' PSI centers the microwaves induced triplet-minus-singlet absorption spectra (T - S) show very sharp features which allow to estimate the minimum number of bands involved in the change of the electronic state of the primary donor (singlet to triplet), and can be interpreted in terms of interactions among pigments in the reaction center. The analogy with the reaction centers of purple bacteria is discussed. The previously published spectra (H.J. den Blanken, A.J. Hoff, Biochim. Biophys. Acta 724 (1983) 52-61; J. Vrieze, P. Gast, A.J. Hoff, J. Phys. Chem. 100 (1996) 9960-9967) obtained in particles having smaller antenna size, resemble the ones obtained in our degraded samples: it is suggested that the isolation procedure to small particles may produce an increase in the heterogeneity of the environment of the primary donor and/or a change of the mutual orientations and interactions among pigments. The fluorescence detected magnetic resonance (FDMR) in large PSI particles supports an excitation energy transfer model derived from time resolved optical studies (R. Van Grondelle, J.P. Dekker, T. Gillbro, V. Sundstrom, Biochim. Biophys. Acta 1187 (1994) 1-65) and adapted for helium temperature, characterized by the presence of antenna pools emitting at 690, 720 and 735 nm, respectively. The FDMR signal of P700 changes sign (from positive to negative) when detected at emission wavelength shorter than 700 nm. Comparison of FDMR of P700 triplet state in large PSI-200 particles, in thylakoids and, for the first time, in leaves has been done.</t>
  </si>
  <si>
    <t>115-128</t>
  </si>
  <si>
    <t>60000481;60000481;60000481</t>
  </si>
  <si>
    <t>7003388117;6508217993;16207173300</t>
  </si>
  <si>
    <t>Carbonera, Donatella;Collareta, Paolo;Giacometti, Giovanni</t>
  </si>
  <si>
    <t>The P700 triplet state in an intact environment detected by ODMR. A well resolved triplet minus singlet spectrum</t>
  </si>
  <si>
    <t>S0005272897000686</t>
  </si>
  <si>
    <t>10.1016/S0005-2728(97)00068-6</t>
  </si>
  <si>
    <t>2-s2.0-0031574311</t>
  </si>
  <si>
    <t>['‚ àº0', 'zeolite microcrystals', 'zeolite acts', 'visible towards', 'uptake monomers', 'upon illumination', 'three functionalities', 'supramolecular organization', 'substrates allows', 'stable materials', 'specific properties', 'special importance', 'small excess', 'reversible functionalities', 'red range', 'reaction proceeds', 'present context', 'photogenic drawings', 'optimal size', 'offer possibilities', 'observations parallel', 'necessary geometrical', 'microporous material', 'high concentration', 'green range', 'good quality', 'favourable conditions', 'favourable cases', 'different types', 'design precise', 'corresponding processes', 'controversies going', 'chemical environment', 'case mentioned', 'blue light', 'become useful', 'ag +.', 'actively involved', '390 nm']</t>
  </si>
  <si>
    <t>Ag /AgCl layers + | Photocatalytic water oxidation | Zeolite microcrystals</t>
  </si>
  <si>
    <t>Photocatalytic water oxidation to O2 takes place at the solid/water phase boundary of an appropriately prepared thin AgCl layer in the presence of a small excess of Ag+. This water oxidation reaction shows self-sensitization: as the reaction proceeds, the sensitivity is extended from the near-UV-visible towards the red range. This means that new photo active colour centres are formed upon near UV illumination composed of reduced silver species. The quantum yield per redox equivalent for O2 evolution upon illumination with near UV light (340-390 nm) is ‚àº0.8 and it is the same upon illumination with blue light (420-480 nm). In the green range it is ‚àº0.5. We discuss parameters controlling these reactions. Some of our observations parallel those made by Henry Fox Talbot 160 years ago when he made his first "photogenic drawings" on silver chloride containing paper. Zeolite microcrystals are investigated as hosts for supramolecular organization of clusters, complexes and molecules. They offer possibilities to design precise and reversible functionalities which have the potential to become useful in a solar energy conversion system because in favourable cases very stable materials have been obtained. The possibility to arrange zeolite microcrystals of good quality and narrow size distribution as dense monograin layers on different types of substrates allows the discovery of specific properties. In the present context, three functionalities are of special importance: intrazeolite ion transport, intrazeolite charge transport and intrazeolite excitation energy transport. All of them have been clearly demonstrated experimentally although there are still some controversies going on. The zeolite acts as a host in each case mentioned. It is not actively involved in the corresponding processes, but provides the necessary geometrical and chemical environment. Favourable conditions for finding an efficient antenna device are a high concentration of monomeric dye molecules with a large F√∂rster energy transfer radius, high luminescence quantum yield and ideal geometrical arrangement of the chromophores, as well as an optimal size of the device. Very interesting supramolecular devices can be realized by enclosing dyes inside a microporous material such that the volume of the cages and channels is able to uptake monomers only, but not aggregates. ¬© 1997 Elsevier Science B.V.</t>
  </si>
  <si>
    <t>145-157</t>
  </si>
  <si>
    <t>Catalysis Today</t>
  </si>
  <si>
    <t>At the time he made the first photographs on paper: Did Henry Fox Talbot oxidize water to oxygen with sunlight?</t>
  </si>
  <si>
    <t>S0920586197822407</t>
  </si>
  <si>
    <t>10.1016/S0920-5861(97)82240-7</t>
  </si>
  <si>
    <t>2-s2.0-0041939465</t>
  </si>
  <si>
    <t>['measured results', 'layered half', 'layered box', 'field simulations', 'fdtd method', 'excellent comparisons']</t>
  </si>
  <si>
    <t>Bioelectromagnetic simulations | Finite-difference time-domain method | Near-field simulations</t>
  </si>
  <si>
    <t>Validations of the accuracy of the FDTD method for near-field simulations are critical at this time to assess the accuracy of the FDTD method for the simulation of personal communication devices. Excellent comparisons between the FDTD method and analytical or measured results are shown for a dipole antenna next to a layered half-space, a layered box, and a sphere, and also an infinitesimal dipole near a sphere. ¬© 1997 John Wiley &amp; Sons, Inc.</t>
  </si>
  <si>
    <t>60025488;60025488;60025488</t>
  </si>
  <si>
    <t>7003923643;7402947671;7103082601</t>
  </si>
  <si>
    <t>Furse, Cynthia M.;Yu, Quishan;Gandhi, Om P.</t>
  </si>
  <si>
    <t>Validation of the finite-difference time-domain method for near-field bioelectromagnetic simulations</t>
  </si>
  <si>
    <t>10.1002/(SICI)1098-2760(19971220)16:6&lt;341::AID-MOP6&gt;3.0.CO;2-K</t>
  </si>
  <si>
    <t>2-s2.0-0031338016</t>
  </si>
  <si>
    <t>['tm10 mode', 'slot size', 'resistor loading', 'impedance matching', 'fundamental mode', 'field point', 'experimental results', 'achieved simply']</t>
  </si>
  <si>
    <t>Reduced-size microstrip antenna | Slot coupling | Triangular microstrip antenna</t>
  </si>
  <si>
    <t>The design of slot-coupled, reduced-size triangular microstrip antennas with a shorting-pin or chip-resistor loading is described. The fundamental mode of TM10 is studied. Impedance matching can be achieved simply by adjusting the coupling-slot size, with the slot center fixed at the null-field point of the TM10 mode, and the required slot size increasing with increasing loading resistance. The case with a chip-resistor loading also shows a lower resonant frequency and a significantly enhanced operating bandwidth, as compared with the shorting-pin loading case. Details of the experimental results are presented and discussed. ¬© 1997 John Wiley &amp; Sons, Inc.</t>
  </si>
  <si>
    <t>371-374</t>
  </si>
  <si>
    <t>60116768;60011357;60011357</t>
  </si>
  <si>
    <t>7601561423;57213741151;35460663000</t>
  </si>
  <si>
    <t>Lu, Jui Han;Tang, Chia Luan;Wong, Kin Lu</t>
  </si>
  <si>
    <t>Kaohsiung;Kaohsiung</t>
  </si>
  <si>
    <t>National Kaohsiung University of Science and Technology;National Sun Yat-Sen University</t>
  </si>
  <si>
    <t>60116768;60011357</t>
  </si>
  <si>
    <t>Lu J.</t>
  </si>
  <si>
    <t>Slot-coupled small triangular microstrip antenna</t>
  </si>
  <si>
    <t>10.1002/(SICI)1098-2760(19971220)16:6&lt;371::AID-MOP13&gt;3.0.CO;2-3</t>
  </si>
  <si>
    <t>2-s2.0-0031341035</t>
  </si>
  <si>
    <t>['trimming phases', 'smac ).', 'radiation pattern', 'overall performances', 'new concept', 'matching values', 'feeding line', 'classical way', 'broadband monopoles', '3 ghz']</t>
  </si>
  <si>
    <t>Monopole antennas | Personal communication antennas | Surface-mounted antennas</t>
  </si>
  <si>
    <t>A new concept is proposed: the surface-mounted antenna component (SMAC). It is based on a three-dimensional radiating structure coupled to a feeding line. Examples are shown for broadband monopoles. Compared to the classical way of attaching such a structure, the manufacturing and trimming phases are lighter, while the overall performances are maintained at almost the same level. Matching values of better than 7 dB could be achieved through a bandwidth of 3 GHz. The radiation pattern is omnidirectional with 3 dB gain. ¬© 1997 John Wiley &amp; Sons, Inc.</t>
  </si>
  <si>
    <t>349-352</t>
  </si>
  <si>
    <t>60005049;60005049</t>
  </si>
  <si>
    <t>7003348642;7003753877</t>
  </si>
  <si>
    <t>Floc'h, J. M.;Desclos, L.</t>
  </si>
  <si>
    <t>INSA Rennes</t>
  </si>
  <si>
    <t>Floc'h J.</t>
  </si>
  <si>
    <t>Surface-mounted monopole antenna</t>
  </si>
  <si>
    <t>10.1002/(SICI)1098-2760(19971220)16:6&lt;349::AID-MOP8&gt;3.0.CO;2-K</t>
  </si>
  <si>
    <t>2-s2.0-0031386102</t>
  </si>
  <si>
    <t>['weak low', 'unusual fish', 'severely limited', 'rostrum constitutes', 'polyodon spathula', 'planktonic food', 'lorenzinian ampullae', 'freshwater paddlefish', 'elongated rostrum', 'eliminate vision', 'electrical sensitivity', 'electrical antenna', 'dipole electrodes', 'demonstrate unequivocally', 'biological equivalent', 'accurately detect', '90 mm']</t>
  </si>
  <si>
    <t>A novel electrosensory function is presented for the large, plankton-feeding, freshwater paddlefish, Polyodon spathula, along with a hypothesis which accounts for the distinctive, elongated rostrum of this unusual fish. Behavioural experiments conducted in the 'dark' (under infrared illumination), to eliminate vision, show that paddlefish efficiently capture planktonic prey to distances up to 80-90 mm. They make feeding strikes at dipole electrodes in response to weak low-frequency electrical currents. Fish also avoid metal obstacles placed in the water, again in the dark. Electrophysiological experiments confirm that the Lorenzinian ampullae of paddlefish are sensitive to weak, low-frequency electrical signals, and demonstrate unequivocally that they respond to the very small electrical signals generated by their natural zooplankton prey (Daphnia sp.). We propose that the rostrum constitutes the biological equivalent of an electrical antenna, enabling the fish to accurately detect and capture its planktonic food in turbid river environments where vision is severely limited. The electrical sensitivity of paddlefish to metallic substrates may interfere with their migrations through locks and dams.</t>
  </si>
  <si>
    <t>1723-1729</t>
  </si>
  <si>
    <t>60030171;60030171;60030171;60030171</t>
  </si>
  <si>
    <t>7007036550;7403670520;7102484682;6506484100</t>
  </si>
  <si>
    <t>Wilkens, L. A.;Russell, D. F.;Pei, X.;Gurgens, C.</t>
  </si>
  <si>
    <t>St. Louis</t>
  </si>
  <si>
    <t>University of Missouri-St. Louis</t>
  </si>
  <si>
    <t>Wilkens L.</t>
  </si>
  <si>
    <t>The paddlefish rostrum functions as an electrosensory antenna in plankton feeding</t>
  </si>
  <si>
    <t>10.1098/rspb.1997.0239</t>
  </si>
  <si>
    <t>2-s2.0-0031583982</t>
  </si>
  <si>
    <t>['widespread distribution', 'origin appears', 'mating success', 'larval access', 'immediate vicinity', 'dihydropyrrolizine hydroxydanaidal', 'clymene production']</t>
  </si>
  <si>
    <t>Coremata | Mating behavior | Pyrrolizidine alkaloids</t>
  </si>
  <si>
    <t>Male Haploa clymene display large tubular coremata in the moments before mating. The coremata are deployed in the immediate vicinity of the female's antennae and their eversion is a prerequisite for mating success. The major volatile component associated with the coremata of H. clymene and H. confusa is the dihydropyrrolizine hydroxydanaidal. In H. clymene production of hydroxydanaidal is contingent on larval access to their natural hostplants containing pyrrolizidine alkaloid precursors. The widespread distribution of hydroxydanaidal in arctiid moths suggests a single early evolutionary origin for the ability to produce it. This origin appears to precede the divergence of three arctiid subfamilies: the Arctiinae, Pericopinae, and the Ctenuchinae.</t>
  </si>
  <si>
    <t>60033114;60033114;60033114;60033114</t>
  </si>
  <si>
    <t>7401730511;55418241700;6506053403;7102658227</t>
  </si>
  <si>
    <t>Davidson, Robert B.;Baker, Crys;Mcelveen, Melinda;Conner, William E.</t>
  </si>
  <si>
    <t>Winston Salem</t>
  </si>
  <si>
    <t>Wake Forest University</t>
  </si>
  <si>
    <t>Davidson R.</t>
  </si>
  <si>
    <t>Hydroxydanaidal and the courtship of Haploa (Arctiidae)</t>
  </si>
  <si>
    <t>2-s2.0-0031399477</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</si>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</sst>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122-330F-B34C-B703-0194D5290DDF}">
  <dimension ref="A1:AW710"/>
  <sheetViews>
    <sheetView tabSelected="1" topLeftCell="AL1" workbookViewId="0">
      <selection activeCell="AN2" sqref="AN2"/>
    </sheetView>
  </sheetViews>
  <sheetFormatPr baseColWidth="10" defaultRowHeight="16" x14ac:dyDescent="0.2"/>
  <sheetData>
    <row r="1" spans="1:49" s="11" customFormat="1" x14ac:dyDescent="0.2">
      <c r="A1" s="14"/>
      <c r="B1" s="14" t="s">
        <v>8775</v>
      </c>
      <c r="C1" s="14" t="s">
        <v>8774</v>
      </c>
      <c r="D1" s="14" t="s">
        <v>8773</v>
      </c>
      <c r="E1" s="14" t="s">
        <v>8772</v>
      </c>
      <c r="F1" s="14" t="s">
        <v>8771</v>
      </c>
      <c r="G1" s="14" t="s">
        <v>8770</v>
      </c>
      <c r="H1" s="14" t="s">
        <v>8769</v>
      </c>
      <c r="I1" s="14" t="s">
        <v>8768</v>
      </c>
      <c r="J1" s="14" t="s">
        <v>8767</v>
      </c>
      <c r="K1" s="14" t="s">
        <v>8766</v>
      </c>
      <c r="L1" s="14" t="s">
        <v>8765</v>
      </c>
      <c r="M1" s="14" t="s">
        <v>8764</v>
      </c>
      <c r="N1" s="14" t="s">
        <v>8763</v>
      </c>
      <c r="O1" s="14" t="s">
        <v>8762</v>
      </c>
      <c r="P1" s="14" t="s">
        <v>8761</v>
      </c>
      <c r="Q1" s="14" t="s">
        <v>8760</v>
      </c>
      <c r="R1" s="19" t="s">
        <v>8759</v>
      </c>
      <c r="S1" s="14" t="s">
        <v>8758</v>
      </c>
      <c r="T1" s="14" t="s">
        <v>8758</v>
      </c>
      <c r="U1" s="14" t="s">
        <v>8757</v>
      </c>
      <c r="V1" s="19" t="s">
        <v>8756</v>
      </c>
      <c r="W1" s="14" t="s">
        <v>8755</v>
      </c>
      <c r="X1" s="13" t="s">
        <v>8754</v>
      </c>
      <c r="Y1" s="18" t="s">
        <v>8753</v>
      </c>
      <c r="Z1" s="17" t="s">
        <v>8738</v>
      </c>
      <c r="AA1" s="14" t="s">
        <v>8752</v>
      </c>
      <c r="AB1" s="14" t="s">
        <v>8751</v>
      </c>
      <c r="AC1" s="14" t="s">
        <v>8750</v>
      </c>
      <c r="AD1" s="14" t="s">
        <v>8749</v>
      </c>
      <c r="AE1" s="14" t="s">
        <v>8748</v>
      </c>
      <c r="AF1" s="14" t="s">
        <v>8747</v>
      </c>
      <c r="AG1" s="14" t="s">
        <v>8746</v>
      </c>
      <c r="AH1" s="14" t="s">
        <v>8745</v>
      </c>
      <c r="AI1" s="14" t="s">
        <v>8744</v>
      </c>
      <c r="AJ1" s="14" t="s">
        <v>8743</v>
      </c>
      <c r="AK1" s="13" t="s">
        <v>8742</v>
      </c>
      <c r="AL1" s="14" t="s">
        <v>8741</v>
      </c>
      <c r="AM1" s="16" t="s">
        <v>8740</v>
      </c>
      <c r="AN1" s="15" t="s">
        <v>8739</v>
      </c>
      <c r="AO1" s="15" t="s">
        <v>8738</v>
      </c>
      <c r="AP1" s="14" t="s">
        <v>8737</v>
      </c>
      <c r="AQ1" s="14" t="s">
        <v>8736</v>
      </c>
      <c r="AR1" s="14" t="s">
        <v>8735</v>
      </c>
      <c r="AS1" s="14" t="s">
        <v>8734</v>
      </c>
      <c r="AT1" s="13" t="s">
        <v>8733</v>
      </c>
      <c r="AU1" s="12" t="s">
        <v>8732</v>
      </c>
      <c r="AV1" s="12" t="s">
        <v>8731</v>
      </c>
      <c r="AW1" s="12" t="s">
        <v>8730</v>
      </c>
    </row>
    <row r="2" spans="1:49" x14ac:dyDescent="0.2">
      <c r="A2">
        <v>0</v>
      </c>
      <c r="B2" t="s">
        <v>8729</v>
      </c>
      <c r="F2" t="s">
        <v>8728</v>
      </c>
      <c r="G2" t="s">
        <v>4</v>
      </c>
      <c r="H2" t="s">
        <v>3</v>
      </c>
      <c r="I2" t="s">
        <v>8727</v>
      </c>
      <c r="J2">
        <v>60033114</v>
      </c>
      <c r="K2" t="s">
        <v>8726</v>
      </c>
      <c r="L2" t="s">
        <v>8725</v>
      </c>
      <c r="M2" t="s">
        <v>2</v>
      </c>
      <c r="N2">
        <v>4</v>
      </c>
      <c r="O2" t="s">
        <v>8724</v>
      </c>
      <c r="P2" t="s">
        <v>8723</v>
      </c>
      <c r="Q2" t="s">
        <v>8722</v>
      </c>
      <c r="R2" s="8">
        <v>35793</v>
      </c>
      <c r="S2" s="9">
        <f t="shared" ref="S2:S65" si="0">YEAR(R2)</f>
        <v>1997</v>
      </c>
      <c r="T2" s="9">
        <v>1997</v>
      </c>
      <c r="U2" s="9">
        <f t="shared" ref="U2:U65" si="1">2022-T2</f>
        <v>25</v>
      </c>
      <c r="V2" s="8">
        <v>35793</v>
      </c>
      <c r="W2" t="s">
        <v>8612</v>
      </c>
      <c r="X2" s="2">
        <v>0.28199999999999997</v>
      </c>
      <c r="Y2" s="7">
        <f t="shared" ref="Y2:Y65" si="2">(X2-$Z$3)/($Z$2-$Z$3)</f>
        <v>7.527828942099783E-3</v>
      </c>
      <c r="Z2">
        <v>37.460999999999999</v>
      </c>
      <c r="AA2">
        <v>240966</v>
      </c>
      <c r="AB2">
        <v>20995</v>
      </c>
      <c r="AD2" t="s">
        <v>1</v>
      </c>
      <c r="AE2">
        <v>51</v>
      </c>
      <c r="AF2">
        <v>4</v>
      </c>
      <c r="AH2" t="s">
        <v>690</v>
      </c>
      <c r="AI2" t="s">
        <v>8721</v>
      </c>
      <c r="AJ2" t="s">
        <v>8720</v>
      </c>
      <c r="AK2" t="s">
        <v>8719</v>
      </c>
      <c r="AL2">
        <v>8</v>
      </c>
      <c r="AM2" s="5">
        <f t="shared" ref="AM2:AM65" si="3">AL2/U2</f>
        <v>0.32</v>
      </c>
      <c r="AN2" s="4">
        <f t="shared" ref="AN2:AN65" si="4">(AM2-$AO$3)/($AO$2-$AO$3)</f>
        <v>4.8466489965922E-4</v>
      </c>
      <c r="AO2" s="3">
        <v>660.25</v>
      </c>
      <c r="AP2">
        <v>0</v>
      </c>
      <c r="AR2" t="s">
        <v>0</v>
      </c>
      <c r="AT2" s="2" t="s">
        <v>5</v>
      </c>
      <c r="AU2" s="1">
        <f t="shared" ref="AU2:AU65" si="5">(Y2*0.7+AN2*0.3)*100</f>
        <v>0.54148797293676132</v>
      </c>
      <c r="AV2" s="1">
        <f t="shared" ref="AV2:AV65" si="6">(Y2*0.5+AN2*0.5)*100</f>
        <v>0.40062469208795015</v>
      </c>
      <c r="AW2" s="1">
        <f t="shared" ref="AW2:AW65" si="7">(Y2*0.3+AN2*0.7)*100</f>
        <v>0.25976141123913887</v>
      </c>
    </row>
    <row r="3" spans="1:49" x14ac:dyDescent="0.2">
      <c r="A3">
        <v>1</v>
      </c>
      <c r="B3" t="s">
        <v>8718</v>
      </c>
      <c r="C3" t="s">
        <v>8717</v>
      </c>
      <c r="F3" t="s">
        <v>8716</v>
      </c>
      <c r="G3" t="s">
        <v>4</v>
      </c>
      <c r="H3" t="s">
        <v>3</v>
      </c>
      <c r="I3" t="s">
        <v>8715</v>
      </c>
      <c r="J3">
        <v>60030171</v>
      </c>
      <c r="K3" t="s">
        <v>8714</v>
      </c>
      <c r="L3" t="s">
        <v>8713</v>
      </c>
      <c r="M3" t="s">
        <v>2</v>
      </c>
      <c r="N3">
        <v>4</v>
      </c>
      <c r="O3" t="s">
        <v>8712</v>
      </c>
      <c r="P3" t="s">
        <v>8711</v>
      </c>
      <c r="Q3" t="s">
        <v>8710</v>
      </c>
      <c r="R3" s="8">
        <v>35786</v>
      </c>
      <c r="S3" s="9">
        <f t="shared" si="0"/>
        <v>1997</v>
      </c>
      <c r="T3" s="9">
        <v>1997</v>
      </c>
      <c r="U3" s="9">
        <f t="shared" si="1"/>
        <v>25</v>
      </c>
      <c r="V3" s="8">
        <v>35786</v>
      </c>
      <c r="W3" t="s">
        <v>140</v>
      </c>
      <c r="X3" s="2">
        <v>2.3420000000000001</v>
      </c>
      <c r="Y3" s="7">
        <f t="shared" si="2"/>
        <v>6.2518352419849987E-2</v>
      </c>
      <c r="Z3">
        <v>0</v>
      </c>
      <c r="AA3">
        <v>9628452</v>
      </c>
      <c r="AB3">
        <v>130030</v>
      </c>
      <c r="AC3">
        <v>14712970</v>
      </c>
      <c r="AD3" t="s">
        <v>1</v>
      </c>
      <c r="AE3">
        <v>264</v>
      </c>
      <c r="AF3">
        <v>1389</v>
      </c>
      <c r="AH3" t="s">
        <v>8709</v>
      </c>
      <c r="AI3" t="s">
        <v>8708</v>
      </c>
      <c r="AK3" t="s">
        <v>8707</v>
      </c>
      <c r="AL3">
        <v>77</v>
      </c>
      <c r="AM3" s="5">
        <f t="shared" si="3"/>
        <v>3.08</v>
      </c>
      <c r="AN3" s="4">
        <f t="shared" si="4"/>
        <v>4.664899659219993E-3</v>
      </c>
      <c r="AO3" s="3">
        <v>0</v>
      </c>
      <c r="AP3">
        <v>0</v>
      </c>
      <c r="AR3" t="s">
        <v>0</v>
      </c>
      <c r="AT3" s="2" t="s">
        <v>5</v>
      </c>
      <c r="AU3" s="1">
        <f t="shared" si="5"/>
        <v>4.5162316591660989</v>
      </c>
      <c r="AV3" s="1">
        <f t="shared" si="6"/>
        <v>3.3591626039534992</v>
      </c>
      <c r="AW3" s="1">
        <f t="shared" si="7"/>
        <v>2.202093548740899</v>
      </c>
    </row>
    <row r="4" spans="1:49" x14ac:dyDescent="0.2">
      <c r="A4">
        <v>2</v>
      </c>
      <c r="B4" t="s">
        <v>8706</v>
      </c>
      <c r="C4" t="s">
        <v>8705</v>
      </c>
      <c r="F4" t="s">
        <v>8704</v>
      </c>
      <c r="G4" t="s">
        <v>4</v>
      </c>
      <c r="H4" t="s">
        <v>3</v>
      </c>
      <c r="I4" t="s">
        <v>8703</v>
      </c>
      <c r="J4">
        <v>60005049</v>
      </c>
      <c r="K4" t="s">
        <v>8702</v>
      </c>
      <c r="L4" t="s">
        <v>1587</v>
      </c>
      <c r="M4" t="s">
        <v>26</v>
      </c>
      <c r="N4">
        <v>2</v>
      </c>
      <c r="O4" t="s">
        <v>8701</v>
      </c>
      <c r="P4" t="s">
        <v>8700</v>
      </c>
      <c r="Q4" t="s">
        <v>8699</v>
      </c>
      <c r="R4" s="8">
        <v>35784</v>
      </c>
      <c r="S4" s="9">
        <f t="shared" si="0"/>
        <v>1997</v>
      </c>
      <c r="T4" s="9">
        <v>1997</v>
      </c>
      <c r="U4" s="9">
        <f t="shared" si="1"/>
        <v>25</v>
      </c>
      <c r="V4" s="8">
        <v>35784</v>
      </c>
      <c r="W4" t="s">
        <v>125</v>
      </c>
      <c r="X4" s="2">
        <v>0.30399999999999999</v>
      </c>
      <c r="Y4" s="7">
        <f t="shared" si="2"/>
        <v>8.115106377299057E-3</v>
      </c>
      <c r="AA4">
        <v>8952477</v>
      </c>
      <c r="AB4">
        <v>12250</v>
      </c>
      <c r="AD4" t="s">
        <v>1</v>
      </c>
      <c r="AE4">
        <v>16</v>
      </c>
      <c r="AF4">
        <v>6</v>
      </c>
      <c r="AH4" t="s">
        <v>8698</v>
      </c>
      <c r="AI4" t="s">
        <v>8697</v>
      </c>
      <c r="AJ4" t="s">
        <v>8696</v>
      </c>
      <c r="AK4" t="s">
        <v>8695</v>
      </c>
      <c r="AL4">
        <v>21</v>
      </c>
      <c r="AM4" s="5">
        <f t="shared" si="3"/>
        <v>0.84</v>
      </c>
      <c r="AN4" s="4">
        <f t="shared" si="4"/>
        <v>1.2722453616054524E-3</v>
      </c>
      <c r="AO4" s="3"/>
      <c r="AP4">
        <v>0</v>
      </c>
      <c r="AR4" t="s">
        <v>0</v>
      </c>
      <c r="AT4" s="2" t="s">
        <v>5</v>
      </c>
      <c r="AU4" s="1">
        <f t="shared" si="5"/>
        <v>0.60622480725909755</v>
      </c>
      <c r="AV4" s="1">
        <f t="shared" si="6"/>
        <v>0.46936758694522546</v>
      </c>
      <c r="AW4" s="1">
        <f t="shared" si="7"/>
        <v>0.33251036663135336</v>
      </c>
    </row>
    <row r="5" spans="1:49" x14ac:dyDescent="0.2">
      <c r="A5">
        <v>3</v>
      </c>
      <c r="B5" t="s">
        <v>8694</v>
      </c>
      <c r="C5" t="s">
        <v>8693</v>
      </c>
      <c r="F5" t="s">
        <v>8692</v>
      </c>
      <c r="G5" t="s">
        <v>4</v>
      </c>
      <c r="H5" t="s">
        <v>3</v>
      </c>
      <c r="I5" t="s">
        <v>8691</v>
      </c>
      <c r="J5" t="s">
        <v>8690</v>
      </c>
      <c r="K5" t="s">
        <v>8689</v>
      </c>
      <c r="L5" t="s">
        <v>8688</v>
      </c>
      <c r="M5" t="s">
        <v>246</v>
      </c>
      <c r="N5">
        <v>3</v>
      </c>
      <c r="O5" t="s">
        <v>8687</v>
      </c>
      <c r="P5" t="s">
        <v>8686</v>
      </c>
      <c r="Q5" t="s">
        <v>8685</v>
      </c>
      <c r="R5" s="8">
        <v>35784</v>
      </c>
      <c r="S5" s="9">
        <f t="shared" si="0"/>
        <v>1997</v>
      </c>
      <c r="T5" s="9">
        <v>1997</v>
      </c>
      <c r="U5" s="9">
        <f t="shared" si="1"/>
        <v>25</v>
      </c>
      <c r="V5" s="8">
        <v>35784</v>
      </c>
      <c r="W5" t="s">
        <v>125</v>
      </c>
      <c r="X5" s="2">
        <v>0.30399999999999999</v>
      </c>
      <c r="Y5" s="7">
        <f t="shared" si="2"/>
        <v>8.115106377299057E-3</v>
      </c>
      <c r="AA5">
        <v>8952477</v>
      </c>
      <c r="AB5">
        <v>12250</v>
      </c>
      <c r="AD5" t="s">
        <v>1</v>
      </c>
      <c r="AE5">
        <v>16</v>
      </c>
      <c r="AF5">
        <v>6</v>
      </c>
      <c r="AH5" t="s">
        <v>8684</v>
      </c>
      <c r="AI5" t="s">
        <v>8683</v>
      </c>
      <c r="AJ5" t="s">
        <v>8682</v>
      </c>
      <c r="AK5" t="s">
        <v>8681</v>
      </c>
      <c r="AL5">
        <v>4</v>
      </c>
      <c r="AM5" s="5">
        <f t="shared" si="3"/>
        <v>0.16</v>
      </c>
      <c r="AN5" s="4">
        <f t="shared" si="4"/>
        <v>2.4233244982961E-4</v>
      </c>
      <c r="AO5" s="3"/>
      <c r="AP5">
        <v>0</v>
      </c>
      <c r="AR5" t="s">
        <v>0</v>
      </c>
      <c r="AT5" s="2" t="s">
        <v>5</v>
      </c>
      <c r="AU5" s="1">
        <f t="shared" si="5"/>
        <v>0.57532741990582226</v>
      </c>
      <c r="AV5" s="1">
        <f t="shared" si="6"/>
        <v>0.41787194135643341</v>
      </c>
      <c r="AW5" s="1">
        <f t="shared" si="7"/>
        <v>0.26041646280704439</v>
      </c>
    </row>
    <row r="6" spans="1:49" x14ac:dyDescent="0.2">
      <c r="A6">
        <v>4</v>
      </c>
      <c r="B6" t="s">
        <v>8680</v>
      </c>
      <c r="C6" t="s">
        <v>8679</v>
      </c>
      <c r="F6" t="s">
        <v>8678</v>
      </c>
      <c r="G6" t="s">
        <v>4</v>
      </c>
      <c r="H6" t="s">
        <v>3</v>
      </c>
      <c r="I6" t="s">
        <v>756</v>
      </c>
      <c r="J6">
        <v>60025488</v>
      </c>
      <c r="K6" t="s">
        <v>755</v>
      </c>
      <c r="L6" t="s">
        <v>754</v>
      </c>
      <c r="M6" t="s">
        <v>2</v>
      </c>
      <c r="N6">
        <v>3</v>
      </c>
      <c r="O6" t="s">
        <v>8677</v>
      </c>
      <c r="P6" t="s">
        <v>8676</v>
      </c>
      <c r="Q6" t="s">
        <v>8675</v>
      </c>
      <c r="R6" s="8">
        <v>35784</v>
      </c>
      <c r="S6" s="9">
        <f t="shared" si="0"/>
        <v>1997</v>
      </c>
      <c r="T6" s="9">
        <v>1997</v>
      </c>
      <c r="U6" s="9">
        <f t="shared" si="1"/>
        <v>25</v>
      </c>
      <c r="V6" s="8">
        <v>35784</v>
      </c>
      <c r="W6" t="s">
        <v>125</v>
      </c>
      <c r="X6" s="2">
        <v>0.30399999999999999</v>
      </c>
      <c r="Y6" s="7">
        <f t="shared" si="2"/>
        <v>8.115106377299057E-3</v>
      </c>
      <c r="AA6">
        <v>8952477</v>
      </c>
      <c r="AB6">
        <v>12250</v>
      </c>
      <c r="AD6" t="s">
        <v>1</v>
      </c>
      <c r="AE6">
        <v>16</v>
      </c>
      <c r="AF6">
        <v>6</v>
      </c>
      <c r="AH6" t="s">
        <v>537</v>
      </c>
      <c r="AI6" t="s">
        <v>8674</v>
      </c>
      <c r="AJ6" t="s">
        <v>8673</v>
      </c>
      <c r="AK6" t="s">
        <v>8672</v>
      </c>
      <c r="AL6">
        <v>10</v>
      </c>
      <c r="AM6" s="5">
        <f t="shared" si="3"/>
        <v>0.4</v>
      </c>
      <c r="AN6" s="4">
        <f t="shared" si="4"/>
        <v>6.0583112457402507E-4</v>
      </c>
      <c r="AO6" s="3"/>
      <c r="AP6">
        <v>0</v>
      </c>
      <c r="AR6" t="s">
        <v>0</v>
      </c>
      <c r="AT6" s="2" t="s">
        <v>5</v>
      </c>
      <c r="AU6" s="1">
        <f t="shared" si="5"/>
        <v>0.58623238014815471</v>
      </c>
      <c r="AV6" s="1">
        <f t="shared" si="6"/>
        <v>0.43604687509365414</v>
      </c>
      <c r="AW6" s="1">
        <f t="shared" si="7"/>
        <v>0.28586137003915346</v>
      </c>
    </row>
    <row r="7" spans="1:49" x14ac:dyDescent="0.2">
      <c r="A7">
        <v>5</v>
      </c>
      <c r="B7" t="s">
        <v>8671</v>
      </c>
      <c r="C7" t="s">
        <v>8670</v>
      </c>
      <c r="D7" t="s">
        <v>8669</v>
      </c>
      <c r="F7" t="s">
        <v>8668</v>
      </c>
      <c r="G7" t="s">
        <v>4</v>
      </c>
      <c r="H7" t="s">
        <v>3</v>
      </c>
      <c r="I7" t="s">
        <v>84</v>
      </c>
      <c r="J7">
        <v>60020486</v>
      </c>
      <c r="K7" t="s">
        <v>83</v>
      </c>
      <c r="L7" t="s">
        <v>82</v>
      </c>
      <c r="M7" t="s">
        <v>81</v>
      </c>
      <c r="N7">
        <v>1</v>
      </c>
      <c r="O7" t="s">
        <v>80</v>
      </c>
      <c r="P7">
        <v>7006817889</v>
      </c>
      <c r="Q7">
        <v>60020486</v>
      </c>
      <c r="R7" s="8">
        <v>35781</v>
      </c>
      <c r="S7" s="9">
        <f t="shared" si="0"/>
        <v>1997</v>
      </c>
      <c r="T7" s="9">
        <v>1997</v>
      </c>
      <c r="U7" s="9">
        <f t="shared" si="1"/>
        <v>25</v>
      </c>
      <c r="V7" s="8">
        <v>35781</v>
      </c>
      <c r="W7" t="s">
        <v>8667</v>
      </c>
      <c r="X7" s="2">
        <v>1.397</v>
      </c>
      <c r="Y7" s="7">
        <f t="shared" si="2"/>
        <v>3.7292117135153895E-2</v>
      </c>
      <c r="AA7">
        <v>9205861</v>
      </c>
      <c r="AB7">
        <v>16377</v>
      </c>
      <c r="AD7" t="s">
        <v>1</v>
      </c>
      <c r="AE7">
        <v>39</v>
      </c>
      <c r="AF7">
        <v>3</v>
      </c>
      <c r="AH7" t="s">
        <v>8666</v>
      </c>
      <c r="AI7" t="s">
        <v>8665</v>
      </c>
      <c r="AJ7" t="s">
        <v>8664</v>
      </c>
      <c r="AK7" t="s">
        <v>8663</v>
      </c>
      <c r="AL7">
        <v>15</v>
      </c>
      <c r="AM7" s="5">
        <f t="shared" si="3"/>
        <v>0.6</v>
      </c>
      <c r="AN7" s="4">
        <f t="shared" si="4"/>
        <v>9.0874668686103744E-4</v>
      </c>
      <c r="AO7" s="3"/>
      <c r="AP7">
        <v>0</v>
      </c>
      <c r="AR7" t="s">
        <v>0</v>
      </c>
      <c r="AT7" s="2">
        <v>6.766</v>
      </c>
      <c r="AU7" s="1">
        <f t="shared" si="5"/>
        <v>2.6377106000666037</v>
      </c>
      <c r="AV7" s="1">
        <f t="shared" si="6"/>
        <v>1.9100431911007465</v>
      </c>
      <c r="AW7" s="1">
        <f t="shared" si="7"/>
        <v>1.1823757821348895</v>
      </c>
    </row>
    <row r="8" spans="1:49" x14ac:dyDescent="0.2">
      <c r="A8">
        <v>6</v>
      </c>
      <c r="B8" t="s">
        <v>8662</v>
      </c>
      <c r="C8" t="s">
        <v>8661</v>
      </c>
      <c r="D8" t="s">
        <v>8660</v>
      </c>
      <c r="F8" t="s">
        <v>8659</v>
      </c>
      <c r="G8" t="s">
        <v>4</v>
      </c>
      <c r="H8" t="s">
        <v>3</v>
      </c>
      <c r="I8" t="s">
        <v>434</v>
      </c>
      <c r="J8">
        <v>60000481</v>
      </c>
      <c r="K8" t="s">
        <v>5181</v>
      </c>
      <c r="L8" t="s">
        <v>5180</v>
      </c>
      <c r="M8" t="s">
        <v>116</v>
      </c>
      <c r="N8">
        <v>3</v>
      </c>
      <c r="O8" t="s">
        <v>8658</v>
      </c>
      <c r="P8" t="s">
        <v>8657</v>
      </c>
      <c r="Q8" t="s">
        <v>8656</v>
      </c>
      <c r="R8" s="8">
        <v>35779</v>
      </c>
      <c r="S8" s="9">
        <f t="shared" si="0"/>
        <v>1997</v>
      </c>
      <c r="T8" s="9">
        <v>1997</v>
      </c>
      <c r="U8" s="9">
        <f t="shared" si="1"/>
        <v>25</v>
      </c>
      <c r="V8" s="8">
        <v>35779</v>
      </c>
      <c r="W8" t="s">
        <v>579</v>
      </c>
      <c r="X8" s="2">
        <v>1.59</v>
      </c>
      <c r="Y8" s="7">
        <f t="shared" si="2"/>
        <v>4.2444141907583888E-2</v>
      </c>
      <c r="AA8">
        <v>52728</v>
      </c>
      <c r="AB8">
        <v>16791</v>
      </c>
      <c r="AD8" t="s">
        <v>1</v>
      </c>
      <c r="AE8">
        <v>1322</v>
      </c>
      <c r="AF8" s="6">
        <v>44257</v>
      </c>
      <c r="AH8" t="s">
        <v>8655</v>
      </c>
      <c r="AI8" t="s">
        <v>8654</v>
      </c>
      <c r="AJ8" t="s">
        <v>8653</v>
      </c>
      <c r="AK8" t="s">
        <v>8652</v>
      </c>
      <c r="AL8">
        <v>29</v>
      </c>
      <c r="AM8" s="5">
        <f t="shared" si="3"/>
        <v>1.1599999999999999</v>
      </c>
      <c r="AN8" s="4">
        <f t="shared" si="4"/>
        <v>1.7569102612646724E-3</v>
      </c>
      <c r="AO8" s="3"/>
      <c r="AP8">
        <v>1</v>
      </c>
      <c r="AQ8" t="s">
        <v>7172</v>
      </c>
      <c r="AR8" t="s">
        <v>0</v>
      </c>
      <c r="AS8" t="s">
        <v>332</v>
      </c>
      <c r="AT8" s="2" t="s">
        <v>5</v>
      </c>
      <c r="AU8" s="1">
        <f t="shared" si="5"/>
        <v>3.0237972413688126</v>
      </c>
      <c r="AV8" s="1">
        <f t="shared" si="6"/>
        <v>2.2100526084424277</v>
      </c>
      <c r="AW8" s="1">
        <f t="shared" si="7"/>
        <v>1.3963079755160435</v>
      </c>
    </row>
    <row r="9" spans="1:49" x14ac:dyDescent="0.2">
      <c r="A9">
        <v>7</v>
      </c>
      <c r="B9" t="s">
        <v>8651</v>
      </c>
      <c r="C9" t="s">
        <v>8650</v>
      </c>
      <c r="F9" t="s">
        <v>8649</v>
      </c>
      <c r="G9" t="s">
        <v>4</v>
      </c>
      <c r="H9" t="s">
        <v>3</v>
      </c>
      <c r="I9" t="s">
        <v>6615</v>
      </c>
      <c r="J9">
        <v>60027271</v>
      </c>
      <c r="K9" t="s">
        <v>321</v>
      </c>
      <c r="L9" t="s">
        <v>94</v>
      </c>
      <c r="M9" t="s">
        <v>2</v>
      </c>
      <c r="N9">
        <v>2</v>
      </c>
      <c r="O9" t="s">
        <v>8648</v>
      </c>
      <c r="P9" t="s">
        <v>8647</v>
      </c>
      <c r="Q9" t="s">
        <v>5919</v>
      </c>
      <c r="R9" s="8">
        <v>35774</v>
      </c>
      <c r="S9" s="9">
        <f t="shared" si="0"/>
        <v>1997</v>
      </c>
      <c r="T9" s="9">
        <v>1997</v>
      </c>
      <c r="U9" s="9">
        <f t="shared" si="1"/>
        <v>25</v>
      </c>
      <c r="V9" s="8">
        <v>35774</v>
      </c>
      <c r="W9" t="s">
        <v>617</v>
      </c>
      <c r="X9" s="2">
        <v>0.66800000000000004</v>
      </c>
      <c r="Y9" s="7">
        <f t="shared" si="2"/>
        <v>1.7831878486959774E-2</v>
      </c>
      <c r="AA9" t="s">
        <v>616</v>
      </c>
      <c r="AB9">
        <v>29593</v>
      </c>
      <c r="AC9">
        <v>21553165</v>
      </c>
      <c r="AD9" t="s">
        <v>1</v>
      </c>
      <c r="AE9">
        <v>36</v>
      </c>
      <c r="AF9">
        <v>35</v>
      </c>
      <c r="AH9" t="s">
        <v>8646</v>
      </c>
      <c r="AI9" t="s">
        <v>8645</v>
      </c>
      <c r="AJ9" t="s">
        <v>8644</v>
      </c>
      <c r="AK9" t="s">
        <v>8643</v>
      </c>
      <c r="AL9">
        <v>9</v>
      </c>
      <c r="AM9" s="5">
        <f t="shared" si="3"/>
        <v>0.36</v>
      </c>
      <c r="AN9" s="4">
        <f t="shared" si="4"/>
        <v>5.4524801211662251E-4</v>
      </c>
      <c r="AO9" s="3"/>
      <c r="AP9">
        <v>0</v>
      </c>
      <c r="AR9" t="s">
        <v>0</v>
      </c>
      <c r="AT9" s="2">
        <v>1.98</v>
      </c>
      <c r="AU9" s="1">
        <f t="shared" si="5"/>
        <v>1.2645889344506827</v>
      </c>
      <c r="AV9" s="1">
        <f t="shared" si="6"/>
        <v>0.91885632495381975</v>
      </c>
      <c r="AW9" s="1">
        <f t="shared" si="7"/>
        <v>0.57312371545695673</v>
      </c>
    </row>
    <row r="10" spans="1:49" x14ac:dyDescent="0.2">
      <c r="A10">
        <v>8</v>
      </c>
      <c r="B10" t="s">
        <v>8642</v>
      </c>
      <c r="C10" t="s">
        <v>8641</v>
      </c>
      <c r="D10" t="s">
        <v>8640</v>
      </c>
      <c r="F10" t="s">
        <v>8639</v>
      </c>
      <c r="G10" t="s">
        <v>4</v>
      </c>
      <c r="H10" t="s">
        <v>3</v>
      </c>
      <c r="I10" t="s">
        <v>8638</v>
      </c>
      <c r="J10" t="s">
        <v>8637</v>
      </c>
      <c r="K10" t="s">
        <v>8636</v>
      </c>
      <c r="L10" t="s">
        <v>8635</v>
      </c>
      <c r="M10" t="s">
        <v>18</v>
      </c>
      <c r="N10">
        <v>3</v>
      </c>
      <c r="O10" t="s">
        <v>8634</v>
      </c>
      <c r="P10" t="s">
        <v>8633</v>
      </c>
      <c r="Q10" t="s">
        <v>8632</v>
      </c>
      <c r="R10" s="8">
        <v>35774</v>
      </c>
      <c r="S10" s="9">
        <f t="shared" si="0"/>
        <v>1997</v>
      </c>
      <c r="T10" s="9">
        <v>1997</v>
      </c>
      <c r="U10" s="9">
        <f t="shared" si="1"/>
        <v>25</v>
      </c>
      <c r="V10" s="8">
        <v>35774</v>
      </c>
      <c r="W10" t="s">
        <v>8631</v>
      </c>
      <c r="X10" s="2">
        <v>0.93600000000000005</v>
      </c>
      <c r="Y10" s="7">
        <f t="shared" si="2"/>
        <v>2.4985985424841838E-2</v>
      </c>
      <c r="AA10">
        <v>983004</v>
      </c>
      <c r="AB10">
        <v>110327</v>
      </c>
      <c r="AD10" t="s">
        <v>1</v>
      </c>
      <c r="AE10">
        <v>23</v>
      </c>
      <c r="AF10">
        <v>10</v>
      </c>
      <c r="AH10" t="s">
        <v>8630</v>
      </c>
      <c r="AI10" t="s">
        <v>8629</v>
      </c>
      <c r="AJ10" t="s">
        <v>8628</v>
      </c>
      <c r="AK10" t="s">
        <v>8627</v>
      </c>
      <c r="AL10">
        <v>12</v>
      </c>
      <c r="AM10" s="5">
        <f t="shared" si="3"/>
        <v>0.48</v>
      </c>
      <c r="AN10" s="4">
        <f t="shared" si="4"/>
        <v>7.2699734948882997E-4</v>
      </c>
      <c r="AO10" s="3"/>
      <c r="AP10">
        <v>0</v>
      </c>
      <c r="AR10" t="s">
        <v>0</v>
      </c>
      <c r="AT10" s="2" t="s">
        <v>5</v>
      </c>
      <c r="AU10" s="1">
        <f t="shared" si="5"/>
        <v>1.7708289002235935</v>
      </c>
      <c r="AV10" s="1">
        <f t="shared" si="6"/>
        <v>1.2856491387165334</v>
      </c>
      <c r="AW10" s="1">
        <f t="shared" si="7"/>
        <v>0.8004693772094732</v>
      </c>
    </row>
    <row r="11" spans="1:49" x14ac:dyDescent="0.2">
      <c r="A11">
        <v>9</v>
      </c>
      <c r="B11" t="s">
        <v>8626</v>
      </c>
      <c r="C11" t="s">
        <v>8625</v>
      </c>
      <c r="F11" t="s">
        <v>8624</v>
      </c>
      <c r="G11" t="s">
        <v>4</v>
      </c>
      <c r="H11" t="s">
        <v>3</v>
      </c>
      <c r="I11" t="s">
        <v>8623</v>
      </c>
      <c r="J11">
        <v>60028419</v>
      </c>
      <c r="K11" t="s">
        <v>611</v>
      </c>
      <c r="L11" t="s">
        <v>610</v>
      </c>
      <c r="M11" t="s">
        <v>39</v>
      </c>
      <c r="N11">
        <v>2</v>
      </c>
      <c r="O11" t="s">
        <v>8622</v>
      </c>
      <c r="P11" t="s">
        <v>8621</v>
      </c>
      <c r="Q11" t="s">
        <v>1115</v>
      </c>
      <c r="R11" s="8">
        <v>35769</v>
      </c>
      <c r="S11" s="9">
        <f t="shared" si="0"/>
        <v>1997</v>
      </c>
      <c r="T11" s="9">
        <v>1997</v>
      </c>
      <c r="U11" s="9">
        <f t="shared" si="1"/>
        <v>25</v>
      </c>
      <c r="V11" s="8">
        <v>35769</v>
      </c>
      <c r="W11" t="s">
        <v>125</v>
      </c>
      <c r="X11" s="2">
        <v>0.30399999999999999</v>
      </c>
      <c r="Y11" s="7">
        <f t="shared" si="2"/>
        <v>8.115106377299057E-3</v>
      </c>
      <c r="AA11">
        <v>8952477</v>
      </c>
      <c r="AB11">
        <v>12250</v>
      </c>
      <c r="AD11" t="s">
        <v>1</v>
      </c>
      <c r="AE11">
        <v>16</v>
      </c>
      <c r="AF11">
        <v>5</v>
      </c>
      <c r="AH11" t="s">
        <v>8620</v>
      </c>
      <c r="AI11" t="s">
        <v>8619</v>
      </c>
      <c r="AJ11" t="s">
        <v>8618</v>
      </c>
      <c r="AK11" t="s">
        <v>8617</v>
      </c>
      <c r="AL11">
        <v>13</v>
      </c>
      <c r="AM11" s="5">
        <f t="shared" si="3"/>
        <v>0.52</v>
      </c>
      <c r="AN11" s="4">
        <f t="shared" si="4"/>
        <v>7.8758046194623253E-4</v>
      </c>
      <c r="AO11" s="3"/>
      <c r="AP11">
        <v>0</v>
      </c>
      <c r="AR11" t="s">
        <v>0</v>
      </c>
      <c r="AT11" s="2" t="s">
        <v>5</v>
      </c>
      <c r="AU11" s="1">
        <f t="shared" si="5"/>
        <v>0.59168486026932088</v>
      </c>
      <c r="AV11" s="1">
        <f t="shared" si="6"/>
        <v>0.44513434196226448</v>
      </c>
      <c r="AW11" s="1">
        <f t="shared" si="7"/>
        <v>0.29858382365520797</v>
      </c>
    </row>
    <row r="12" spans="1:49" x14ac:dyDescent="0.2">
      <c r="A12">
        <v>10</v>
      </c>
      <c r="B12" t="s">
        <v>8616</v>
      </c>
      <c r="F12" t="s">
        <v>8615</v>
      </c>
      <c r="G12" t="s">
        <v>4</v>
      </c>
      <c r="H12" t="s">
        <v>3</v>
      </c>
      <c r="I12" t="s">
        <v>8614</v>
      </c>
      <c r="N12">
        <v>1</v>
      </c>
      <c r="O12" t="s">
        <v>8613</v>
      </c>
      <c r="P12">
        <v>7006079954</v>
      </c>
      <c r="R12" s="8">
        <v>35769</v>
      </c>
      <c r="S12" s="9">
        <f t="shared" si="0"/>
        <v>1997</v>
      </c>
      <c r="T12" s="9">
        <v>1997</v>
      </c>
      <c r="U12" s="9">
        <f t="shared" si="1"/>
        <v>25</v>
      </c>
      <c r="V12" s="8">
        <v>35769</v>
      </c>
      <c r="W12" t="s">
        <v>8612</v>
      </c>
      <c r="X12" s="2">
        <v>0.28199999999999997</v>
      </c>
      <c r="Y12" s="7">
        <f t="shared" si="2"/>
        <v>7.527828942099783E-3</v>
      </c>
      <c r="AA12">
        <v>240966</v>
      </c>
      <c r="AB12">
        <v>20995</v>
      </c>
      <c r="AD12" t="s">
        <v>1</v>
      </c>
      <c r="AE12">
        <v>51</v>
      </c>
      <c r="AF12">
        <v>3</v>
      </c>
      <c r="AH12" t="s">
        <v>8611</v>
      </c>
      <c r="AI12" t="s">
        <v>8610</v>
      </c>
      <c r="AJ12" t="s">
        <v>8609</v>
      </c>
      <c r="AK12" t="s">
        <v>8608</v>
      </c>
      <c r="AL12">
        <v>1</v>
      </c>
      <c r="AM12" s="5">
        <f t="shared" si="3"/>
        <v>0.04</v>
      </c>
      <c r="AN12" s="4">
        <f t="shared" si="4"/>
        <v>6.05831124574025E-5</v>
      </c>
      <c r="AO12" s="3"/>
      <c r="AP12">
        <v>0</v>
      </c>
      <c r="AR12" t="s">
        <v>0</v>
      </c>
      <c r="AT12" s="2" t="s">
        <v>5</v>
      </c>
      <c r="AU12" s="1">
        <f t="shared" si="5"/>
        <v>0.52876551932070681</v>
      </c>
      <c r="AV12" s="1">
        <f t="shared" si="6"/>
        <v>0.37942060272785927</v>
      </c>
      <c r="AW12" s="1">
        <f t="shared" si="7"/>
        <v>0.23007568613501164</v>
      </c>
    </row>
    <row r="13" spans="1:49" x14ac:dyDescent="0.2">
      <c r="A13">
        <v>11</v>
      </c>
      <c r="B13" t="s">
        <v>8607</v>
      </c>
      <c r="C13" t="s">
        <v>8606</v>
      </c>
      <c r="F13" t="s">
        <v>8605</v>
      </c>
      <c r="G13" t="s">
        <v>4</v>
      </c>
      <c r="H13" t="s">
        <v>3</v>
      </c>
      <c r="I13" t="s">
        <v>8604</v>
      </c>
      <c r="J13">
        <v>60029170</v>
      </c>
      <c r="K13" t="s">
        <v>703</v>
      </c>
      <c r="L13" t="s">
        <v>702</v>
      </c>
      <c r="M13" t="s">
        <v>701</v>
      </c>
      <c r="N13">
        <v>4</v>
      </c>
      <c r="O13" t="s">
        <v>8603</v>
      </c>
      <c r="P13" t="s">
        <v>8602</v>
      </c>
      <c r="Q13" t="s">
        <v>1141</v>
      </c>
      <c r="R13" s="8">
        <v>35768</v>
      </c>
      <c r="S13" s="9">
        <f t="shared" si="0"/>
        <v>1997</v>
      </c>
      <c r="T13" s="9">
        <v>1997</v>
      </c>
      <c r="U13" s="9">
        <f t="shared" si="1"/>
        <v>25</v>
      </c>
      <c r="V13" s="8">
        <v>35768</v>
      </c>
      <c r="W13" t="s">
        <v>585</v>
      </c>
      <c r="X13" s="2">
        <v>0.86399999999999999</v>
      </c>
      <c r="Y13" s="7">
        <f t="shared" si="2"/>
        <v>2.3063986546007848E-2</v>
      </c>
      <c r="AA13">
        <v>15206106</v>
      </c>
      <c r="AB13">
        <v>26970</v>
      </c>
      <c r="AD13" t="s">
        <v>1</v>
      </c>
      <c r="AE13">
        <v>101</v>
      </c>
      <c r="AF13">
        <v>49</v>
      </c>
      <c r="AH13" t="s">
        <v>8601</v>
      </c>
      <c r="AI13" t="s">
        <v>8600</v>
      </c>
      <c r="AK13" t="s">
        <v>8599</v>
      </c>
      <c r="AL13">
        <v>141</v>
      </c>
      <c r="AM13" s="5">
        <f t="shared" si="3"/>
        <v>5.64</v>
      </c>
      <c r="AN13" s="4">
        <f t="shared" si="4"/>
        <v>8.5422188564937516E-3</v>
      </c>
      <c r="AO13" s="3"/>
      <c r="AP13">
        <v>0</v>
      </c>
      <c r="AR13" t="s">
        <v>0</v>
      </c>
      <c r="AT13" s="2">
        <v>2.9910000000000001</v>
      </c>
      <c r="AU13" s="1">
        <f t="shared" si="5"/>
        <v>1.8707456239153617</v>
      </c>
      <c r="AV13" s="1">
        <f t="shared" si="6"/>
        <v>1.58031027012508</v>
      </c>
      <c r="AW13" s="1">
        <f t="shared" si="7"/>
        <v>1.289874916334798</v>
      </c>
    </row>
    <row r="14" spans="1:49" x14ac:dyDescent="0.2">
      <c r="A14">
        <v>12</v>
      </c>
      <c r="B14" t="s">
        <v>8598</v>
      </c>
      <c r="C14" t="s">
        <v>8597</v>
      </c>
      <c r="F14" t="s">
        <v>8596</v>
      </c>
      <c r="G14" t="s">
        <v>4</v>
      </c>
      <c r="H14" t="s">
        <v>3</v>
      </c>
      <c r="I14" t="s">
        <v>8595</v>
      </c>
      <c r="J14" t="s">
        <v>8594</v>
      </c>
      <c r="K14" t="s">
        <v>8593</v>
      </c>
      <c r="L14" t="s">
        <v>8592</v>
      </c>
      <c r="M14" t="s">
        <v>8591</v>
      </c>
      <c r="N14">
        <v>3</v>
      </c>
      <c r="O14" t="s">
        <v>8590</v>
      </c>
      <c r="P14" t="s">
        <v>8589</v>
      </c>
      <c r="Q14" t="s">
        <v>8588</v>
      </c>
      <c r="R14" s="8">
        <v>35768</v>
      </c>
      <c r="S14" s="9">
        <f t="shared" si="0"/>
        <v>1997</v>
      </c>
      <c r="T14" s="9">
        <v>1997</v>
      </c>
      <c r="U14" s="9">
        <f t="shared" si="1"/>
        <v>25</v>
      </c>
      <c r="V14" s="8">
        <v>35768</v>
      </c>
      <c r="W14" t="s">
        <v>585</v>
      </c>
      <c r="X14" s="2">
        <v>0.86399999999999999</v>
      </c>
      <c r="Y14" s="7">
        <f t="shared" si="2"/>
        <v>2.3063986546007848E-2</v>
      </c>
      <c r="AA14">
        <v>15206106</v>
      </c>
      <c r="AB14">
        <v>26970</v>
      </c>
      <c r="AD14" t="s">
        <v>1</v>
      </c>
      <c r="AE14">
        <v>101</v>
      </c>
      <c r="AF14">
        <v>49</v>
      </c>
      <c r="AH14" t="s">
        <v>8587</v>
      </c>
      <c r="AI14" t="s">
        <v>8586</v>
      </c>
      <c r="AK14" t="s">
        <v>8585</v>
      </c>
      <c r="AL14">
        <v>16</v>
      </c>
      <c r="AM14" s="5">
        <f t="shared" si="3"/>
        <v>0.64</v>
      </c>
      <c r="AN14" s="4">
        <f t="shared" si="4"/>
        <v>9.6932979931844E-4</v>
      </c>
      <c r="AO14" s="3"/>
      <c r="AP14">
        <v>0</v>
      </c>
      <c r="AR14" t="s">
        <v>0</v>
      </c>
      <c r="AT14" s="2">
        <v>2.9910000000000001</v>
      </c>
      <c r="AU14" s="1">
        <f t="shared" si="5"/>
        <v>1.6435589522001022</v>
      </c>
      <c r="AV14" s="1">
        <f t="shared" si="6"/>
        <v>1.2016658172663144</v>
      </c>
      <c r="AW14" s="1">
        <f t="shared" si="7"/>
        <v>0.75977268233252626</v>
      </c>
    </row>
    <row r="15" spans="1:49" x14ac:dyDescent="0.2">
      <c r="A15">
        <v>13</v>
      </c>
      <c r="B15" t="s">
        <v>8584</v>
      </c>
      <c r="C15" t="s">
        <v>8583</v>
      </c>
      <c r="D15" t="s">
        <v>8582</v>
      </c>
      <c r="E15">
        <v>9408171</v>
      </c>
      <c r="F15" t="s">
        <v>8581</v>
      </c>
      <c r="G15" t="s">
        <v>4</v>
      </c>
      <c r="H15" t="s">
        <v>3</v>
      </c>
      <c r="I15" t="s">
        <v>8580</v>
      </c>
      <c r="J15">
        <v>60003729</v>
      </c>
      <c r="K15" t="s">
        <v>8579</v>
      </c>
      <c r="L15" t="s">
        <v>8578</v>
      </c>
      <c r="M15" t="s">
        <v>26</v>
      </c>
      <c r="N15">
        <v>2</v>
      </c>
      <c r="O15" t="s">
        <v>8577</v>
      </c>
      <c r="P15" t="s">
        <v>8576</v>
      </c>
      <c r="Q15" t="s">
        <v>8575</v>
      </c>
      <c r="R15" s="8">
        <v>35768</v>
      </c>
      <c r="S15" s="9">
        <f t="shared" si="0"/>
        <v>1997</v>
      </c>
      <c r="T15" s="9">
        <v>1997</v>
      </c>
      <c r="U15" s="9">
        <f t="shared" si="1"/>
        <v>25</v>
      </c>
      <c r="V15" s="8">
        <v>35768</v>
      </c>
      <c r="W15" t="s">
        <v>8574</v>
      </c>
      <c r="X15" s="2">
        <v>1.131</v>
      </c>
      <c r="Y15" s="7">
        <f t="shared" si="2"/>
        <v>3.0191399055017221E-2</v>
      </c>
      <c r="AA15">
        <v>52736</v>
      </c>
      <c r="AB15">
        <v>18406</v>
      </c>
      <c r="AD15" t="s">
        <v>1</v>
      </c>
      <c r="AE15">
        <v>1330</v>
      </c>
      <c r="AF15">
        <v>2</v>
      </c>
      <c r="AH15" t="s">
        <v>8573</v>
      </c>
      <c r="AI15" t="s">
        <v>8572</v>
      </c>
      <c r="AJ15" t="s">
        <v>8571</v>
      </c>
      <c r="AK15" t="s">
        <v>8570</v>
      </c>
      <c r="AL15">
        <v>83</v>
      </c>
      <c r="AM15" s="5">
        <f t="shared" si="3"/>
        <v>3.32</v>
      </c>
      <c r="AN15" s="4">
        <f t="shared" si="4"/>
        <v>5.0283983339644072E-3</v>
      </c>
      <c r="AO15" s="3"/>
      <c r="AP15">
        <v>1</v>
      </c>
      <c r="AR15" t="s">
        <v>0</v>
      </c>
      <c r="AT15" s="2" t="s">
        <v>5</v>
      </c>
      <c r="AU15" s="1">
        <f t="shared" si="5"/>
        <v>2.2642498838701375</v>
      </c>
      <c r="AV15" s="1">
        <f t="shared" si="6"/>
        <v>1.7609898694490815</v>
      </c>
      <c r="AW15" s="1">
        <f t="shared" si="7"/>
        <v>1.2577298550280251</v>
      </c>
    </row>
    <row r="16" spans="1:49" x14ac:dyDescent="0.2">
      <c r="A16">
        <v>14</v>
      </c>
      <c r="B16" t="s">
        <v>8569</v>
      </c>
      <c r="F16" t="s">
        <v>8568</v>
      </c>
      <c r="G16" t="s">
        <v>4</v>
      </c>
      <c r="H16" t="s">
        <v>3</v>
      </c>
      <c r="I16" t="s">
        <v>8567</v>
      </c>
      <c r="J16">
        <v>100882182</v>
      </c>
      <c r="K16" t="s">
        <v>8566</v>
      </c>
      <c r="L16" t="s">
        <v>175</v>
      </c>
      <c r="M16" t="s">
        <v>174</v>
      </c>
      <c r="N16">
        <v>1</v>
      </c>
      <c r="O16" t="s">
        <v>8565</v>
      </c>
      <c r="P16">
        <v>7801392899</v>
      </c>
      <c r="Q16">
        <v>100882182</v>
      </c>
      <c r="R16" s="8">
        <v>35766</v>
      </c>
      <c r="S16" s="9">
        <f t="shared" si="0"/>
        <v>1997</v>
      </c>
      <c r="T16" s="9">
        <v>1997</v>
      </c>
      <c r="U16" s="9">
        <f t="shared" si="1"/>
        <v>25</v>
      </c>
      <c r="V16" s="8">
        <v>35766</v>
      </c>
      <c r="W16" t="s">
        <v>8564</v>
      </c>
      <c r="X16" s="2" t="s">
        <v>5</v>
      </c>
      <c r="Y16" s="7" t="e">
        <f t="shared" si="2"/>
        <v>#VALUE!</v>
      </c>
      <c r="AA16">
        <v>10703683</v>
      </c>
      <c r="AB16">
        <v>62926</v>
      </c>
      <c r="AD16" t="s">
        <v>1</v>
      </c>
      <c r="AE16">
        <v>5</v>
      </c>
      <c r="AF16">
        <v>2</v>
      </c>
      <c r="AH16" s="6">
        <v>44411</v>
      </c>
      <c r="AI16" t="s">
        <v>8563</v>
      </c>
      <c r="AK16" t="s">
        <v>8562</v>
      </c>
      <c r="AL16">
        <v>1</v>
      </c>
      <c r="AM16" s="5">
        <f t="shared" si="3"/>
        <v>0.04</v>
      </c>
      <c r="AN16" s="4">
        <f t="shared" si="4"/>
        <v>6.05831124574025E-5</v>
      </c>
      <c r="AO16" s="3"/>
      <c r="AP16">
        <v>0</v>
      </c>
      <c r="AR16" t="s">
        <v>0</v>
      </c>
      <c r="AT16" s="2" t="s">
        <v>5</v>
      </c>
      <c r="AU16" s="1" t="e">
        <f t="shared" si="5"/>
        <v>#VALUE!</v>
      </c>
      <c r="AV16" s="1" t="e">
        <f t="shared" si="6"/>
        <v>#VALUE!</v>
      </c>
      <c r="AW16" s="1" t="e">
        <f t="shared" si="7"/>
        <v>#VALUE!</v>
      </c>
    </row>
    <row r="17" spans="1:49" x14ac:dyDescent="0.2">
      <c r="A17">
        <v>15</v>
      </c>
      <c r="B17" t="s">
        <v>8561</v>
      </c>
      <c r="F17" t="s">
        <v>8560</v>
      </c>
      <c r="G17" t="s">
        <v>4</v>
      </c>
      <c r="H17" t="s">
        <v>3</v>
      </c>
      <c r="I17" t="s">
        <v>8559</v>
      </c>
      <c r="J17" t="s">
        <v>8558</v>
      </c>
      <c r="K17" t="s">
        <v>8557</v>
      </c>
      <c r="L17" t="s">
        <v>8556</v>
      </c>
      <c r="M17" t="s">
        <v>118</v>
      </c>
      <c r="N17">
        <v>3</v>
      </c>
      <c r="O17" t="s">
        <v>8555</v>
      </c>
      <c r="P17" t="s">
        <v>8554</v>
      </c>
      <c r="Q17" t="s">
        <v>8553</v>
      </c>
      <c r="R17" s="8">
        <v>35765</v>
      </c>
      <c r="S17" s="9">
        <f t="shared" si="0"/>
        <v>1997</v>
      </c>
      <c r="T17" s="9">
        <v>1997</v>
      </c>
      <c r="U17" s="9">
        <f t="shared" si="1"/>
        <v>25</v>
      </c>
      <c r="V17" s="8">
        <v>1997</v>
      </c>
      <c r="W17" t="s">
        <v>8552</v>
      </c>
      <c r="X17" s="2" t="s">
        <v>5</v>
      </c>
      <c r="Y17" s="7" t="e">
        <f t="shared" si="2"/>
        <v>#VALUE!</v>
      </c>
      <c r="AA17">
        <v>82821</v>
      </c>
      <c r="AB17">
        <v>13808</v>
      </c>
      <c r="AD17" t="s">
        <v>1</v>
      </c>
      <c r="AE17">
        <v>43</v>
      </c>
      <c r="AF17">
        <v>2</v>
      </c>
      <c r="AH17" t="s">
        <v>8551</v>
      </c>
      <c r="AI17" t="s">
        <v>8550</v>
      </c>
      <c r="AK17" t="s">
        <v>8549</v>
      </c>
      <c r="AL17">
        <v>0</v>
      </c>
      <c r="AM17" s="5">
        <f t="shared" si="3"/>
        <v>0</v>
      </c>
      <c r="AN17" s="4">
        <f t="shared" si="4"/>
        <v>0</v>
      </c>
      <c r="AO17" s="3"/>
      <c r="AP17">
        <v>0</v>
      </c>
      <c r="AR17" t="s">
        <v>0</v>
      </c>
      <c r="AT17" s="2" t="s">
        <v>5</v>
      </c>
      <c r="AU17" s="1" t="e">
        <f t="shared" si="5"/>
        <v>#VALUE!</v>
      </c>
      <c r="AV17" s="1" t="e">
        <f t="shared" si="6"/>
        <v>#VALUE!</v>
      </c>
      <c r="AW17" s="1" t="e">
        <f t="shared" si="7"/>
        <v>#VALUE!</v>
      </c>
    </row>
    <row r="18" spans="1:49" x14ac:dyDescent="0.2">
      <c r="A18">
        <v>16</v>
      </c>
      <c r="B18" t="s">
        <v>8548</v>
      </c>
      <c r="C18" t="s">
        <v>8547</v>
      </c>
      <c r="E18">
        <v>9450345</v>
      </c>
      <c r="F18" t="s">
        <v>8546</v>
      </c>
      <c r="G18" t="s">
        <v>4</v>
      </c>
      <c r="H18" t="s">
        <v>3</v>
      </c>
      <c r="I18" t="s">
        <v>8545</v>
      </c>
      <c r="J18" t="s">
        <v>8544</v>
      </c>
      <c r="K18" t="s">
        <v>8543</v>
      </c>
      <c r="L18" t="s">
        <v>8542</v>
      </c>
      <c r="M18" t="s">
        <v>8541</v>
      </c>
      <c r="N18">
        <v>10</v>
      </c>
      <c r="O18" t="s">
        <v>8540</v>
      </c>
      <c r="P18" t="s">
        <v>8539</v>
      </c>
      <c r="Q18" t="s">
        <v>8538</v>
      </c>
      <c r="R18" s="8">
        <v>35765</v>
      </c>
      <c r="S18" s="9">
        <f t="shared" si="0"/>
        <v>1997</v>
      </c>
      <c r="T18" s="9">
        <v>1997</v>
      </c>
      <c r="U18" s="9">
        <f t="shared" si="1"/>
        <v>25</v>
      </c>
      <c r="V18" s="8">
        <v>35765</v>
      </c>
      <c r="W18" t="s">
        <v>8537</v>
      </c>
      <c r="X18" s="2">
        <v>3.0579999999999998</v>
      </c>
      <c r="Y18" s="7">
        <f t="shared" si="2"/>
        <v>8.1631563492699066E-2</v>
      </c>
      <c r="AA18">
        <v>9607412</v>
      </c>
      <c r="AB18">
        <v>16612</v>
      </c>
      <c r="AD18" t="s">
        <v>1</v>
      </c>
      <c r="AE18">
        <v>12</v>
      </c>
      <c r="AF18">
        <v>6</v>
      </c>
      <c r="AH18" t="s">
        <v>8536</v>
      </c>
      <c r="AI18" t="s">
        <v>8535</v>
      </c>
      <c r="AK18" t="s">
        <v>8534</v>
      </c>
      <c r="AL18">
        <v>170</v>
      </c>
      <c r="AM18" s="5">
        <f t="shared" si="3"/>
        <v>6.8</v>
      </c>
      <c r="AN18" s="4">
        <f t="shared" si="4"/>
        <v>1.0299129117758425E-2</v>
      </c>
      <c r="AO18" s="3"/>
      <c r="AP18">
        <v>1</v>
      </c>
      <c r="AR18" t="s">
        <v>0</v>
      </c>
      <c r="AT18" s="2">
        <v>6.4169999999999998</v>
      </c>
      <c r="AU18" s="1">
        <f t="shared" si="5"/>
        <v>6.0231833180216876</v>
      </c>
      <c r="AV18" s="1">
        <f t="shared" si="6"/>
        <v>4.5965346305228749</v>
      </c>
      <c r="AW18" s="1">
        <f t="shared" si="7"/>
        <v>3.1698859430240618</v>
      </c>
    </row>
    <row r="19" spans="1:49" x14ac:dyDescent="0.2">
      <c r="A19">
        <v>17</v>
      </c>
      <c r="B19" t="s">
        <v>8533</v>
      </c>
      <c r="F19" t="s">
        <v>8532</v>
      </c>
      <c r="G19" t="s">
        <v>4</v>
      </c>
      <c r="H19" t="s">
        <v>3</v>
      </c>
      <c r="I19" t="s">
        <v>8531</v>
      </c>
      <c r="J19">
        <v>60020730</v>
      </c>
      <c r="K19" t="s">
        <v>729</v>
      </c>
      <c r="L19" t="s">
        <v>728</v>
      </c>
      <c r="M19" t="s">
        <v>8</v>
      </c>
      <c r="N19">
        <v>2</v>
      </c>
      <c r="O19" t="s">
        <v>8530</v>
      </c>
      <c r="P19" t="s">
        <v>8529</v>
      </c>
      <c r="Q19" t="s">
        <v>8528</v>
      </c>
      <c r="R19" s="8">
        <v>35765</v>
      </c>
      <c r="S19" s="9">
        <f t="shared" si="0"/>
        <v>1997</v>
      </c>
      <c r="T19" s="9">
        <v>1997</v>
      </c>
      <c r="U19" s="9">
        <f t="shared" si="1"/>
        <v>25</v>
      </c>
      <c r="V19" s="8">
        <v>1997</v>
      </c>
      <c r="W19" t="s">
        <v>105</v>
      </c>
      <c r="X19" s="2">
        <v>0.1</v>
      </c>
      <c r="Y19" s="7">
        <f t="shared" si="2"/>
        <v>2.6694428872694269E-3</v>
      </c>
      <c r="AA19">
        <v>9633308</v>
      </c>
      <c r="AB19">
        <v>17917</v>
      </c>
      <c r="AD19" t="s">
        <v>1</v>
      </c>
      <c r="AF19">
        <v>26</v>
      </c>
      <c r="AL19">
        <v>1</v>
      </c>
      <c r="AM19" s="5">
        <f t="shared" si="3"/>
        <v>0.04</v>
      </c>
      <c r="AN19" s="4">
        <f t="shared" si="4"/>
        <v>6.05831124574025E-5</v>
      </c>
      <c r="AO19" s="3"/>
      <c r="AP19">
        <v>0</v>
      </c>
      <c r="AR19" t="s">
        <v>0</v>
      </c>
      <c r="AT19" s="2" t="s">
        <v>5</v>
      </c>
      <c r="AU19" s="1">
        <f t="shared" si="5"/>
        <v>0.18867849548258195</v>
      </c>
      <c r="AV19" s="1">
        <f t="shared" si="6"/>
        <v>0.13650129998634147</v>
      </c>
      <c r="AW19" s="1">
        <f t="shared" si="7"/>
        <v>8.4324104490100971E-2</v>
      </c>
    </row>
    <row r="20" spans="1:49" x14ac:dyDescent="0.2">
      <c r="A20">
        <v>18</v>
      </c>
      <c r="B20" t="s">
        <v>8527</v>
      </c>
      <c r="F20" t="s">
        <v>8526</v>
      </c>
      <c r="G20" t="s">
        <v>4</v>
      </c>
      <c r="H20" t="s">
        <v>3</v>
      </c>
      <c r="I20" t="s">
        <v>1703</v>
      </c>
      <c r="J20" t="s">
        <v>8525</v>
      </c>
      <c r="K20" t="s">
        <v>8524</v>
      </c>
      <c r="L20" t="s">
        <v>8523</v>
      </c>
      <c r="M20" t="s">
        <v>77</v>
      </c>
      <c r="N20">
        <v>5</v>
      </c>
      <c r="O20" t="s">
        <v>8522</v>
      </c>
      <c r="P20" t="s">
        <v>1701</v>
      </c>
      <c r="Q20" t="s">
        <v>8521</v>
      </c>
      <c r="R20" s="8">
        <v>35765</v>
      </c>
      <c r="S20" s="9">
        <f t="shared" si="0"/>
        <v>1997</v>
      </c>
      <c r="T20" s="9">
        <v>1997</v>
      </c>
      <c r="U20" s="9">
        <f t="shared" si="1"/>
        <v>25</v>
      </c>
      <c r="V20" s="8">
        <v>1997</v>
      </c>
      <c r="W20" t="s">
        <v>105</v>
      </c>
      <c r="X20" s="2">
        <v>0.1</v>
      </c>
      <c r="Y20" s="7">
        <f t="shared" si="2"/>
        <v>2.6694428872694269E-3</v>
      </c>
      <c r="AA20">
        <v>9633308</v>
      </c>
      <c r="AB20">
        <v>17917</v>
      </c>
      <c r="AD20" t="s">
        <v>1</v>
      </c>
      <c r="AF20">
        <v>153</v>
      </c>
      <c r="AI20" t="s">
        <v>8520</v>
      </c>
      <c r="AK20" t="s">
        <v>8519</v>
      </c>
      <c r="AL20">
        <v>0</v>
      </c>
      <c r="AM20" s="5">
        <f t="shared" si="3"/>
        <v>0</v>
      </c>
      <c r="AN20" s="4">
        <f t="shared" si="4"/>
        <v>0</v>
      </c>
      <c r="AO20" s="3"/>
      <c r="AP20">
        <v>0</v>
      </c>
      <c r="AR20" t="s">
        <v>0</v>
      </c>
      <c r="AT20" s="2" t="s">
        <v>5</v>
      </c>
      <c r="AU20" s="1">
        <f t="shared" si="5"/>
        <v>0.18686100210885986</v>
      </c>
      <c r="AV20" s="1">
        <f t="shared" si="6"/>
        <v>0.13347214436347135</v>
      </c>
      <c r="AW20" s="1">
        <f t="shared" si="7"/>
        <v>8.0083286618082811E-2</v>
      </c>
    </row>
    <row r="21" spans="1:49" x14ac:dyDescent="0.2">
      <c r="A21">
        <v>19</v>
      </c>
      <c r="B21" t="s">
        <v>8518</v>
      </c>
      <c r="F21" t="s">
        <v>8517</v>
      </c>
      <c r="G21" t="s">
        <v>4</v>
      </c>
      <c r="H21" t="s">
        <v>3</v>
      </c>
      <c r="I21" t="s">
        <v>8516</v>
      </c>
      <c r="J21" t="s">
        <v>8515</v>
      </c>
      <c r="K21" t="s">
        <v>8514</v>
      </c>
      <c r="L21" t="s">
        <v>8513</v>
      </c>
      <c r="M21" t="s">
        <v>8512</v>
      </c>
      <c r="N21">
        <v>5</v>
      </c>
      <c r="O21" t="s">
        <v>8511</v>
      </c>
      <c r="P21" t="s">
        <v>8510</v>
      </c>
      <c r="Q21" t="s">
        <v>8509</v>
      </c>
      <c r="R21" s="8">
        <v>35765</v>
      </c>
      <c r="S21" s="9">
        <f t="shared" si="0"/>
        <v>1997</v>
      </c>
      <c r="T21" s="9">
        <v>1997</v>
      </c>
      <c r="U21" s="9">
        <f t="shared" si="1"/>
        <v>25</v>
      </c>
      <c r="V21" s="8">
        <v>1997</v>
      </c>
      <c r="W21" t="s">
        <v>105</v>
      </c>
      <c r="X21" s="2">
        <v>0.1</v>
      </c>
      <c r="Y21" s="7">
        <f t="shared" si="2"/>
        <v>2.6694428872694269E-3</v>
      </c>
      <c r="AA21">
        <v>9633308</v>
      </c>
      <c r="AB21">
        <v>17917</v>
      </c>
      <c r="AD21" t="s">
        <v>1</v>
      </c>
      <c r="AF21">
        <v>153</v>
      </c>
      <c r="AI21" t="s">
        <v>8508</v>
      </c>
      <c r="AK21" t="s">
        <v>8507</v>
      </c>
      <c r="AL21">
        <v>0</v>
      </c>
      <c r="AM21" s="5">
        <f t="shared" si="3"/>
        <v>0</v>
      </c>
      <c r="AN21" s="4">
        <f t="shared" si="4"/>
        <v>0</v>
      </c>
      <c r="AO21" s="3"/>
      <c r="AP21">
        <v>0</v>
      </c>
      <c r="AR21" t="s">
        <v>0</v>
      </c>
      <c r="AT21" s="2" t="s">
        <v>5</v>
      </c>
      <c r="AU21" s="1">
        <f t="shared" si="5"/>
        <v>0.18686100210885986</v>
      </c>
      <c r="AV21" s="1">
        <f t="shared" si="6"/>
        <v>0.13347214436347135</v>
      </c>
      <c r="AW21" s="1">
        <f t="shared" si="7"/>
        <v>8.0083286618082811E-2</v>
      </c>
    </row>
    <row r="22" spans="1:49" x14ac:dyDescent="0.2">
      <c r="A22">
        <v>20</v>
      </c>
      <c r="B22" t="s">
        <v>8506</v>
      </c>
      <c r="C22" t="s">
        <v>8505</v>
      </c>
      <c r="F22" t="s">
        <v>469</v>
      </c>
      <c r="G22" t="s">
        <v>4</v>
      </c>
      <c r="H22" t="s">
        <v>3</v>
      </c>
      <c r="I22" t="s">
        <v>468</v>
      </c>
      <c r="J22">
        <v>60000356</v>
      </c>
      <c r="K22" t="s">
        <v>467</v>
      </c>
      <c r="L22" t="s">
        <v>466</v>
      </c>
      <c r="M22" t="s">
        <v>284</v>
      </c>
      <c r="N22">
        <v>3</v>
      </c>
      <c r="O22" t="s">
        <v>465</v>
      </c>
      <c r="P22" t="s">
        <v>464</v>
      </c>
      <c r="Q22" t="s">
        <v>463</v>
      </c>
      <c r="R22" s="8">
        <v>35765</v>
      </c>
      <c r="S22" s="9">
        <f t="shared" si="0"/>
        <v>1997</v>
      </c>
      <c r="T22" s="9">
        <v>1997</v>
      </c>
      <c r="U22" s="9">
        <f t="shared" si="1"/>
        <v>25</v>
      </c>
      <c r="V22" s="8">
        <v>35765</v>
      </c>
      <c r="W22" t="s">
        <v>462</v>
      </c>
      <c r="X22" s="2">
        <v>0.46300000000000002</v>
      </c>
      <c r="Y22" s="7">
        <f t="shared" si="2"/>
        <v>1.2359520568057447E-2</v>
      </c>
      <c r="AA22">
        <v>14000350</v>
      </c>
      <c r="AB22">
        <v>27372</v>
      </c>
      <c r="AC22">
        <v>18747841</v>
      </c>
      <c r="AD22" t="s">
        <v>1</v>
      </c>
      <c r="AE22">
        <v>3</v>
      </c>
      <c r="AF22">
        <v>1</v>
      </c>
      <c r="AH22" t="s">
        <v>461</v>
      </c>
      <c r="AI22" t="s">
        <v>8504</v>
      </c>
      <c r="AJ22" t="s">
        <v>8503</v>
      </c>
      <c r="AK22" t="s">
        <v>8502</v>
      </c>
      <c r="AL22">
        <v>2</v>
      </c>
      <c r="AM22" s="5">
        <f t="shared" si="3"/>
        <v>0.08</v>
      </c>
      <c r="AN22" s="4">
        <f t="shared" si="4"/>
        <v>1.21166224914805E-4</v>
      </c>
      <c r="AO22" s="3"/>
      <c r="AP22">
        <v>0</v>
      </c>
      <c r="AR22" t="s">
        <v>0</v>
      </c>
      <c r="AT22" s="2">
        <v>1.839</v>
      </c>
      <c r="AU22" s="1">
        <f t="shared" si="5"/>
        <v>0.8688014265114653</v>
      </c>
      <c r="AV22" s="1">
        <f t="shared" si="6"/>
        <v>0.62403433964861255</v>
      </c>
      <c r="AW22" s="1">
        <f t="shared" si="7"/>
        <v>0.37926725278575973</v>
      </c>
    </row>
    <row r="23" spans="1:49" x14ac:dyDescent="0.2">
      <c r="A23">
        <v>21</v>
      </c>
      <c r="B23" t="s">
        <v>8501</v>
      </c>
      <c r="F23" t="s">
        <v>8500</v>
      </c>
      <c r="G23" t="s">
        <v>4</v>
      </c>
      <c r="H23" t="s">
        <v>3</v>
      </c>
      <c r="I23" t="s">
        <v>8499</v>
      </c>
      <c r="J23" t="s">
        <v>8494</v>
      </c>
      <c r="K23" t="s">
        <v>8498</v>
      </c>
      <c r="L23" t="s">
        <v>8497</v>
      </c>
      <c r="M23" t="s">
        <v>315</v>
      </c>
      <c r="N23">
        <v>2</v>
      </c>
      <c r="O23" t="s">
        <v>8496</v>
      </c>
      <c r="P23" t="s">
        <v>8495</v>
      </c>
      <c r="Q23" t="s">
        <v>8494</v>
      </c>
      <c r="R23" s="8">
        <v>35765</v>
      </c>
      <c r="S23" s="9">
        <f t="shared" si="0"/>
        <v>1997</v>
      </c>
      <c r="T23" s="9">
        <v>1997</v>
      </c>
      <c r="U23" s="9">
        <f t="shared" si="1"/>
        <v>25</v>
      </c>
      <c r="V23" s="8">
        <v>1997</v>
      </c>
      <c r="W23" t="s">
        <v>8232</v>
      </c>
      <c r="X23" s="2">
        <v>0.747</v>
      </c>
      <c r="Y23" s="7">
        <f t="shared" si="2"/>
        <v>1.9940738367902621E-2</v>
      </c>
      <c r="AA23">
        <v>62979</v>
      </c>
      <c r="AB23">
        <v>16869</v>
      </c>
      <c r="AD23" t="s">
        <v>1</v>
      </c>
      <c r="AE23">
        <v>62</v>
      </c>
      <c r="AF23">
        <v>8</v>
      </c>
      <c r="AH23" t="s">
        <v>8493</v>
      </c>
      <c r="AI23" t="s">
        <v>8492</v>
      </c>
      <c r="AJ23" t="s">
        <v>8491</v>
      </c>
      <c r="AK23" t="s">
        <v>8490</v>
      </c>
      <c r="AL23">
        <v>0</v>
      </c>
      <c r="AM23" s="5">
        <f t="shared" si="3"/>
        <v>0</v>
      </c>
      <c r="AN23" s="4">
        <f t="shared" si="4"/>
        <v>0</v>
      </c>
      <c r="AO23" s="3"/>
      <c r="AP23">
        <v>0</v>
      </c>
      <c r="AR23" t="s">
        <v>0</v>
      </c>
      <c r="AT23" s="2" t="s">
        <v>5</v>
      </c>
      <c r="AU23" s="1">
        <f t="shared" si="5"/>
        <v>1.3958516857531835</v>
      </c>
      <c r="AV23" s="1">
        <f t="shared" si="6"/>
        <v>0.99703691839513109</v>
      </c>
      <c r="AW23" s="1">
        <f t="shared" si="7"/>
        <v>0.59822215103707854</v>
      </c>
    </row>
    <row r="24" spans="1:49" x14ac:dyDescent="0.2">
      <c r="A24">
        <v>22</v>
      </c>
      <c r="B24" t="s">
        <v>8489</v>
      </c>
      <c r="F24" t="s">
        <v>8488</v>
      </c>
      <c r="G24" t="s">
        <v>4</v>
      </c>
      <c r="H24" t="s">
        <v>3</v>
      </c>
      <c r="I24" t="s">
        <v>2035</v>
      </c>
      <c r="J24">
        <v>60025555</v>
      </c>
      <c r="K24" t="s">
        <v>366</v>
      </c>
      <c r="L24" t="s">
        <v>112</v>
      </c>
      <c r="M24" t="s">
        <v>111</v>
      </c>
      <c r="N24">
        <v>4</v>
      </c>
      <c r="O24" t="s">
        <v>8487</v>
      </c>
      <c r="P24" t="s">
        <v>8486</v>
      </c>
      <c r="Q24" t="s">
        <v>519</v>
      </c>
      <c r="R24" s="8">
        <v>35765</v>
      </c>
      <c r="S24" s="9">
        <f t="shared" si="0"/>
        <v>1997</v>
      </c>
      <c r="T24" s="9">
        <v>1997</v>
      </c>
      <c r="U24" s="9">
        <f t="shared" si="1"/>
        <v>25</v>
      </c>
      <c r="V24" s="8">
        <v>35765</v>
      </c>
      <c r="W24" t="s">
        <v>2028</v>
      </c>
      <c r="X24" s="2" t="s">
        <v>5</v>
      </c>
      <c r="Y24" s="7" t="e">
        <f t="shared" si="2"/>
        <v>#VALUE!</v>
      </c>
      <c r="AA24">
        <v>13411683</v>
      </c>
      <c r="AB24">
        <v>17818</v>
      </c>
      <c r="AD24" t="s">
        <v>1</v>
      </c>
      <c r="AE24">
        <v>3</v>
      </c>
      <c r="AF24">
        <v>4</v>
      </c>
      <c r="AH24" t="s">
        <v>8485</v>
      </c>
      <c r="AI24" t="s">
        <v>8484</v>
      </c>
      <c r="AJ24" t="s">
        <v>8483</v>
      </c>
      <c r="AK24" t="s">
        <v>8482</v>
      </c>
      <c r="AL24">
        <v>30</v>
      </c>
      <c r="AM24" s="5">
        <f t="shared" si="3"/>
        <v>1.2</v>
      </c>
      <c r="AN24" s="4">
        <f t="shared" si="4"/>
        <v>1.8174933737220749E-3</v>
      </c>
      <c r="AO24" s="3"/>
      <c r="AP24">
        <v>0</v>
      </c>
      <c r="AR24" t="s">
        <v>0</v>
      </c>
      <c r="AT24" s="2" t="s">
        <v>5</v>
      </c>
      <c r="AU24" s="1" t="e">
        <f t="shared" si="5"/>
        <v>#VALUE!</v>
      </c>
      <c r="AV24" s="1" t="e">
        <f t="shared" si="6"/>
        <v>#VALUE!</v>
      </c>
      <c r="AW24" s="1" t="e">
        <f t="shared" si="7"/>
        <v>#VALUE!</v>
      </c>
    </row>
    <row r="25" spans="1:49" x14ac:dyDescent="0.2">
      <c r="A25">
        <v>23</v>
      </c>
      <c r="B25" t="s">
        <v>8481</v>
      </c>
      <c r="F25" t="s">
        <v>8480</v>
      </c>
      <c r="G25" t="s">
        <v>4</v>
      </c>
      <c r="H25" t="s">
        <v>3</v>
      </c>
      <c r="I25" t="s">
        <v>8479</v>
      </c>
      <c r="J25">
        <v>60007457</v>
      </c>
      <c r="K25" t="s">
        <v>509</v>
      </c>
      <c r="L25" t="s">
        <v>173</v>
      </c>
      <c r="M25" t="s">
        <v>74</v>
      </c>
      <c r="N25">
        <v>2</v>
      </c>
      <c r="O25" t="s">
        <v>8478</v>
      </c>
      <c r="P25" t="s">
        <v>8477</v>
      </c>
      <c r="Q25" t="s">
        <v>721</v>
      </c>
      <c r="R25" s="8">
        <v>35765</v>
      </c>
      <c r="S25" s="9">
        <f t="shared" si="0"/>
        <v>1997</v>
      </c>
      <c r="T25" s="9">
        <v>1997</v>
      </c>
      <c r="U25" s="9">
        <f t="shared" si="1"/>
        <v>25</v>
      </c>
      <c r="V25" s="8">
        <v>1997</v>
      </c>
      <c r="W25" t="s">
        <v>8232</v>
      </c>
      <c r="X25" s="2">
        <v>0.747</v>
      </c>
      <c r="Y25" s="7">
        <f t="shared" si="2"/>
        <v>1.9940738367902621E-2</v>
      </c>
      <c r="AA25">
        <v>62979</v>
      </c>
      <c r="AB25">
        <v>16869</v>
      </c>
      <c r="AD25" t="s">
        <v>1</v>
      </c>
      <c r="AE25">
        <v>62</v>
      </c>
      <c r="AF25">
        <v>3</v>
      </c>
      <c r="AH25" t="s">
        <v>8476</v>
      </c>
      <c r="AI25" t="s">
        <v>8475</v>
      </c>
      <c r="AJ25" t="s">
        <v>8474</v>
      </c>
      <c r="AK25" t="s">
        <v>8473</v>
      </c>
      <c r="AL25">
        <v>2</v>
      </c>
      <c r="AM25" s="5">
        <f t="shared" si="3"/>
        <v>0.08</v>
      </c>
      <c r="AN25" s="4">
        <f t="shared" si="4"/>
        <v>1.21166224914805E-4</v>
      </c>
      <c r="AO25" s="3"/>
      <c r="AP25">
        <v>0</v>
      </c>
      <c r="AR25" t="s">
        <v>0</v>
      </c>
      <c r="AT25" s="2" t="s">
        <v>5</v>
      </c>
      <c r="AU25" s="1">
        <f t="shared" si="5"/>
        <v>1.3994866725006276</v>
      </c>
      <c r="AV25" s="1">
        <f t="shared" si="6"/>
        <v>1.0030952296408713</v>
      </c>
      <c r="AW25" s="1">
        <f t="shared" si="7"/>
        <v>0.60670378678111492</v>
      </c>
    </row>
    <row r="26" spans="1:49" x14ac:dyDescent="0.2">
      <c r="A26">
        <v>24</v>
      </c>
      <c r="B26" t="s">
        <v>8472</v>
      </c>
      <c r="C26" t="s">
        <v>8471</v>
      </c>
      <c r="F26" t="s">
        <v>8470</v>
      </c>
      <c r="G26" t="s">
        <v>4</v>
      </c>
      <c r="H26" t="s">
        <v>3</v>
      </c>
      <c r="I26" t="s">
        <v>8469</v>
      </c>
      <c r="J26" t="s">
        <v>8468</v>
      </c>
      <c r="K26" t="s">
        <v>8467</v>
      </c>
      <c r="L26" t="s">
        <v>8466</v>
      </c>
      <c r="M26" t="s">
        <v>63</v>
      </c>
      <c r="N26">
        <v>4</v>
      </c>
      <c r="O26" t="s">
        <v>8465</v>
      </c>
      <c r="P26" t="s">
        <v>8464</v>
      </c>
      <c r="Q26" t="s">
        <v>8463</v>
      </c>
      <c r="R26" s="8">
        <v>35765</v>
      </c>
      <c r="S26" s="9">
        <f t="shared" si="0"/>
        <v>1997</v>
      </c>
      <c r="T26" s="9">
        <v>1997</v>
      </c>
      <c r="U26" s="9">
        <f t="shared" si="1"/>
        <v>25</v>
      </c>
      <c r="V26" s="8">
        <v>1997</v>
      </c>
      <c r="W26" t="s">
        <v>3874</v>
      </c>
      <c r="X26" s="2">
        <v>0.92900000000000005</v>
      </c>
      <c r="Y26" s="7">
        <f t="shared" si="2"/>
        <v>2.4799124422732979E-2</v>
      </c>
      <c r="AA26">
        <v>10897798</v>
      </c>
      <c r="AB26">
        <v>18896</v>
      </c>
      <c r="AD26" t="s">
        <v>1</v>
      </c>
      <c r="AE26">
        <v>1</v>
      </c>
      <c r="AF26">
        <v>4</v>
      </c>
      <c r="AH26" t="s">
        <v>8462</v>
      </c>
      <c r="AI26" t="s">
        <v>8461</v>
      </c>
      <c r="AJ26" t="s">
        <v>8460</v>
      </c>
      <c r="AK26" t="s">
        <v>8459</v>
      </c>
      <c r="AL26">
        <v>18</v>
      </c>
      <c r="AM26" s="5">
        <f t="shared" si="3"/>
        <v>0.72</v>
      </c>
      <c r="AN26" s="4">
        <f t="shared" si="4"/>
        <v>1.090496024233245E-3</v>
      </c>
      <c r="AO26" s="3"/>
      <c r="AP26">
        <v>0</v>
      </c>
      <c r="AQ26" t="s">
        <v>683</v>
      </c>
      <c r="AR26" t="s">
        <v>0</v>
      </c>
      <c r="AS26" t="s">
        <v>682</v>
      </c>
      <c r="AT26" s="2">
        <v>3.4359999999999999</v>
      </c>
      <c r="AU26" s="1">
        <f t="shared" si="5"/>
        <v>1.7686535903183056</v>
      </c>
      <c r="AV26" s="1">
        <f t="shared" si="6"/>
        <v>1.2944810223483112</v>
      </c>
      <c r="AW26" s="1">
        <f t="shared" si="7"/>
        <v>0.82030845437831656</v>
      </c>
    </row>
    <row r="27" spans="1:49" x14ac:dyDescent="0.2">
      <c r="A27">
        <v>25</v>
      </c>
      <c r="B27" t="s">
        <v>8458</v>
      </c>
      <c r="F27" t="s">
        <v>8457</v>
      </c>
      <c r="G27" t="s">
        <v>4</v>
      </c>
      <c r="H27" t="s">
        <v>3</v>
      </c>
      <c r="I27" t="s">
        <v>8456</v>
      </c>
      <c r="J27">
        <v>60020615</v>
      </c>
      <c r="K27" t="s">
        <v>8455</v>
      </c>
      <c r="L27" t="s">
        <v>248</v>
      </c>
      <c r="M27" t="s">
        <v>247</v>
      </c>
      <c r="N27">
        <v>1</v>
      </c>
      <c r="O27" t="s">
        <v>8454</v>
      </c>
      <c r="P27">
        <v>56115079000</v>
      </c>
      <c r="Q27">
        <v>60020615</v>
      </c>
      <c r="R27" s="8">
        <v>35765</v>
      </c>
      <c r="S27" s="9">
        <f t="shared" si="0"/>
        <v>1997</v>
      </c>
      <c r="T27" s="9">
        <v>1997</v>
      </c>
      <c r="U27" s="9">
        <f t="shared" si="1"/>
        <v>25</v>
      </c>
      <c r="V27" s="8">
        <v>1997</v>
      </c>
      <c r="W27" t="s">
        <v>86</v>
      </c>
      <c r="X27" s="2">
        <v>0.14099999999999999</v>
      </c>
      <c r="Y27" s="7">
        <f t="shared" si="2"/>
        <v>3.7639144710498915E-3</v>
      </c>
      <c r="AA27">
        <v>402508</v>
      </c>
      <c r="AB27">
        <v>20868</v>
      </c>
      <c r="AD27" t="s">
        <v>1</v>
      </c>
      <c r="AE27">
        <v>51</v>
      </c>
      <c r="AF27" s="6">
        <v>44541</v>
      </c>
      <c r="AH27" t="s">
        <v>8453</v>
      </c>
      <c r="AL27">
        <v>0</v>
      </c>
      <c r="AM27" s="5">
        <f t="shared" si="3"/>
        <v>0</v>
      </c>
      <c r="AN27" s="4">
        <f t="shared" si="4"/>
        <v>0</v>
      </c>
      <c r="AO27" s="3"/>
      <c r="AP27">
        <v>0</v>
      </c>
      <c r="AR27" t="s">
        <v>0</v>
      </c>
      <c r="AT27" s="2" t="s">
        <v>5</v>
      </c>
      <c r="AU27" s="1">
        <f t="shared" si="5"/>
        <v>0.26347401297349238</v>
      </c>
      <c r="AV27" s="1">
        <f t="shared" si="6"/>
        <v>0.18819572355249459</v>
      </c>
      <c r="AW27" s="1">
        <f t="shared" si="7"/>
        <v>0.11291743413149673</v>
      </c>
    </row>
    <row r="28" spans="1:49" x14ac:dyDescent="0.2">
      <c r="A28">
        <v>26</v>
      </c>
      <c r="B28" t="s">
        <v>8452</v>
      </c>
      <c r="F28" t="s">
        <v>8451</v>
      </c>
      <c r="G28" t="s">
        <v>4</v>
      </c>
      <c r="H28" t="s">
        <v>3</v>
      </c>
      <c r="I28" t="s">
        <v>433</v>
      </c>
      <c r="J28">
        <v>60027251</v>
      </c>
      <c r="K28" t="s">
        <v>8450</v>
      </c>
      <c r="L28" t="s">
        <v>248</v>
      </c>
      <c r="M28" t="s">
        <v>247</v>
      </c>
      <c r="N28">
        <v>2</v>
      </c>
      <c r="O28" t="s">
        <v>8449</v>
      </c>
      <c r="P28" t="s">
        <v>8448</v>
      </c>
      <c r="Q28" t="s">
        <v>8447</v>
      </c>
      <c r="R28" s="8">
        <v>35765</v>
      </c>
      <c r="S28" s="9">
        <f t="shared" si="0"/>
        <v>1997</v>
      </c>
      <c r="T28" s="9">
        <v>1997</v>
      </c>
      <c r="U28" s="9">
        <f t="shared" si="1"/>
        <v>25</v>
      </c>
      <c r="V28" s="8">
        <v>1997</v>
      </c>
      <c r="W28" t="s">
        <v>86</v>
      </c>
      <c r="X28" s="2">
        <v>0.14099999999999999</v>
      </c>
      <c r="Y28" s="7">
        <f t="shared" si="2"/>
        <v>3.7639144710498915E-3</v>
      </c>
      <c r="AA28">
        <v>402508</v>
      </c>
      <c r="AB28">
        <v>20868</v>
      </c>
      <c r="AD28" t="s">
        <v>1</v>
      </c>
      <c r="AE28">
        <v>51</v>
      </c>
      <c r="AF28" s="6">
        <v>44541</v>
      </c>
      <c r="AH28" t="s">
        <v>265</v>
      </c>
      <c r="AI28" t="s">
        <v>8446</v>
      </c>
      <c r="AK28" t="s">
        <v>8445</v>
      </c>
      <c r="AL28">
        <v>0</v>
      </c>
      <c r="AM28" s="5">
        <f t="shared" si="3"/>
        <v>0</v>
      </c>
      <c r="AN28" s="4">
        <f t="shared" si="4"/>
        <v>0</v>
      </c>
      <c r="AO28" s="3"/>
      <c r="AP28">
        <v>0</v>
      </c>
      <c r="AR28" t="s">
        <v>0</v>
      </c>
      <c r="AT28" s="2" t="s">
        <v>5</v>
      </c>
      <c r="AU28" s="1">
        <f t="shared" si="5"/>
        <v>0.26347401297349238</v>
      </c>
      <c r="AV28" s="1">
        <f t="shared" si="6"/>
        <v>0.18819572355249459</v>
      </c>
      <c r="AW28" s="1">
        <f t="shared" si="7"/>
        <v>0.11291743413149673</v>
      </c>
    </row>
    <row r="29" spans="1:49" x14ac:dyDescent="0.2">
      <c r="A29">
        <v>27</v>
      </c>
      <c r="B29" t="s">
        <v>8444</v>
      </c>
      <c r="F29" t="s">
        <v>8443</v>
      </c>
      <c r="G29" t="s">
        <v>4</v>
      </c>
      <c r="H29" t="s">
        <v>3</v>
      </c>
      <c r="I29" t="s">
        <v>8442</v>
      </c>
      <c r="J29">
        <v>60070214</v>
      </c>
      <c r="K29" t="s">
        <v>1444</v>
      </c>
      <c r="L29" t="s">
        <v>1443</v>
      </c>
      <c r="M29" t="s">
        <v>214</v>
      </c>
      <c r="N29">
        <v>2</v>
      </c>
      <c r="O29" t="s">
        <v>8441</v>
      </c>
      <c r="P29" t="s">
        <v>8440</v>
      </c>
      <c r="Q29" t="s">
        <v>8439</v>
      </c>
      <c r="R29" s="8">
        <v>35765</v>
      </c>
      <c r="S29" s="9">
        <f t="shared" si="0"/>
        <v>1997</v>
      </c>
      <c r="T29" s="9">
        <v>1997</v>
      </c>
      <c r="U29" s="9">
        <f t="shared" si="1"/>
        <v>25</v>
      </c>
      <c r="V29" s="8">
        <v>35765</v>
      </c>
      <c r="W29" t="s">
        <v>590</v>
      </c>
      <c r="X29" s="2">
        <v>0.112</v>
      </c>
      <c r="Y29" s="7">
        <f t="shared" si="2"/>
        <v>2.9897760337417581E-3</v>
      </c>
      <c r="AA29">
        <v>3678393</v>
      </c>
      <c r="AB29">
        <v>4800153103</v>
      </c>
      <c r="AD29" t="s">
        <v>1</v>
      </c>
      <c r="AE29">
        <v>26</v>
      </c>
      <c r="AF29">
        <v>6</v>
      </c>
      <c r="AH29" t="s">
        <v>536</v>
      </c>
      <c r="AI29" t="s">
        <v>8438</v>
      </c>
      <c r="AK29" t="s">
        <v>8437</v>
      </c>
      <c r="AL29">
        <v>1</v>
      </c>
      <c r="AM29" s="5">
        <f t="shared" si="3"/>
        <v>0.04</v>
      </c>
      <c r="AN29" s="4">
        <f t="shared" si="4"/>
        <v>6.05831124574025E-5</v>
      </c>
      <c r="AO29" s="3"/>
      <c r="AP29">
        <v>0</v>
      </c>
      <c r="AR29" t="s">
        <v>0</v>
      </c>
      <c r="AT29" s="2" t="s">
        <v>5</v>
      </c>
      <c r="AU29" s="1">
        <f t="shared" si="5"/>
        <v>0.21110181573564513</v>
      </c>
      <c r="AV29" s="1">
        <f t="shared" si="6"/>
        <v>0.15251795730995804</v>
      </c>
      <c r="AW29" s="1">
        <f t="shared" si="7"/>
        <v>9.3934098884270914E-2</v>
      </c>
    </row>
    <row r="30" spans="1:49" x14ac:dyDescent="0.2">
      <c r="A30">
        <v>28</v>
      </c>
      <c r="B30" t="s">
        <v>8436</v>
      </c>
      <c r="F30" t="s">
        <v>8435</v>
      </c>
      <c r="G30" t="s">
        <v>4</v>
      </c>
      <c r="H30" t="s">
        <v>3</v>
      </c>
      <c r="I30" t="s">
        <v>8434</v>
      </c>
      <c r="J30">
        <v>60008905</v>
      </c>
      <c r="K30" t="s">
        <v>8433</v>
      </c>
      <c r="L30" t="s">
        <v>101</v>
      </c>
      <c r="M30" t="s">
        <v>26</v>
      </c>
      <c r="N30">
        <v>6</v>
      </c>
      <c r="O30" t="s">
        <v>8432</v>
      </c>
      <c r="P30" t="s">
        <v>8431</v>
      </c>
      <c r="Q30" t="s">
        <v>8430</v>
      </c>
      <c r="R30" s="8">
        <v>35765</v>
      </c>
      <c r="S30" s="9">
        <f t="shared" si="0"/>
        <v>1997</v>
      </c>
      <c r="T30" s="9">
        <v>1997</v>
      </c>
      <c r="U30" s="9">
        <f t="shared" si="1"/>
        <v>25</v>
      </c>
      <c r="V30" s="8">
        <v>1997</v>
      </c>
      <c r="W30" t="s">
        <v>7996</v>
      </c>
      <c r="X30" s="2" t="s">
        <v>5</v>
      </c>
      <c r="Y30" s="7" t="e">
        <f t="shared" si="2"/>
        <v>#VALUE!</v>
      </c>
      <c r="AA30">
        <v>71331</v>
      </c>
      <c r="AB30">
        <v>36547</v>
      </c>
      <c r="AD30" t="s">
        <v>1</v>
      </c>
      <c r="AE30">
        <v>80</v>
      </c>
      <c r="AF30" t="s">
        <v>7995</v>
      </c>
      <c r="AH30">
        <v>263</v>
      </c>
      <c r="AI30" t="s">
        <v>8429</v>
      </c>
      <c r="AK30" t="s">
        <v>8428</v>
      </c>
      <c r="AL30">
        <v>0</v>
      </c>
      <c r="AM30" s="5">
        <f t="shared" si="3"/>
        <v>0</v>
      </c>
      <c r="AN30" s="4">
        <f t="shared" si="4"/>
        <v>0</v>
      </c>
      <c r="AO30" s="3"/>
      <c r="AP30">
        <v>0</v>
      </c>
      <c r="AR30" t="s">
        <v>0</v>
      </c>
      <c r="AT30" s="2" t="s">
        <v>5</v>
      </c>
      <c r="AU30" s="1" t="e">
        <f t="shared" si="5"/>
        <v>#VALUE!</v>
      </c>
      <c r="AV30" s="1" t="e">
        <f t="shared" si="6"/>
        <v>#VALUE!</v>
      </c>
      <c r="AW30" s="1" t="e">
        <f t="shared" si="7"/>
        <v>#VALUE!</v>
      </c>
    </row>
    <row r="31" spans="1:49" x14ac:dyDescent="0.2">
      <c r="A31">
        <v>29</v>
      </c>
      <c r="B31" t="s">
        <v>8427</v>
      </c>
      <c r="F31" t="s">
        <v>8426</v>
      </c>
      <c r="G31" t="s">
        <v>4</v>
      </c>
      <c r="H31" t="s">
        <v>3</v>
      </c>
      <c r="I31" t="s">
        <v>8425</v>
      </c>
      <c r="J31">
        <v>60026952</v>
      </c>
      <c r="K31" t="s">
        <v>8424</v>
      </c>
      <c r="L31" t="s">
        <v>8423</v>
      </c>
      <c r="M31" t="s">
        <v>2</v>
      </c>
      <c r="N31">
        <v>4</v>
      </c>
      <c r="O31" t="s">
        <v>8422</v>
      </c>
      <c r="P31" t="s">
        <v>8421</v>
      </c>
      <c r="Q31" t="s">
        <v>8420</v>
      </c>
      <c r="R31" s="8">
        <v>35765</v>
      </c>
      <c r="S31" s="9">
        <f t="shared" si="0"/>
        <v>1997</v>
      </c>
      <c r="T31" s="9">
        <v>1997</v>
      </c>
      <c r="U31" s="9">
        <f t="shared" si="1"/>
        <v>25</v>
      </c>
      <c r="V31" s="8">
        <v>1997</v>
      </c>
      <c r="W31" t="s">
        <v>7996</v>
      </c>
      <c r="X31" s="2" t="s">
        <v>5</v>
      </c>
      <c r="Y31" s="7" t="e">
        <f t="shared" si="2"/>
        <v>#VALUE!</v>
      </c>
      <c r="AA31">
        <v>71331</v>
      </c>
      <c r="AB31">
        <v>36547</v>
      </c>
      <c r="AD31" t="s">
        <v>1</v>
      </c>
      <c r="AE31">
        <v>80</v>
      </c>
      <c r="AF31" t="s">
        <v>7995</v>
      </c>
      <c r="AH31">
        <v>201</v>
      </c>
      <c r="AI31" t="s">
        <v>8419</v>
      </c>
      <c r="AK31" t="s">
        <v>8418</v>
      </c>
      <c r="AL31">
        <v>0</v>
      </c>
      <c r="AM31" s="5">
        <f t="shared" si="3"/>
        <v>0</v>
      </c>
      <c r="AN31" s="4">
        <f t="shared" si="4"/>
        <v>0</v>
      </c>
      <c r="AO31" s="3"/>
      <c r="AP31">
        <v>0</v>
      </c>
      <c r="AR31" t="s">
        <v>0</v>
      </c>
      <c r="AT31" s="2" t="s">
        <v>5</v>
      </c>
      <c r="AU31" s="1" t="e">
        <f t="shared" si="5"/>
        <v>#VALUE!</v>
      </c>
      <c r="AV31" s="1" t="e">
        <f t="shared" si="6"/>
        <v>#VALUE!</v>
      </c>
      <c r="AW31" s="1" t="e">
        <f t="shared" si="7"/>
        <v>#VALUE!</v>
      </c>
    </row>
    <row r="32" spans="1:49" x14ac:dyDescent="0.2">
      <c r="A32">
        <v>30</v>
      </c>
      <c r="B32" t="s">
        <v>8417</v>
      </c>
      <c r="F32" t="s">
        <v>8416</v>
      </c>
      <c r="G32" t="s">
        <v>4</v>
      </c>
      <c r="H32" t="s">
        <v>3</v>
      </c>
      <c r="I32" t="s">
        <v>8415</v>
      </c>
      <c r="J32" t="s">
        <v>8414</v>
      </c>
      <c r="K32" t="s">
        <v>8413</v>
      </c>
      <c r="L32" t="s">
        <v>8412</v>
      </c>
      <c r="M32" t="s">
        <v>62</v>
      </c>
      <c r="N32">
        <v>5</v>
      </c>
      <c r="O32" t="s">
        <v>8411</v>
      </c>
      <c r="P32" t="s">
        <v>8410</v>
      </c>
      <c r="Q32" t="s">
        <v>8409</v>
      </c>
      <c r="R32" s="8">
        <v>35765</v>
      </c>
      <c r="S32" s="9">
        <f t="shared" si="0"/>
        <v>1997</v>
      </c>
      <c r="T32" s="9">
        <v>1997</v>
      </c>
      <c r="U32" s="9">
        <f t="shared" si="1"/>
        <v>25</v>
      </c>
      <c r="V32" s="8">
        <v>1997</v>
      </c>
      <c r="W32" t="s">
        <v>7996</v>
      </c>
      <c r="X32" s="2" t="s">
        <v>5</v>
      </c>
      <c r="Y32" s="7" t="e">
        <f t="shared" si="2"/>
        <v>#VALUE!</v>
      </c>
      <c r="AA32">
        <v>71331</v>
      </c>
      <c r="AB32">
        <v>36547</v>
      </c>
      <c r="AD32" t="s">
        <v>1</v>
      </c>
      <c r="AE32">
        <v>80</v>
      </c>
      <c r="AF32" t="s">
        <v>7995</v>
      </c>
      <c r="AH32">
        <v>223</v>
      </c>
      <c r="AI32" t="s">
        <v>8408</v>
      </c>
      <c r="AK32" t="s">
        <v>8407</v>
      </c>
      <c r="AL32">
        <v>0</v>
      </c>
      <c r="AM32" s="5">
        <f t="shared" si="3"/>
        <v>0</v>
      </c>
      <c r="AN32" s="4">
        <f t="shared" si="4"/>
        <v>0</v>
      </c>
      <c r="AO32" s="3"/>
      <c r="AP32">
        <v>0</v>
      </c>
      <c r="AR32" t="s">
        <v>0</v>
      </c>
      <c r="AT32" s="2" t="s">
        <v>5</v>
      </c>
      <c r="AU32" s="1" t="e">
        <f t="shared" si="5"/>
        <v>#VALUE!</v>
      </c>
      <c r="AV32" s="1" t="e">
        <f t="shared" si="6"/>
        <v>#VALUE!</v>
      </c>
      <c r="AW32" s="1" t="e">
        <f t="shared" si="7"/>
        <v>#VALUE!</v>
      </c>
    </row>
    <row r="33" spans="1:49" x14ac:dyDescent="0.2">
      <c r="A33">
        <v>31</v>
      </c>
      <c r="B33" t="s">
        <v>8406</v>
      </c>
      <c r="F33" t="s">
        <v>8405</v>
      </c>
      <c r="G33" t="s">
        <v>4</v>
      </c>
      <c r="H33" t="s">
        <v>3</v>
      </c>
      <c r="I33" t="s">
        <v>8404</v>
      </c>
      <c r="J33">
        <v>60104665</v>
      </c>
      <c r="K33" t="s">
        <v>609</v>
      </c>
      <c r="L33" t="s">
        <v>608</v>
      </c>
      <c r="M33" t="s">
        <v>26</v>
      </c>
      <c r="N33">
        <v>9</v>
      </c>
      <c r="O33" t="s">
        <v>8403</v>
      </c>
      <c r="P33" t="s">
        <v>8402</v>
      </c>
      <c r="Q33" t="s">
        <v>8401</v>
      </c>
      <c r="R33" s="8">
        <v>35765</v>
      </c>
      <c r="S33" s="9">
        <f t="shared" si="0"/>
        <v>1997</v>
      </c>
      <c r="T33" s="9">
        <v>1997</v>
      </c>
      <c r="U33" s="9">
        <f t="shared" si="1"/>
        <v>25</v>
      </c>
      <c r="V33" s="8">
        <v>1997</v>
      </c>
      <c r="W33" t="s">
        <v>7996</v>
      </c>
      <c r="X33" s="2" t="s">
        <v>5</v>
      </c>
      <c r="Y33" s="7" t="e">
        <f t="shared" si="2"/>
        <v>#VALUE!</v>
      </c>
      <c r="AA33">
        <v>71331</v>
      </c>
      <c r="AB33">
        <v>36547</v>
      </c>
      <c r="AD33" t="s">
        <v>1</v>
      </c>
      <c r="AE33">
        <v>80</v>
      </c>
      <c r="AF33" t="s">
        <v>7995</v>
      </c>
      <c r="AH33">
        <v>25</v>
      </c>
      <c r="AI33" t="s">
        <v>8400</v>
      </c>
      <c r="AK33" t="s">
        <v>8399</v>
      </c>
      <c r="AL33">
        <v>0</v>
      </c>
      <c r="AM33" s="5">
        <f t="shared" si="3"/>
        <v>0</v>
      </c>
      <c r="AN33" s="4">
        <f t="shared" si="4"/>
        <v>0</v>
      </c>
      <c r="AO33" s="3"/>
      <c r="AP33">
        <v>0</v>
      </c>
      <c r="AR33" t="s">
        <v>0</v>
      </c>
      <c r="AT33" s="2" t="s">
        <v>5</v>
      </c>
      <c r="AU33" s="1" t="e">
        <f t="shared" si="5"/>
        <v>#VALUE!</v>
      </c>
      <c r="AV33" s="1" t="e">
        <f t="shared" si="6"/>
        <v>#VALUE!</v>
      </c>
      <c r="AW33" s="1" t="e">
        <f t="shared" si="7"/>
        <v>#VALUE!</v>
      </c>
    </row>
    <row r="34" spans="1:49" x14ac:dyDescent="0.2">
      <c r="A34">
        <v>32</v>
      </c>
      <c r="B34" t="s">
        <v>8398</v>
      </c>
      <c r="D34" t="s">
        <v>8397</v>
      </c>
      <c r="F34" t="s">
        <v>8396</v>
      </c>
      <c r="G34" t="s">
        <v>4</v>
      </c>
      <c r="H34" t="s">
        <v>3</v>
      </c>
      <c r="I34" t="s">
        <v>440</v>
      </c>
      <c r="J34" t="s">
        <v>147</v>
      </c>
      <c r="K34" t="s">
        <v>146</v>
      </c>
      <c r="L34" t="s">
        <v>145</v>
      </c>
      <c r="M34" t="s">
        <v>66</v>
      </c>
      <c r="N34">
        <v>3</v>
      </c>
      <c r="O34" t="s">
        <v>7705</v>
      </c>
      <c r="P34" t="s">
        <v>7704</v>
      </c>
      <c r="Q34" t="s">
        <v>8395</v>
      </c>
      <c r="R34" s="8">
        <v>35765</v>
      </c>
      <c r="S34" s="9">
        <f t="shared" si="0"/>
        <v>1997</v>
      </c>
      <c r="T34" s="9">
        <v>1997</v>
      </c>
      <c r="U34" s="9">
        <f t="shared" si="1"/>
        <v>25</v>
      </c>
      <c r="V34" s="8">
        <v>1997</v>
      </c>
      <c r="W34" t="s">
        <v>392</v>
      </c>
      <c r="X34" s="2">
        <v>1.6519999999999999</v>
      </c>
      <c r="Y34" s="7">
        <f t="shared" si="2"/>
        <v>4.409919649769093E-2</v>
      </c>
      <c r="AA34" t="s">
        <v>391</v>
      </c>
      <c r="AB34">
        <v>17337</v>
      </c>
      <c r="AD34" t="s">
        <v>1</v>
      </c>
      <c r="AE34">
        <v>45</v>
      </c>
      <c r="AF34">
        <v>12</v>
      </c>
      <c r="AH34">
        <v>18851887</v>
      </c>
      <c r="AI34" t="s">
        <v>8394</v>
      </c>
      <c r="AJ34" t="s">
        <v>3886</v>
      </c>
      <c r="AK34" t="s">
        <v>8393</v>
      </c>
      <c r="AL34">
        <v>0</v>
      </c>
      <c r="AM34" s="5">
        <f t="shared" si="3"/>
        <v>0</v>
      </c>
      <c r="AN34" s="4">
        <f t="shared" si="4"/>
        <v>0</v>
      </c>
      <c r="AO34" s="3"/>
      <c r="AP34">
        <v>0</v>
      </c>
      <c r="AR34" t="s">
        <v>0</v>
      </c>
      <c r="AT34" s="2" t="s">
        <v>5</v>
      </c>
      <c r="AU34" s="1">
        <f t="shared" si="5"/>
        <v>3.0869437548383649</v>
      </c>
      <c r="AV34" s="1">
        <f t="shared" si="6"/>
        <v>2.2049598248845466</v>
      </c>
      <c r="AW34" s="1">
        <f t="shared" si="7"/>
        <v>1.3229758949307278</v>
      </c>
    </row>
    <row r="35" spans="1:49" x14ac:dyDescent="0.2">
      <c r="A35">
        <v>33</v>
      </c>
      <c r="B35" t="s">
        <v>8392</v>
      </c>
      <c r="D35" t="s">
        <v>8391</v>
      </c>
      <c r="F35" t="s">
        <v>7418</v>
      </c>
      <c r="G35" t="s">
        <v>4</v>
      </c>
      <c r="H35" t="s">
        <v>3</v>
      </c>
      <c r="I35" t="s">
        <v>7417</v>
      </c>
      <c r="J35" t="s">
        <v>8390</v>
      </c>
      <c r="K35" t="s">
        <v>8389</v>
      </c>
      <c r="L35" t="s">
        <v>8388</v>
      </c>
      <c r="M35" t="s">
        <v>64</v>
      </c>
      <c r="N35">
        <v>3</v>
      </c>
      <c r="O35" t="s">
        <v>7416</v>
      </c>
      <c r="P35" t="s">
        <v>7415</v>
      </c>
      <c r="Q35" t="s">
        <v>8387</v>
      </c>
      <c r="R35" s="8">
        <v>35765</v>
      </c>
      <c r="S35" s="9">
        <f t="shared" si="0"/>
        <v>1997</v>
      </c>
      <c r="T35" s="9">
        <v>1997</v>
      </c>
      <c r="U35" s="9">
        <f t="shared" si="1"/>
        <v>25</v>
      </c>
      <c r="V35" s="8">
        <v>1997</v>
      </c>
      <c r="W35" t="s">
        <v>392</v>
      </c>
      <c r="X35" s="2">
        <v>1.6519999999999999</v>
      </c>
      <c r="Y35" s="7">
        <f t="shared" si="2"/>
        <v>4.409919649769093E-2</v>
      </c>
      <c r="AA35" t="s">
        <v>391</v>
      </c>
      <c r="AB35">
        <v>17337</v>
      </c>
      <c r="AD35" t="s">
        <v>1</v>
      </c>
      <c r="AE35">
        <v>45</v>
      </c>
      <c r="AF35">
        <v>12</v>
      </c>
      <c r="AH35">
        <v>18181822</v>
      </c>
      <c r="AI35" t="s">
        <v>8386</v>
      </c>
      <c r="AJ35" t="s">
        <v>8385</v>
      </c>
      <c r="AK35" t="s">
        <v>8384</v>
      </c>
      <c r="AL35">
        <v>1</v>
      </c>
      <c r="AM35" s="5">
        <f t="shared" si="3"/>
        <v>0.04</v>
      </c>
      <c r="AN35" s="4">
        <f t="shared" si="4"/>
        <v>6.05831124574025E-5</v>
      </c>
      <c r="AO35" s="3"/>
      <c r="AP35">
        <v>0</v>
      </c>
      <c r="AR35" t="s">
        <v>0</v>
      </c>
      <c r="AT35" s="2" t="s">
        <v>5</v>
      </c>
      <c r="AU35" s="1">
        <f t="shared" si="5"/>
        <v>3.0887612482120872</v>
      </c>
      <c r="AV35" s="1">
        <f t="shared" si="6"/>
        <v>2.2079889805074164</v>
      </c>
      <c r="AW35" s="1">
        <f t="shared" si="7"/>
        <v>1.3272167128027459</v>
      </c>
    </row>
    <row r="36" spans="1:49" x14ac:dyDescent="0.2">
      <c r="A36">
        <v>34</v>
      </c>
      <c r="B36" t="s">
        <v>8383</v>
      </c>
      <c r="D36" t="s">
        <v>8382</v>
      </c>
      <c r="F36" t="s">
        <v>8381</v>
      </c>
      <c r="G36" t="s">
        <v>4</v>
      </c>
      <c r="H36" t="s">
        <v>3</v>
      </c>
      <c r="I36" t="s">
        <v>7491</v>
      </c>
      <c r="J36" t="s">
        <v>8380</v>
      </c>
      <c r="K36" t="s">
        <v>8379</v>
      </c>
      <c r="L36" t="s">
        <v>65</v>
      </c>
      <c r="M36" t="s">
        <v>64</v>
      </c>
      <c r="N36">
        <v>2</v>
      </c>
      <c r="O36" t="s">
        <v>7489</v>
      </c>
      <c r="P36" t="s">
        <v>8378</v>
      </c>
      <c r="Q36" t="s">
        <v>8377</v>
      </c>
      <c r="R36" s="8">
        <v>35765</v>
      </c>
      <c r="S36" s="9">
        <f t="shared" si="0"/>
        <v>1997</v>
      </c>
      <c r="T36" s="9">
        <v>1997</v>
      </c>
      <c r="U36" s="9">
        <f t="shared" si="1"/>
        <v>25</v>
      </c>
      <c r="V36" s="8">
        <v>1997</v>
      </c>
      <c r="W36" t="s">
        <v>392</v>
      </c>
      <c r="X36" s="2">
        <v>1.6519999999999999</v>
      </c>
      <c r="Y36" s="7">
        <f t="shared" si="2"/>
        <v>4.409919649769093E-2</v>
      </c>
      <c r="AA36" t="s">
        <v>391</v>
      </c>
      <c r="AB36">
        <v>17337</v>
      </c>
      <c r="AD36" t="s">
        <v>1</v>
      </c>
      <c r="AE36">
        <v>45</v>
      </c>
      <c r="AF36">
        <v>12</v>
      </c>
      <c r="AH36">
        <v>18811883</v>
      </c>
      <c r="AI36" t="s">
        <v>8376</v>
      </c>
      <c r="AJ36" t="s">
        <v>8375</v>
      </c>
      <c r="AK36" t="s">
        <v>8374</v>
      </c>
      <c r="AL36">
        <v>0</v>
      </c>
      <c r="AM36" s="5">
        <f t="shared" si="3"/>
        <v>0</v>
      </c>
      <c r="AN36" s="4">
        <f t="shared" si="4"/>
        <v>0</v>
      </c>
      <c r="AO36" s="3"/>
      <c r="AP36">
        <v>0</v>
      </c>
      <c r="AR36" t="s">
        <v>0</v>
      </c>
      <c r="AT36" s="2" t="s">
        <v>5</v>
      </c>
      <c r="AU36" s="1">
        <f t="shared" si="5"/>
        <v>3.0869437548383649</v>
      </c>
      <c r="AV36" s="1">
        <f t="shared" si="6"/>
        <v>2.2049598248845466</v>
      </c>
      <c r="AW36" s="1">
        <f t="shared" si="7"/>
        <v>1.3229758949307278</v>
      </c>
    </row>
    <row r="37" spans="1:49" x14ac:dyDescent="0.2">
      <c r="A37">
        <v>35</v>
      </c>
      <c r="B37" t="s">
        <v>8373</v>
      </c>
      <c r="D37" t="s">
        <v>8372</v>
      </c>
      <c r="F37" t="s">
        <v>8371</v>
      </c>
      <c r="G37" t="s">
        <v>4</v>
      </c>
      <c r="H37" t="s">
        <v>3</v>
      </c>
      <c r="I37" t="s">
        <v>8370</v>
      </c>
      <c r="J37">
        <v>60017161</v>
      </c>
      <c r="K37" t="s">
        <v>514</v>
      </c>
      <c r="L37" t="s">
        <v>513</v>
      </c>
      <c r="M37" t="s">
        <v>512</v>
      </c>
      <c r="N37">
        <v>4</v>
      </c>
      <c r="O37" t="s">
        <v>7554</v>
      </c>
      <c r="P37" t="s">
        <v>511</v>
      </c>
      <c r="Q37" t="s">
        <v>510</v>
      </c>
      <c r="R37" s="8">
        <v>35765</v>
      </c>
      <c r="S37" s="9">
        <f t="shared" si="0"/>
        <v>1997</v>
      </c>
      <c r="T37" s="9">
        <v>1997</v>
      </c>
      <c r="U37" s="9">
        <f t="shared" si="1"/>
        <v>25</v>
      </c>
      <c r="V37" s="8">
        <v>1997</v>
      </c>
      <c r="W37" t="s">
        <v>392</v>
      </c>
      <c r="X37" s="2">
        <v>1.6519999999999999</v>
      </c>
      <c r="Y37" s="7">
        <f t="shared" si="2"/>
        <v>4.409919649769093E-2</v>
      </c>
      <c r="AA37" t="s">
        <v>391</v>
      </c>
      <c r="AB37">
        <v>17337</v>
      </c>
      <c r="AD37" t="s">
        <v>1</v>
      </c>
      <c r="AE37">
        <v>45</v>
      </c>
      <c r="AF37">
        <v>12</v>
      </c>
      <c r="AH37">
        <v>17411748</v>
      </c>
      <c r="AI37" t="s">
        <v>8369</v>
      </c>
      <c r="AJ37" t="s">
        <v>8368</v>
      </c>
      <c r="AK37" t="s">
        <v>8367</v>
      </c>
      <c r="AL37">
        <v>24</v>
      </c>
      <c r="AM37" s="5">
        <f t="shared" si="3"/>
        <v>0.96</v>
      </c>
      <c r="AN37" s="4">
        <f t="shared" si="4"/>
        <v>1.4539946989776599E-3</v>
      </c>
      <c r="AO37" s="3"/>
      <c r="AP37">
        <v>0</v>
      </c>
      <c r="AR37" t="s">
        <v>0</v>
      </c>
      <c r="AT37" s="2" t="s">
        <v>5</v>
      </c>
      <c r="AU37" s="1">
        <f t="shared" si="5"/>
        <v>3.1305635958076952</v>
      </c>
      <c r="AV37" s="1">
        <f t="shared" si="6"/>
        <v>2.2776595598334297</v>
      </c>
      <c r="AW37" s="1">
        <f t="shared" si="7"/>
        <v>1.424755523859164</v>
      </c>
    </row>
    <row r="38" spans="1:49" x14ac:dyDescent="0.2">
      <c r="A38">
        <v>36</v>
      </c>
      <c r="B38" t="s">
        <v>8366</v>
      </c>
      <c r="D38" t="s">
        <v>8365</v>
      </c>
      <c r="F38" t="s">
        <v>8364</v>
      </c>
      <c r="G38" t="s">
        <v>4</v>
      </c>
      <c r="H38" t="s">
        <v>3</v>
      </c>
      <c r="I38" t="s">
        <v>7697</v>
      </c>
      <c r="J38">
        <v>60014313</v>
      </c>
      <c r="K38" t="s">
        <v>2690</v>
      </c>
      <c r="L38" t="s">
        <v>2689</v>
      </c>
      <c r="M38" t="s">
        <v>2</v>
      </c>
      <c r="N38">
        <v>2</v>
      </c>
      <c r="O38" t="s">
        <v>7696</v>
      </c>
      <c r="P38" t="s">
        <v>7695</v>
      </c>
      <c r="Q38" t="s">
        <v>2686</v>
      </c>
      <c r="R38" s="8">
        <v>35765</v>
      </c>
      <c r="S38" s="9">
        <f t="shared" si="0"/>
        <v>1997</v>
      </c>
      <c r="T38" s="9">
        <v>1997</v>
      </c>
      <c r="U38" s="9">
        <f t="shared" si="1"/>
        <v>25</v>
      </c>
      <c r="V38" s="8">
        <v>1997</v>
      </c>
      <c r="W38" t="s">
        <v>392</v>
      </c>
      <c r="X38" s="2">
        <v>1.6519999999999999</v>
      </c>
      <c r="Y38" s="7">
        <f t="shared" si="2"/>
        <v>4.409919649769093E-2</v>
      </c>
      <c r="AA38" t="s">
        <v>391</v>
      </c>
      <c r="AB38">
        <v>17337</v>
      </c>
      <c r="AD38" t="s">
        <v>1</v>
      </c>
      <c r="AE38">
        <v>45</v>
      </c>
      <c r="AF38">
        <v>12</v>
      </c>
      <c r="AH38">
        <v>17171726</v>
      </c>
      <c r="AI38" t="s">
        <v>8363</v>
      </c>
      <c r="AJ38" t="s">
        <v>8342</v>
      </c>
      <c r="AK38" t="s">
        <v>8362</v>
      </c>
      <c r="AL38">
        <v>0</v>
      </c>
      <c r="AM38" s="5">
        <f t="shared" si="3"/>
        <v>0</v>
      </c>
      <c r="AN38" s="4">
        <f t="shared" si="4"/>
        <v>0</v>
      </c>
      <c r="AO38" s="3"/>
      <c r="AP38">
        <v>0</v>
      </c>
      <c r="AR38" t="s">
        <v>0</v>
      </c>
      <c r="AT38" s="2" t="s">
        <v>5</v>
      </c>
      <c r="AU38" s="1">
        <f t="shared" si="5"/>
        <v>3.0869437548383649</v>
      </c>
      <c r="AV38" s="1">
        <f t="shared" si="6"/>
        <v>2.2049598248845466</v>
      </c>
      <c r="AW38" s="1">
        <f t="shared" si="7"/>
        <v>1.3229758949307278</v>
      </c>
    </row>
    <row r="39" spans="1:49" x14ac:dyDescent="0.2">
      <c r="A39">
        <v>37</v>
      </c>
      <c r="B39" t="s">
        <v>8361</v>
      </c>
      <c r="D39" t="s">
        <v>8360</v>
      </c>
      <c r="F39" t="s">
        <v>8359</v>
      </c>
      <c r="G39" t="s">
        <v>4</v>
      </c>
      <c r="H39" t="s">
        <v>3</v>
      </c>
      <c r="I39" t="s">
        <v>7573</v>
      </c>
      <c r="J39">
        <v>60029738</v>
      </c>
      <c r="K39" t="s">
        <v>282</v>
      </c>
      <c r="L39" t="s">
        <v>281</v>
      </c>
      <c r="M39" t="s">
        <v>8</v>
      </c>
      <c r="N39">
        <v>2</v>
      </c>
      <c r="O39" t="s">
        <v>7572</v>
      </c>
      <c r="P39" t="s">
        <v>7571</v>
      </c>
      <c r="Q39" t="s">
        <v>300</v>
      </c>
      <c r="R39" s="8">
        <v>35765</v>
      </c>
      <c r="S39" s="9">
        <f t="shared" si="0"/>
        <v>1997</v>
      </c>
      <c r="T39" s="9">
        <v>1997</v>
      </c>
      <c r="U39" s="9">
        <f t="shared" si="1"/>
        <v>25</v>
      </c>
      <c r="V39" s="8">
        <v>1997</v>
      </c>
      <c r="W39" t="s">
        <v>392</v>
      </c>
      <c r="X39" s="2">
        <v>1.6519999999999999</v>
      </c>
      <c r="Y39" s="7">
        <f t="shared" si="2"/>
        <v>4.409919649769093E-2</v>
      </c>
      <c r="AA39" t="s">
        <v>391</v>
      </c>
      <c r="AB39">
        <v>17337</v>
      </c>
      <c r="AD39" t="s">
        <v>1</v>
      </c>
      <c r="AE39">
        <v>45</v>
      </c>
      <c r="AF39">
        <v>12</v>
      </c>
      <c r="AH39">
        <v>18631868</v>
      </c>
      <c r="AI39" t="s">
        <v>8358</v>
      </c>
      <c r="AJ39" t="s">
        <v>8357</v>
      </c>
      <c r="AK39" t="s">
        <v>8356</v>
      </c>
      <c r="AL39">
        <v>2</v>
      </c>
      <c r="AM39" s="5">
        <f t="shared" si="3"/>
        <v>0.08</v>
      </c>
      <c r="AN39" s="4">
        <f t="shared" si="4"/>
        <v>1.21166224914805E-4</v>
      </c>
      <c r="AO39" s="3"/>
      <c r="AP39">
        <v>0</v>
      </c>
      <c r="AR39" t="s">
        <v>0</v>
      </c>
      <c r="AT39" s="2" t="s">
        <v>5</v>
      </c>
      <c r="AU39" s="1">
        <f t="shared" si="5"/>
        <v>3.090578741585809</v>
      </c>
      <c r="AV39" s="1">
        <f t="shared" si="6"/>
        <v>2.2110181361302867</v>
      </c>
      <c r="AW39" s="1">
        <f t="shared" si="7"/>
        <v>1.3314575306747642</v>
      </c>
    </row>
    <row r="40" spans="1:49" x14ac:dyDescent="0.2">
      <c r="A40">
        <v>38</v>
      </c>
      <c r="B40" t="s">
        <v>8355</v>
      </c>
      <c r="D40" t="s">
        <v>8354</v>
      </c>
      <c r="F40" t="s">
        <v>7537</v>
      </c>
      <c r="G40" t="s">
        <v>4</v>
      </c>
      <c r="H40" t="s">
        <v>3</v>
      </c>
      <c r="I40" t="s">
        <v>7536</v>
      </c>
      <c r="J40" t="s">
        <v>8353</v>
      </c>
      <c r="K40" t="s">
        <v>8352</v>
      </c>
      <c r="L40" t="s">
        <v>8351</v>
      </c>
      <c r="M40" t="s">
        <v>18</v>
      </c>
      <c r="N40">
        <v>2</v>
      </c>
      <c r="O40" t="s">
        <v>7533</v>
      </c>
      <c r="P40" t="s">
        <v>7532</v>
      </c>
      <c r="Q40" t="s">
        <v>8350</v>
      </c>
      <c r="R40" s="8">
        <v>35765</v>
      </c>
      <c r="S40" s="9">
        <f t="shared" si="0"/>
        <v>1997</v>
      </c>
      <c r="T40" s="9">
        <v>1997</v>
      </c>
      <c r="U40" s="9">
        <f t="shared" si="1"/>
        <v>25</v>
      </c>
      <c r="V40" s="8">
        <v>1997</v>
      </c>
      <c r="W40" t="s">
        <v>392</v>
      </c>
      <c r="X40" s="2">
        <v>1.6519999999999999</v>
      </c>
      <c r="Y40" s="7">
        <f t="shared" si="2"/>
        <v>4.409919649769093E-2</v>
      </c>
      <c r="AA40" t="s">
        <v>391</v>
      </c>
      <c r="AB40">
        <v>17337</v>
      </c>
      <c r="AD40" t="s">
        <v>1</v>
      </c>
      <c r="AE40">
        <v>45</v>
      </c>
      <c r="AF40">
        <v>12</v>
      </c>
      <c r="AH40">
        <v>18301838</v>
      </c>
      <c r="AI40" t="s">
        <v>8349</v>
      </c>
      <c r="AJ40" t="s">
        <v>7077</v>
      </c>
      <c r="AK40" t="s">
        <v>8348</v>
      </c>
      <c r="AL40">
        <v>3</v>
      </c>
      <c r="AM40" s="5">
        <f t="shared" si="3"/>
        <v>0.12</v>
      </c>
      <c r="AN40" s="4">
        <f t="shared" si="4"/>
        <v>1.8174933737220749E-4</v>
      </c>
      <c r="AO40" s="3"/>
      <c r="AP40">
        <v>0</v>
      </c>
      <c r="AR40" t="s">
        <v>0</v>
      </c>
      <c r="AT40" s="2" t="s">
        <v>5</v>
      </c>
      <c r="AU40" s="1">
        <f t="shared" si="5"/>
        <v>3.0923962349595313</v>
      </c>
      <c r="AV40" s="1">
        <f t="shared" si="6"/>
        <v>2.2140472917531571</v>
      </c>
      <c r="AW40" s="1">
        <f t="shared" si="7"/>
        <v>1.3356983485467824</v>
      </c>
    </row>
    <row r="41" spans="1:49" x14ac:dyDescent="0.2">
      <c r="A41">
        <v>39</v>
      </c>
      <c r="B41" t="s">
        <v>8347</v>
      </c>
      <c r="D41" t="s">
        <v>8346</v>
      </c>
      <c r="F41" t="s">
        <v>8345</v>
      </c>
      <c r="G41" t="s">
        <v>4</v>
      </c>
      <c r="H41" t="s">
        <v>3</v>
      </c>
      <c r="I41" t="s">
        <v>7650</v>
      </c>
      <c r="J41" t="s">
        <v>147</v>
      </c>
      <c r="K41" t="s">
        <v>146</v>
      </c>
      <c r="L41" t="s">
        <v>145</v>
      </c>
      <c r="M41" t="s">
        <v>66</v>
      </c>
      <c r="N41">
        <v>3</v>
      </c>
      <c r="O41" t="s">
        <v>7648</v>
      </c>
      <c r="P41" t="s">
        <v>7647</v>
      </c>
      <c r="Q41" t="s">
        <v>8344</v>
      </c>
      <c r="R41" s="8">
        <v>35765</v>
      </c>
      <c r="S41" s="9">
        <f t="shared" si="0"/>
        <v>1997</v>
      </c>
      <c r="T41" s="9">
        <v>1997</v>
      </c>
      <c r="U41" s="9">
        <f t="shared" si="1"/>
        <v>25</v>
      </c>
      <c r="V41" s="8">
        <v>1997</v>
      </c>
      <c r="W41" t="s">
        <v>392</v>
      </c>
      <c r="X41" s="2">
        <v>1.6519999999999999</v>
      </c>
      <c r="Y41" s="7">
        <f t="shared" si="2"/>
        <v>4.409919649769093E-2</v>
      </c>
      <c r="AA41" t="s">
        <v>391</v>
      </c>
      <c r="AB41">
        <v>17337</v>
      </c>
      <c r="AD41" t="s">
        <v>1</v>
      </c>
      <c r="AE41">
        <v>45</v>
      </c>
      <c r="AF41">
        <v>12</v>
      </c>
      <c r="AH41">
        <v>18871889</v>
      </c>
      <c r="AI41" t="s">
        <v>8343</v>
      </c>
      <c r="AJ41" t="s">
        <v>8342</v>
      </c>
      <c r="AK41" t="s">
        <v>8341</v>
      </c>
      <c r="AL41">
        <v>1</v>
      </c>
      <c r="AM41" s="5">
        <f t="shared" si="3"/>
        <v>0.04</v>
      </c>
      <c r="AN41" s="4">
        <f t="shared" si="4"/>
        <v>6.05831124574025E-5</v>
      </c>
      <c r="AO41" s="3"/>
      <c r="AP41">
        <v>0</v>
      </c>
      <c r="AR41" t="s">
        <v>0</v>
      </c>
      <c r="AT41" s="2" t="s">
        <v>5</v>
      </c>
      <c r="AU41" s="1">
        <f t="shared" si="5"/>
        <v>3.0887612482120872</v>
      </c>
      <c r="AV41" s="1">
        <f t="shared" si="6"/>
        <v>2.2079889805074164</v>
      </c>
      <c r="AW41" s="1">
        <f t="shared" si="7"/>
        <v>1.3272167128027459</v>
      </c>
    </row>
    <row r="42" spans="1:49" x14ac:dyDescent="0.2">
      <c r="A42">
        <v>40</v>
      </c>
      <c r="B42" t="s">
        <v>8340</v>
      </c>
      <c r="D42" t="s">
        <v>8339</v>
      </c>
      <c r="F42" t="s">
        <v>7592</v>
      </c>
      <c r="G42" t="s">
        <v>4</v>
      </c>
      <c r="H42" t="s">
        <v>3</v>
      </c>
      <c r="I42" t="s">
        <v>1909</v>
      </c>
      <c r="J42">
        <v>60025778</v>
      </c>
      <c r="K42" t="s">
        <v>636</v>
      </c>
      <c r="L42" t="s">
        <v>635</v>
      </c>
      <c r="M42" t="s">
        <v>2</v>
      </c>
      <c r="N42">
        <v>2</v>
      </c>
      <c r="O42" t="s">
        <v>7591</v>
      </c>
      <c r="P42" t="s">
        <v>7590</v>
      </c>
      <c r="Q42" t="s">
        <v>634</v>
      </c>
      <c r="R42" s="8">
        <v>35765</v>
      </c>
      <c r="S42" s="9">
        <f t="shared" si="0"/>
        <v>1997</v>
      </c>
      <c r="T42" s="9">
        <v>1997</v>
      </c>
      <c r="U42" s="9">
        <f t="shared" si="1"/>
        <v>25</v>
      </c>
      <c r="V42" s="8">
        <v>1997</v>
      </c>
      <c r="W42" t="s">
        <v>392</v>
      </c>
      <c r="X42" s="2">
        <v>1.6519999999999999</v>
      </c>
      <c r="Y42" s="7">
        <f t="shared" si="2"/>
        <v>4.409919649769093E-2</v>
      </c>
      <c r="AA42" t="s">
        <v>391</v>
      </c>
      <c r="AB42">
        <v>17337</v>
      </c>
      <c r="AD42" t="s">
        <v>1</v>
      </c>
      <c r="AE42">
        <v>45</v>
      </c>
      <c r="AF42">
        <v>12</v>
      </c>
      <c r="AH42">
        <v>18101817</v>
      </c>
      <c r="AI42" t="s">
        <v>8338</v>
      </c>
      <c r="AJ42" t="s">
        <v>8337</v>
      </c>
      <c r="AK42" t="s">
        <v>8336</v>
      </c>
      <c r="AL42">
        <v>1</v>
      </c>
      <c r="AM42" s="5">
        <f t="shared" si="3"/>
        <v>0.04</v>
      </c>
      <c r="AN42" s="4">
        <f t="shared" si="4"/>
        <v>6.05831124574025E-5</v>
      </c>
      <c r="AO42" s="3"/>
      <c r="AP42">
        <v>0</v>
      </c>
      <c r="AR42" t="s">
        <v>0</v>
      </c>
      <c r="AT42" s="2" t="s">
        <v>5</v>
      </c>
      <c r="AU42" s="1">
        <f t="shared" si="5"/>
        <v>3.0887612482120872</v>
      </c>
      <c r="AV42" s="1">
        <f t="shared" si="6"/>
        <v>2.2079889805074164</v>
      </c>
      <c r="AW42" s="1">
        <f t="shared" si="7"/>
        <v>1.3272167128027459</v>
      </c>
    </row>
    <row r="43" spans="1:49" x14ac:dyDescent="0.2">
      <c r="A43">
        <v>41</v>
      </c>
      <c r="B43" t="s">
        <v>8335</v>
      </c>
      <c r="D43" t="s">
        <v>8334</v>
      </c>
      <c r="F43" t="s">
        <v>8333</v>
      </c>
      <c r="G43" t="s">
        <v>4</v>
      </c>
      <c r="H43" t="s">
        <v>3</v>
      </c>
      <c r="I43" t="s">
        <v>8332</v>
      </c>
      <c r="J43">
        <v>60011357</v>
      </c>
      <c r="K43" t="s">
        <v>292</v>
      </c>
      <c r="L43" t="s">
        <v>291</v>
      </c>
      <c r="M43" t="s">
        <v>250</v>
      </c>
      <c r="N43">
        <v>2</v>
      </c>
      <c r="O43" t="s">
        <v>290</v>
      </c>
      <c r="P43" t="s">
        <v>289</v>
      </c>
      <c r="Q43" t="s">
        <v>288</v>
      </c>
      <c r="R43" s="8">
        <v>35765</v>
      </c>
      <c r="S43" s="9">
        <f t="shared" si="0"/>
        <v>1997</v>
      </c>
      <c r="T43" s="9">
        <v>1997</v>
      </c>
      <c r="U43" s="9">
        <f t="shared" si="1"/>
        <v>25</v>
      </c>
      <c r="V43" s="8">
        <v>1997</v>
      </c>
      <c r="W43" t="s">
        <v>392</v>
      </c>
      <c r="X43" s="2">
        <v>1.6519999999999999</v>
      </c>
      <c r="Y43" s="7">
        <f t="shared" si="2"/>
        <v>4.409919649769093E-2</v>
      </c>
      <c r="AA43" t="s">
        <v>391</v>
      </c>
      <c r="AB43">
        <v>17337</v>
      </c>
      <c r="AD43" t="s">
        <v>1</v>
      </c>
      <c r="AE43">
        <v>45</v>
      </c>
      <c r="AF43">
        <v>12</v>
      </c>
      <c r="AH43">
        <v>18891891</v>
      </c>
      <c r="AI43" t="s">
        <v>8331</v>
      </c>
      <c r="AJ43" t="s">
        <v>272</v>
      </c>
      <c r="AK43" t="s">
        <v>8330</v>
      </c>
      <c r="AL43">
        <v>19</v>
      </c>
      <c r="AM43" s="5">
        <f t="shared" si="3"/>
        <v>0.76</v>
      </c>
      <c r="AN43" s="4">
        <f t="shared" si="4"/>
        <v>1.1510791366906475E-3</v>
      </c>
      <c r="AO43" s="3"/>
      <c r="AP43">
        <v>0</v>
      </c>
      <c r="AR43" t="s">
        <v>0</v>
      </c>
      <c r="AT43" s="2" t="s">
        <v>5</v>
      </c>
      <c r="AU43" s="1">
        <f t="shared" si="5"/>
        <v>3.1214761289390847</v>
      </c>
      <c r="AV43" s="1">
        <f t="shared" si="6"/>
        <v>2.2625137817190786</v>
      </c>
      <c r="AW43" s="1">
        <f t="shared" si="7"/>
        <v>1.4035514344990732</v>
      </c>
    </row>
    <row r="44" spans="1:49" x14ac:dyDescent="0.2">
      <c r="A44">
        <v>42</v>
      </c>
      <c r="B44" t="s">
        <v>8329</v>
      </c>
      <c r="D44" t="s">
        <v>8328</v>
      </c>
      <c r="F44" t="s">
        <v>8327</v>
      </c>
      <c r="G44" t="s">
        <v>4</v>
      </c>
      <c r="H44" t="s">
        <v>3</v>
      </c>
      <c r="I44" t="s">
        <v>7546</v>
      </c>
      <c r="J44">
        <v>60011373</v>
      </c>
      <c r="K44" t="s">
        <v>323</v>
      </c>
      <c r="L44" t="s">
        <v>322</v>
      </c>
      <c r="M44" t="s">
        <v>106</v>
      </c>
      <c r="N44">
        <v>2</v>
      </c>
      <c r="O44" t="s">
        <v>7545</v>
      </c>
      <c r="P44" t="s">
        <v>7544</v>
      </c>
      <c r="Q44" t="s">
        <v>7543</v>
      </c>
      <c r="R44" s="8">
        <v>35765</v>
      </c>
      <c r="S44" s="9">
        <f t="shared" si="0"/>
        <v>1997</v>
      </c>
      <c r="T44" s="9">
        <v>1997</v>
      </c>
      <c r="U44" s="9">
        <f t="shared" si="1"/>
        <v>25</v>
      </c>
      <c r="V44" s="8">
        <v>1997</v>
      </c>
      <c r="W44" t="s">
        <v>392</v>
      </c>
      <c r="X44" s="2">
        <v>1.6519999999999999</v>
      </c>
      <c r="Y44" s="7">
        <f t="shared" si="2"/>
        <v>4.409919649769093E-2</v>
      </c>
      <c r="AA44" t="s">
        <v>391</v>
      </c>
      <c r="AB44">
        <v>17337</v>
      </c>
      <c r="AD44" t="s">
        <v>1</v>
      </c>
      <c r="AE44">
        <v>45</v>
      </c>
      <c r="AF44">
        <v>12</v>
      </c>
      <c r="AH44">
        <v>17271740</v>
      </c>
      <c r="AI44" t="s">
        <v>8326</v>
      </c>
      <c r="AJ44" t="s">
        <v>8325</v>
      </c>
      <c r="AK44" t="s">
        <v>8324</v>
      </c>
      <c r="AL44">
        <v>11</v>
      </c>
      <c r="AM44" s="5">
        <f t="shared" si="3"/>
        <v>0.44</v>
      </c>
      <c r="AN44" s="4">
        <f t="shared" si="4"/>
        <v>6.6641423703142752E-4</v>
      </c>
      <c r="AO44" s="3"/>
      <c r="AP44">
        <v>0</v>
      </c>
      <c r="AR44" t="s">
        <v>0</v>
      </c>
      <c r="AT44" s="2" t="s">
        <v>5</v>
      </c>
      <c r="AU44" s="1">
        <f t="shared" si="5"/>
        <v>3.1069361819493078</v>
      </c>
      <c r="AV44" s="1">
        <f t="shared" si="6"/>
        <v>2.2382805367361178</v>
      </c>
      <c r="AW44" s="1">
        <f t="shared" si="7"/>
        <v>1.3696248915229277</v>
      </c>
    </row>
    <row r="45" spans="1:49" x14ac:dyDescent="0.2">
      <c r="A45">
        <v>43</v>
      </c>
      <c r="B45" t="s">
        <v>8323</v>
      </c>
      <c r="D45" t="s">
        <v>8322</v>
      </c>
      <c r="F45" t="s">
        <v>7501</v>
      </c>
      <c r="G45" t="s">
        <v>4</v>
      </c>
      <c r="H45" t="s">
        <v>3</v>
      </c>
      <c r="I45" t="s">
        <v>7500</v>
      </c>
      <c r="J45">
        <v>60015941</v>
      </c>
      <c r="K45" t="s">
        <v>437</v>
      </c>
      <c r="L45" t="s">
        <v>436</v>
      </c>
      <c r="M45" t="s">
        <v>2</v>
      </c>
      <c r="N45">
        <v>2</v>
      </c>
      <c r="O45" t="s">
        <v>7499</v>
      </c>
      <c r="P45" t="s">
        <v>7498</v>
      </c>
      <c r="Q45" t="s">
        <v>435</v>
      </c>
      <c r="R45" s="8">
        <v>35765</v>
      </c>
      <c r="S45" s="9">
        <f t="shared" si="0"/>
        <v>1997</v>
      </c>
      <c r="T45" s="9">
        <v>1997</v>
      </c>
      <c r="U45" s="9">
        <f t="shared" si="1"/>
        <v>25</v>
      </c>
      <c r="V45" s="8">
        <v>1997</v>
      </c>
      <c r="W45" t="s">
        <v>392</v>
      </c>
      <c r="X45" s="2">
        <v>1.6519999999999999</v>
      </c>
      <c r="Y45" s="7">
        <f t="shared" si="2"/>
        <v>4.409919649769093E-2</v>
      </c>
      <c r="AA45" t="s">
        <v>391</v>
      </c>
      <c r="AB45">
        <v>17337</v>
      </c>
      <c r="AD45" t="s">
        <v>1</v>
      </c>
      <c r="AE45">
        <v>45</v>
      </c>
      <c r="AF45">
        <v>12</v>
      </c>
      <c r="AH45">
        <v>18831885</v>
      </c>
      <c r="AI45" t="s">
        <v>8321</v>
      </c>
      <c r="AJ45" t="s">
        <v>8320</v>
      </c>
      <c r="AK45" t="s">
        <v>7495</v>
      </c>
      <c r="AL45">
        <v>1</v>
      </c>
      <c r="AM45" s="5">
        <f t="shared" si="3"/>
        <v>0.04</v>
      </c>
      <c r="AN45" s="4">
        <f t="shared" si="4"/>
        <v>6.05831124574025E-5</v>
      </c>
      <c r="AO45" s="3"/>
      <c r="AP45">
        <v>0</v>
      </c>
      <c r="AR45" t="s">
        <v>0</v>
      </c>
      <c r="AT45" s="2" t="s">
        <v>5</v>
      </c>
      <c r="AU45" s="1">
        <f t="shared" si="5"/>
        <v>3.0887612482120872</v>
      </c>
      <c r="AV45" s="1">
        <f t="shared" si="6"/>
        <v>2.2079889805074164</v>
      </c>
      <c r="AW45" s="1">
        <f t="shared" si="7"/>
        <v>1.3272167128027459</v>
      </c>
    </row>
    <row r="46" spans="1:49" x14ac:dyDescent="0.2">
      <c r="A46">
        <v>44</v>
      </c>
      <c r="B46" t="s">
        <v>8319</v>
      </c>
      <c r="D46" t="s">
        <v>8318</v>
      </c>
      <c r="F46" t="s">
        <v>7640</v>
      </c>
      <c r="G46" t="s">
        <v>4</v>
      </c>
      <c r="H46" t="s">
        <v>3</v>
      </c>
      <c r="I46" t="s">
        <v>24</v>
      </c>
      <c r="J46">
        <v>60001881</v>
      </c>
      <c r="K46" t="s">
        <v>23</v>
      </c>
      <c r="L46" t="s">
        <v>22</v>
      </c>
      <c r="M46" t="s">
        <v>8</v>
      </c>
      <c r="N46">
        <v>2</v>
      </c>
      <c r="O46" t="s">
        <v>21</v>
      </c>
      <c r="P46" t="s">
        <v>20</v>
      </c>
      <c r="Q46" t="s">
        <v>19</v>
      </c>
      <c r="R46" s="8">
        <v>35765</v>
      </c>
      <c r="S46" s="9">
        <f t="shared" si="0"/>
        <v>1997</v>
      </c>
      <c r="T46" s="9">
        <v>1997</v>
      </c>
      <c r="U46" s="9">
        <f t="shared" si="1"/>
        <v>25</v>
      </c>
      <c r="V46" s="8">
        <v>1997</v>
      </c>
      <c r="W46" t="s">
        <v>392</v>
      </c>
      <c r="X46" s="2">
        <v>1.6519999999999999</v>
      </c>
      <c r="Y46" s="7">
        <f t="shared" si="2"/>
        <v>4.409919649769093E-2</v>
      </c>
      <c r="AA46" t="s">
        <v>391</v>
      </c>
      <c r="AB46">
        <v>17337</v>
      </c>
      <c r="AD46" t="s">
        <v>1</v>
      </c>
      <c r="AE46">
        <v>45</v>
      </c>
      <c r="AF46">
        <v>12</v>
      </c>
      <c r="AH46">
        <v>18801881</v>
      </c>
      <c r="AI46" t="s">
        <v>8317</v>
      </c>
      <c r="AJ46" t="s">
        <v>8316</v>
      </c>
      <c r="AK46" t="s">
        <v>7637</v>
      </c>
      <c r="AL46">
        <v>0</v>
      </c>
      <c r="AM46" s="5">
        <f t="shared" si="3"/>
        <v>0</v>
      </c>
      <c r="AN46" s="4">
        <f t="shared" si="4"/>
        <v>0</v>
      </c>
      <c r="AO46" s="3"/>
      <c r="AP46">
        <v>0</v>
      </c>
      <c r="AR46" t="s">
        <v>0</v>
      </c>
      <c r="AT46" s="2" t="s">
        <v>5</v>
      </c>
      <c r="AU46" s="1">
        <f t="shared" si="5"/>
        <v>3.0869437548383649</v>
      </c>
      <c r="AV46" s="1">
        <f t="shared" si="6"/>
        <v>2.2049598248845466</v>
      </c>
      <c r="AW46" s="1">
        <f t="shared" si="7"/>
        <v>1.3229758949307278</v>
      </c>
    </row>
    <row r="47" spans="1:49" x14ac:dyDescent="0.2">
      <c r="A47">
        <v>45</v>
      </c>
      <c r="B47" t="s">
        <v>8315</v>
      </c>
      <c r="F47" t="s">
        <v>8314</v>
      </c>
      <c r="G47" t="s">
        <v>4</v>
      </c>
      <c r="H47" t="s">
        <v>3</v>
      </c>
      <c r="I47" t="s">
        <v>8313</v>
      </c>
      <c r="N47">
        <v>7</v>
      </c>
      <c r="O47" t="s">
        <v>8312</v>
      </c>
      <c r="P47" t="s">
        <v>8311</v>
      </c>
      <c r="Q47" t="s">
        <v>532</v>
      </c>
      <c r="R47" s="8">
        <v>35765</v>
      </c>
      <c r="S47" s="9">
        <f t="shared" si="0"/>
        <v>1997</v>
      </c>
      <c r="T47" s="9">
        <v>1997</v>
      </c>
      <c r="U47" s="9">
        <f t="shared" si="1"/>
        <v>25</v>
      </c>
      <c r="V47" s="8">
        <v>1997</v>
      </c>
      <c r="W47" t="s">
        <v>8241</v>
      </c>
      <c r="X47" s="2" t="s">
        <v>5</v>
      </c>
      <c r="Y47" s="7" t="e">
        <f t="shared" si="2"/>
        <v>#VALUE!</v>
      </c>
      <c r="AA47">
        <v>2721724</v>
      </c>
      <c r="AB47">
        <v>65386</v>
      </c>
      <c r="AD47" t="s">
        <v>1</v>
      </c>
      <c r="AE47">
        <v>17</v>
      </c>
      <c r="AF47">
        <v>9</v>
      </c>
      <c r="AH47">
        <v>31</v>
      </c>
      <c r="AI47" t="s">
        <v>8310</v>
      </c>
      <c r="AJ47" t="s">
        <v>8309</v>
      </c>
      <c r="AK47" t="s">
        <v>8308</v>
      </c>
      <c r="AL47">
        <v>0</v>
      </c>
      <c r="AM47" s="5">
        <f t="shared" si="3"/>
        <v>0</v>
      </c>
      <c r="AN47" s="4">
        <f t="shared" si="4"/>
        <v>0</v>
      </c>
      <c r="AO47" s="3"/>
      <c r="AP47">
        <v>0</v>
      </c>
      <c r="AR47" t="s">
        <v>0</v>
      </c>
      <c r="AT47" s="2" t="s">
        <v>5</v>
      </c>
      <c r="AU47" s="1" t="e">
        <f t="shared" si="5"/>
        <v>#VALUE!</v>
      </c>
      <c r="AV47" s="1" t="e">
        <f t="shared" si="6"/>
        <v>#VALUE!</v>
      </c>
      <c r="AW47" s="1" t="e">
        <f t="shared" si="7"/>
        <v>#VALUE!</v>
      </c>
    </row>
    <row r="48" spans="1:49" x14ac:dyDescent="0.2">
      <c r="A48">
        <v>46</v>
      </c>
      <c r="B48" t="s">
        <v>8307</v>
      </c>
      <c r="D48" t="s">
        <v>8306</v>
      </c>
      <c r="F48" t="s">
        <v>8305</v>
      </c>
      <c r="G48" t="s">
        <v>4</v>
      </c>
      <c r="H48" t="s">
        <v>3</v>
      </c>
      <c r="I48" t="s">
        <v>8255</v>
      </c>
      <c r="J48" t="s">
        <v>8254</v>
      </c>
      <c r="K48" t="s">
        <v>8253</v>
      </c>
      <c r="L48" t="s">
        <v>8252</v>
      </c>
      <c r="M48" t="s">
        <v>6736</v>
      </c>
      <c r="N48">
        <v>3</v>
      </c>
      <c r="O48" t="s">
        <v>8251</v>
      </c>
      <c r="P48" t="s">
        <v>8250</v>
      </c>
      <c r="Q48" t="s">
        <v>8304</v>
      </c>
      <c r="R48" s="8">
        <v>35765</v>
      </c>
      <c r="S48" s="9">
        <f t="shared" si="0"/>
        <v>1997</v>
      </c>
      <c r="T48" s="9">
        <v>1997</v>
      </c>
      <c r="U48" s="9">
        <f t="shared" si="1"/>
        <v>25</v>
      </c>
      <c r="V48" s="8">
        <v>1997</v>
      </c>
      <c r="W48" t="s">
        <v>1803</v>
      </c>
      <c r="X48" s="2">
        <v>1.6379999999999999</v>
      </c>
      <c r="Y48" s="7">
        <f t="shared" si="2"/>
        <v>4.3725474493473214E-2</v>
      </c>
      <c r="AA48" t="s">
        <v>1802</v>
      </c>
      <c r="AB48">
        <v>17391</v>
      </c>
      <c r="AD48" t="s">
        <v>1</v>
      </c>
      <c r="AE48">
        <v>45</v>
      </c>
      <c r="AF48">
        <v>5</v>
      </c>
      <c r="AH48">
        <v>1400</v>
      </c>
      <c r="AI48" t="s">
        <v>8303</v>
      </c>
      <c r="AK48" t="s">
        <v>8302</v>
      </c>
      <c r="AL48">
        <v>0</v>
      </c>
      <c r="AM48" s="5">
        <f t="shared" si="3"/>
        <v>0</v>
      </c>
      <c r="AN48" s="4">
        <f t="shared" si="4"/>
        <v>0</v>
      </c>
      <c r="AO48" s="3"/>
      <c r="AP48">
        <v>0</v>
      </c>
      <c r="AR48" t="s">
        <v>0</v>
      </c>
      <c r="AT48" s="2">
        <v>4.931</v>
      </c>
      <c r="AU48" s="1">
        <f t="shared" si="5"/>
        <v>3.0607832145431249</v>
      </c>
      <c r="AV48" s="1">
        <f t="shared" si="6"/>
        <v>2.1862737246736605</v>
      </c>
      <c r="AW48" s="1">
        <f t="shared" si="7"/>
        <v>1.3117642348041965</v>
      </c>
    </row>
    <row r="49" spans="1:49" x14ac:dyDescent="0.2">
      <c r="A49">
        <v>47</v>
      </c>
      <c r="B49" t="s">
        <v>8301</v>
      </c>
      <c r="D49" t="s">
        <v>8300</v>
      </c>
      <c r="F49" t="s">
        <v>8299</v>
      </c>
      <c r="G49" t="s">
        <v>4</v>
      </c>
      <c r="H49" t="s">
        <v>3</v>
      </c>
      <c r="I49" t="s">
        <v>8298</v>
      </c>
      <c r="J49" t="s">
        <v>8297</v>
      </c>
      <c r="K49" t="s">
        <v>8296</v>
      </c>
      <c r="L49" t="s">
        <v>8295</v>
      </c>
      <c r="M49" t="s">
        <v>18</v>
      </c>
      <c r="N49">
        <v>3</v>
      </c>
      <c r="O49" t="s">
        <v>8294</v>
      </c>
      <c r="P49" t="s">
        <v>1805</v>
      </c>
      <c r="Q49" t="s">
        <v>8293</v>
      </c>
      <c r="R49" s="8">
        <v>35765</v>
      </c>
      <c r="S49" s="9">
        <f t="shared" si="0"/>
        <v>1997</v>
      </c>
      <c r="T49" s="9">
        <v>1997</v>
      </c>
      <c r="U49" s="9">
        <f t="shared" si="1"/>
        <v>25</v>
      </c>
      <c r="V49" s="8">
        <v>1997</v>
      </c>
      <c r="W49" t="s">
        <v>1803</v>
      </c>
      <c r="X49" s="2">
        <v>1.6379999999999999</v>
      </c>
      <c r="Y49" s="7">
        <f t="shared" si="2"/>
        <v>4.3725474493473214E-2</v>
      </c>
      <c r="AA49" t="s">
        <v>1802</v>
      </c>
      <c r="AB49">
        <v>17391</v>
      </c>
      <c r="AD49" t="s">
        <v>1</v>
      </c>
      <c r="AE49">
        <v>45</v>
      </c>
      <c r="AF49">
        <v>9</v>
      </c>
      <c r="AH49">
        <v>22652276</v>
      </c>
      <c r="AI49" t="s">
        <v>8292</v>
      </c>
      <c r="AJ49" t="s">
        <v>8291</v>
      </c>
      <c r="AK49" t="s">
        <v>8290</v>
      </c>
      <c r="AL49">
        <v>14</v>
      </c>
      <c r="AM49" s="5">
        <f t="shared" si="3"/>
        <v>0.56000000000000005</v>
      </c>
      <c r="AN49" s="4">
        <f t="shared" si="4"/>
        <v>8.4816357440363509E-4</v>
      </c>
      <c r="AO49" s="3"/>
      <c r="AP49">
        <v>0</v>
      </c>
      <c r="AR49" t="s">
        <v>0</v>
      </c>
      <c r="AT49" s="2">
        <v>4.931</v>
      </c>
      <c r="AU49" s="1">
        <f t="shared" si="5"/>
        <v>3.0862281217752341</v>
      </c>
      <c r="AV49" s="1">
        <f t="shared" si="6"/>
        <v>2.2286819033938423</v>
      </c>
      <c r="AW49" s="1">
        <f t="shared" si="7"/>
        <v>1.3711356850124508</v>
      </c>
    </row>
    <row r="50" spans="1:49" x14ac:dyDescent="0.2">
      <c r="A50">
        <v>48</v>
      </c>
      <c r="B50" t="s">
        <v>8289</v>
      </c>
      <c r="D50" t="s">
        <v>8288</v>
      </c>
      <c r="F50" t="s">
        <v>8287</v>
      </c>
      <c r="G50" t="s">
        <v>4</v>
      </c>
      <c r="H50" t="s">
        <v>3</v>
      </c>
      <c r="I50" t="s">
        <v>8286</v>
      </c>
      <c r="J50">
        <v>60029859</v>
      </c>
      <c r="K50" t="s">
        <v>8285</v>
      </c>
      <c r="L50" t="s">
        <v>500</v>
      </c>
      <c r="M50" t="s">
        <v>26</v>
      </c>
      <c r="N50">
        <v>2</v>
      </c>
      <c r="O50" t="s">
        <v>8284</v>
      </c>
      <c r="P50" t="s">
        <v>8283</v>
      </c>
      <c r="Q50" t="s">
        <v>8282</v>
      </c>
      <c r="R50" s="8">
        <v>35765</v>
      </c>
      <c r="S50" s="9">
        <f t="shared" si="0"/>
        <v>1997</v>
      </c>
      <c r="T50" s="9">
        <v>1997</v>
      </c>
      <c r="U50" s="9">
        <f t="shared" si="1"/>
        <v>25</v>
      </c>
      <c r="V50" s="8">
        <v>1997</v>
      </c>
      <c r="W50" t="s">
        <v>1803</v>
      </c>
      <c r="X50" s="2">
        <v>1.6379999999999999</v>
      </c>
      <c r="Y50" s="7">
        <f t="shared" si="2"/>
        <v>4.3725474493473214E-2</v>
      </c>
      <c r="AA50" t="s">
        <v>1802</v>
      </c>
      <c r="AB50">
        <v>17391</v>
      </c>
      <c r="AD50" t="s">
        <v>1</v>
      </c>
      <c r="AE50">
        <v>45</v>
      </c>
      <c r="AF50">
        <v>6</v>
      </c>
      <c r="AH50">
        <v>1676</v>
      </c>
      <c r="AI50" t="s">
        <v>8281</v>
      </c>
      <c r="AK50" t="s">
        <v>8280</v>
      </c>
      <c r="AL50">
        <v>0</v>
      </c>
      <c r="AM50" s="5">
        <f t="shared" si="3"/>
        <v>0</v>
      </c>
      <c r="AN50" s="4">
        <f t="shared" si="4"/>
        <v>0</v>
      </c>
      <c r="AO50" s="3"/>
      <c r="AP50">
        <v>0</v>
      </c>
      <c r="AR50" t="s">
        <v>0</v>
      </c>
      <c r="AT50" s="2">
        <v>4.931</v>
      </c>
      <c r="AU50" s="1">
        <f t="shared" si="5"/>
        <v>3.0607832145431249</v>
      </c>
      <c r="AV50" s="1">
        <f t="shared" si="6"/>
        <v>2.1862737246736605</v>
      </c>
      <c r="AW50" s="1">
        <f t="shared" si="7"/>
        <v>1.3117642348041965</v>
      </c>
    </row>
    <row r="51" spans="1:49" x14ac:dyDescent="0.2">
      <c r="A51">
        <v>49</v>
      </c>
      <c r="B51" t="s">
        <v>8279</v>
      </c>
      <c r="D51" t="s">
        <v>8278</v>
      </c>
      <c r="F51" t="s">
        <v>8277</v>
      </c>
      <c r="G51" t="s">
        <v>4</v>
      </c>
      <c r="H51" t="s">
        <v>3</v>
      </c>
      <c r="I51" t="s">
        <v>8276</v>
      </c>
      <c r="J51">
        <v>60002014</v>
      </c>
      <c r="K51" t="s">
        <v>8275</v>
      </c>
      <c r="L51" t="s">
        <v>8274</v>
      </c>
      <c r="M51" t="s">
        <v>701</v>
      </c>
      <c r="N51">
        <v>2</v>
      </c>
      <c r="O51" t="s">
        <v>8273</v>
      </c>
      <c r="P51" t="s">
        <v>8272</v>
      </c>
      <c r="Q51" t="s">
        <v>8271</v>
      </c>
      <c r="R51" s="8">
        <v>35765</v>
      </c>
      <c r="S51" s="9">
        <f t="shared" si="0"/>
        <v>1997</v>
      </c>
      <c r="T51" s="9">
        <v>1997</v>
      </c>
      <c r="U51" s="9">
        <f t="shared" si="1"/>
        <v>25</v>
      </c>
      <c r="V51" s="8">
        <v>1997</v>
      </c>
      <c r="W51" t="s">
        <v>1803</v>
      </c>
      <c r="X51" s="2">
        <v>1.6379999999999999</v>
      </c>
      <c r="Y51" s="7">
        <f t="shared" si="2"/>
        <v>4.3725474493473214E-2</v>
      </c>
      <c r="AA51" t="s">
        <v>1802</v>
      </c>
      <c r="AB51">
        <v>17391</v>
      </c>
      <c r="AD51" t="s">
        <v>1</v>
      </c>
      <c r="AE51">
        <v>45</v>
      </c>
      <c r="AF51">
        <v>10</v>
      </c>
      <c r="AH51">
        <v>2627</v>
      </c>
      <c r="AI51" t="s">
        <v>8270</v>
      </c>
      <c r="AK51" t="s">
        <v>8269</v>
      </c>
      <c r="AL51">
        <v>2</v>
      </c>
      <c r="AM51" s="5">
        <f t="shared" si="3"/>
        <v>0.08</v>
      </c>
      <c r="AN51" s="4">
        <f t="shared" si="4"/>
        <v>1.21166224914805E-4</v>
      </c>
      <c r="AO51" s="3"/>
      <c r="AP51">
        <v>0</v>
      </c>
      <c r="AR51" t="s">
        <v>0</v>
      </c>
      <c r="AT51" s="2">
        <v>4.931</v>
      </c>
      <c r="AU51" s="1">
        <f t="shared" si="5"/>
        <v>3.064418201290569</v>
      </c>
      <c r="AV51" s="1">
        <f t="shared" si="6"/>
        <v>2.1923320359194012</v>
      </c>
      <c r="AW51" s="1">
        <f t="shared" si="7"/>
        <v>1.3202458705482327</v>
      </c>
    </row>
    <row r="52" spans="1:49" x14ac:dyDescent="0.2">
      <c r="A52">
        <v>50</v>
      </c>
      <c r="B52" t="s">
        <v>8268</v>
      </c>
      <c r="D52" t="s">
        <v>8267</v>
      </c>
      <c r="F52" t="s">
        <v>8266</v>
      </c>
      <c r="G52" t="s">
        <v>4</v>
      </c>
      <c r="H52" t="s">
        <v>3</v>
      </c>
      <c r="I52" t="s">
        <v>8265</v>
      </c>
      <c r="J52">
        <v>60103581</v>
      </c>
      <c r="K52" t="s">
        <v>8264</v>
      </c>
      <c r="L52" t="s">
        <v>457</v>
      </c>
      <c r="M52" t="s">
        <v>50</v>
      </c>
      <c r="N52">
        <v>3</v>
      </c>
      <c r="O52" t="s">
        <v>8263</v>
      </c>
      <c r="P52" t="s">
        <v>8262</v>
      </c>
      <c r="Q52" t="s">
        <v>8261</v>
      </c>
      <c r="R52" s="8">
        <v>35765</v>
      </c>
      <c r="S52" s="9">
        <f t="shared" si="0"/>
        <v>1997</v>
      </c>
      <c r="T52" s="9">
        <v>1997</v>
      </c>
      <c r="U52" s="9">
        <f t="shared" si="1"/>
        <v>25</v>
      </c>
      <c r="V52" s="8">
        <v>1997</v>
      </c>
      <c r="W52" t="s">
        <v>1803</v>
      </c>
      <c r="X52" s="2">
        <v>1.6379999999999999</v>
      </c>
      <c r="Y52" s="7">
        <f t="shared" si="2"/>
        <v>4.3725474493473214E-2</v>
      </c>
      <c r="AA52" t="s">
        <v>1802</v>
      </c>
      <c r="AB52">
        <v>17391</v>
      </c>
      <c r="AD52" t="s">
        <v>1</v>
      </c>
      <c r="AE52">
        <v>45</v>
      </c>
      <c r="AF52">
        <v>2</v>
      </c>
      <c r="AH52">
        <v>508</v>
      </c>
      <c r="AI52" t="s">
        <v>8260</v>
      </c>
      <c r="AK52" t="s">
        <v>8259</v>
      </c>
      <c r="AL52">
        <v>0</v>
      </c>
      <c r="AM52" s="5">
        <f t="shared" si="3"/>
        <v>0</v>
      </c>
      <c r="AN52" s="4">
        <f t="shared" si="4"/>
        <v>0</v>
      </c>
      <c r="AO52" s="3"/>
      <c r="AP52">
        <v>0</v>
      </c>
      <c r="AR52" t="s">
        <v>0</v>
      </c>
      <c r="AT52" s="2">
        <v>4.931</v>
      </c>
      <c r="AU52" s="1">
        <f t="shared" si="5"/>
        <v>3.0607832145431249</v>
      </c>
      <c r="AV52" s="1">
        <f t="shared" si="6"/>
        <v>2.1862737246736605</v>
      </c>
      <c r="AW52" s="1">
        <f t="shared" si="7"/>
        <v>1.3117642348041965</v>
      </c>
    </row>
    <row r="53" spans="1:49" x14ac:dyDescent="0.2">
      <c r="A53">
        <v>51</v>
      </c>
      <c r="B53" t="s">
        <v>8258</v>
      </c>
      <c r="D53" t="s">
        <v>8257</v>
      </c>
      <c r="F53" t="s">
        <v>8256</v>
      </c>
      <c r="G53" t="s">
        <v>4</v>
      </c>
      <c r="H53" t="s">
        <v>3</v>
      </c>
      <c r="I53" t="s">
        <v>8255</v>
      </c>
      <c r="J53" t="s">
        <v>8254</v>
      </c>
      <c r="K53" t="s">
        <v>8253</v>
      </c>
      <c r="L53" t="s">
        <v>8252</v>
      </c>
      <c r="M53" t="s">
        <v>6736</v>
      </c>
      <c r="N53">
        <v>5</v>
      </c>
      <c r="O53" t="s">
        <v>8251</v>
      </c>
      <c r="P53" t="s">
        <v>8250</v>
      </c>
      <c r="Q53" t="s">
        <v>8249</v>
      </c>
      <c r="R53" s="8">
        <v>35765</v>
      </c>
      <c r="S53" s="9">
        <f t="shared" si="0"/>
        <v>1997</v>
      </c>
      <c r="T53" s="9">
        <v>1997</v>
      </c>
      <c r="U53" s="9">
        <f t="shared" si="1"/>
        <v>25</v>
      </c>
      <c r="V53" s="8">
        <v>1997</v>
      </c>
      <c r="W53" t="s">
        <v>1803</v>
      </c>
      <c r="X53" s="2">
        <v>1.6379999999999999</v>
      </c>
      <c r="Y53" s="7">
        <f t="shared" si="2"/>
        <v>4.3725474493473214E-2</v>
      </c>
      <c r="AA53" t="s">
        <v>1802</v>
      </c>
      <c r="AB53">
        <v>17391</v>
      </c>
      <c r="AD53" t="s">
        <v>1</v>
      </c>
      <c r="AE53">
        <v>45</v>
      </c>
      <c r="AF53">
        <v>3</v>
      </c>
      <c r="AH53">
        <v>820</v>
      </c>
      <c r="AI53" t="s">
        <v>8248</v>
      </c>
      <c r="AK53" t="s">
        <v>8247</v>
      </c>
      <c r="AL53">
        <v>0</v>
      </c>
      <c r="AM53" s="5">
        <f t="shared" si="3"/>
        <v>0</v>
      </c>
      <c r="AN53" s="4">
        <f t="shared" si="4"/>
        <v>0</v>
      </c>
      <c r="AO53" s="3"/>
      <c r="AP53">
        <v>0</v>
      </c>
      <c r="AR53" t="s">
        <v>0</v>
      </c>
      <c r="AT53" s="2">
        <v>4.931</v>
      </c>
      <c r="AU53" s="1">
        <f t="shared" si="5"/>
        <v>3.0607832145431249</v>
      </c>
      <c r="AV53" s="1">
        <f t="shared" si="6"/>
        <v>2.1862737246736605</v>
      </c>
      <c r="AW53" s="1">
        <f t="shared" si="7"/>
        <v>1.3117642348041965</v>
      </c>
    </row>
    <row r="54" spans="1:49" x14ac:dyDescent="0.2">
      <c r="A54">
        <v>52</v>
      </c>
      <c r="B54" t="s">
        <v>8246</v>
      </c>
      <c r="F54" t="s">
        <v>8245</v>
      </c>
      <c r="G54" t="s">
        <v>4</v>
      </c>
      <c r="H54" t="s">
        <v>3</v>
      </c>
      <c r="I54" t="s">
        <v>8244</v>
      </c>
      <c r="J54">
        <v>60015815</v>
      </c>
      <c r="K54" t="s">
        <v>582</v>
      </c>
      <c r="L54" t="s">
        <v>581</v>
      </c>
      <c r="M54" t="s">
        <v>7</v>
      </c>
      <c r="N54">
        <v>2</v>
      </c>
      <c r="O54" t="s">
        <v>8243</v>
      </c>
      <c r="P54" t="s">
        <v>8242</v>
      </c>
      <c r="Q54" t="s">
        <v>580</v>
      </c>
      <c r="R54" s="8">
        <v>35765</v>
      </c>
      <c r="S54" s="9">
        <f t="shared" si="0"/>
        <v>1997</v>
      </c>
      <c r="T54" s="9">
        <v>1997</v>
      </c>
      <c r="U54" s="9">
        <f t="shared" si="1"/>
        <v>25</v>
      </c>
      <c r="V54" s="8">
        <v>1997</v>
      </c>
      <c r="W54" t="s">
        <v>8241</v>
      </c>
      <c r="X54" s="2" t="s">
        <v>5</v>
      </c>
      <c r="Y54" s="7" t="e">
        <f t="shared" si="2"/>
        <v>#VALUE!</v>
      </c>
      <c r="AA54">
        <v>2721724</v>
      </c>
      <c r="AB54">
        <v>65386</v>
      </c>
      <c r="AD54" t="s">
        <v>1</v>
      </c>
      <c r="AE54">
        <v>17</v>
      </c>
      <c r="AF54">
        <v>11</v>
      </c>
      <c r="AH54">
        <v>56</v>
      </c>
      <c r="AI54" t="s">
        <v>8240</v>
      </c>
      <c r="AJ54" t="s">
        <v>8239</v>
      </c>
      <c r="AK54" t="s">
        <v>8238</v>
      </c>
      <c r="AL54">
        <v>0</v>
      </c>
      <c r="AM54" s="5">
        <f t="shared" si="3"/>
        <v>0</v>
      </c>
      <c r="AN54" s="4">
        <f t="shared" si="4"/>
        <v>0</v>
      </c>
      <c r="AO54" s="3"/>
      <c r="AP54">
        <v>0</v>
      </c>
      <c r="AR54" t="s">
        <v>0</v>
      </c>
      <c r="AT54" s="2" t="s">
        <v>5</v>
      </c>
      <c r="AU54" s="1" t="e">
        <f t="shared" si="5"/>
        <v>#VALUE!</v>
      </c>
      <c r="AV54" s="1" t="e">
        <f t="shared" si="6"/>
        <v>#VALUE!</v>
      </c>
      <c r="AW54" s="1" t="e">
        <f t="shared" si="7"/>
        <v>#VALUE!</v>
      </c>
    </row>
    <row r="55" spans="1:49" x14ac:dyDescent="0.2">
      <c r="A55">
        <v>53</v>
      </c>
      <c r="B55" t="s">
        <v>8237</v>
      </c>
      <c r="F55" t="s">
        <v>8236</v>
      </c>
      <c r="G55" t="s">
        <v>4</v>
      </c>
      <c r="H55" t="s">
        <v>3</v>
      </c>
      <c r="I55" t="s">
        <v>8235</v>
      </c>
      <c r="J55">
        <v>60007457</v>
      </c>
      <c r="K55" t="s">
        <v>509</v>
      </c>
      <c r="L55" t="s">
        <v>173</v>
      </c>
      <c r="M55" t="s">
        <v>74</v>
      </c>
      <c r="N55">
        <v>3</v>
      </c>
      <c r="O55" t="s">
        <v>8234</v>
      </c>
      <c r="P55" t="s">
        <v>8233</v>
      </c>
      <c r="Q55" t="s">
        <v>508</v>
      </c>
      <c r="R55" s="8">
        <v>35765</v>
      </c>
      <c r="S55" s="9">
        <f t="shared" si="0"/>
        <v>1997</v>
      </c>
      <c r="T55" s="9">
        <v>1997</v>
      </c>
      <c r="U55" s="9">
        <f t="shared" si="1"/>
        <v>25</v>
      </c>
      <c r="V55" s="8">
        <v>1997</v>
      </c>
      <c r="W55" t="s">
        <v>8232</v>
      </c>
      <c r="X55" s="2">
        <v>0.747</v>
      </c>
      <c r="Y55" s="7">
        <f t="shared" si="2"/>
        <v>1.9940738367902621E-2</v>
      </c>
      <c r="AA55">
        <v>62979</v>
      </c>
      <c r="AB55">
        <v>16869</v>
      </c>
      <c r="AD55" t="s">
        <v>1</v>
      </c>
      <c r="AE55">
        <v>62</v>
      </c>
      <c r="AF55">
        <v>5</v>
      </c>
      <c r="AH55" t="s">
        <v>8231</v>
      </c>
      <c r="AI55" t="s">
        <v>8230</v>
      </c>
      <c r="AJ55" t="s">
        <v>8229</v>
      </c>
      <c r="AK55" t="s">
        <v>8228</v>
      </c>
      <c r="AL55">
        <v>1</v>
      </c>
      <c r="AM55" s="5">
        <f t="shared" si="3"/>
        <v>0.04</v>
      </c>
      <c r="AN55" s="4">
        <f t="shared" si="4"/>
        <v>6.05831124574025E-5</v>
      </c>
      <c r="AO55" s="3"/>
      <c r="AP55">
        <v>0</v>
      </c>
      <c r="AR55" t="s">
        <v>0</v>
      </c>
      <c r="AT55" s="2" t="s">
        <v>5</v>
      </c>
      <c r="AU55" s="1">
        <f t="shared" si="5"/>
        <v>1.3976691791269056</v>
      </c>
      <c r="AV55" s="1">
        <f t="shared" si="6"/>
        <v>1.0000660740180012</v>
      </c>
      <c r="AW55" s="1">
        <f t="shared" si="7"/>
        <v>0.60246296890909679</v>
      </c>
    </row>
    <row r="56" spans="1:49" x14ac:dyDescent="0.2">
      <c r="A56">
        <v>54</v>
      </c>
      <c r="B56" t="s">
        <v>8227</v>
      </c>
      <c r="F56" t="s">
        <v>8226</v>
      </c>
      <c r="G56" t="s">
        <v>4</v>
      </c>
      <c r="H56" t="s">
        <v>3</v>
      </c>
      <c r="I56" t="s">
        <v>1502</v>
      </c>
      <c r="J56">
        <v>60068535</v>
      </c>
      <c r="K56" t="s">
        <v>331</v>
      </c>
      <c r="L56" t="s">
        <v>248</v>
      </c>
      <c r="M56" t="s">
        <v>247</v>
      </c>
      <c r="N56">
        <v>1</v>
      </c>
      <c r="O56" t="s">
        <v>8225</v>
      </c>
      <c r="P56">
        <v>6603361968</v>
      </c>
      <c r="Q56">
        <v>60068535</v>
      </c>
      <c r="R56" s="8">
        <v>35765</v>
      </c>
      <c r="S56" s="9">
        <f t="shared" si="0"/>
        <v>1997</v>
      </c>
      <c r="T56" s="9">
        <v>1997</v>
      </c>
      <c r="U56" s="9">
        <f t="shared" si="1"/>
        <v>25</v>
      </c>
      <c r="V56" s="8">
        <v>1997</v>
      </c>
      <c r="W56" t="s">
        <v>86</v>
      </c>
      <c r="X56" s="2">
        <v>0.14099999999999999</v>
      </c>
      <c r="Y56" s="7">
        <f t="shared" si="2"/>
        <v>3.7639144710498915E-3</v>
      </c>
      <c r="AA56">
        <v>402508</v>
      </c>
      <c r="AB56">
        <v>20868</v>
      </c>
      <c r="AD56" t="s">
        <v>1</v>
      </c>
      <c r="AE56">
        <v>51</v>
      </c>
      <c r="AF56">
        <v>9</v>
      </c>
      <c r="AH56" s="10">
        <v>41791</v>
      </c>
      <c r="AI56" t="s">
        <v>8224</v>
      </c>
      <c r="AK56" t="s">
        <v>8223</v>
      </c>
      <c r="AL56">
        <v>2</v>
      </c>
      <c r="AM56" s="5">
        <f t="shared" si="3"/>
        <v>0.08</v>
      </c>
      <c r="AN56" s="4">
        <f t="shared" si="4"/>
        <v>1.21166224914805E-4</v>
      </c>
      <c r="AO56" s="3"/>
      <c r="AP56">
        <v>0</v>
      </c>
      <c r="AR56" t="s">
        <v>0</v>
      </c>
      <c r="AT56" s="2" t="s">
        <v>5</v>
      </c>
      <c r="AU56" s="1">
        <f t="shared" si="5"/>
        <v>0.26710899972093649</v>
      </c>
      <c r="AV56" s="1">
        <f t="shared" si="6"/>
        <v>0.19425403479823483</v>
      </c>
      <c r="AW56" s="1">
        <f t="shared" si="7"/>
        <v>0.12139906987553307</v>
      </c>
    </row>
    <row r="57" spans="1:49" x14ac:dyDescent="0.2">
      <c r="A57">
        <v>55</v>
      </c>
      <c r="B57" t="s">
        <v>8222</v>
      </c>
      <c r="F57" t="s">
        <v>8221</v>
      </c>
      <c r="G57" t="s">
        <v>4</v>
      </c>
      <c r="H57" t="s">
        <v>3</v>
      </c>
      <c r="I57" t="s">
        <v>433</v>
      </c>
      <c r="J57">
        <v>100337301</v>
      </c>
      <c r="K57" t="s">
        <v>8220</v>
      </c>
      <c r="L57" t="s">
        <v>673</v>
      </c>
      <c r="M57" t="s">
        <v>247</v>
      </c>
      <c r="N57">
        <v>3</v>
      </c>
      <c r="O57" t="s">
        <v>8219</v>
      </c>
      <c r="P57" t="s">
        <v>8218</v>
      </c>
      <c r="Q57" t="s">
        <v>8217</v>
      </c>
      <c r="R57" s="8">
        <v>35765</v>
      </c>
      <c r="S57" s="9">
        <f t="shared" si="0"/>
        <v>1997</v>
      </c>
      <c r="T57" s="9">
        <v>1997</v>
      </c>
      <c r="U57" s="9">
        <f t="shared" si="1"/>
        <v>25</v>
      </c>
      <c r="V57" s="8">
        <v>1997</v>
      </c>
      <c r="W57" t="s">
        <v>86</v>
      </c>
      <c r="X57" s="2">
        <v>0.14099999999999999</v>
      </c>
      <c r="Y57" s="7">
        <f t="shared" si="2"/>
        <v>3.7639144710498915E-3</v>
      </c>
      <c r="AA57">
        <v>402508</v>
      </c>
      <c r="AB57">
        <v>20868</v>
      </c>
      <c r="AD57" t="s">
        <v>1</v>
      </c>
      <c r="AE57">
        <v>51</v>
      </c>
      <c r="AF57">
        <v>9</v>
      </c>
      <c r="AH57" s="6">
        <v>44317</v>
      </c>
      <c r="AI57" t="s">
        <v>8216</v>
      </c>
      <c r="AK57" t="s">
        <v>8215</v>
      </c>
      <c r="AL57">
        <v>1</v>
      </c>
      <c r="AM57" s="5">
        <f t="shared" si="3"/>
        <v>0.04</v>
      </c>
      <c r="AN57" s="4">
        <f t="shared" si="4"/>
        <v>6.05831124574025E-5</v>
      </c>
      <c r="AO57" s="3"/>
      <c r="AP57">
        <v>0</v>
      </c>
      <c r="AR57" t="s">
        <v>0</v>
      </c>
      <c r="AT57" s="2" t="s">
        <v>5</v>
      </c>
      <c r="AU57" s="1">
        <f t="shared" si="5"/>
        <v>0.26529150634721449</v>
      </c>
      <c r="AV57" s="1">
        <f t="shared" si="6"/>
        <v>0.19122487917536471</v>
      </c>
      <c r="AW57" s="1">
        <f t="shared" si="7"/>
        <v>0.1171582520035149</v>
      </c>
    </row>
    <row r="58" spans="1:49" x14ac:dyDescent="0.2">
      <c r="A58">
        <v>56</v>
      </c>
      <c r="B58" t="s">
        <v>8214</v>
      </c>
      <c r="F58" t="s">
        <v>8213</v>
      </c>
      <c r="G58" t="s">
        <v>4</v>
      </c>
      <c r="H58" t="s">
        <v>3</v>
      </c>
      <c r="I58" t="s">
        <v>8212</v>
      </c>
      <c r="N58">
        <v>1</v>
      </c>
      <c r="O58" t="s">
        <v>8211</v>
      </c>
      <c r="P58">
        <v>6603018976</v>
      </c>
      <c r="R58" s="8">
        <v>35765</v>
      </c>
      <c r="S58" s="9">
        <f t="shared" si="0"/>
        <v>1997</v>
      </c>
      <c r="T58" s="9">
        <v>1997</v>
      </c>
      <c r="U58" s="9">
        <f t="shared" si="1"/>
        <v>25</v>
      </c>
      <c r="V58" s="8">
        <v>1997</v>
      </c>
      <c r="W58" t="s">
        <v>8076</v>
      </c>
      <c r="X58" s="2">
        <v>0.29499999999999998</v>
      </c>
      <c r="Y58" s="7">
        <f t="shared" si="2"/>
        <v>7.8748565174448087E-3</v>
      </c>
      <c r="AA58">
        <v>10642269</v>
      </c>
      <c r="AB58">
        <v>19554</v>
      </c>
      <c r="AD58" t="s">
        <v>1</v>
      </c>
      <c r="AE58">
        <v>42</v>
      </c>
      <c r="AF58">
        <v>1</v>
      </c>
      <c r="AH58" t="s">
        <v>8210</v>
      </c>
      <c r="AI58" t="s">
        <v>8209</v>
      </c>
      <c r="AK58" t="s">
        <v>8208</v>
      </c>
      <c r="AL58">
        <v>0</v>
      </c>
      <c r="AM58" s="5">
        <f t="shared" si="3"/>
        <v>0</v>
      </c>
      <c r="AN58" s="4">
        <f t="shared" si="4"/>
        <v>0</v>
      </c>
      <c r="AO58" s="3"/>
      <c r="AP58">
        <v>0</v>
      </c>
      <c r="AR58" t="s">
        <v>0</v>
      </c>
      <c r="AT58" s="2" t="s">
        <v>5</v>
      </c>
      <c r="AU58" s="1">
        <f t="shared" si="5"/>
        <v>0.55123995622113653</v>
      </c>
      <c r="AV58" s="1">
        <f t="shared" si="6"/>
        <v>0.39374282587224041</v>
      </c>
      <c r="AW58" s="1">
        <f t="shared" si="7"/>
        <v>0.23624569552334423</v>
      </c>
    </row>
    <row r="59" spans="1:49" x14ac:dyDescent="0.2">
      <c r="A59">
        <v>57</v>
      </c>
      <c r="B59" t="s">
        <v>8207</v>
      </c>
      <c r="F59" t="s">
        <v>8206</v>
      </c>
      <c r="G59" t="s">
        <v>4</v>
      </c>
      <c r="H59" t="s">
        <v>3</v>
      </c>
      <c r="I59" t="s">
        <v>8205</v>
      </c>
      <c r="J59" t="s">
        <v>8201</v>
      </c>
      <c r="K59" t="s">
        <v>8204</v>
      </c>
      <c r="L59" t="s">
        <v>605</v>
      </c>
      <c r="M59" t="s">
        <v>482</v>
      </c>
      <c r="N59">
        <v>2</v>
      </c>
      <c r="O59" t="s">
        <v>8203</v>
      </c>
      <c r="P59" t="s">
        <v>8202</v>
      </c>
      <c r="Q59" t="s">
        <v>8201</v>
      </c>
      <c r="R59" s="8">
        <v>35765</v>
      </c>
      <c r="S59" s="9">
        <f t="shared" si="0"/>
        <v>1997</v>
      </c>
      <c r="T59" s="9">
        <v>1997</v>
      </c>
      <c r="U59" s="9">
        <f t="shared" si="1"/>
        <v>25</v>
      </c>
      <c r="V59" s="8">
        <v>1997</v>
      </c>
      <c r="W59" t="s">
        <v>8076</v>
      </c>
      <c r="X59" s="2">
        <v>0.29499999999999998</v>
      </c>
      <c r="Y59" s="7">
        <f t="shared" si="2"/>
        <v>7.8748565174448087E-3</v>
      </c>
      <c r="AA59">
        <v>10642269</v>
      </c>
      <c r="AB59">
        <v>19554</v>
      </c>
      <c r="AD59" t="s">
        <v>1</v>
      </c>
      <c r="AE59">
        <v>42</v>
      </c>
      <c r="AF59">
        <v>7</v>
      </c>
      <c r="AH59" t="s">
        <v>441</v>
      </c>
      <c r="AI59" t="s">
        <v>8200</v>
      </c>
      <c r="AK59" t="s">
        <v>8199</v>
      </c>
      <c r="AL59">
        <v>0</v>
      </c>
      <c r="AM59" s="5">
        <f t="shared" si="3"/>
        <v>0</v>
      </c>
      <c r="AN59" s="4">
        <f t="shared" si="4"/>
        <v>0</v>
      </c>
      <c r="AO59" s="3"/>
      <c r="AP59">
        <v>0</v>
      </c>
      <c r="AR59" t="s">
        <v>0</v>
      </c>
      <c r="AT59" s="2" t="s">
        <v>5</v>
      </c>
      <c r="AU59" s="1">
        <f t="shared" si="5"/>
        <v>0.55123995622113653</v>
      </c>
      <c r="AV59" s="1">
        <f t="shared" si="6"/>
        <v>0.39374282587224041</v>
      </c>
      <c r="AW59" s="1">
        <f t="shared" si="7"/>
        <v>0.23624569552334423</v>
      </c>
    </row>
    <row r="60" spans="1:49" x14ac:dyDescent="0.2">
      <c r="A60">
        <v>58</v>
      </c>
      <c r="B60" t="s">
        <v>8198</v>
      </c>
      <c r="F60" t="s">
        <v>8197</v>
      </c>
      <c r="G60" t="s">
        <v>4</v>
      </c>
      <c r="H60" t="s">
        <v>3</v>
      </c>
      <c r="I60" t="s">
        <v>8196</v>
      </c>
      <c r="N60">
        <v>1</v>
      </c>
      <c r="O60" t="s">
        <v>8195</v>
      </c>
      <c r="P60">
        <v>7202847619</v>
      </c>
      <c r="R60" s="8">
        <v>35765</v>
      </c>
      <c r="S60" s="9">
        <f t="shared" si="0"/>
        <v>1997</v>
      </c>
      <c r="T60" s="9">
        <v>1997</v>
      </c>
      <c r="U60" s="9">
        <f t="shared" si="1"/>
        <v>25</v>
      </c>
      <c r="V60" s="8">
        <v>1997</v>
      </c>
      <c r="W60" t="s">
        <v>8076</v>
      </c>
      <c r="X60" s="2">
        <v>0.29499999999999998</v>
      </c>
      <c r="Y60" s="7">
        <f t="shared" si="2"/>
        <v>7.8748565174448087E-3</v>
      </c>
      <c r="AA60">
        <v>10642269</v>
      </c>
      <c r="AB60">
        <v>19554</v>
      </c>
      <c r="AD60" t="s">
        <v>1</v>
      </c>
      <c r="AE60">
        <v>42</v>
      </c>
      <c r="AF60">
        <v>10</v>
      </c>
      <c r="AH60" t="s">
        <v>758</v>
      </c>
      <c r="AI60" t="s">
        <v>8194</v>
      </c>
      <c r="AK60" t="s">
        <v>8193</v>
      </c>
      <c r="AL60">
        <v>0</v>
      </c>
      <c r="AM60" s="5">
        <f t="shared" si="3"/>
        <v>0</v>
      </c>
      <c r="AN60" s="4">
        <f t="shared" si="4"/>
        <v>0</v>
      </c>
      <c r="AO60" s="3"/>
      <c r="AP60">
        <v>0</v>
      </c>
      <c r="AR60" t="s">
        <v>0</v>
      </c>
      <c r="AT60" s="2" t="s">
        <v>5</v>
      </c>
      <c r="AU60" s="1">
        <f t="shared" si="5"/>
        <v>0.55123995622113653</v>
      </c>
      <c r="AV60" s="1">
        <f t="shared" si="6"/>
        <v>0.39374282587224041</v>
      </c>
      <c r="AW60" s="1">
        <f t="shared" si="7"/>
        <v>0.23624569552334423</v>
      </c>
    </row>
    <row r="61" spans="1:49" x14ac:dyDescent="0.2">
      <c r="A61">
        <v>59</v>
      </c>
      <c r="B61" t="s">
        <v>8192</v>
      </c>
      <c r="F61" t="s">
        <v>8191</v>
      </c>
      <c r="G61" t="s">
        <v>4</v>
      </c>
      <c r="H61" t="s">
        <v>3</v>
      </c>
      <c r="I61" t="s">
        <v>8190</v>
      </c>
      <c r="J61">
        <v>60030480</v>
      </c>
      <c r="K61" t="s">
        <v>8189</v>
      </c>
      <c r="L61" t="s">
        <v>8188</v>
      </c>
      <c r="M61" t="s">
        <v>8</v>
      </c>
      <c r="N61">
        <v>3</v>
      </c>
      <c r="O61" t="s">
        <v>8187</v>
      </c>
      <c r="P61" t="s">
        <v>8186</v>
      </c>
      <c r="Q61" t="s">
        <v>8185</v>
      </c>
      <c r="R61" s="8">
        <v>35765</v>
      </c>
      <c r="S61" s="9">
        <f t="shared" si="0"/>
        <v>1997</v>
      </c>
      <c r="T61" s="9">
        <v>1997</v>
      </c>
      <c r="U61" s="9">
        <f t="shared" si="1"/>
        <v>25</v>
      </c>
      <c r="V61" s="8">
        <v>1997</v>
      </c>
      <c r="W61" t="s">
        <v>105</v>
      </c>
      <c r="X61" s="2">
        <v>0.1</v>
      </c>
      <c r="Y61" s="7">
        <f t="shared" si="2"/>
        <v>2.6694428872694269E-3</v>
      </c>
      <c r="AA61">
        <v>9633308</v>
      </c>
      <c r="AB61">
        <v>17917</v>
      </c>
      <c r="AD61" t="s">
        <v>1</v>
      </c>
      <c r="AF61">
        <v>390</v>
      </c>
      <c r="AI61" t="s">
        <v>8184</v>
      </c>
      <c r="AK61" t="s">
        <v>8183</v>
      </c>
      <c r="AL61">
        <v>1</v>
      </c>
      <c r="AM61" s="5">
        <f t="shared" si="3"/>
        <v>0.04</v>
      </c>
      <c r="AN61" s="4">
        <f t="shared" si="4"/>
        <v>6.05831124574025E-5</v>
      </c>
      <c r="AO61" s="3"/>
      <c r="AP61">
        <v>0</v>
      </c>
      <c r="AR61" t="s">
        <v>0</v>
      </c>
      <c r="AT61" s="2" t="s">
        <v>5</v>
      </c>
      <c r="AU61" s="1">
        <f t="shared" si="5"/>
        <v>0.18867849548258195</v>
      </c>
      <c r="AV61" s="1">
        <f t="shared" si="6"/>
        <v>0.13650129998634147</v>
      </c>
      <c r="AW61" s="1">
        <f t="shared" si="7"/>
        <v>8.4324104490100971E-2</v>
      </c>
    </row>
    <row r="62" spans="1:49" x14ac:dyDescent="0.2">
      <c r="A62">
        <v>60</v>
      </c>
      <c r="B62" t="s">
        <v>8182</v>
      </c>
      <c r="F62" t="s">
        <v>8181</v>
      </c>
      <c r="G62" t="s">
        <v>4</v>
      </c>
      <c r="H62" t="s">
        <v>3</v>
      </c>
      <c r="I62" t="s">
        <v>8180</v>
      </c>
      <c r="J62">
        <v>60005913</v>
      </c>
      <c r="K62" t="s">
        <v>8179</v>
      </c>
      <c r="L62" t="s">
        <v>173</v>
      </c>
      <c r="M62" t="s">
        <v>74</v>
      </c>
      <c r="N62">
        <v>3</v>
      </c>
      <c r="O62" t="s">
        <v>8178</v>
      </c>
      <c r="P62" t="s">
        <v>8177</v>
      </c>
      <c r="Q62" t="s">
        <v>8176</v>
      </c>
      <c r="R62" s="8">
        <v>35765</v>
      </c>
      <c r="S62" s="9">
        <f t="shared" si="0"/>
        <v>1997</v>
      </c>
      <c r="T62" s="9">
        <v>1997</v>
      </c>
      <c r="U62" s="9">
        <f t="shared" si="1"/>
        <v>25</v>
      </c>
      <c r="V62" s="8">
        <v>1997</v>
      </c>
      <c r="W62" t="s">
        <v>8076</v>
      </c>
      <c r="X62" s="2">
        <v>0.29499999999999998</v>
      </c>
      <c r="Y62" s="7">
        <f t="shared" si="2"/>
        <v>7.8748565174448087E-3</v>
      </c>
      <c r="AA62">
        <v>10642269</v>
      </c>
      <c r="AB62">
        <v>19554</v>
      </c>
      <c r="AD62" t="s">
        <v>1</v>
      </c>
      <c r="AE62">
        <v>42</v>
      </c>
      <c r="AF62">
        <v>12</v>
      </c>
      <c r="AH62" t="s">
        <v>8175</v>
      </c>
      <c r="AI62" t="s">
        <v>8174</v>
      </c>
      <c r="AK62" t="s">
        <v>8173</v>
      </c>
      <c r="AL62">
        <v>0</v>
      </c>
      <c r="AM62" s="5">
        <f t="shared" si="3"/>
        <v>0</v>
      </c>
      <c r="AN62" s="4">
        <f t="shared" si="4"/>
        <v>0</v>
      </c>
      <c r="AO62" s="3"/>
      <c r="AP62">
        <v>0</v>
      </c>
      <c r="AR62" t="s">
        <v>0</v>
      </c>
      <c r="AT62" s="2" t="s">
        <v>5</v>
      </c>
      <c r="AU62" s="1">
        <f t="shared" si="5"/>
        <v>0.55123995622113653</v>
      </c>
      <c r="AV62" s="1">
        <f t="shared" si="6"/>
        <v>0.39374282587224041</v>
      </c>
      <c r="AW62" s="1">
        <f t="shared" si="7"/>
        <v>0.23624569552334423</v>
      </c>
    </row>
    <row r="63" spans="1:49" x14ac:dyDescent="0.2">
      <c r="A63">
        <v>61</v>
      </c>
      <c r="B63" t="s">
        <v>8172</v>
      </c>
      <c r="F63" t="s">
        <v>8171</v>
      </c>
      <c r="G63" t="s">
        <v>4</v>
      </c>
      <c r="H63" t="s">
        <v>3</v>
      </c>
      <c r="I63" t="s">
        <v>8126</v>
      </c>
      <c r="N63">
        <v>2</v>
      </c>
      <c r="O63" t="s">
        <v>8125</v>
      </c>
      <c r="P63" t="s">
        <v>8124</v>
      </c>
      <c r="Q63" t="s">
        <v>90</v>
      </c>
      <c r="R63" s="8">
        <v>35765</v>
      </c>
      <c r="S63" s="9">
        <f t="shared" si="0"/>
        <v>1997</v>
      </c>
      <c r="T63" s="9">
        <v>1997</v>
      </c>
      <c r="U63" s="9">
        <f t="shared" si="1"/>
        <v>25</v>
      </c>
      <c r="V63" s="8">
        <v>1997</v>
      </c>
      <c r="W63" t="s">
        <v>8076</v>
      </c>
      <c r="X63" s="2">
        <v>0.29499999999999998</v>
      </c>
      <c r="Y63" s="7">
        <f t="shared" si="2"/>
        <v>7.8748565174448087E-3</v>
      </c>
      <c r="AA63">
        <v>10642269</v>
      </c>
      <c r="AB63">
        <v>19554</v>
      </c>
      <c r="AD63" t="s">
        <v>1</v>
      </c>
      <c r="AE63">
        <v>42</v>
      </c>
      <c r="AF63">
        <v>11</v>
      </c>
      <c r="AH63" t="s">
        <v>8170</v>
      </c>
      <c r="AI63" t="s">
        <v>8169</v>
      </c>
      <c r="AK63" t="s">
        <v>8168</v>
      </c>
      <c r="AL63">
        <v>0</v>
      </c>
      <c r="AM63" s="5">
        <f t="shared" si="3"/>
        <v>0</v>
      </c>
      <c r="AN63" s="4">
        <f t="shared" si="4"/>
        <v>0</v>
      </c>
      <c r="AO63" s="3"/>
      <c r="AP63">
        <v>0</v>
      </c>
      <c r="AR63" t="s">
        <v>0</v>
      </c>
      <c r="AT63" s="2" t="s">
        <v>5</v>
      </c>
      <c r="AU63" s="1">
        <f t="shared" si="5"/>
        <v>0.55123995622113653</v>
      </c>
      <c r="AV63" s="1">
        <f t="shared" si="6"/>
        <v>0.39374282587224041</v>
      </c>
      <c r="AW63" s="1">
        <f t="shared" si="7"/>
        <v>0.23624569552334423</v>
      </c>
    </row>
    <row r="64" spans="1:49" x14ac:dyDescent="0.2">
      <c r="A64">
        <v>62</v>
      </c>
      <c r="B64" t="s">
        <v>8167</v>
      </c>
      <c r="F64" t="s">
        <v>8166</v>
      </c>
      <c r="G64" t="s">
        <v>4</v>
      </c>
      <c r="H64" t="s">
        <v>3</v>
      </c>
      <c r="I64" t="s">
        <v>8165</v>
      </c>
      <c r="J64">
        <v>60029225</v>
      </c>
      <c r="K64" t="s">
        <v>326</v>
      </c>
      <c r="L64" t="s">
        <v>173</v>
      </c>
      <c r="M64" t="s">
        <v>74</v>
      </c>
      <c r="N64">
        <v>2</v>
      </c>
      <c r="O64" t="s">
        <v>8164</v>
      </c>
      <c r="P64" t="s">
        <v>8163</v>
      </c>
      <c r="Q64" t="s">
        <v>8162</v>
      </c>
      <c r="R64" s="8">
        <v>35765</v>
      </c>
      <c r="S64" s="9">
        <f t="shared" si="0"/>
        <v>1997</v>
      </c>
      <c r="T64" s="9">
        <v>1997</v>
      </c>
      <c r="U64" s="9">
        <f t="shared" si="1"/>
        <v>25</v>
      </c>
      <c r="V64" s="8">
        <v>1997</v>
      </c>
      <c r="W64" t="s">
        <v>8076</v>
      </c>
      <c r="X64" s="2">
        <v>0.29499999999999998</v>
      </c>
      <c r="Y64" s="7">
        <f t="shared" si="2"/>
        <v>7.8748565174448087E-3</v>
      </c>
      <c r="AA64">
        <v>10642269</v>
      </c>
      <c r="AB64">
        <v>19554</v>
      </c>
      <c r="AD64" t="s">
        <v>1</v>
      </c>
      <c r="AE64">
        <v>42</v>
      </c>
      <c r="AF64">
        <v>12</v>
      </c>
      <c r="AH64" t="s">
        <v>8161</v>
      </c>
      <c r="AI64" t="s">
        <v>8160</v>
      </c>
      <c r="AK64" t="s">
        <v>8159</v>
      </c>
      <c r="AL64">
        <v>0</v>
      </c>
      <c r="AM64" s="5">
        <f t="shared" si="3"/>
        <v>0</v>
      </c>
      <c r="AN64" s="4">
        <f t="shared" si="4"/>
        <v>0</v>
      </c>
      <c r="AO64" s="3"/>
      <c r="AP64">
        <v>0</v>
      </c>
      <c r="AR64" t="s">
        <v>0</v>
      </c>
      <c r="AT64" s="2" t="s">
        <v>5</v>
      </c>
      <c r="AU64" s="1">
        <f t="shared" si="5"/>
        <v>0.55123995622113653</v>
      </c>
      <c r="AV64" s="1">
        <f t="shared" si="6"/>
        <v>0.39374282587224041</v>
      </c>
      <c r="AW64" s="1">
        <f t="shared" si="7"/>
        <v>0.23624569552334423</v>
      </c>
    </row>
    <row r="65" spans="1:49" x14ac:dyDescent="0.2">
      <c r="A65">
        <v>63</v>
      </c>
      <c r="B65" t="s">
        <v>8158</v>
      </c>
      <c r="F65" t="s">
        <v>8157</v>
      </c>
      <c r="G65" t="s">
        <v>4</v>
      </c>
      <c r="H65" t="s">
        <v>3</v>
      </c>
      <c r="I65" t="s">
        <v>8156</v>
      </c>
      <c r="J65">
        <v>60105253</v>
      </c>
      <c r="K65" t="s">
        <v>8155</v>
      </c>
      <c r="L65" t="s">
        <v>8154</v>
      </c>
      <c r="M65" t="s">
        <v>74</v>
      </c>
      <c r="N65">
        <v>1</v>
      </c>
      <c r="O65" t="s">
        <v>8153</v>
      </c>
      <c r="P65">
        <v>6603624071</v>
      </c>
      <c r="Q65">
        <v>60105253</v>
      </c>
      <c r="R65" s="8">
        <v>35765</v>
      </c>
      <c r="S65" s="9">
        <f t="shared" si="0"/>
        <v>1997</v>
      </c>
      <c r="T65" s="9">
        <v>1997</v>
      </c>
      <c r="U65" s="9">
        <f t="shared" si="1"/>
        <v>25</v>
      </c>
      <c r="V65" s="8">
        <v>1997</v>
      </c>
      <c r="W65" t="s">
        <v>8076</v>
      </c>
      <c r="X65" s="2">
        <v>0.29499999999999998</v>
      </c>
      <c r="Y65" s="7">
        <f t="shared" si="2"/>
        <v>7.8748565174448087E-3</v>
      </c>
      <c r="AA65">
        <v>10642269</v>
      </c>
      <c r="AB65">
        <v>19554</v>
      </c>
      <c r="AD65" t="s">
        <v>1</v>
      </c>
      <c r="AE65">
        <v>42</v>
      </c>
      <c r="AF65">
        <v>4</v>
      </c>
      <c r="AH65" t="s">
        <v>25</v>
      </c>
      <c r="AI65" t="s">
        <v>8152</v>
      </c>
      <c r="AK65" t="s">
        <v>8151</v>
      </c>
      <c r="AL65">
        <v>3</v>
      </c>
      <c r="AM65" s="5">
        <f t="shared" si="3"/>
        <v>0.12</v>
      </c>
      <c r="AN65" s="4">
        <f t="shared" si="4"/>
        <v>1.8174933737220749E-4</v>
      </c>
      <c r="AO65" s="3"/>
      <c r="AP65">
        <v>0</v>
      </c>
      <c r="AR65" t="s">
        <v>0</v>
      </c>
      <c r="AT65" s="2" t="s">
        <v>5</v>
      </c>
      <c r="AU65" s="1">
        <f t="shared" si="5"/>
        <v>0.55669243634230281</v>
      </c>
      <c r="AV65" s="1">
        <f t="shared" si="6"/>
        <v>0.40283029274085075</v>
      </c>
      <c r="AW65" s="1">
        <f t="shared" si="7"/>
        <v>0.24896814913939877</v>
      </c>
    </row>
    <row r="66" spans="1:49" x14ac:dyDescent="0.2">
      <c r="A66">
        <v>64</v>
      </c>
      <c r="B66" t="s">
        <v>8150</v>
      </c>
      <c r="F66" t="s">
        <v>8149</v>
      </c>
      <c r="G66" t="s">
        <v>4</v>
      </c>
      <c r="H66" t="s">
        <v>3</v>
      </c>
      <c r="I66" t="s">
        <v>1472</v>
      </c>
      <c r="N66">
        <v>3</v>
      </c>
      <c r="O66" t="s">
        <v>8118</v>
      </c>
      <c r="P66" t="s">
        <v>8117</v>
      </c>
      <c r="Q66" t="s">
        <v>87</v>
      </c>
      <c r="R66" s="8">
        <v>35765</v>
      </c>
      <c r="S66" s="9">
        <f t="shared" ref="S66:S129" si="8">YEAR(R66)</f>
        <v>1997</v>
      </c>
      <c r="T66" s="9">
        <v>1997</v>
      </c>
      <c r="U66" s="9">
        <f t="shared" ref="U66:U129" si="9">2022-T66</f>
        <v>25</v>
      </c>
      <c r="V66" s="8">
        <v>1997</v>
      </c>
      <c r="W66" t="s">
        <v>8076</v>
      </c>
      <c r="X66" s="2">
        <v>0.29499999999999998</v>
      </c>
      <c r="Y66" s="7">
        <f t="shared" ref="Y66:Y129" si="10">(X66-$Z$3)/($Z$2-$Z$3)</f>
        <v>7.8748565174448087E-3</v>
      </c>
      <c r="AA66">
        <v>10642269</v>
      </c>
      <c r="AB66">
        <v>19554</v>
      </c>
      <c r="AD66" t="s">
        <v>1</v>
      </c>
      <c r="AE66">
        <v>42</v>
      </c>
      <c r="AF66">
        <v>5</v>
      </c>
      <c r="AH66" t="s">
        <v>8148</v>
      </c>
      <c r="AI66" t="s">
        <v>8147</v>
      </c>
      <c r="AK66" t="s">
        <v>8146</v>
      </c>
      <c r="AL66">
        <v>0</v>
      </c>
      <c r="AM66" s="5">
        <f t="shared" ref="AM66:AM129" si="11">AL66/U66</f>
        <v>0</v>
      </c>
      <c r="AN66" s="4">
        <f t="shared" ref="AN66:AN129" si="12">(AM66-$AO$3)/($AO$2-$AO$3)</f>
        <v>0</v>
      </c>
      <c r="AO66" s="3"/>
      <c r="AP66">
        <v>0</v>
      </c>
      <c r="AR66" t="s">
        <v>0</v>
      </c>
      <c r="AT66" s="2" t="s">
        <v>5</v>
      </c>
      <c r="AU66" s="1">
        <f t="shared" ref="AU66:AU129" si="13">(Y66*0.7+AN66*0.3)*100</f>
        <v>0.55123995622113653</v>
      </c>
      <c r="AV66" s="1">
        <f t="shared" ref="AV66:AV129" si="14">(Y66*0.5+AN66*0.5)*100</f>
        <v>0.39374282587224041</v>
      </c>
      <c r="AW66" s="1">
        <f t="shared" ref="AW66:AW129" si="15">(Y66*0.3+AN66*0.7)*100</f>
        <v>0.23624569552334423</v>
      </c>
    </row>
    <row r="67" spans="1:49" x14ac:dyDescent="0.2">
      <c r="A67">
        <v>65</v>
      </c>
      <c r="B67" t="s">
        <v>8145</v>
      </c>
      <c r="F67" t="s">
        <v>8144</v>
      </c>
      <c r="G67" t="s">
        <v>4</v>
      </c>
      <c r="H67" t="s">
        <v>3</v>
      </c>
      <c r="I67" t="s">
        <v>8143</v>
      </c>
      <c r="J67">
        <v>60032321</v>
      </c>
      <c r="K67" t="s">
        <v>454</v>
      </c>
      <c r="L67" t="s">
        <v>173</v>
      </c>
      <c r="M67" t="s">
        <v>74</v>
      </c>
      <c r="N67">
        <v>2</v>
      </c>
      <c r="O67" t="s">
        <v>8142</v>
      </c>
      <c r="P67" t="s">
        <v>8141</v>
      </c>
      <c r="Q67" t="s">
        <v>8140</v>
      </c>
      <c r="R67" s="8">
        <v>35765</v>
      </c>
      <c r="S67" s="9">
        <f t="shared" si="8"/>
        <v>1997</v>
      </c>
      <c r="T67" s="9">
        <v>1997</v>
      </c>
      <c r="U67" s="9">
        <f t="shared" si="9"/>
        <v>25</v>
      </c>
      <c r="V67" s="8">
        <v>1997</v>
      </c>
      <c r="W67" t="s">
        <v>8076</v>
      </c>
      <c r="X67" s="2">
        <v>0.29499999999999998</v>
      </c>
      <c r="Y67" s="7">
        <f t="shared" si="10"/>
        <v>7.8748565174448087E-3</v>
      </c>
      <c r="AA67">
        <v>10642269</v>
      </c>
      <c r="AB67">
        <v>19554</v>
      </c>
      <c r="AD67" t="s">
        <v>1</v>
      </c>
      <c r="AE67">
        <v>42</v>
      </c>
      <c r="AF67">
        <v>1</v>
      </c>
      <c r="AH67" t="s">
        <v>8139</v>
      </c>
      <c r="AI67" t="s">
        <v>8138</v>
      </c>
      <c r="AK67" t="s">
        <v>8137</v>
      </c>
      <c r="AL67">
        <v>0</v>
      </c>
      <c r="AM67" s="5">
        <f t="shared" si="11"/>
        <v>0</v>
      </c>
      <c r="AN67" s="4">
        <f t="shared" si="12"/>
        <v>0</v>
      </c>
      <c r="AO67" s="3"/>
      <c r="AP67">
        <v>0</v>
      </c>
      <c r="AR67" t="s">
        <v>0</v>
      </c>
      <c r="AT67" s="2" t="s">
        <v>5</v>
      </c>
      <c r="AU67" s="1">
        <f t="shared" si="13"/>
        <v>0.55123995622113653</v>
      </c>
      <c r="AV67" s="1">
        <f t="shared" si="14"/>
        <v>0.39374282587224041</v>
      </c>
      <c r="AW67" s="1">
        <f t="shared" si="15"/>
        <v>0.23624569552334423</v>
      </c>
    </row>
    <row r="68" spans="1:49" x14ac:dyDescent="0.2">
      <c r="A68">
        <v>66</v>
      </c>
      <c r="B68" t="s">
        <v>8136</v>
      </c>
      <c r="F68" t="s">
        <v>8135</v>
      </c>
      <c r="G68" t="s">
        <v>4</v>
      </c>
      <c r="H68" t="s">
        <v>3</v>
      </c>
      <c r="I68" t="s">
        <v>8134</v>
      </c>
      <c r="N68">
        <v>3</v>
      </c>
      <c r="O68" t="s">
        <v>8133</v>
      </c>
      <c r="P68" t="s">
        <v>8132</v>
      </c>
      <c r="Q68" t="s">
        <v>87</v>
      </c>
      <c r="R68" s="8">
        <v>35765</v>
      </c>
      <c r="S68" s="9">
        <f t="shared" si="8"/>
        <v>1997</v>
      </c>
      <c r="T68" s="9">
        <v>1997</v>
      </c>
      <c r="U68" s="9">
        <f t="shared" si="9"/>
        <v>25</v>
      </c>
      <c r="V68" s="8">
        <v>1997</v>
      </c>
      <c r="W68" t="s">
        <v>8076</v>
      </c>
      <c r="X68" s="2">
        <v>0.29499999999999998</v>
      </c>
      <c r="Y68" s="7">
        <f t="shared" si="10"/>
        <v>7.8748565174448087E-3</v>
      </c>
      <c r="AA68">
        <v>10642269</v>
      </c>
      <c r="AB68">
        <v>19554</v>
      </c>
      <c r="AD68" t="s">
        <v>1</v>
      </c>
      <c r="AE68">
        <v>42</v>
      </c>
      <c r="AF68">
        <v>3</v>
      </c>
      <c r="AH68" t="s">
        <v>8131</v>
      </c>
      <c r="AI68" t="s">
        <v>8130</v>
      </c>
      <c r="AK68" t="s">
        <v>8129</v>
      </c>
      <c r="AL68">
        <v>0</v>
      </c>
      <c r="AM68" s="5">
        <f t="shared" si="11"/>
        <v>0</v>
      </c>
      <c r="AN68" s="4">
        <f t="shared" si="12"/>
        <v>0</v>
      </c>
      <c r="AO68" s="3"/>
      <c r="AP68">
        <v>0</v>
      </c>
      <c r="AR68" t="s">
        <v>0</v>
      </c>
      <c r="AT68" s="2" t="s">
        <v>5</v>
      </c>
      <c r="AU68" s="1">
        <f t="shared" si="13"/>
        <v>0.55123995622113653</v>
      </c>
      <c r="AV68" s="1">
        <f t="shared" si="14"/>
        <v>0.39374282587224041</v>
      </c>
      <c r="AW68" s="1">
        <f t="shared" si="15"/>
        <v>0.23624569552334423</v>
      </c>
    </row>
    <row r="69" spans="1:49" x14ac:dyDescent="0.2">
      <c r="A69">
        <v>67</v>
      </c>
      <c r="B69" t="s">
        <v>8128</v>
      </c>
      <c r="F69" t="s">
        <v>8127</v>
      </c>
      <c r="G69" t="s">
        <v>4</v>
      </c>
      <c r="H69" t="s">
        <v>3</v>
      </c>
      <c r="I69" t="s">
        <v>8126</v>
      </c>
      <c r="N69">
        <v>2</v>
      </c>
      <c r="O69" t="s">
        <v>8125</v>
      </c>
      <c r="P69" t="s">
        <v>8124</v>
      </c>
      <c r="Q69" t="s">
        <v>90</v>
      </c>
      <c r="R69" s="8">
        <v>35765</v>
      </c>
      <c r="S69" s="9">
        <f t="shared" si="8"/>
        <v>1997</v>
      </c>
      <c r="T69" s="9">
        <v>1997</v>
      </c>
      <c r="U69" s="9">
        <f t="shared" si="9"/>
        <v>25</v>
      </c>
      <c r="V69" s="8">
        <v>1997</v>
      </c>
      <c r="W69" t="s">
        <v>8076</v>
      </c>
      <c r="X69" s="2">
        <v>0.29499999999999998</v>
      </c>
      <c r="Y69" s="7">
        <f t="shared" si="10"/>
        <v>7.8748565174448087E-3</v>
      </c>
      <c r="AA69">
        <v>10642269</v>
      </c>
      <c r="AB69">
        <v>19554</v>
      </c>
      <c r="AD69" t="s">
        <v>1</v>
      </c>
      <c r="AE69">
        <v>42</v>
      </c>
      <c r="AF69">
        <v>6</v>
      </c>
      <c r="AH69" t="s">
        <v>8123</v>
      </c>
      <c r="AI69" t="s">
        <v>8122</v>
      </c>
      <c r="AK69" t="s">
        <v>8121</v>
      </c>
      <c r="AL69">
        <v>0</v>
      </c>
      <c r="AM69" s="5">
        <f t="shared" si="11"/>
        <v>0</v>
      </c>
      <c r="AN69" s="4">
        <f t="shared" si="12"/>
        <v>0</v>
      </c>
      <c r="AO69" s="3"/>
      <c r="AP69">
        <v>0</v>
      </c>
      <c r="AR69" t="s">
        <v>0</v>
      </c>
      <c r="AT69" s="2" t="s">
        <v>5</v>
      </c>
      <c r="AU69" s="1">
        <f t="shared" si="13"/>
        <v>0.55123995622113653</v>
      </c>
      <c r="AV69" s="1">
        <f t="shared" si="14"/>
        <v>0.39374282587224041</v>
      </c>
      <c r="AW69" s="1">
        <f t="shared" si="15"/>
        <v>0.23624569552334423</v>
      </c>
    </row>
    <row r="70" spans="1:49" x14ac:dyDescent="0.2">
      <c r="A70">
        <v>68</v>
      </c>
      <c r="B70" t="s">
        <v>8120</v>
      </c>
      <c r="F70" t="s">
        <v>8119</v>
      </c>
      <c r="G70" t="s">
        <v>4</v>
      </c>
      <c r="H70" t="s">
        <v>3</v>
      </c>
      <c r="I70" t="s">
        <v>1472</v>
      </c>
      <c r="N70">
        <v>3</v>
      </c>
      <c r="O70" t="s">
        <v>8118</v>
      </c>
      <c r="P70" t="s">
        <v>8117</v>
      </c>
      <c r="Q70" t="s">
        <v>87</v>
      </c>
      <c r="R70" s="8">
        <v>35765</v>
      </c>
      <c r="S70" s="9">
        <f t="shared" si="8"/>
        <v>1997</v>
      </c>
      <c r="T70" s="9">
        <v>1997</v>
      </c>
      <c r="U70" s="9">
        <f t="shared" si="9"/>
        <v>25</v>
      </c>
      <c r="V70" s="8">
        <v>1997</v>
      </c>
      <c r="W70" t="s">
        <v>8076</v>
      </c>
      <c r="X70" s="2">
        <v>0.29499999999999998</v>
      </c>
      <c r="Y70" s="7">
        <f t="shared" si="10"/>
        <v>7.8748565174448087E-3</v>
      </c>
      <c r="AA70">
        <v>10642269</v>
      </c>
      <c r="AB70">
        <v>19554</v>
      </c>
      <c r="AD70" t="s">
        <v>1</v>
      </c>
      <c r="AE70">
        <v>42</v>
      </c>
      <c r="AF70">
        <v>1</v>
      </c>
      <c r="AH70" t="s">
        <v>8116</v>
      </c>
      <c r="AI70" t="s">
        <v>8115</v>
      </c>
      <c r="AK70" t="s">
        <v>8114</v>
      </c>
      <c r="AL70">
        <v>0</v>
      </c>
      <c r="AM70" s="5">
        <f t="shared" si="11"/>
        <v>0</v>
      </c>
      <c r="AN70" s="4">
        <f t="shared" si="12"/>
        <v>0</v>
      </c>
      <c r="AO70" s="3"/>
      <c r="AP70">
        <v>0</v>
      </c>
      <c r="AR70" t="s">
        <v>0</v>
      </c>
      <c r="AT70" s="2" t="s">
        <v>5</v>
      </c>
      <c r="AU70" s="1">
        <f t="shared" si="13"/>
        <v>0.55123995622113653</v>
      </c>
      <c r="AV70" s="1">
        <f t="shared" si="14"/>
        <v>0.39374282587224041</v>
      </c>
      <c r="AW70" s="1">
        <f t="shared" si="15"/>
        <v>0.23624569552334423</v>
      </c>
    </row>
    <row r="71" spans="1:49" x14ac:dyDescent="0.2">
      <c r="A71">
        <v>69</v>
      </c>
      <c r="B71" t="s">
        <v>8113</v>
      </c>
      <c r="F71" t="s">
        <v>8112</v>
      </c>
      <c r="G71" t="s">
        <v>4</v>
      </c>
      <c r="H71" t="s">
        <v>3</v>
      </c>
      <c r="I71" t="s">
        <v>8111</v>
      </c>
      <c r="J71">
        <v>60068504</v>
      </c>
      <c r="K71" t="s">
        <v>8110</v>
      </c>
      <c r="L71" t="s">
        <v>248</v>
      </c>
      <c r="M71" t="s">
        <v>247</v>
      </c>
      <c r="N71">
        <v>2</v>
      </c>
      <c r="O71" t="s">
        <v>8109</v>
      </c>
      <c r="P71" t="s">
        <v>8108</v>
      </c>
      <c r="Q71" t="s">
        <v>8107</v>
      </c>
      <c r="R71" s="8">
        <v>35765</v>
      </c>
      <c r="S71" s="9">
        <f t="shared" si="8"/>
        <v>1997</v>
      </c>
      <c r="T71" s="9">
        <v>1997</v>
      </c>
      <c r="U71" s="9">
        <f t="shared" si="9"/>
        <v>25</v>
      </c>
      <c r="V71" s="8">
        <v>1997</v>
      </c>
      <c r="W71" t="s">
        <v>8076</v>
      </c>
      <c r="X71" s="2">
        <v>0.29499999999999998</v>
      </c>
      <c r="Y71" s="7">
        <f t="shared" si="10"/>
        <v>7.8748565174448087E-3</v>
      </c>
      <c r="AA71">
        <v>10642269</v>
      </c>
      <c r="AB71">
        <v>19554</v>
      </c>
      <c r="AD71" t="s">
        <v>1</v>
      </c>
      <c r="AE71">
        <v>42</v>
      </c>
      <c r="AF71">
        <v>9</v>
      </c>
      <c r="AH71" t="s">
        <v>8106</v>
      </c>
      <c r="AI71" t="s">
        <v>8105</v>
      </c>
      <c r="AK71" t="s">
        <v>8104</v>
      </c>
      <c r="AL71">
        <v>3</v>
      </c>
      <c r="AM71" s="5">
        <f t="shared" si="11"/>
        <v>0.12</v>
      </c>
      <c r="AN71" s="4">
        <f t="shared" si="12"/>
        <v>1.8174933737220749E-4</v>
      </c>
      <c r="AO71" s="3"/>
      <c r="AP71">
        <v>0</v>
      </c>
      <c r="AR71" t="s">
        <v>0</v>
      </c>
      <c r="AT71" s="2" t="s">
        <v>5</v>
      </c>
      <c r="AU71" s="1">
        <f t="shared" si="13"/>
        <v>0.55669243634230281</v>
      </c>
      <c r="AV71" s="1">
        <f t="shared" si="14"/>
        <v>0.40283029274085075</v>
      </c>
      <c r="AW71" s="1">
        <f t="shared" si="15"/>
        <v>0.24896814913939877</v>
      </c>
    </row>
    <row r="72" spans="1:49" x14ac:dyDescent="0.2">
      <c r="A72">
        <v>70</v>
      </c>
      <c r="B72" t="s">
        <v>8103</v>
      </c>
      <c r="F72" t="s">
        <v>8102</v>
      </c>
      <c r="G72" t="s">
        <v>4</v>
      </c>
      <c r="H72" t="s">
        <v>3</v>
      </c>
      <c r="I72" t="s">
        <v>8101</v>
      </c>
      <c r="N72">
        <v>3</v>
      </c>
      <c r="O72" t="s">
        <v>8100</v>
      </c>
      <c r="P72" t="s">
        <v>8099</v>
      </c>
      <c r="Q72" t="s">
        <v>87</v>
      </c>
      <c r="R72" s="8">
        <v>35765</v>
      </c>
      <c r="S72" s="9">
        <f t="shared" si="8"/>
        <v>1997</v>
      </c>
      <c r="T72" s="9">
        <v>1997</v>
      </c>
      <c r="U72" s="9">
        <f t="shared" si="9"/>
        <v>25</v>
      </c>
      <c r="V72" s="8">
        <v>1997</v>
      </c>
      <c r="W72" t="s">
        <v>8076</v>
      </c>
      <c r="X72" s="2">
        <v>0.29499999999999998</v>
      </c>
      <c r="Y72" s="7">
        <f t="shared" si="10"/>
        <v>7.8748565174448087E-3</v>
      </c>
      <c r="AA72">
        <v>10642269</v>
      </c>
      <c r="AB72">
        <v>19554</v>
      </c>
      <c r="AD72" t="s">
        <v>1</v>
      </c>
      <c r="AE72">
        <v>42</v>
      </c>
      <c r="AF72">
        <v>6</v>
      </c>
      <c r="AH72" t="s">
        <v>8098</v>
      </c>
      <c r="AI72" t="s">
        <v>8097</v>
      </c>
      <c r="AK72" t="s">
        <v>8096</v>
      </c>
      <c r="AL72">
        <v>0</v>
      </c>
      <c r="AM72" s="5">
        <f t="shared" si="11"/>
        <v>0</v>
      </c>
      <c r="AN72" s="4">
        <f t="shared" si="12"/>
        <v>0</v>
      </c>
      <c r="AO72" s="3"/>
      <c r="AP72">
        <v>0</v>
      </c>
      <c r="AR72" t="s">
        <v>0</v>
      </c>
      <c r="AT72" s="2" t="s">
        <v>5</v>
      </c>
      <c r="AU72" s="1">
        <f t="shared" si="13"/>
        <v>0.55123995622113653</v>
      </c>
      <c r="AV72" s="1">
        <f t="shared" si="14"/>
        <v>0.39374282587224041</v>
      </c>
      <c r="AW72" s="1">
        <f t="shared" si="15"/>
        <v>0.23624569552334423</v>
      </c>
    </row>
    <row r="73" spans="1:49" x14ac:dyDescent="0.2">
      <c r="A73">
        <v>71</v>
      </c>
      <c r="B73" t="s">
        <v>8095</v>
      </c>
      <c r="F73" t="s">
        <v>8094</v>
      </c>
      <c r="G73" t="s">
        <v>4</v>
      </c>
      <c r="H73" t="s">
        <v>3</v>
      </c>
      <c r="I73" t="s">
        <v>4932</v>
      </c>
      <c r="N73">
        <v>2</v>
      </c>
      <c r="O73" t="s">
        <v>8093</v>
      </c>
      <c r="P73" t="s">
        <v>8092</v>
      </c>
      <c r="Q73" t="s">
        <v>90</v>
      </c>
      <c r="R73" s="8">
        <v>35765</v>
      </c>
      <c r="S73" s="9">
        <f t="shared" si="8"/>
        <v>1997</v>
      </c>
      <c r="T73" s="9">
        <v>1997</v>
      </c>
      <c r="U73" s="9">
        <f t="shared" si="9"/>
        <v>25</v>
      </c>
      <c r="V73" s="8">
        <v>1997</v>
      </c>
      <c r="W73" t="s">
        <v>8076</v>
      </c>
      <c r="X73" s="2">
        <v>0.29499999999999998</v>
      </c>
      <c r="Y73" s="7">
        <f t="shared" si="10"/>
        <v>7.8748565174448087E-3</v>
      </c>
      <c r="AA73">
        <v>10642269</v>
      </c>
      <c r="AB73">
        <v>19554</v>
      </c>
      <c r="AD73" t="s">
        <v>1</v>
      </c>
      <c r="AE73">
        <v>42</v>
      </c>
      <c r="AF73">
        <v>5</v>
      </c>
      <c r="AH73" t="s">
        <v>8091</v>
      </c>
      <c r="AI73" t="s">
        <v>8090</v>
      </c>
      <c r="AK73" t="s">
        <v>8089</v>
      </c>
      <c r="AL73">
        <v>0</v>
      </c>
      <c r="AM73" s="5">
        <f t="shared" si="11"/>
        <v>0</v>
      </c>
      <c r="AN73" s="4">
        <f t="shared" si="12"/>
        <v>0</v>
      </c>
      <c r="AO73" s="3"/>
      <c r="AP73">
        <v>0</v>
      </c>
      <c r="AR73" t="s">
        <v>0</v>
      </c>
      <c r="AT73" s="2" t="s">
        <v>5</v>
      </c>
      <c r="AU73" s="1">
        <f t="shared" si="13"/>
        <v>0.55123995622113653</v>
      </c>
      <c r="AV73" s="1">
        <f t="shared" si="14"/>
        <v>0.39374282587224041</v>
      </c>
      <c r="AW73" s="1">
        <f t="shared" si="15"/>
        <v>0.23624569552334423</v>
      </c>
    </row>
    <row r="74" spans="1:49" x14ac:dyDescent="0.2">
      <c r="A74">
        <v>72</v>
      </c>
      <c r="B74" t="s">
        <v>8088</v>
      </c>
      <c r="F74" t="s">
        <v>8087</v>
      </c>
      <c r="G74" t="s">
        <v>4</v>
      </c>
      <c r="H74" t="s">
        <v>3</v>
      </c>
      <c r="I74" t="s">
        <v>8086</v>
      </c>
      <c r="N74">
        <v>1</v>
      </c>
      <c r="O74" t="s">
        <v>8085</v>
      </c>
      <c r="P74">
        <v>6603584865</v>
      </c>
      <c r="R74" s="8">
        <v>35765</v>
      </c>
      <c r="S74" s="9">
        <f t="shared" si="8"/>
        <v>1997</v>
      </c>
      <c r="T74" s="9">
        <v>1997</v>
      </c>
      <c r="U74" s="9">
        <f t="shared" si="9"/>
        <v>25</v>
      </c>
      <c r="V74" s="8">
        <v>1997</v>
      </c>
      <c r="W74" t="s">
        <v>8076</v>
      </c>
      <c r="X74" s="2">
        <v>0.29499999999999998</v>
      </c>
      <c r="Y74" s="7">
        <f t="shared" si="10"/>
        <v>7.8748565174448087E-3</v>
      </c>
      <c r="AA74">
        <v>10642269</v>
      </c>
      <c r="AB74">
        <v>19554</v>
      </c>
      <c r="AD74" t="s">
        <v>1</v>
      </c>
      <c r="AE74">
        <v>42</v>
      </c>
      <c r="AF74">
        <v>6</v>
      </c>
      <c r="AH74" t="s">
        <v>8084</v>
      </c>
      <c r="AI74" t="s">
        <v>8083</v>
      </c>
      <c r="AK74" t="s">
        <v>8082</v>
      </c>
      <c r="AL74">
        <v>1</v>
      </c>
      <c r="AM74" s="5">
        <f t="shared" si="11"/>
        <v>0.04</v>
      </c>
      <c r="AN74" s="4">
        <f t="shared" si="12"/>
        <v>6.05831124574025E-5</v>
      </c>
      <c r="AO74" s="3"/>
      <c r="AP74">
        <v>0</v>
      </c>
      <c r="AR74" t="s">
        <v>0</v>
      </c>
      <c r="AT74" s="2" t="s">
        <v>5</v>
      </c>
      <c r="AU74" s="1">
        <f t="shared" si="13"/>
        <v>0.55305744959485859</v>
      </c>
      <c r="AV74" s="1">
        <f t="shared" si="14"/>
        <v>0.39677198149511056</v>
      </c>
      <c r="AW74" s="1">
        <f t="shared" si="15"/>
        <v>0.24048651339536242</v>
      </c>
    </row>
    <row r="75" spans="1:49" x14ac:dyDescent="0.2">
      <c r="A75">
        <v>73</v>
      </c>
      <c r="B75" t="s">
        <v>8081</v>
      </c>
      <c r="F75" t="s">
        <v>8080</v>
      </c>
      <c r="G75" t="s">
        <v>4</v>
      </c>
      <c r="H75" t="s">
        <v>3</v>
      </c>
      <c r="I75" t="s">
        <v>8079</v>
      </c>
      <c r="N75">
        <v>2</v>
      </c>
      <c r="O75" t="s">
        <v>8078</v>
      </c>
      <c r="P75" t="s">
        <v>8077</v>
      </c>
      <c r="Q75" t="s">
        <v>90</v>
      </c>
      <c r="R75" s="8">
        <v>35765</v>
      </c>
      <c r="S75" s="9">
        <f t="shared" si="8"/>
        <v>1997</v>
      </c>
      <c r="T75" s="9">
        <v>1997</v>
      </c>
      <c r="U75" s="9">
        <f t="shared" si="9"/>
        <v>25</v>
      </c>
      <c r="V75" s="8">
        <v>1997</v>
      </c>
      <c r="W75" t="s">
        <v>8076</v>
      </c>
      <c r="X75" s="2">
        <v>0.29499999999999998</v>
      </c>
      <c r="Y75" s="7">
        <f t="shared" si="10"/>
        <v>7.8748565174448087E-3</v>
      </c>
      <c r="AA75">
        <v>10642269</v>
      </c>
      <c r="AB75">
        <v>19554</v>
      </c>
      <c r="AD75" t="s">
        <v>1</v>
      </c>
      <c r="AE75">
        <v>42</v>
      </c>
      <c r="AF75">
        <v>12</v>
      </c>
      <c r="AH75" t="s">
        <v>8075</v>
      </c>
      <c r="AI75" t="s">
        <v>8074</v>
      </c>
      <c r="AK75" t="s">
        <v>8073</v>
      </c>
      <c r="AL75">
        <v>0</v>
      </c>
      <c r="AM75" s="5">
        <f t="shared" si="11"/>
        <v>0</v>
      </c>
      <c r="AN75" s="4">
        <f t="shared" si="12"/>
        <v>0</v>
      </c>
      <c r="AO75" s="3"/>
      <c r="AP75">
        <v>0</v>
      </c>
      <c r="AR75" t="s">
        <v>0</v>
      </c>
      <c r="AT75" s="2" t="s">
        <v>5</v>
      </c>
      <c r="AU75" s="1">
        <f t="shared" si="13"/>
        <v>0.55123995622113653</v>
      </c>
      <c r="AV75" s="1">
        <f t="shared" si="14"/>
        <v>0.39374282587224041</v>
      </c>
      <c r="AW75" s="1">
        <f t="shared" si="15"/>
        <v>0.23624569552334423</v>
      </c>
    </row>
    <row r="76" spans="1:49" x14ac:dyDescent="0.2">
      <c r="A76">
        <v>74</v>
      </c>
      <c r="B76" t="s">
        <v>8072</v>
      </c>
      <c r="F76" t="s">
        <v>8071</v>
      </c>
      <c r="G76" t="s">
        <v>4</v>
      </c>
      <c r="H76" t="s">
        <v>3</v>
      </c>
      <c r="I76" t="s">
        <v>8070</v>
      </c>
      <c r="J76">
        <v>60069909</v>
      </c>
      <c r="K76" t="s">
        <v>8069</v>
      </c>
      <c r="L76" t="s">
        <v>330</v>
      </c>
      <c r="M76" t="s">
        <v>81</v>
      </c>
      <c r="N76">
        <v>1</v>
      </c>
      <c r="O76" t="s">
        <v>8068</v>
      </c>
      <c r="P76">
        <v>6701454319</v>
      </c>
      <c r="Q76">
        <v>60069909</v>
      </c>
      <c r="R76" s="8">
        <v>35765</v>
      </c>
      <c r="S76" s="9">
        <f t="shared" si="8"/>
        <v>1997</v>
      </c>
      <c r="T76" s="9">
        <v>1997</v>
      </c>
      <c r="U76" s="9">
        <f t="shared" si="9"/>
        <v>25</v>
      </c>
      <c r="V76" s="8">
        <v>1997</v>
      </c>
      <c r="W76" t="s">
        <v>8067</v>
      </c>
      <c r="X76" s="2">
        <v>0.59699999999999998</v>
      </c>
      <c r="Y76" s="7">
        <f t="shared" si="10"/>
        <v>1.5936574036998479E-2</v>
      </c>
      <c r="AA76">
        <v>34541</v>
      </c>
      <c r="AB76">
        <v>24588</v>
      </c>
      <c r="AD76" t="s">
        <v>1</v>
      </c>
      <c r="AE76">
        <v>47</v>
      </c>
      <c r="AF76" s="6">
        <v>44228</v>
      </c>
      <c r="AH76" t="s">
        <v>8066</v>
      </c>
      <c r="AI76" t="s">
        <v>8065</v>
      </c>
      <c r="AJ76" t="s">
        <v>8064</v>
      </c>
      <c r="AK76" t="s">
        <v>8063</v>
      </c>
      <c r="AL76">
        <v>1</v>
      </c>
      <c r="AM76" s="5">
        <f t="shared" si="11"/>
        <v>0.04</v>
      </c>
      <c r="AN76" s="4">
        <f t="shared" si="12"/>
        <v>6.05831124574025E-5</v>
      </c>
      <c r="AO76" s="3"/>
      <c r="AP76">
        <v>0</v>
      </c>
      <c r="AR76" t="s">
        <v>0</v>
      </c>
      <c r="AT76" s="2">
        <v>1</v>
      </c>
      <c r="AU76" s="1">
        <f t="shared" si="13"/>
        <v>1.1173776759636156</v>
      </c>
      <c r="AV76" s="1">
        <f t="shared" si="14"/>
        <v>0.79985785747279414</v>
      </c>
      <c r="AW76" s="1">
        <f t="shared" si="15"/>
        <v>0.48233803898197253</v>
      </c>
    </row>
    <row r="77" spans="1:49" x14ac:dyDescent="0.2">
      <c r="A77">
        <v>75</v>
      </c>
      <c r="B77" t="s">
        <v>8062</v>
      </c>
      <c r="F77" t="s">
        <v>8061</v>
      </c>
      <c r="G77" t="s">
        <v>4</v>
      </c>
      <c r="H77" t="s">
        <v>3</v>
      </c>
      <c r="I77" t="s">
        <v>733</v>
      </c>
      <c r="N77">
        <v>2</v>
      </c>
      <c r="O77" t="s">
        <v>8060</v>
      </c>
      <c r="P77" t="s">
        <v>8059</v>
      </c>
      <c r="Q77" t="s">
        <v>90</v>
      </c>
      <c r="R77" s="8">
        <v>35765</v>
      </c>
      <c r="S77" s="9">
        <f t="shared" si="8"/>
        <v>1997</v>
      </c>
      <c r="T77" s="9">
        <v>1997</v>
      </c>
      <c r="U77" s="9">
        <f t="shared" si="9"/>
        <v>25</v>
      </c>
      <c r="V77" s="8">
        <v>1997</v>
      </c>
      <c r="W77" t="s">
        <v>8058</v>
      </c>
      <c r="X77" s="2" t="s">
        <v>5</v>
      </c>
      <c r="Y77" s="7" t="e">
        <f t="shared" si="10"/>
        <v>#VALUE!</v>
      </c>
      <c r="AA77">
        <v>287199</v>
      </c>
      <c r="AB77">
        <v>21035</v>
      </c>
      <c r="AD77" t="s">
        <v>1</v>
      </c>
      <c r="AE77">
        <v>105</v>
      </c>
      <c r="AF77" s="6">
        <v>44289</v>
      </c>
      <c r="AH77" t="s">
        <v>8057</v>
      </c>
      <c r="AI77" t="s">
        <v>8056</v>
      </c>
      <c r="AK77" t="s">
        <v>8055</v>
      </c>
      <c r="AL77">
        <v>2</v>
      </c>
      <c r="AM77" s="5">
        <f t="shared" si="11"/>
        <v>0.08</v>
      </c>
      <c r="AN77" s="4">
        <f t="shared" si="12"/>
        <v>1.21166224914805E-4</v>
      </c>
      <c r="AO77" s="3"/>
      <c r="AP77">
        <v>0</v>
      </c>
      <c r="AR77" t="s">
        <v>0</v>
      </c>
      <c r="AT77" s="2" t="s">
        <v>5</v>
      </c>
      <c r="AU77" s="1" t="e">
        <f t="shared" si="13"/>
        <v>#VALUE!</v>
      </c>
      <c r="AV77" s="1" t="e">
        <f t="shared" si="14"/>
        <v>#VALUE!</v>
      </c>
      <c r="AW77" s="1" t="e">
        <f t="shared" si="15"/>
        <v>#VALUE!</v>
      </c>
    </row>
    <row r="78" spans="1:49" x14ac:dyDescent="0.2">
      <c r="A78">
        <v>76</v>
      </c>
      <c r="B78" t="s">
        <v>8054</v>
      </c>
      <c r="C78" t="s">
        <v>8053</v>
      </c>
      <c r="D78" t="s">
        <v>8052</v>
      </c>
      <c r="F78" t="s">
        <v>8051</v>
      </c>
      <c r="G78" t="s">
        <v>4</v>
      </c>
      <c r="H78" t="s">
        <v>3</v>
      </c>
      <c r="I78" t="s">
        <v>78</v>
      </c>
      <c r="J78" t="s">
        <v>8050</v>
      </c>
      <c r="K78" t="s">
        <v>8049</v>
      </c>
      <c r="L78" t="s">
        <v>8048</v>
      </c>
      <c r="M78" t="s">
        <v>315</v>
      </c>
      <c r="N78">
        <v>1</v>
      </c>
      <c r="O78" t="s">
        <v>8047</v>
      </c>
      <c r="P78">
        <v>7006797648</v>
      </c>
      <c r="Q78" t="s">
        <v>8046</v>
      </c>
      <c r="R78" s="8">
        <v>35765</v>
      </c>
      <c r="S78" s="9">
        <f t="shared" si="8"/>
        <v>1997</v>
      </c>
      <c r="T78" s="9">
        <v>1997</v>
      </c>
      <c r="U78" s="9">
        <f t="shared" si="9"/>
        <v>25</v>
      </c>
      <c r="V78" s="8">
        <v>1997</v>
      </c>
      <c r="W78" t="s">
        <v>8045</v>
      </c>
      <c r="X78" s="2">
        <v>0.57399999999999995</v>
      </c>
      <c r="Y78" s="7">
        <f t="shared" si="10"/>
        <v>1.5322602172926509E-2</v>
      </c>
      <c r="AA78">
        <v>213640</v>
      </c>
      <c r="AB78">
        <v>28115</v>
      </c>
      <c r="AD78" t="s">
        <v>1</v>
      </c>
      <c r="AE78">
        <v>65</v>
      </c>
      <c r="AF78">
        <v>2</v>
      </c>
      <c r="AH78" t="s">
        <v>8044</v>
      </c>
      <c r="AI78" t="s">
        <v>8043</v>
      </c>
      <c r="AK78" t="s">
        <v>8042</v>
      </c>
      <c r="AL78">
        <v>1</v>
      </c>
      <c r="AM78" s="5">
        <f t="shared" si="11"/>
        <v>0.04</v>
      </c>
      <c r="AN78" s="4">
        <f t="shared" si="12"/>
        <v>6.05831124574025E-5</v>
      </c>
      <c r="AO78" s="3"/>
      <c r="AP78">
        <v>0</v>
      </c>
      <c r="AQ78" t="s">
        <v>157</v>
      </c>
      <c r="AR78" t="s">
        <v>8041</v>
      </c>
      <c r="AS78" t="s">
        <v>156</v>
      </c>
      <c r="AT78" s="2">
        <v>1.532</v>
      </c>
      <c r="AU78" s="1">
        <f t="shared" si="13"/>
        <v>1.0743996454785778</v>
      </c>
      <c r="AV78" s="1">
        <f t="shared" si="14"/>
        <v>0.76915926426919556</v>
      </c>
      <c r="AW78" s="1">
        <f t="shared" si="15"/>
        <v>0.46391888305981344</v>
      </c>
    </row>
    <row r="79" spans="1:49" x14ac:dyDescent="0.2">
      <c r="A79">
        <v>77</v>
      </c>
      <c r="B79" t="s">
        <v>8040</v>
      </c>
      <c r="F79" t="s">
        <v>412</v>
      </c>
      <c r="G79" t="s">
        <v>4</v>
      </c>
      <c r="H79" t="s">
        <v>3</v>
      </c>
      <c r="I79" t="s">
        <v>411</v>
      </c>
      <c r="J79">
        <v>60012162</v>
      </c>
      <c r="K79" t="s">
        <v>410</v>
      </c>
      <c r="L79" t="s">
        <v>409</v>
      </c>
      <c r="M79" t="s">
        <v>116</v>
      </c>
      <c r="N79">
        <v>4</v>
      </c>
      <c r="O79" t="s">
        <v>408</v>
      </c>
      <c r="P79" t="s">
        <v>407</v>
      </c>
      <c r="Q79" t="s">
        <v>406</v>
      </c>
      <c r="R79" s="8">
        <v>35765</v>
      </c>
      <c r="S79" s="9">
        <f t="shared" si="8"/>
        <v>1997</v>
      </c>
      <c r="T79" s="9">
        <v>1997</v>
      </c>
      <c r="U79" s="9">
        <f t="shared" si="9"/>
        <v>25</v>
      </c>
      <c r="V79" s="8">
        <v>1997</v>
      </c>
      <c r="W79" t="s">
        <v>539</v>
      </c>
      <c r="X79" s="2">
        <v>0.33500000000000002</v>
      </c>
      <c r="Y79" s="7">
        <f t="shared" si="10"/>
        <v>8.94263367235258E-3</v>
      </c>
      <c r="AA79">
        <v>10964290</v>
      </c>
      <c r="AB79">
        <v>18201</v>
      </c>
      <c r="AD79" t="s">
        <v>1</v>
      </c>
      <c r="AE79">
        <v>7</v>
      </c>
      <c r="AF79">
        <v>6</v>
      </c>
      <c r="AH79" t="s">
        <v>405</v>
      </c>
      <c r="AI79" t="s">
        <v>8039</v>
      </c>
      <c r="AJ79" t="s">
        <v>404</v>
      </c>
      <c r="AK79" t="s">
        <v>403</v>
      </c>
      <c r="AL79">
        <v>1</v>
      </c>
      <c r="AM79" s="5">
        <f t="shared" si="11"/>
        <v>0.04</v>
      </c>
      <c r="AN79" s="4">
        <f t="shared" si="12"/>
        <v>6.05831124574025E-5</v>
      </c>
      <c r="AO79" s="3"/>
      <c r="AP79">
        <v>0</v>
      </c>
      <c r="AR79" t="s">
        <v>0</v>
      </c>
      <c r="AT79" s="2">
        <v>1.694</v>
      </c>
      <c r="AU79" s="1">
        <f t="shared" si="13"/>
        <v>0.62780185043840264</v>
      </c>
      <c r="AV79" s="1">
        <f t="shared" si="14"/>
        <v>0.4501608392404991</v>
      </c>
      <c r="AW79" s="1">
        <f t="shared" si="15"/>
        <v>0.27251982804259556</v>
      </c>
    </row>
    <row r="80" spans="1:49" x14ac:dyDescent="0.2">
      <c r="A80">
        <v>78</v>
      </c>
      <c r="B80" t="s">
        <v>8038</v>
      </c>
      <c r="F80" t="s">
        <v>422</v>
      </c>
      <c r="G80" t="s">
        <v>4</v>
      </c>
      <c r="H80" t="s">
        <v>3</v>
      </c>
      <c r="I80" t="s">
        <v>5777</v>
      </c>
      <c r="J80" t="s">
        <v>8037</v>
      </c>
      <c r="K80" t="s">
        <v>8036</v>
      </c>
      <c r="L80" t="s">
        <v>8035</v>
      </c>
      <c r="M80" t="s">
        <v>8034</v>
      </c>
      <c r="N80">
        <v>5</v>
      </c>
      <c r="O80" t="s">
        <v>421</v>
      </c>
      <c r="P80" t="s">
        <v>420</v>
      </c>
      <c r="Q80" t="s">
        <v>8033</v>
      </c>
      <c r="R80" s="8">
        <v>35765</v>
      </c>
      <c r="S80" s="9">
        <f t="shared" si="8"/>
        <v>1997</v>
      </c>
      <c r="T80" s="9">
        <v>1997</v>
      </c>
      <c r="U80" s="9">
        <f t="shared" si="9"/>
        <v>25</v>
      </c>
      <c r="V80" s="8">
        <v>1997</v>
      </c>
      <c r="W80" t="s">
        <v>539</v>
      </c>
      <c r="X80" s="2">
        <v>0.33500000000000002</v>
      </c>
      <c r="Y80" s="7">
        <f t="shared" si="10"/>
        <v>8.94263367235258E-3</v>
      </c>
      <c r="AA80">
        <v>10964290</v>
      </c>
      <c r="AB80">
        <v>18201</v>
      </c>
      <c r="AD80" t="s">
        <v>1</v>
      </c>
      <c r="AE80">
        <v>7</v>
      </c>
      <c r="AF80">
        <v>6</v>
      </c>
      <c r="AH80" t="s">
        <v>419</v>
      </c>
      <c r="AI80" t="s">
        <v>418</v>
      </c>
      <c r="AJ80" t="s">
        <v>417</v>
      </c>
      <c r="AK80" t="s">
        <v>416</v>
      </c>
      <c r="AL80">
        <v>0</v>
      </c>
      <c r="AM80" s="5">
        <f t="shared" si="11"/>
        <v>0</v>
      </c>
      <c r="AN80" s="4">
        <f t="shared" si="12"/>
        <v>0</v>
      </c>
      <c r="AO80" s="3"/>
      <c r="AP80">
        <v>0</v>
      </c>
      <c r="AR80" t="s">
        <v>0</v>
      </c>
      <c r="AT80" s="2">
        <v>1.694</v>
      </c>
      <c r="AU80" s="1">
        <f t="shared" si="13"/>
        <v>0.62598435706468059</v>
      </c>
      <c r="AV80" s="1">
        <f t="shared" si="14"/>
        <v>0.44713168361762901</v>
      </c>
      <c r="AW80" s="1">
        <f t="shared" si="15"/>
        <v>0.26827901017057743</v>
      </c>
    </row>
    <row r="81" spans="1:49" x14ac:dyDescent="0.2">
      <c r="A81">
        <v>79</v>
      </c>
      <c r="B81" t="s">
        <v>8032</v>
      </c>
      <c r="F81" t="s">
        <v>8031</v>
      </c>
      <c r="G81" t="s">
        <v>4</v>
      </c>
      <c r="H81" t="s">
        <v>3</v>
      </c>
      <c r="I81" t="s">
        <v>8030</v>
      </c>
      <c r="N81">
        <v>1</v>
      </c>
      <c r="O81" t="s">
        <v>8029</v>
      </c>
      <c r="P81">
        <v>7003833668</v>
      </c>
      <c r="R81" s="8">
        <v>35765</v>
      </c>
      <c r="S81" s="9">
        <f t="shared" si="8"/>
        <v>1997</v>
      </c>
      <c r="T81" s="9">
        <v>1997</v>
      </c>
      <c r="U81" s="9">
        <f t="shared" si="9"/>
        <v>25</v>
      </c>
      <c r="V81" s="8">
        <v>1997</v>
      </c>
      <c r="W81" t="s">
        <v>8028</v>
      </c>
      <c r="X81" s="2" t="s">
        <v>5</v>
      </c>
      <c r="Y81" s="7" t="e">
        <f t="shared" si="10"/>
        <v>#VALUE!</v>
      </c>
      <c r="AA81">
        <v>2116529</v>
      </c>
      <c r="AB81">
        <v>31654</v>
      </c>
      <c r="AD81" t="s">
        <v>1</v>
      </c>
      <c r="AE81">
        <v>20</v>
      </c>
      <c r="AF81">
        <v>2</v>
      </c>
      <c r="AH81" t="s">
        <v>8027</v>
      </c>
      <c r="AI81" t="s">
        <v>8026</v>
      </c>
      <c r="AJ81" t="s">
        <v>8025</v>
      </c>
      <c r="AK81" t="s">
        <v>8024</v>
      </c>
      <c r="AL81">
        <v>2</v>
      </c>
      <c r="AM81" s="5">
        <f t="shared" si="11"/>
        <v>0.08</v>
      </c>
      <c r="AN81" s="4">
        <f t="shared" si="12"/>
        <v>1.21166224914805E-4</v>
      </c>
      <c r="AO81" s="3"/>
      <c r="AP81">
        <v>0</v>
      </c>
      <c r="AR81" t="s">
        <v>0</v>
      </c>
      <c r="AT81" s="2" t="s">
        <v>5</v>
      </c>
      <c r="AU81" s="1" t="e">
        <f t="shared" si="13"/>
        <v>#VALUE!</v>
      </c>
      <c r="AV81" s="1" t="e">
        <f t="shared" si="14"/>
        <v>#VALUE!</v>
      </c>
      <c r="AW81" s="1" t="e">
        <f t="shared" si="15"/>
        <v>#VALUE!</v>
      </c>
    </row>
    <row r="82" spans="1:49" x14ac:dyDescent="0.2">
      <c r="A82">
        <v>80</v>
      </c>
      <c r="B82" t="s">
        <v>8023</v>
      </c>
      <c r="F82" t="s">
        <v>8022</v>
      </c>
      <c r="G82" t="s">
        <v>4</v>
      </c>
      <c r="H82" t="s">
        <v>3</v>
      </c>
      <c r="I82" t="s">
        <v>8021</v>
      </c>
      <c r="N82">
        <v>1</v>
      </c>
      <c r="O82" t="s">
        <v>8020</v>
      </c>
      <c r="P82">
        <v>6602244437</v>
      </c>
      <c r="R82" s="8">
        <v>35765</v>
      </c>
      <c r="S82" s="9">
        <f t="shared" si="8"/>
        <v>1997</v>
      </c>
      <c r="T82" s="9">
        <v>1997</v>
      </c>
      <c r="U82" s="9">
        <f t="shared" si="9"/>
        <v>25</v>
      </c>
      <c r="V82" s="8">
        <v>1997</v>
      </c>
      <c r="W82" t="s">
        <v>100</v>
      </c>
      <c r="X82" s="2" t="s">
        <v>5</v>
      </c>
      <c r="Y82" s="7" t="e">
        <f t="shared" si="10"/>
        <v>#VALUE!</v>
      </c>
      <c r="AA82">
        <v>2757257</v>
      </c>
      <c r="AB82">
        <v>92584</v>
      </c>
      <c r="AD82" t="s">
        <v>1</v>
      </c>
      <c r="AE82">
        <v>14</v>
      </c>
      <c r="AF82">
        <v>5</v>
      </c>
      <c r="AH82" t="s">
        <v>8019</v>
      </c>
      <c r="AI82" t="s">
        <v>8018</v>
      </c>
      <c r="AK82" t="s">
        <v>8017</v>
      </c>
      <c r="AL82">
        <v>0</v>
      </c>
      <c r="AM82" s="5">
        <f t="shared" si="11"/>
        <v>0</v>
      </c>
      <c r="AN82" s="4">
        <f t="shared" si="12"/>
        <v>0</v>
      </c>
      <c r="AO82" s="3"/>
      <c r="AP82">
        <v>0</v>
      </c>
      <c r="AR82" t="s">
        <v>0</v>
      </c>
      <c r="AT82" s="2" t="s">
        <v>5</v>
      </c>
      <c r="AU82" s="1" t="e">
        <f t="shared" si="13"/>
        <v>#VALUE!</v>
      </c>
      <c r="AV82" s="1" t="e">
        <f t="shared" si="14"/>
        <v>#VALUE!</v>
      </c>
      <c r="AW82" s="1" t="e">
        <f t="shared" si="15"/>
        <v>#VALUE!</v>
      </c>
    </row>
    <row r="83" spans="1:49" x14ac:dyDescent="0.2">
      <c r="A83">
        <v>81</v>
      </c>
      <c r="B83" t="s">
        <v>8016</v>
      </c>
      <c r="F83" t="s">
        <v>8015</v>
      </c>
      <c r="G83" t="s">
        <v>4</v>
      </c>
      <c r="H83" t="s">
        <v>3</v>
      </c>
      <c r="I83" t="s">
        <v>8014</v>
      </c>
      <c r="J83">
        <v>60004305</v>
      </c>
      <c r="K83" t="s">
        <v>8013</v>
      </c>
      <c r="L83" t="s">
        <v>135</v>
      </c>
      <c r="M83" t="s">
        <v>134</v>
      </c>
      <c r="N83">
        <v>2</v>
      </c>
      <c r="O83" t="s">
        <v>8012</v>
      </c>
      <c r="P83" t="s">
        <v>8011</v>
      </c>
      <c r="Q83" t="s">
        <v>8010</v>
      </c>
      <c r="R83" s="8">
        <v>35765</v>
      </c>
      <c r="S83" s="9">
        <f t="shared" si="8"/>
        <v>1997</v>
      </c>
      <c r="T83" s="9">
        <v>1997</v>
      </c>
      <c r="U83" s="9">
        <f t="shared" si="9"/>
        <v>25</v>
      </c>
      <c r="V83" s="8">
        <v>1997</v>
      </c>
      <c r="W83" t="s">
        <v>8009</v>
      </c>
      <c r="X83" s="2">
        <v>0.16900000000000001</v>
      </c>
      <c r="Y83" s="7">
        <f t="shared" si="10"/>
        <v>4.5113584794853317E-3</v>
      </c>
      <c r="AA83">
        <v>13000101</v>
      </c>
      <c r="AB83">
        <v>12389</v>
      </c>
      <c r="AD83" t="s">
        <v>1</v>
      </c>
      <c r="AE83">
        <v>21</v>
      </c>
      <c r="AF83">
        <v>11</v>
      </c>
      <c r="AH83" t="s">
        <v>8008</v>
      </c>
      <c r="AI83" t="s">
        <v>8007</v>
      </c>
      <c r="AJ83" t="s">
        <v>8006</v>
      </c>
      <c r="AK83" t="s">
        <v>8005</v>
      </c>
      <c r="AL83">
        <v>1</v>
      </c>
      <c r="AM83" s="5">
        <f t="shared" si="11"/>
        <v>0.04</v>
      </c>
      <c r="AN83" s="4">
        <f t="shared" si="12"/>
        <v>6.05831124574025E-5</v>
      </c>
      <c r="AO83" s="3"/>
      <c r="AP83">
        <v>0</v>
      </c>
      <c r="AR83" t="s">
        <v>0</v>
      </c>
      <c r="AT83" s="2" t="s">
        <v>5</v>
      </c>
      <c r="AU83" s="1">
        <f t="shared" si="13"/>
        <v>0.31761258693769528</v>
      </c>
      <c r="AV83" s="1">
        <f t="shared" si="14"/>
        <v>0.22859707959713671</v>
      </c>
      <c r="AW83" s="1">
        <f t="shared" si="15"/>
        <v>0.13958157225657811</v>
      </c>
    </row>
    <row r="84" spans="1:49" x14ac:dyDescent="0.2">
      <c r="A84">
        <v>82</v>
      </c>
      <c r="B84" t="s">
        <v>8004</v>
      </c>
      <c r="F84" t="s">
        <v>8003</v>
      </c>
      <c r="G84" t="s">
        <v>4</v>
      </c>
      <c r="H84" t="s">
        <v>3</v>
      </c>
      <c r="I84" t="s">
        <v>8002</v>
      </c>
      <c r="J84">
        <v>60031040</v>
      </c>
      <c r="K84" t="s">
        <v>8001</v>
      </c>
      <c r="L84" t="s">
        <v>8000</v>
      </c>
      <c r="M84" t="s">
        <v>701</v>
      </c>
      <c r="N84">
        <v>3</v>
      </c>
      <c r="O84" t="s">
        <v>7999</v>
      </c>
      <c r="P84" t="s">
        <v>7998</v>
      </c>
      <c r="Q84" t="s">
        <v>7997</v>
      </c>
      <c r="R84" s="8">
        <v>35765</v>
      </c>
      <c r="S84" s="9">
        <f t="shared" si="8"/>
        <v>1997</v>
      </c>
      <c r="T84" s="9">
        <v>1997</v>
      </c>
      <c r="U84" s="9">
        <f t="shared" si="9"/>
        <v>25</v>
      </c>
      <c r="V84" s="8">
        <v>1997</v>
      </c>
      <c r="W84" t="s">
        <v>7996</v>
      </c>
      <c r="X84" s="2" t="s">
        <v>5</v>
      </c>
      <c r="Y84" s="7" t="e">
        <f t="shared" si="10"/>
        <v>#VALUE!</v>
      </c>
      <c r="AA84">
        <v>71331</v>
      </c>
      <c r="AB84">
        <v>36547</v>
      </c>
      <c r="AD84" t="s">
        <v>1</v>
      </c>
      <c r="AE84">
        <v>80</v>
      </c>
      <c r="AF84" t="s">
        <v>7995</v>
      </c>
      <c r="AH84">
        <v>189</v>
      </c>
      <c r="AI84" t="s">
        <v>7994</v>
      </c>
      <c r="AK84" t="s">
        <v>7993</v>
      </c>
      <c r="AL84">
        <v>0</v>
      </c>
      <c r="AM84" s="5">
        <f t="shared" si="11"/>
        <v>0</v>
      </c>
      <c r="AN84" s="4">
        <f t="shared" si="12"/>
        <v>0</v>
      </c>
      <c r="AO84" s="3"/>
      <c r="AP84">
        <v>0</v>
      </c>
      <c r="AR84" t="s">
        <v>0</v>
      </c>
      <c r="AT84" s="2" t="s">
        <v>5</v>
      </c>
      <c r="AU84" s="1" t="e">
        <f t="shared" si="13"/>
        <v>#VALUE!</v>
      </c>
      <c r="AV84" s="1" t="e">
        <f t="shared" si="14"/>
        <v>#VALUE!</v>
      </c>
      <c r="AW84" s="1" t="e">
        <f t="shared" si="15"/>
        <v>#VALUE!</v>
      </c>
    </row>
    <row r="85" spans="1:49" x14ac:dyDescent="0.2">
      <c r="A85">
        <v>83</v>
      </c>
      <c r="B85" t="s">
        <v>7992</v>
      </c>
      <c r="C85" t="s">
        <v>7991</v>
      </c>
      <c r="F85" t="s">
        <v>7990</v>
      </c>
      <c r="G85" t="s">
        <v>4</v>
      </c>
      <c r="H85" t="s">
        <v>3</v>
      </c>
      <c r="I85" t="s">
        <v>7989</v>
      </c>
      <c r="J85" t="s">
        <v>7988</v>
      </c>
      <c r="K85" t="s">
        <v>7987</v>
      </c>
      <c r="L85" t="s">
        <v>7986</v>
      </c>
      <c r="M85" t="s">
        <v>7985</v>
      </c>
      <c r="N85">
        <v>2</v>
      </c>
      <c r="O85" t="s">
        <v>7984</v>
      </c>
      <c r="P85" t="s">
        <v>7983</v>
      </c>
      <c r="Q85" t="s">
        <v>7982</v>
      </c>
      <c r="R85" s="8">
        <v>35765</v>
      </c>
      <c r="S85" s="9">
        <f t="shared" si="8"/>
        <v>1997</v>
      </c>
      <c r="T85" s="9">
        <v>1997</v>
      </c>
      <c r="U85" s="9">
        <f t="shared" si="9"/>
        <v>25</v>
      </c>
      <c r="V85" s="8">
        <v>35765</v>
      </c>
      <c r="W85" t="s">
        <v>439</v>
      </c>
      <c r="X85" s="2">
        <v>0.88100000000000001</v>
      </c>
      <c r="Y85" s="7">
        <f t="shared" si="10"/>
        <v>2.3517791836843653E-2</v>
      </c>
      <c r="AA85">
        <v>10459243</v>
      </c>
      <c r="AB85">
        <v>17248</v>
      </c>
      <c r="AD85" t="s">
        <v>1</v>
      </c>
      <c r="AE85">
        <v>39</v>
      </c>
      <c r="AF85">
        <v>6</v>
      </c>
      <c r="AH85" t="s">
        <v>7981</v>
      </c>
      <c r="AL85">
        <v>10</v>
      </c>
      <c r="AM85" s="5">
        <f t="shared" si="11"/>
        <v>0.4</v>
      </c>
      <c r="AN85" s="4">
        <f t="shared" si="12"/>
        <v>6.0583112457402507E-4</v>
      </c>
      <c r="AO85" s="3"/>
      <c r="AP85">
        <v>0</v>
      </c>
      <c r="AR85" t="s">
        <v>0</v>
      </c>
      <c r="AT85" s="2" t="s">
        <v>5</v>
      </c>
      <c r="AU85" s="1">
        <f t="shared" si="13"/>
        <v>1.6644203623162763</v>
      </c>
      <c r="AV85" s="1">
        <f t="shared" si="14"/>
        <v>1.2061811480708839</v>
      </c>
      <c r="AW85" s="1">
        <f t="shared" si="15"/>
        <v>0.74794193382549135</v>
      </c>
    </row>
    <row r="86" spans="1:49" x14ac:dyDescent="0.2">
      <c r="A86">
        <v>84</v>
      </c>
      <c r="B86" t="s">
        <v>7980</v>
      </c>
      <c r="F86" t="s">
        <v>7979</v>
      </c>
      <c r="G86" t="s">
        <v>4</v>
      </c>
      <c r="H86" t="s">
        <v>3</v>
      </c>
      <c r="I86" t="s">
        <v>7978</v>
      </c>
      <c r="J86">
        <v>60018319</v>
      </c>
      <c r="K86" t="s">
        <v>7977</v>
      </c>
      <c r="L86" t="s">
        <v>7976</v>
      </c>
      <c r="M86" t="s">
        <v>2</v>
      </c>
      <c r="N86">
        <v>1</v>
      </c>
      <c r="O86" t="s">
        <v>7975</v>
      </c>
      <c r="P86">
        <v>7102091949</v>
      </c>
      <c r="Q86">
        <v>60018319</v>
      </c>
      <c r="R86" s="8">
        <v>35765</v>
      </c>
      <c r="S86" s="9">
        <f t="shared" si="8"/>
        <v>1997</v>
      </c>
      <c r="T86" s="9">
        <v>1997</v>
      </c>
      <c r="U86" s="9">
        <f t="shared" si="9"/>
        <v>25</v>
      </c>
      <c r="V86" s="8">
        <v>1997</v>
      </c>
      <c r="W86" t="s">
        <v>7974</v>
      </c>
      <c r="X86" s="2" t="s">
        <v>5</v>
      </c>
      <c r="Y86" s="7" t="e">
        <f t="shared" si="10"/>
        <v>#VALUE!</v>
      </c>
      <c r="AA86">
        <v>7767943</v>
      </c>
      <c r="AB86">
        <v>22526</v>
      </c>
      <c r="AD86" t="s">
        <v>1</v>
      </c>
      <c r="AE86">
        <v>111</v>
      </c>
      <c r="AF86">
        <v>5</v>
      </c>
      <c r="AH86" t="s">
        <v>7973</v>
      </c>
      <c r="AI86" t="s">
        <v>7972</v>
      </c>
      <c r="AJ86" t="s">
        <v>7971</v>
      </c>
      <c r="AK86" t="s">
        <v>7970</v>
      </c>
      <c r="AL86">
        <v>2</v>
      </c>
      <c r="AM86" s="5">
        <f t="shared" si="11"/>
        <v>0.08</v>
      </c>
      <c r="AN86" s="4">
        <f t="shared" si="12"/>
        <v>1.21166224914805E-4</v>
      </c>
      <c r="AO86" s="3"/>
      <c r="AP86">
        <v>0</v>
      </c>
      <c r="AR86" t="s">
        <v>0</v>
      </c>
      <c r="AT86" s="2" t="s">
        <v>5</v>
      </c>
      <c r="AU86" s="1" t="e">
        <f t="shared" si="13"/>
        <v>#VALUE!</v>
      </c>
      <c r="AV86" s="1" t="e">
        <f t="shared" si="14"/>
        <v>#VALUE!</v>
      </c>
      <c r="AW86" s="1" t="e">
        <f t="shared" si="15"/>
        <v>#VALUE!</v>
      </c>
    </row>
    <row r="87" spans="1:49" x14ac:dyDescent="0.2">
      <c r="A87">
        <v>85</v>
      </c>
      <c r="B87" t="s">
        <v>7969</v>
      </c>
      <c r="F87" t="s">
        <v>7968</v>
      </c>
      <c r="G87" t="s">
        <v>4</v>
      </c>
      <c r="H87" t="s">
        <v>3</v>
      </c>
      <c r="I87" t="s">
        <v>7967</v>
      </c>
      <c r="J87">
        <v>101595602</v>
      </c>
      <c r="K87" t="s">
        <v>7966</v>
      </c>
      <c r="N87">
        <v>4</v>
      </c>
      <c r="O87" t="s">
        <v>7965</v>
      </c>
      <c r="P87" t="s">
        <v>7964</v>
      </c>
      <c r="Q87" t="s">
        <v>7963</v>
      </c>
      <c r="R87" s="8">
        <v>35765</v>
      </c>
      <c r="S87" s="9">
        <f t="shared" si="8"/>
        <v>1997</v>
      </c>
      <c r="T87" s="9">
        <v>1997</v>
      </c>
      <c r="U87" s="9">
        <f t="shared" si="9"/>
        <v>25</v>
      </c>
      <c r="V87" s="8">
        <v>1997</v>
      </c>
      <c r="W87" t="s">
        <v>105</v>
      </c>
      <c r="X87" s="2">
        <v>0.1</v>
      </c>
      <c r="Y87" s="7">
        <f t="shared" si="10"/>
        <v>2.6694428872694269E-3</v>
      </c>
      <c r="AA87">
        <v>9633308</v>
      </c>
      <c r="AB87">
        <v>17917</v>
      </c>
      <c r="AD87" t="s">
        <v>1</v>
      </c>
      <c r="AF87">
        <v>156</v>
      </c>
      <c r="AI87" t="s">
        <v>7962</v>
      </c>
      <c r="AK87" t="s">
        <v>7961</v>
      </c>
      <c r="AL87">
        <v>0</v>
      </c>
      <c r="AM87" s="5">
        <f t="shared" si="11"/>
        <v>0</v>
      </c>
      <c r="AN87" s="4">
        <f t="shared" si="12"/>
        <v>0</v>
      </c>
      <c r="AO87" s="3"/>
      <c r="AP87">
        <v>0</v>
      </c>
      <c r="AR87" t="s">
        <v>0</v>
      </c>
      <c r="AT87" s="2" t="s">
        <v>5</v>
      </c>
      <c r="AU87" s="1">
        <f t="shared" si="13"/>
        <v>0.18686100210885986</v>
      </c>
      <c r="AV87" s="1">
        <f t="shared" si="14"/>
        <v>0.13347214436347135</v>
      </c>
      <c r="AW87" s="1">
        <f t="shared" si="15"/>
        <v>8.0083286618082811E-2</v>
      </c>
    </row>
    <row r="88" spans="1:49" x14ac:dyDescent="0.2">
      <c r="A88">
        <v>86</v>
      </c>
      <c r="B88" t="s">
        <v>7960</v>
      </c>
      <c r="F88" t="s">
        <v>7959</v>
      </c>
      <c r="G88" t="s">
        <v>4</v>
      </c>
      <c r="H88" t="s">
        <v>3</v>
      </c>
      <c r="I88" t="s">
        <v>7958</v>
      </c>
      <c r="N88">
        <v>5</v>
      </c>
      <c r="O88" t="s">
        <v>7957</v>
      </c>
      <c r="P88" t="s">
        <v>7956</v>
      </c>
      <c r="Q88" t="s">
        <v>1700</v>
      </c>
      <c r="R88" s="8">
        <v>35765</v>
      </c>
      <c r="S88" s="9">
        <f t="shared" si="8"/>
        <v>1997</v>
      </c>
      <c r="T88" s="9">
        <v>1997</v>
      </c>
      <c r="U88" s="9">
        <f t="shared" si="9"/>
        <v>25</v>
      </c>
      <c r="V88" s="8">
        <v>1997</v>
      </c>
      <c r="W88" t="s">
        <v>7955</v>
      </c>
      <c r="X88" s="2" t="s">
        <v>5</v>
      </c>
      <c r="Y88" s="7" t="e">
        <f t="shared" si="10"/>
        <v>#VALUE!</v>
      </c>
      <c r="AA88">
        <v>3919838</v>
      </c>
      <c r="AB88">
        <v>25886</v>
      </c>
      <c r="AD88" t="s">
        <v>1</v>
      </c>
      <c r="AE88">
        <v>20</v>
      </c>
      <c r="AF88">
        <v>2</v>
      </c>
      <c r="AH88" t="s">
        <v>7954</v>
      </c>
      <c r="AI88" t="s">
        <v>7953</v>
      </c>
      <c r="AJ88" t="s">
        <v>7952</v>
      </c>
      <c r="AK88" t="s">
        <v>7951</v>
      </c>
      <c r="AL88">
        <v>8</v>
      </c>
      <c r="AM88" s="5">
        <f t="shared" si="11"/>
        <v>0.32</v>
      </c>
      <c r="AN88" s="4">
        <f t="shared" si="12"/>
        <v>4.8466489965922E-4</v>
      </c>
      <c r="AO88" s="3"/>
      <c r="AP88">
        <v>0</v>
      </c>
      <c r="AR88" t="s">
        <v>0</v>
      </c>
      <c r="AT88" s="2">
        <v>1.5</v>
      </c>
      <c r="AU88" s="1" t="e">
        <f t="shared" si="13"/>
        <v>#VALUE!</v>
      </c>
      <c r="AV88" s="1" t="e">
        <f t="shared" si="14"/>
        <v>#VALUE!</v>
      </c>
      <c r="AW88" s="1" t="e">
        <f t="shared" si="15"/>
        <v>#VALUE!</v>
      </c>
    </row>
    <row r="89" spans="1:49" x14ac:dyDescent="0.2">
      <c r="A89">
        <v>87</v>
      </c>
      <c r="B89" t="s">
        <v>7950</v>
      </c>
      <c r="F89" t="s">
        <v>7949</v>
      </c>
      <c r="G89" t="s">
        <v>4</v>
      </c>
      <c r="H89" t="s">
        <v>3</v>
      </c>
      <c r="I89" t="s">
        <v>4396</v>
      </c>
      <c r="J89">
        <v>60104665</v>
      </c>
      <c r="K89" t="s">
        <v>609</v>
      </c>
      <c r="L89" t="s">
        <v>608</v>
      </c>
      <c r="M89" t="s">
        <v>26</v>
      </c>
      <c r="N89">
        <v>3</v>
      </c>
      <c r="O89" t="s">
        <v>7948</v>
      </c>
      <c r="P89" t="s">
        <v>7947</v>
      </c>
      <c r="Q89" t="s">
        <v>7946</v>
      </c>
      <c r="R89" s="8">
        <v>35765</v>
      </c>
      <c r="S89" s="9">
        <f t="shared" si="8"/>
        <v>1997</v>
      </c>
      <c r="T89" s="9">
        <v>1997</v>
      </c>
      <c r="U89" s="9">
        <f t="shared" si="9"/>
        <v>25</v>
      </c>
      <c r="V89" s="8">
        <v>35765</v>
      </c>
      <c r="W89" t="s">
        <v>737</v>
      </c>
      <c r="X89" s="2" t="s">
        <v>5</v>
      </c>
      <c r="Y89" s="7" t="e">
        <f t="shared" si="10"/>
        <v>#VALUE!</v>
      </c>
      <c r="AA89" t="s">
        <v>736</v>
      </c>
      <c r="AB89">
        <v>26720</v>
      </c>
      <c r="AD89" t="s">
        <v>1</v>
      </c>
      <c r="AI89" t="s">
        <v>7945</v>
      </c>
      <c r="AK89" t="s">
        <v>7944</v>
      </c>
      <c r="AL89">
        <v>0</v>
      </c>
      <c r="AM89" s="5">
        <f t="shared" si="11"/>
        <v>0</v>
      </c>
      <c r="AN89" s="4">
        <f t="shared" si="12"/>
        <v>0</v>
      </c>
      <c r="AO89" s="3"/>
      <c r="AP89">
        <v>0</v>
      </c>
      <c r="AR89" t="s">
        <v>0</v>
      </c>
      <c r="AT89" s="2" t="s">
        <v>5</v>
      </c>
      <c r="AU89" s="1" t="e">
        <f t="shared" si="13"/>
        <v>#VALUE!</v>
      </c>
      <c r="AV89" s="1" t="e">
        <f t="shared" si="14"/>
        <v>#VALUE!</v>
      </c>
      <c r="AW89" s="1" t="e">
        <f t="shared" si="15"/>
        <v>#VALUE!</v>
      </c>
    </row>
    <row r="90" spans="1:49" x14ac:dyDescent="0.2">
      <c r="A90">
        <v>88</v>
      </c>
      <c r="B90" t="s">
        <v>7943</v>
      </c>
      <c r="F90" t="s">
        <v>7942</v>
      </c>
      <c r="G90" t="s">
        <v>4</v>
      </c>
      <c r="H90" t="s">
        <v>3</v>
      </c>
      <c r="I90" t="s">
        <v>7941</v>
      </c>
      <c r="J90">
        <v>100333743</v>
      </c>
      <c r="K90" t="s">
        <v>7940</v>
      </c>
      <c r="L90" t="s">
        <v>7939</v>
      </c>
      <c r="M90" t="s">
        <v>116</v>
      </c>
      <c r="N90">
        <v>1</v>
      </c>
      <c r="O90" t="s">
        <v>7938</v>
      </c>
      <c r="P90">
        <v>7005171501</v>
      </c>
      <c r="Q90">
        <v>100333743</v>
      </c>
      <c r="R90" s="8">
        <v>35765</v>
      </c>
      <c r="S90" s="9">
        <f t="shared" si="8"/>
        <v>1997</v>
      </c>
      <c r="T90" s="9">
        <v>1997</v>
      </c>
      <c r="U90" s="9">
        <f t="shared" si="9"/>
        <v>25</v>
      </c>
      <c r="V90" s="8">
        <v>35765</v>
      </c>
      <c r="W90" t="s">
        <v>737</v>
      </c>
      <c r="X90" s="2" t="s">
        <v>5</v>
      </c>
      <c r="Y90" s="7" t="e">
        <f t="shared" si="10"/>
        <v>#VALUE!</v>
      </c>
      <c r="AA90" t="s">
        <v>736</v>
      </c>
      <c r="AB90">
        <v>26720</v>
      </c>
      <c r="AD90" t="s">
        <v>1</v>
      </c>
      <c r="AI90" t="s">
        <v>7937</v>
      </c>
      <c r="AK90" t="s">
        <v>7936</v>
      </c>
      <c r="AL90">
        <v>0</v>
      </c>
      <c r="AM90" s="5">
        <f t="shared" si="11"/>
        <v>0</v>
      </c>
      <c r="AN90" s="4">
        <f t="shared" si="12"/>
        <v>0</v>
      </c>
      <c r="AO90" s="3"/>
      <c r="AP90">
        <v>0</v>
      </c>
      <c r="AR90" t="s">
        <v>0</v>
      </c>
      <c r="AT90" s="2" t="s">
        <v>5</v>
      </c>
      <c r="AU90" s="1" t="e">
        <f t="shared" si="13"/>
        <v>#VALUE!</v>
      </c>
      <c r="AV90" s="1" t="e">
        <f t="shared" si="14"/>
        <v>#VALUE!</v>
      </c>
      <c r="AW90" s="1" t="e">
        <f t="shared" si="15"/>
        <v>#VALUE!</v>
      </c>
    </row>
    <row r="91" spans="1:49" x14ac:dyDescent="0.2">
      <c r="A91">
        <v>89</v>
      </c>
      <c r="B91" t="s">
        <v>7935</v>
      </c>
      <c r="F91" t="s">
        <v>7934</v>
      </c>
      <c r="G91" t="s">
        <v>4</v>
      </c>
      <c r="H91" t="s">
        <v>3</v>
      </c>
      <c r="I91" t="s">
        <v>7933</v>
      </c>
      <c r="J91">
        <v>60017818</v>
      </c>
      <c r="K91" t="s">
        <v>7932</v>
      </c>
      <c r="L91" t="s">
        <v>7931</v>
      </c>
      <c r="M91" t="s">
        <v>303</v>
      </c>
      <c r="N91">
        <v>1</v>
      </c>
      <c r="O91" t="s">
        <v>7930</v>
      </c>
      <c r="P91">
        <v>36962725000</v>
      </c>
      <c r="Q91">
        <v>60017818</v>
      </c>
      <c r="R91" s="8">
        <v>35765</v>
      </c>
      <c r="S91" s="9">
        <f t="shared" si="8"/>
        <v>1997</v>
      </c>
      <c r="T91" s="9">
        <v>1997</v>
      </c>
      <c r="U91" s="9">
        <f t="shared" si="9"/>
        <v>25</v>
      </c>
      <c r="V91" s="8">
        <v>1997</v>
      </c>
      <c r="W91" t="s">
        <v>7918</v>
      </c>
      <c r="X91" s="2">
        <v>0.215</v>
      </c>
      <c r="Y91" s="7">
        <f t="shared" si="10"/>
        <v>5.7393022076292679E-3</v>
      </c>
      <c r="AA91">
        <v>3744884</v>
      </c>
      <c r="AB91">
        <v>28637</v>
      </c>
      <c r="AD91" t="s">
        <v>1</v>
      </c>
      <c r="AE91">
        <v>31</v>
      </c>
      <c r="AF91" t="s">
        <v>7917</v>
      </c>
      <c r="AI91" t="s">
        <v>7929</v>
      </c>
      <c r="AK91" t="s">
        <v>7928</v>
      </c>
      <c r="AL91">
        <v>0</v>
      </c>
      <c r="AM91" s="5">
        <f t="shared" si="11"/>
        <v>0</v>
      </c>
      <c r="AN91" s="4">
        <f t="shared" si="12"/>
        <v>0</v>
      </c>
      <c r="AO91" s="3"/>
      <c r="AP91">
        <v>0</v>
      </c>
      <c r="AR91" t="s">
        <v>0</v>
      </c>
      <c r="AT91" s="2">
        <v>0.64900000000000002</v>
      </c>
      <c r="AU91" s="1">
        <f t="shared" si="13"/>
        <v>0.40175115453404875</v>
      </c>
      <c r="AV91" s="1">
        <f t="shared" si="14"/>
        <v>0.28696511038146338</v>
      </c>
      <c r="AW91" s="1">
        <f t="shared" si="15"/>
        <v>0.17217906622887805</v>
      </c>
    </row>
    <row r="92" spans="1:49" x14ac:dyDescent="0.2">
      <c r="A92">
        <v>90</v>
      </c>
      <c r="B92" t="s">
        <v>7927</v>
      </c>
      <c r="F92" t="s">
        <v>7926</v>
      </c>
      <c r="G92" t="s">
        <v>4</v>
      </c>
      <c r="H92" t="s">
        <v>3</v>
      </c>
      <c r="I92" t="s">
        <v>7925</v>
      </c>
      <c r="J92" t="s">
        <v>7924</v>
      </c>
      <c r="K92" t="s">
        <v>7923</v>
      </c>
      <c r="L92" t="s">
        <v>7922</v>
      </c>
      <c r="M92" t="s">
        <v>120</v>
      </c>
      <c r="N92">
        <v>3</v>
      </c>
      <c r="O92" t="s">
        <v>7921</v>
      </c>
      <c r="P92" t="s">
        <v>7920</v>
      </c>
      <c r="Q92" t="s">
        <v>7919</v>
      </c>
      <c r="R92" s="8">
        <v>35765</v>
      </c>
      <c r="S92" s="9">
        <f t="shared" si="8"/>
        <v>1997</v>
      </c>
      <c r="T92" s="9">
        <v>1997</v>
      </c>
      <c r="U92" s="9">
        <f t="shared" si="9"/>
        <v>25</v>
      </c>
      <c r="V92" s="8">
        <v>1997</v>
      </c>
      <c r="W92" t="s">
        <v>7918</v>
      </c>
      <c r="X92" s="2">
        <v>0.215</v>
      </c>
      <c r="Y92" s="7">
        <f t="shared" si="10"/>
        <v>5.7393022076292679E-3</v>
      </c>
      <c r="AA92">
        <v>3744884</v>
      </c>
      <c r="AB92">
        <v>28637</v>
      </c>
      <c r="AD92" t="s">
        <v>1</v>
      </c>
      <c r="AE92">
        <v>31</v>
      </c>
      <c r="AF92" t="s">
        <v>7917</v>
      </c>
      <c r="AI92" t="s">
        <v>7916</v>
      </c>
      <c r="AK92" t="s">
        <v>7915</v>
      </c>
      <c r="AL92">
        <v>0</v>
      </c>
      <c r="AM92" s="5">
        <f t="shared" si="11"/>
        <v>0</v>
      </c>
      <c r="AN92" s="4">
        <f t="shared" si="12"/>
        <v>0</v>
      </c>
      <c r="AO92" s="3"/>
      <c r="AP92">
        <v>0</v>
      </c>
      <c r="AR92" t="s">
        <v>0</v>
      </c>
      <c r="AT92" s="2">
        <v>0.64900000000000002</v>
      </c>
      <c r="AU92" s="1">
        <f t="shared" si="13"/>
        <v>0.40175115453404875</v>
      </c>
      <c r="AV92" s="1">
        <f t="shared" si="14"/>
        <v>0.28696511038146338</v>
      </c>
      <c r="AW92" s="1">
        <f t="shared" si="15"/>
        <v>0.17217906622887805</v>
      </c>
    </row>
    <row r="93" spans="1:49" x14ac:dyDescent="0.2">
      <c r="A93">
        <v>91</v>
      </c>
      <c r="B93" t="s">
        <v>7914</v>
      </c>
      <c r="F93" t="s">
        <v>7913</v>
      </c>
      <c r="G93" t="s">
        <v>4</v>
      </c>
      <c r="H93" t="s">
        <v>3</v>
      </c>
      <c r="I93" t="s">
        <v>7912</v>
      </c>
      <c r="J93">
        <v>60006337</v>
      </c>
      <c r="K93" t="s">
        <v>234</v>
      </c>
      <c r="L93" t="s">
        <v>233</v>
      </c>
      <c r="M93" t="s">
        <v>2</v>
      </c>
      <c r="N93">
        <v>1</v>
      </c>
      <c r="O93" t="s">
        <v>7911</v>
      </c>
      <c r="P93">
        <v>7006511670</v>
      </c>
      <c r="Q93">
        <v>60006337</v>
      </c>
      <c r="R93" s="8">
        <v>35765</v>
      </c>
      <c r="S93" s="9">
        <f t="shared" si="8"/>
        <v>1997</v>
      </c>
      <c r="T93" s="9">
        <v>1997</v>
      </c>
      <c r="U93" s="9">
        <f t="shared" si="9"/>
        <v>25</v>
      </c>
      <c r="V93" s="8">
        <v>1997</v>
      </c>
      <c r="W93" t="s">
        <v>7910</v>
      </c>
      <c r="X93" s="2">
        <v>0.48299999999999998</v>
      </c>
      <c r="Y93" s="7">
        <f t="shared" si="10"/>
        <v>1.2893409145511332E-2</v>
      </c>
      <c r="AA93">
        <v>991112</v>
      </c>
      <c r="AB93">
        <v>12366</v>
      </c>
      <c r="AD93" t="s">
        <v>1</v>
      </c>
      <c r="AE93">
        <v>63</v>
      </c>
      <c r="AF93">
        <v>7</v>
      </c>
      <c r="AH93" t="s">
        <v>7909</v>
      </c>
      <c r="AI93" t="s">
        <v>7908</v>
      </c>
      <c r="AK93" t="s">
        <v>7907</v>
      </c>
      <c r="AL93">
        <v>14</v>
      </c>
      <c r="AM93" s="5">
        <f t="shared" si="11"/>
        <v>0.56000000000000005</v>
      </c>
      <c r="AN93" s="4">
        <f t="shared" si="12"/>
        <v>8.4816357440363509E-4</v>
      </c>
      <c r="AO93" s="3"/>
      <c r="AP93">
        <v>0</v>
      </c>
      <c r="AR93" t="s">
        <v>0</v>
      </c>
      <c r="AT93" s="2" t="s">
        <v>5</v>
      </c>
      <c r="AU93" s="1">
        <f t="shared" si="13"/>
        <v>0.92798354741790223</v>
      </c>
      <c r="AV93" s="1">
        <f t="shared" si="14"/>
        <v>0.68707863599574837</v>
      </c>
      <c r="AW93" s="1">
        <f t="shared" si="15"/>
        <v>0.44617372457359439</v>
      </c>
    </row>
    <row r="94" spans="1:49" x14ac:dyDescent="0.2">
      <c r="A94">
        <v>92</v>
      </c>
      <c r="B94" t="s">
        <v>7906</v>
      </c>
      <c r="F94" t="s">
        <v>7905</v>
      </c>
      <c r="G94" t="s">
        <v>4</v>
      </c>
      <c r="H94" t="s">
        <v>3</v>
      </c>
      <c r="I94" t="s">
        <v>7904</v>
      </c>
      <c r="N94">
        <v>2</v>
      </c>
      <c r="O94" t="s">
        <v>7903</v>
      </c>
      <c r="P94" t="s">
        <v>7902</v>
      </c>
      <c r="Q94" t="s">
        <v>90</v>
      </c>
      <c r="R94" s="8">
        <v>35765</v>
      </c>
      <c r="S94" s="9">
        <f t="shared" si="8"/>
        <v>1997</v>
      </c>
      <c r="T94" s="9">
        <v>1997</v>
      </c>
      <c r="U94" s="9">
        <f t="shared" si="9"/>
        <v>25</v>
      </c>
      <c r="V94" s="8">
        <v>1997</v>
      </c>
      <c r="W94" t="s">
        <v>7901</v>
      </c>
      <c r="X94" s="2" t="s">
        <v>5</v>
      </c>
      <c r="Y94" s="7" t="e">
        <f t="shared" si="10"/>
        <v>#VALUE!</v>
      </c>
      <c r="AA94">
        <v>10763430</v>
      </c>
      <c r="AB94">
        <v>22567</v>
      </c>
      <c r="AD94" t="s">
        <v>1</v>
      </c>
      <c r="AE94">
        <v>6</v>
      </c>
      <c r="AF94">
        <v>4</v>
      </c>
      <c r="AH94" t="s">
        <v>7900</v>
      </c>
      <c r="AI94" t="s">
        <v>7899</v>
      </c>
      <c r="AK94" t="s">
        <v>7898</v>
      </c>
      <c r="AL94">
        <v>0</v>
      </c>
      <c r="AM94" s="5">
        <f t="shared" si="11"/>
        <v>0</v>
      </c>
      <c r="AN94" s="4">
        <f t="shared" si="12"/>
        <v>0</v>
      </c>
      <c r="AO94" s="3"/>
      <c r="AP94">
        <v>0</v>
      </c>
      <c r="AR94" t="s">
        <v>0</v>
      </c>
      <c r="AT94" s="2" t="s">
        <v>5</v>
      </c>
      <c r="AU94" s="1" t="e">
        <f t="shared" si="13"/>
        <v>#VALUE!</v>
      </c>
      <c r="AV94" s="1" t="e">
        <f t="shared" si="14"/>
        <v>#VALUE!</v>
      </c>
      <c r="AW94" s="1" t="e">
        <f t="shared" si="15"/>
        <v>#VALUE!</v>
      </c>
    </row>
    <row r="95" spans="1:49" x14ac:dyDescent="0.2">
      <c r="A95">
        <v>93</v>
      </c>
      <c r="B95" t="s">
        <v>7897</v>
      </c>
      <c r="C95" t="s">
        <v>7896</v>
      </c>
      <c r="F95" t="s">
        <v>7895</v>
      </c>
      <c r="G95" t="s">
        <v>4</v>
      </c>
      <c r="H95" t="s">
        <v>3</v>
      </c>
      <c r="I95" t="s">
        <v>7894</v>
      </c>
      <c r="J95">
        <v>60007989</v>
      </c>
      <c r="K95" t="s">
        <v>7893</v>
      </c>
      <c r="L95" t="s">
        <v>7892</v>
      </c>
      <c r="M95" t="s">
        <v>127</v>
      </c>
      <c r="N95">
        <v>3</v>
      </c>
      <c r="O95" t="s">
        <v>7891</v>
      </c>
      <c r="P95" t="s">
        <v>7890</v>
      </c>
      <c r="Q95" t="s">
        <v>7889</v>
      </c>
      <c r="R95" s="8">
        <v>35765</v>
      </c>
      <c r="S95" s="9">
        <f t="shared" si="8"/>
        <v>1997</v>
      </c>
      <c r="T95" s="9">
        <v>1997</v>
      </c>
      <c r="U95" s="9">
        <f t="shared" si="9"/>
        <v>25</v>
      </c>
      <c r="V95" s="8">
        <v>1997</v>
      </c>
      <c r="W95" t="s">
        <v>7888</v>
      </c>
      <c r="X95" s="2">
        <v>0.64900000000000002</v>
      </c>
      <c r="Y95" s="7">
        <f t="shared" si="10"/>
        <v>1.7324684338378582E-2</v>
      </c>
      <c r="AA95">
        <v>201812</v>
      </c>
      <c r="AB95">
        <v>20398</v>
      </c>
      <c r="AD95" t="s">
        <v>1</v>
      </c>
      <c r="AE95">
        <v>44</v>
      </c>
      <c r="AF95">
        <v>4</v>
      </c>
      <c r="AH95" t="s">
        <v>7887</v>
      </c>
      <c r="AI95" t="s">
        <v>7886</v>
      </c>
      <c r="AJ95" t="s">
        <v>7885</v>
      </c>
      <c r="AK95" t="s">
        <v>7884</v>
      </c>
      <c r="AL95">
        <v>29</v>
      </c>
      <c r="AM95" s="5">
        <f t="shared" si="11"/>
        <v>1.1599999999999999</v>
      </c>
      <c r="AN95" s="4">
        <f t="shared" si="12"/>
        <v>1.7569102612646724E-3</v>
      </c>
      <c r="AO95" s="3"/>
      <c r="AP95">
        <v>0</v>
      </c>
      <c r="AQ95" t="s">
        <v>7883</v>
      </c>
      <c r="AR95" t="s">
        <v>0</v>
      </c>
      <c r="AS95" t="s">
        <v>7882</v>
      </c>
      <c r="AT95" s="2">
        <v>1.643</v>
      </c>
      <c r="AU95" s="1">
        <f t="shared" si="13"/>
        <v>1.2654352115244409</v>
      </c>
      <c r="AV95" s="1">
        <f t="shared" si="14"/>
        <v>0.95407972998216273</v>
      </c>
      <c r="AW95" s="1">
        <f t="shared" si="15"/>
        <v>0.6427242484398844</v>
      </c>
    </row>
    <row r="96" spans="1:49" x14ac:dyDescent="0.2">
      <c r="A96">
        <v>94</v>
      </c>
      <c r="B96" t="s">
        <v>7881</v>
      </c>
      <c r="C96" t="s">
        <v>7880</v>
      </c>
      <c r="E96">
        <v>9416798</v>
      </c>
      <c r="F96" t="s">
        <v>7879</v>
      </c>
      <c r="G96" t="s">
        <v>4</v>
      </c>
      <c r="H96" t="s">
        <v>3</v>
      </c>
      <c r="I96" t="s">
        <v>7878</v>
      </c>
      <c r="J96">
        <v>60018573</v>
      </c>
      <c r="K96" t="s">
        <v>7877</v>
      </c>
      <c r="L96" t="s">
        <v>5353</v>
      </c>
      <c r="M96" t="s">
        <v>2</v>
      </c>
      <c r="N96">
        <v>4</v>
      </c>
      <c r="O96" t="s">
        <v>7876</v>
      </c>
      <c r="P96" t="s">
        <v>7875</v>
      </c>
      <c r="Q96" t="s">
        <v>7874</v>
      </c>
      <c r="R96" s="8">
        <v>35765</v>
      </c>
      <c r="S96" s="9">
        <f t="shared" si="8"/>
        <v>1997</v>
      </c>
      <c r="T96" s="9">
        <v>1997</v>
      </c>
      <c r="U96" s="9">
        <f t="shared" si="9"/>
        <v>25</v>
      </c>
      <c r="V96" s="8">
        <v>1997</v>
      </c>
      <c r="W96" t="s">
        <v>7873</v>
      </c>
      <c r="X96" s="2">
        <v>0.65400000000000003</v>
      </c>
      <c r="Y96" s="7">
        <f t="shared" si="10"/>
        <v>1.7458156482742054E-2</v>
      </c>
      <c r="AA96">
        <v>9553002</v>
      </c>
      <c r="AB96">
        <v>29904</v>
      </c>
      <c r="AD96" t="s">
        <v>1</v>
      </c>
      <c r="AE96">
        <v>72</v>
      </c>
      <c r="AF96">
        <v>6</v>
      </c>
      <c r="AH96" t="s">
        <v>7872</v>
      </c>
      <c r="AI96" t="s">
        <v>7871</v>
      </c>
      <c r="AK96" t="s">
        <v>7870</v>
      </c>
      <c r="AL96">
        <v>37</v>
      </c>
      <c r="AM96" s="5">
        <f t="shared" si="11"/>
        <v>1.48</v>
      </c>
      <c r="AN96" s="4">
        <f t="shared" si="12"/>
        <v>2.2415751609238923E-3</v>
      </c>
      <c r="AO96" s="3"/>
      <c r="AP96">
        <v>0</v>
      </c>
      <c r="AR96" t="s">
        <v>0</v>
      </c>
      <c r="AT96" s="2" t="s">
        <v>5</v>
      </c>
      <c r="AU96" s="1">
        <f t="shared" si="13"/>
        <v>1.2893182086196604</v>
      </c>
      <c r="AV96" s="1">
        <f t="shared" si="14"/>
        <v>0.98498658218329727</v>
      </c>
      <c r="AW96" s="1">
        <f t="shared" si="15"/>
        <v>0.68065495574693402</v>
      </c>
    </row>
    <row r="97" spans="1:49" x14ac:dyDescent="0.2">
      <c r="A97">
        <v>95</v>
      </c>
      <c r="B97" t="s">
        <v>7869</v>
      </c>
      <c r="E97">
        <v>9449463</v>
      </c>
      <c r="F97" t="s">
        <v>7868</v>
      </c>
      <c r="G97" t="s">
        <v>4</v>
      </c>
      <c r="H97" t="s">
        <v>3</v>
      </c>
      <c r="I97" t="s">
        <v>7867</v>
      </c>
      <c r="J97" t="s">
        <v>7866</v>
      </c>
      <c r="K97" t="s">
        <v>7865</v>
      </c>
      <c r="L97" t="s">
        <v>7864</v>
      </c>
      <c r="M97" t="s">
        <v>315</v>
      </c>
      <c r="N97">
        <v>3</v>
      </c>
      <c r="O97" t="s">
        <v>7863</v>
      </c>
      <c r="P97" t="s">
        <v>7862</v>
      </c>
      <c r="Q97" t="s">
        <v>7861</v>
      </c>
      <c r="R97" s="8">
        <v>35765</v>
      </c>
      <c r="S97" s="9">
        <f t="shared" si="8"/>
        <v>1997</v>
      </c>
      <c r="T97" s="9">
        <v>1997</v>
      </c>
      <c r="U97" s="9">
        <f t="shared" si="9"/>
        <v>25</v>
      </c>
      <c r="V97" s="8">
        <v>35765</v>
      </c>
      <c r="W97" t="s">
        <v>7860</v>
      </c>
      <c r="X97" s="2">
        <v>0.83699999999999997</v>
      </c>
      <c r="Y97" s="7">
        <f t="shared" si="10"/>
        <v>2.2343236966445103E-2</v>
      </c>
      <c r="AA97">
        <v>2146282</v>
      </c>
      <c r="AB97">
        <v>29499</v>
      </c>
      <c r="AD97" t="s">
        <v>1</v>
      </c>
      <c r="AE97">
        <v>41</v>
      </c>
      <c r="AF97">
        <v>6</v>
      </c>
      <c r="AH97" t="s">
        <v>7859</v>
      </c>
      <c r="AI97" t="s">
        <v>7858</v>
      </c>
      <c r="AJ97" t="s">
        <v>7857</v>
      </c>
      <c r="AK97" t="s">
        <v>7856</v>
      </c>
      <c r="AL97">
        <v>6</v>
      </c>
      <c r="AM97" s="5">
        <f t="shared" si="11"/>
        <v>0.24</v>
      </c>
      <c r="AN97" s="4">
        <f t="shared" si="12"/>
        <v>3.6349867474441499E-4</v>
      </c>
      <c r="AO97" s="3"/>
      <c r="AP97">
        <v>0</v>
      </c>
      <c r="AR97" t="s">
        <v>0</v>
      </c>
      <c r="AT97" s="2" t="s">
        <v>5</v>
      </c>
      <c r="AU97" s="1">
        <f t="shared" si="13"/>
        <v>1.5749315478934895</v>
      </c>
      <c r="AV97" s="1">
        <f t="shared" si="14"/>
        <v>1.1353367820594757</v>
      </c>
      <c r="AW97" s="1">
        <f t="shared" si="15"/>
        <v>0.69574201622546206</v>
      </c>
    </row>
    <row r="98" spans="1:49" x14ac:dyDescent="0.2">
      <c r="A98">
        <v>96</v>
      </c>
      <c r="B98" t="s">
        <v>7855</v>
      </c>
      <c r="F98" t="s">
        <v>7854</v>
      </c>
      <c r="G98" t="s">
        <v>4</v>
      </c>
      <c r="H98" t="s">
        <v>3</v>
      </c>
      <c r="I98" t="s">
        <v>7853</v>
      </c>
      <c r="N98">
        <v>2</v>
      </c>
      <c r="O98" t="s">
        <v>7852</v>
      </c>
      <c r="P98" t="s">
        <v>7851</v>
      </c>
      <c r="Q98" t="s">
        <v>90</v>
      </c>
      <c r="R98" s="8">
        <v>35765</v>
      </c>
      <c r="S98" s="9">
        <f t="shared" si="8"/>
        <v>1997</v>
      </c>
      <c r="T98" s="9">
        <v>1997</v>
      </c>
      <c r="U98" s="9">
        <f t="shared" si="9"/>
        <v>25</v>
      </c>
      <c r="V98" s="8">
        <v>1997</v>
      </c>
      <c r="W98" t="s">
        <v>7850</v>
      </c>
      <c r="X98" s="2" t="s">
        <v>5</v>
      </c>
      <c r="Y98" s="7" t="e">
        <f t="shared" si="10"/>
        <v>#VALUE!</v>
      </c>
      <c r="AA98">
        <v>174653</v>
      </c>
      <c r="AB98">
        <v>15729</v>
      </c>
      <c r="AD98" t="s">
        <v>1</v>
      </c>
      <c r="AE98">
        <v>30</v>
      </c>
      <c r="AF98">
        <v>9</v>
      </c>
      <c r="AH98">
        <v>16</v>
      </c>
      <c r="AI98" t="s">
        <v>7849</v>
      </c>
      <c r="AK98" t="s">
        <v>7848</v>
      </c>
      <c r="AL98">
        <v>0</v>
      </c>
      <c r="AM98" s="5">
        <f t="shared" si="11"/>
        <v>0</v>
      </c>
      <c r="AN98" s="4">
        <f t="shared" si="12"/>
        <v>0</v>
      </c>
      <c r="AO98" s="3"/>
      <c r="AP98">
        <v>0</v>
      </c>
      <c r="AR98" t="s">
        <v>0</v>
      </c>
      <c r="AT98" s="2" t="s">
        <v>5</v>
      </c>
      <c r="AU98" s="1" t="e">
        <f t="shared" si="13"/>
        <v>#VALUE!</v>
      </c>
      <c r="AV98" s="1" t="e">
        <f t="shared" si="14"/>
        <v>#VALUE!</v>
      </c>
      <c r="AW98" s="1" t="e">
        <f t="shared" si="15"/>
        <v>#VALUE!</v>
      </c>
    </row>
    <row r="99" spans="1:49" x14ac:dyDescent="0.2">
      <c r="A99">
        <v>97</v>
      </c>
      <c r="B99" t="s">
        <v>7847</v>
      </c>
      <c r="F99" t="s">
        <v>7846</v>
      </c>
      <c r="G99" t="s">
        <v>4</v>
      </c>
      <c r="H99" t="s">
        <v>3</v>
      </c>
      <c r="I99" t="s">
        <v>7845</v>
      </c>
      <c r="J99">
        <v>60004948</v>
      </c>
      <c r="K99" t="s">
        <v>7844</v>
      </c>
      <c r="L99" t="s">
        <v>7843</v>
      </c>
      <c r="M99" t="s">
        <v>111</v>
      </c>
      <c r="N99">
        <v>7</v>
      </c>
      <c r="O99" t="s">
        <v>7842</v>
      </c>
      <c r="P99" t="s">
        <v>7841</v>
      </c>
      <c r="Q99" t="s">
        <v>7840</v>
      </c>
      <c r="R99" s="8">
        <v>35765</v>
      </c>
      <c r="S99" s="9">
        <f t="shared" si="8"/>
        <v>1997</v>
      </c>
      <c r="T99" s="9">
        <v>1997</v>
      </c>
      <c r="U99" s="9">
        <f t="shared" si="9"/>
        <v>25</v>
      </c>
      <c r="V99" s="8">
        <v>1997</v>
      </c>
      <c r="W99" t="s">
        <v>7839</v>
      </c>
      <c r="X99" s="2" t="s">
        <v>5</v>
      </c>
      <c r="Y99" s="7" t="e">
        <f t="shared" si="10"/>
        <v>#VALUE!</v>
      </c>
      <c r="AA99">
        <v>10409564</v>
      </c>
      <c r="AB99">
        <v>70627</v>
      </c>
      <c r="AD99" t="s">
        <v>1</v>
      </c>
      <c r="AE99">
        <v>9</v>
      </c>
      <c r="AF99">
        <v>4</v>
      </c>
      <c r="AH99" t="s">
        <v>7838</v>
      </c>
      <c r="AI99" t="s">
        <v>7837</v>
      </c>
      <c r="AJ99" t="s">
        <v>7836</v>
      </c>
      <c r="AK99" t="s">
        <v>7835</v>
      </c>
      <c r="AL99">
        <v>0</v>
      </c>
      <c r="AM99" s="5">
        <f t="shared" si="11"/>
        <v>0</v>
      </c>
      <c r="AN99" s="4">
        <f t="shared" si="12"/>
        <v>0</v>
      </c>
      <c r="AO99" s="3"/>
      <c r="AP99">
        <v>0</v>
      </c>
      <c r="AR99" t="s">
        <v>0</v>
      </c>
      <c r="AT99" s="2" t="s">
        <v>5</v>
      </c>
      <c r="AU99" s="1" t="e">
        <f t="shared" si="13"/>
        <v>#VALUE!</v>
      </c>
      <c r="AV99" s="1" t="e">
        <f t="shared" si="14"/>
        <v>#VALUE!</v>
      </c>
      <c r="AW99" s="1" t="e">
        <f t="shared" si="15"/>
        <v>#VALUE!</v>
      </c>
    </row>
    <row r="100" spans="1:49" x14ac:dyDescent="0.2">
      <c r="A100">
        <v>98</v>
      </c>
      <c r="B100" t="s">
        <v>7834</v>
      </c>
      <c r="E100">
        <v>9428415</v>
      </c>
      <c r="F100" t="s">
        <v>7833</v>
      </c>
      <c r="G100" t="s">
        <v>4</v>
      </c>
      <c r="H100" t="s">
        <v>3</v>
      </c>
      <c r="I100" t="s">
        <v>7832</v>
      </c>
      <c r="J100" t="s">
        <v>7831</v>
      </c>
      <c r="K100" t="s">
        <v>7830</v>
      </c>
      <c r="L100" t="s">
        <v>7829</v>
      </c>
      <c r="M100" t="s">
        <v>203</v>
      </c>
      <c r="N100">
        <v>2</v>
      </c>
      <c r="O100" t="s">
        <v>7828</v>
      </c>
      <c r="P100" t="s">
        <v>7827</v>
      </c>
      <c r="Q100" t="s">
        <v>7826</v>
      </c>
      <c r="R100" s="8">
        <v>35765</v>
      </c>
      <c r="S100" s="9">
        <f t="shared" si="8"/>
        <v>1997</v>
      </c>
      <c r="T100" s="9">
        <v>1997</v>
      </c>
      <c r="U100" s="9">
        <f t="shared" si="9"/>
        <v>25</v>
      </c>
      <c r="V100" s="8">
        <v>1997</v>
      </c>
      <c r="W100" t="s">
        <v>593</v>
      </c>
      <c r="X100" s="2">
        <v>0.15</v>
      </c>
      <c r="Y100" s="7">
        <f t="shared" si="10"/>
        <v>4.0041643309041402E-3</v>
      </c>
      <c r="AA100">
        <v>9501991</v>
      </c>
      <c r="AB100">
        <v>14531</v>
      </c>
      <c r="AD100" t="s">
        <v>1</v>
      </c>
      <c r="AE100">
        <v>124</v>
      </c>
      <c r="AF100">
        <v>23</v>
      </c>
      <c r="AH100" t="s">
        <v>7825</v>
      </c>
      <c r="AI100" t="s">
        <v>7824</v>
      </c>
      <c r="AJ100" t="s">
        <v>7823</v>
      </c>
      <c r="AK100" t="s">
        <v>7822</v>
      </c>
      <c r="AL100">
        <v>105</v>
      </c>
      <c r="AM100" s="5">
        <f t="shared" si="11"/>
        <v>4.2</v>
      </c>
      <c r="AN100" s="4">
        <f t="shared" si="12"/>
        <v>6.3612268080272625E-3</v>
      </c>
      <c r="AO100" s="3"/>
      <c r="AP100">
        <v>0</v>
      </c>
      <c r="AQ100" t="s">
        <v>277</v>
      </c>
      <c r="AR100" t="s">
        <v>7821</v>
      </c>
      <c r="AS100" t="s">
        <v>276</v>
      </c>
      <c r="AT100" s="2">
        <v>6.8680000000000003</v>
      </c>
      <c r="AU100" s="1">
        <f t="shared" si="13"/>
        <v>0.47112830740410772</v>
      </c>
      <c r="AV100" s="1">
        <f t="shared" si="14"/>
        <v>0.51826955694657018</v>
      </c>
      <c r="AW100" s="1">
        <f t="shared" si="15"/>
        <v>0.56541080648903252</v>
      </c>
    </row>
    <row r="101" spans="1:49" x14ac:dyDescent="0.2">
      <c r="A101">
        <v>99</v>
      </c>
      <c r="B101" t="s">
        <v>7820</v>
      </c>
      <c r="C101" t="s">
        <v>7819</v>
      </c>
      <c r="F101" t="s">
        <v>7818</v>
      </c>
      <c r="G101" t="s">
        <v>4</v>
      </c>
      <c r="H101" t="s">
        <v>3</v>
      </c>
      <c r="I101" t="s">
        <v>7817</v>
      </c>
      <c r="J101" t="s">
        <v>7816</v>
      </c>
      <c r="K101" t="s">
        <v>7815</v>
      </c>
      <c r="L101" t="s">
        <v>7814</v>
      </c>
      <c r="M101" t="s">
        <v>7813</v>
      </c>
      <c r="N101">
        <v>6</v>
      </c>
      <c r="O101" t="s">
        <v>7812</v>
      </c>
      <c r="P101" t="s">
        <v>7811</v>
      </c>
      <c r="Q101" t="s">
        <v>7810</v>
      </c>
      <c r="R101" s="8">
        <v>35765</v>
      </c>
      <c r="S101" s="9">
        <f t="shared" si="8"/>
        <v>1997</v>
      </c>
      <c r="T101" s="9">
        <v>1997</v>
      </c>
      <c r="U101" s="9">
        <f t="shared" si="9"/>
        <v>25</v>
      </c>
      <c r="V101" s="8">
        <v>1997</v>
      </c>
      <c r="W101" t="s">
        <v>99</v>
      </c>
      <c r="X101" s="2">
        <v>1.1579999999999999</v>
      </c>
      <c r="Y101" s="7">
        <f t="shared" si="10"/>
        <v>3.0912148634579962E-2</v>
      </c>
      <c r="AA101">
        <v>1668595</v>
      </c>
      <c r="AB101">
        <v>14223</v>
      </c>
      <c r="AD101" t="s">
        <v>1</v>
      </c>
      <c r="AE101">
        <v>54</v>
      </c>
      <c r="AF101">
        <v>3</v>
      </c>
      <c r="AH101" t="s">
        <v>7809</v>
      </c>
      <c r="AI101" t="s">
        <v>7808</v>
      </c>
      <c r="AJ101" t="s">
        <v>7807</v>
      </c>
      <c r="AK101" t="s">
        <v>7806</v>
      </c>
      <c r="AL101">
        <v>37</v>
      </c>
      <c r="AM101" s="5">
        <f t="shared" si="11"/>
        <v>1.48</v>
      </c>
      <c r="AN101" s="4">
        <f t="shared" si="12"/>
        <v>2.2415751609238923E-3</v>
      </c>
      <c r="AO101" s="3"/>
      <c r="AP101">
        <v>0</v>
      </c>
      <c r="AQ101" t="s">
        <v>58</v>
      </c>
      <c r="AR101" t="s">
        <v>7805</v>
      </c>
      <c r="AS101" t="s">
        <v>7804</v>
      </c>
      <c r="AT101" s="2">
        <v>3.573</v>
      </c>
      <c r="AU101" s="1">
        <f t="shared" si="13"/>
        <v>2.2310976592483138</v>
      </c>
      <c r="AV101" s="1">
        <f t="shared" si="14"/>
        <v>1.6576861897751927</v>
      </c>
      <c r="AW101" s="1">
        <f t="shared" si="15"/>
        <v>1.0842747203020713</v>
      </c>
    </row>
    <row r="102" spans="1:49" x14ac:dyDescent="0.2">
      <c r="A102">
        <v>100</v>
      </c>
      <c r="B102" t="s">
        <v>7803</v>
      </c>
      <c r="E102">
        <v>9362475</v>
      </c>
      <c r="F102" t="s">
        <v>7802</v>
      </c>
      <c r="G102" t="s">
        <v>4</v>
      </c>
      <c r="H102" t="s">
        <v>3</v>
      </c>
      <c r="I102" t="s">
        <v>7801</v>
      </c>
      <c r="J102">
        <v>60010884</v>
      </c>
      <c r="K102" t="s">
        <v>143</v>
      </c>
      <c r="L102" t="s">
        <v>49</v>
      </c>
      <c r="M102" t="s">
        <v>29</v>
      </c>
      <c r="N102">
        <v>4</v>
      </c>
      <c r="O102" t="s">
        <v>7800</v>
      </c>
      <c r="P102" t="s">
        <v>7799</v>
      </c>
      <c r="Q102" t="s">
        <v>7798</v>
      </c>
      <c r="R102" s="8">
        <v>35765</v>
      </c>
      <c r="S102" s="9">
        <f t="shared" si="8"/>
        <v>1997</v>
      </c>
      <c r="T102" s="9">
        <v>1997</v>
      </c>
      <c r="U102" s="9">
        <f t="shared" si="9"/>
        <v>25</v>
      </c>
      <c r="V102" s="8">
        <v>1997</v>
      </c>
      <c r="W102" t="s">
        <v>593</v>
      </c>
      <c r="X102" s="2">
        <v>0.15</v>
      </c>
      <c r="Y102" s="7">
        <f t="shared" si="10"/>
        <v>4.0041643309041402E-3</v>
      </c>
      <c r="AA102">
        <v>9501991</v>
      </c>
      <c r="AB102">
        <v>14531</v>
      </c>
      <c r="AD102" t="s">
        <v>1</v>
      </c>
      <c r="AE102">
        <v>124</v>
      </c>
      <c r="AF102">
        <v>24</v>
      </c>
      <c r="AH102" t="s">
        <v>7797</v>
      </c>
      <c r="AI102" t="s">
        <v>7796</v>
      </c>
      <c r="AJ102" t="s">
        <v>7795</v>
      </c>
      <c r="AK102" t="s">
        <v>7794</v>
      </c>
      <c r="AL102">
        <v>49</v>
      </c>
      <c r="AM102" s="5">
        <f t="shared" si="11"/>
        <v>1.96</v>
      </c>
      <c r="AN102" s="4">
        <f t="shared" si="12"/>
        <v>2.9685725104127226E-3</v>
      </c>
      <c r="AO102" s="3"/>
      <c r="AP102">
        <v>0</v>
      </c>
      <c r="AR102" t="s">
        <v>0</v>
      </c>
      <c r="AT102" s="2">
        <v>6.8680000000000003</v>
      </c>
      <c r="AU102" s="1">
        <f t="shared" si="13"/>
        <v>0.36934867847567149</v>
      </c>
      <c r="AV102" s="1">
        <f t="shared" si="14"/>
        <v>0.34863684206584311</v>
      </c>
      <c r="AW102" s="1">
        <f t="shared" si="15"/>
        <v>0.32792500565601479</v>
      </c>
    </row>
    <row r="103" spans="1:49" x14ac:dyDescent="0.2">
      <c r="A103">
        <v>101</v>
      </c>
      <c r="B103" t="s">
        <v>7793</v>
      </c>
      <c r="C103" t="s">
        <v>7792</v>
      </c>
      <c r="F103" t="s">
        <v>7791</v>
      </c>
      <c r="G103" t="s">
        <v>4</v>
      </c>
      <c r="H103" t="s">
        <v>3</v>
      </c>
      <c r="I103" t="s">
        <v>7790</v>
      </c>
      <c r="J103" t="s">
        <v>7789</v>
      </c>
      <c r="K103" t="s">
        <v>7788</v>
      </c>
      <c r="L103" t="s">
        <v>7787</v>
      </c>
      <c r="M103" t="s">
        <v>7786</v>
      </c>
      <c r="N103">
        <v>2</v>
      </c>
      <c r="O103" t="s">
        <v>7785</v>
      </c>
      <c r="P103" t="s">
        <v>7784</v>
      </c>
      <c r="Q103" t="s">
        <v>7783</v>
      </c>
      <c r="R103" s="8">
        <v>35765</v>
      </c>
      <c r="S103" s="9">
        <f t="shared" si="8"/>
        <v>1997</v>
      </c>
      <c r="T103" s="9">
        <v>1997</v>
      </c>
      <c r="U103" s="9">
        <f t="shared" si="9"/>
        <v>25</v>
      </c>
      <c r="V103" s="8">
        <v>1997</v>
      </c>
      <c r="W103" t="s">
        <v>99</v>
      </c>
      <c r="X103" s="2">
        <v>1.1579999999999999</v>
      </c>
      <c r="Y103" s="7">
        <f t="shared" si="10"/>
        <v>3.0912148634579962E-2</v>
      </c>
      <c r="AA103">
        <v>1668595</v>
      </c>
      <c r="AB103">
        <v>14223</v>
      </c>
      <c r="AD103" t="s">
        <v>1</v>
      </c>
      <c r="AE103">
        <v>54</v>
      </c>
      <c r="AF103">
        <v>3</v>
      </c>
      <c r="AH103" t="s">
        <v>7782</v>
      </c>
      <c r="AI103" t="s">
        <v>7781</v>
      </c>
      <c r="AJ103" t="s">
        <v>7780</v>
      </c>
      <c r="AK103" t="s">
        <v>7779</v>
      </c>
      <c r="AL103">
        <v>5</v>
      </c>
      <c r="AM103" s="5">
        <f t="shared" si="11"/>
        <v>0.2</v>
      </c>
      <c r="AN103" s="4">
        <f t="shared" si="12"/>
        <v>3.0291556228701253E-4</v>
      </c>
      <c r="AO103" s="3"/>
      <c r="AP103">
        <v>0</v>
      </c>
      <c r="AQ103" t="s">
        <v>213</v>
      </c>
      <c r="AR103" t="s">
        <v>0</v>
      </c>
      <c r="AS103" t="s">
        <v>212</v>
      </c>
      <c r="AT103" s="2">
        <v>3.573</v>
      </c>
      <c r="AU103" s="1">
        <f t="shared" si="13"/>
        <v>2.1729378712892076</v>
      </c>
      <c r="AV103" s="1">
        <f t="shared" si="14"/>
        <v>1.5607532098433488</v>
      </c>
      <c r="AW103" s="1">
        <f t="shared" si="15"/>
        <v>0.94856854839748972</v>
      </c>
    </row>
    <row r="104" spans="1:49" x14ac:dyDescent="0.2">
      <c r="A104">
        <v>102</v>
      </c>
      <c r="B104" t="s">
        <v>7778</v>
      </c>
      <c r="F104" t="s">
        <v>7777</v>
      </c>
      <c r="G104" t="s">
        <v>4</v>
      </c>
      <c r="H104" t="s">
        <v>3</v>
      </c>
      <c r="I104" t="s">
        <v>7776</v>
      </c>
      <c r="J104">
        <v>60005603</v>
      </c>
      <c r="K104" t="s">
        <v>7775</v>
      </c>
      <c r="L104" t="s">
        <v>76</v>
      </c>
      <c r="M104" t="s">
        <v>29</v>
      </c>
      <c r="N104">
        <v>5</v>
      </c>
      <c r="O104" t="s">
        <v>7774</v>
      </c>
      <c r="P104" t="s">
        <v>7773</v>
      </c>
      <c r="Q104" t="s">
        <v>7772</v>
      </c>
      <c r="R104" s="8">
        <v>35765</v>
      </c>
      <c r="S104" s="9">
        <f t="shared" si="8"/>
        <v>1997</v>
      </c>
      <c r="T104" s="9">
        <v>1997</v>
      </c>
      <c r="U104" s="9">
        <f t="shared" si="9"/>
        <v>25</v>
      </c>
      <c r="V104" s="8">
        <v>1997</v>
      </c>
      <c r="W104" t="s">
        <v>7771</v>
      </c>
      <c r="X104" s="2" t="s">
        <v>5</v>
      </c>
      <c r="Y104" s="7" t="e">
        <f t="shared" si="10"/>
        <v>#VALUE!</v>
      </c>
      <c r="AB104">
        <v>38433</v>
      </c>
      <c r="AD104" t="s">
        <v>1</v>
      </c>
      <c r="AH104" t="s">
        <v>7770</v>
      </c>
      <c r="AI104" t="s">
        <v>7769</v>
      </c>
      <c r="AK104" t="s">
        <v>7768</v>
      </c>
      <c r="AL104">
        <v>2</v>
      </c>
      <c r="AM104" s="5">
        <f t="shared" si="11"/>
        <v>0.08</v>
      </c>
      <c r="AN104" s="4">
        <f t="shared" si="12"/>
        <v>1.21166224914805E-4</v>
      </c>
      <c r="AO104" s="3"/>
      <c r="AP104">
        <v>0</v>
      </c>
      <c r="AR104" t="s">
        <v>0</v>
      </c>
      <c r="AT104" s="2" t="s">
        <v>5</v>
      </c>
      <c r="AU104" s="1" t="e">
        <f t="shared" si="13"/>
        <v>#VALUE!</v>
      </c>
      <c r="AV104" s="1" t="e">
        <f t="shared" si="14"/>
        <v>#VALUE!</v>
      </c>
      <c r="AW104" s="1" t="e">
        <f t="shared" si="15"/>
        <v>#VALUE!</v>
      </c>
    </row>
    <row r="105" spans="1:49" x14ac:dyDescent="0.2">
      <c r="A105">
        <v>103</v>
      </c>
      <c r="B105" t="s">
        <v>7767</v>
      </c>
      <c r="F105" t="s">
        <v>7766</v>
      </c>
      <c r="G105" t="s">
        <v>4</v>
      </c>
      <c r="H105" t="s">
        <v>3</v>
      </c>
      <c r="I105" t="s">
        <v>7765</v>
      </c>
      <c r="J105" t="s">
        <v>7760</v>
      </c>
      <c r="K105" t="s">
        <v>7764</v>
      </c>
      <c r="L105" t="s">
        <v>7763</v>
      </c>
      <c r="M105" t="s">
        <v>372</v>
      </c>
      <c r="N105">
        <v>2</v>
      </c>
      <c r="O105" t="s">
        <v>7762</v>
      </c>
      <c r="P105" t="s">
        <v>7761</v>
      </c>
      <c r="Q105" t="s">
        <v>7760</v>
      </c>
      <c r="R105" s="8">
        <v>35765</v>
      </c>
      <c r="S105" s="9">
        <f t="shared" si="8"/>
        <v>1997</v>
      </c>
      <c r="T105" s="9">
        <v>1997</v>
      </c>
      <c r="U105" s="9">
        <f t="shared" si="9"/>
        <v>25</v>
      </c>
      <c r="V105" s="8">
        <v>1997</v>
      </c>
      <c r="W105" t="s">
        <v>7759</v>
      </c>
      <c r="X105" s="2">
        <v>0.218</v>
      </c>
      <c r="Y105" s="7">
        <f t="shared" si="10"/>
        <v>5.8193854942473512E-3</v>
      </c>
      <c r="AA105">
        <v>79723</v>
      </c>
      <c r="AB105">
        <v>13868</v>
      </c>
      <c r="AD105" t="s">
        <v>1</v>
      </c>
      <c r="AE105">
        <v>38</v>
      </c>
      <c r="AF105">
        <v>2</v>
      </c>
      <c r="AH105" t="s">
        <v>232</v>
      </c>
      <c r="AI105" t="s">
        <v>7758</v>
      </c>
      <c r="AJ105" t="s">
        <v>7757</v>
      </c>
      <c r="AK105" t="s">
        <v>7756</v>
      </c>
      <c r="AL105">
        <v>7</v>
      </c>
      <c r="AM105" s="5">
        <f t="shared" si="11"/>
        <v>0.28000000000000003</v>
      </c>
      <c r="AN105" s="4">
        <f t="shared" si="12"/>
        <v>4.2408178720181755E-4</v>
      </c>
      <c r="AO105" s="3"/>
      <c r="AP105">
        <v>0</v>
      </c>
      <c r="AR105" t="s">
        <v>0</v>
      </c>
      <c r="AT105" s="2">
        <v>0.52700000000000002</v>
      </c>
      <c r="AU105" s="1">
        <f t="shared" si="13"/>
        <v>0.42007943821336907</v>
      </c>
      <c r="AV105" s="1">
        <f t="shared" si="14"/>
        <v>0.31217336407245844</v>
      </c>
      <c r="AW105" s="1">
        <f t="shared" si="15"/>
        <v>0.20426728993154777</v>
      </c>
    </row>
    <row r="106" spans="1:49" x14ac:dyDescent="0.2">
      <c r="A106">
        <v>104</v>
      </c>
      <c r="B106" t="s">
        <v>7755</v>
      </c>
      <c r="F106" t="s">
        <v>7754</v>
      </c>
      <c r="G106" t="s">
        <v>4</v>
      </c>
      <c r="H106" t="s">
        <v>3</v>
      </c>
      <c r="I106" t="s">
        <v>7753</v>
      </c>
      <c r="J106" t="s">
        <v>7752</v>
      </c>
      <c r="K106" t="s">
        <v>7751</v>
      </c>
      <c r="L106" t="s">
        <v>7750</v>
      </c>
      <c r="M106" t="s">
        <v>93</v>
      </c>
      <c r="N106">
        <v>5</v>
      </c>
      <c r="O106" t="s">
        <v>7749</v>
      </c>
      <c r="P106" t="s">
        <v>7748</v>
      </c>
      <c r="Q106" t="s">
        <v>7747</v>
      </c>
      <c r="R106" s="8">
        <v>35765</v>
      </c>
      <c r="S106" s="9">
        <f t="shared" si="8"/>
        <v>1997</v>
      </c>
      <c r="T106" s="9">
        <v>1997</v>
      </c>
      <c r="U106" s="9">
        <f t="shared" si="9"/>
        <v>25</v>
      </c>
      <c r="V106" s="8">
        <v>1997</v>
      </c>
      <c r="W106" t="s">
        <v>7746</v>
      </c>
      <c r="X106" s="2" t="s">
        <v>5</v>
      </c>
      <c r="Y106" s="7" t="e">
        <f t="shared" si="10"/>
        <v>#VALUE!</v>
      </c>
      <c r="AA106">
        <v>3652556</v>
      </c>
      <c r="AB106">
        <v>110382</v>
      </c>
      <c r="AD106" t="s">
        <v>1</v>
      </c>
      <c r="AE106">
        <v>40</v>
      </c>
      <c r="AF106">
        <v>2</v>
      </c>
      <c r="AH106" t="s">
        <v>7745</v>
      </c>
      <c r="AI106" t="s">
        <v>7744</v>
      </c>
      <c r="AJ106" t="s">
        <v>7743</v>
      </c>
      <c r="AK106" t="s">
        <v>7742</v>
      </c>
      <c r="AL106">
        <v>19</v>
      </c>
      <c r="AM106" s="5">
        <f t="shared" si="11"/>
        <v>0.76</v>
      </c>
      <c r="AN106" s="4">
        <f t="shared" si="12"/>
        <v>1.1510791366906475E-3</v>
      </c>
      <c r="AO106" s="3"/>
      <c r="AP106">
        <v>0</v>
      </c>
      <c r="AR106" t="s">
        <v>0</v>
      </c>
      <c r="AT106" s="2" t="s">
        <v>5</v>
      </c>
      <c r="AU106" s="1" t="e">
        <f t="shared" si="13"/>
        <v>#VALUE!</v>
      </c>
      <c r="AV106" s="1" t="e">
        <f t="shared" si="14"/>
        <v>#VALUE!</v>
      </c>
      <c r="AW106" s="1" t="e">
        <f t="shared" si="15"/>
        <v>#VALUE!</v>
      </c>
    </row>
    <row r="107" spans="1:49" x14ac:dyDescent="0.2">
      <c r="A107">
        <v>105</v>
      </c>
      <c r="B107" t="s">
        <v>7741</v>
      </c>
      <c r="C107" t="s">
        <v>7740</v>
      </c>
      <c r="D107" t="s">
        <v>7739</v>
      </c>
      <c r="F107" t="s">
        <v>7738</v>
      </c>
      <c r="G107" t="s">
        <v>4</v>
      </c>
      <c r="H107" t="s">
        <v>3</v>
      </c>
      <c r="I107" t="s">
        <v>7737</v>
      </c>
      <c r="J107">
        <v>60025555</v>
      </c>
      <c r="K107" t="s">
        <v>366</v>
      </c>
      <c r="L107" t="s">
        <v>112</v>
      </c>
      <c r="M107" t="s">
        <v>111</v>
      </c>
      <c r="N107">
        <v>1</v>
      </c>
      <c r="O107" t="s">
        <v>7736</v>
      </c>
      <c r="P107">
        <v>35511585800</v>
      </c>
      <c r="Q107">
        <v>60025555</v>
      </c>
      <c r="R107" s="8">
        <v>35765</v>
      </c>
      <c r="S107" s="9">
        <f t="shared" si="8"/>
        <v>1997</v>
      </c>
      <c r="T107" s="9">
        <v>1997</v>
      </c>
      <c r="U107" s="9">
        <f t="shared" si="9"/>
        <v>25</v>
      </c>
      <c r="V107" s="8">
        <v>1997</v>
      </c>
      <c r="W107" t="s">
        <v>448</v>
      </c>
      <c r="X107" s="2">
        <v>1.3720000000000001</v>
      </c>
      <c r="Y107" s="7">
        <f t="shared" si="10"/>
        <v>3.662475641333654E-2</v>
      </c>
      <c r="AA107">
        <v>189480</v>
      </c>
      <c r="AB107">
        <v>17366</v>
      </c>
      <c r="AD107" t="s">
        <v>1</v>
      </c>
      <c r="AE107">
        <v>45</v>
      </c>
      <c r="AF107" t="s">
        <v>7453</v>
      </c>
      <c r="AH107" t="s">
        <v>7735</v>
      </c>
      <c r="AI107" t="s">
        <v>7734</v>
      </c>
      <c r="AJ107" t="s">
        <v>7733</v>
      </c>
      <c r="AK107" t="s">
        <v>7732</v>
      </c>
      <c r="AL107">
        <v>34</v>
      </c>
      <c r="AM107" s="5">
        <f t="shared" si="11"/>
        <v>1.36</v>
      </c>
      <c r="AN107" s="4">
        <f t="shared" si="12"/>
        <v>2.0598258235516851E-3</v>
      </c>
      <c r="AO107" s="3"/>
      <c r="AP107">
        <v>0</v>
      </c>
      <c r="AR107" t="s">
        <v>0</v>
      </c>
      <c r="AT107" s="2" t="s">
        <v>5</v>
      </c>
      <c r="AU107" s="1">
        <f t="shared" si="13"/>
        <v>2.6255277236401078</v>
      </c>
      <c r="AV107" s="1">
        <f t="shared" si="14"/>
        <v>1.9342291118444113</v>
      </c>
      <c r="AW107" s="1">
        <f t="shared" si="15"/>
        <v>1.2429305000487141</v>
      </c>
    </row>
    <row r="108" spans="1:49" x14ac:dyDescent="0.2">
      <c r="A108">
        <v>106</v>
      </c>
      <c r="B108" t="s">
        <v>7731</v>
      </c>
      <c r="F108" t="s">
        <v>7730</v>
      </c>
      <c r="G108" t="s">
        <v>4</v>
      </c>
      <c r="H108" t="s">
        <v>3</v>
      </c>
      <c r="I108" t="s">
        <v>7729</v>
      </c>
      <c r="N108">
        <v>1</v>
      </c>
      <c r="O108" t="s">
        <v>7728</v>
      </c>
      <c r="P108">
        <v>7005932105</v>
      </c>
      <c r="R108" s="8">
        <v>35765</v>
      </c>
      <c r="S108" s="9">
        <f t="shared" si="8"/>
        <v>1997</v>
      </c>
      <c r="T108" s="9">
        <v>1997</v>
      </c>
      <c r="U108" s="9">
        <f t="shared" si="9"/>
        <v>25</v>
      </c>
      <c r="V108" s="8">
        <v>35765</v>
      </c>
      <c r="W108" t="s">
        <v>7727</v>
      </c>
      <c r="X108" s="2" t="s">
        <v>5</v>
      </c>
      <c r="Y108" s="7" t="e">
        <f t="shared" si="10"/>
        <v>#VALUE!</v>
      </c>
      <c r="AA108">
        <v>10196587</v>
      </c>
      <c r="AB108">
        <v>18354</v>
      </c>
      <c r="AD108" t="s">
        <v>1</v>
      </c>
      <c r="AF108">
        <v>274</v>
      </c>
      <c r="AH108" t="s">
        <v>7726</v>
      </c>
      <c r="AI108" t="s">
        <v>7725</v>
      </c>
      <c r="AK108" t="s">
        <v>7724</v>
      </c>
      <c r="AL108">
        <v>5</v>
      </c>
      <c r="AM108" s="5">
        <f t="shared" si="11"/>
        <v>0.2</v>
      </c>
      <c r="AN108" s="4">
        <f t="shared" si="12"/>
        <v>3.0291556228701253E-4</v>
      </c>
      <c r="AO108" s="3"/>
      <c r="AP108">
        <v>0</v>
      </c>
      <c r="AR108" t="s">
        <v>0</v>
      </c>
      <c r="AT108" s="2" t="s">
        <v>5</v>
      </c>
      <c r="AU108" s="1" t="e">
        <f t="shared" si="13"/>
        <v>#VALUE!</v>
      </c>
      <c r="AV108" s="1" t="e">
        <f t="shared" si="14"/>
        <v>#VALUE!</v>
      </c>
      <c r="AW108" s="1" t="e">
        <f t="shared" si="15"/>
        <v>#VALUE!</v>
      </c>
    </row>
    <row r="109" spans="1:49" x14ac:dyDescent="0.2">
      <c r="A109">
        <v>107</v>
      </c>
      <c r="B109" t="s">
        <v>7723</v>
      </c>
      <c r="C109" t="s">
        <v>7722</v>
      </c>
      <c r="D109" t="s">
        <v>7721</v>
      </c>
      <c r="F109" t="s">
        <v>7720</v>
      </c>
      <c r="G109" t="s">
        <v>4</v>
      </c>
      <c r="H109" t="s">
        <v>3</v>
      </c>
      <c r="I109" t="s">
        <v>7719</v>
      </c>
      <c r="J109" t="s">
        <v>7718</v>
      </c>
      <c r="K109" t="s">
        <v>7717</v>
      </c>
      <c r="L109" t="s">
        <v>7716</v>
      </c>
      <c r="M109" t="s">
        <v>7715</v>
      </c>
      <c r="N109">
        <v>4</v>
      </c>
      <c r="O109" t="s">
        <v>7714</v>
      </c>
      <c r="P109" t="s">
        <v>7713</v>
      </c>
      <c r="Q109" t="s">
        <v>7712</v>
      </c>
      <c r="R109" s="8">
        <v>35765</v>
      </c>
      <c r="S109" s="9">
        <f t="shared" si="8"/>
        <v>1997</v>
      </c>
      <c r="T109" s="9">
        <v>1997</v>
      </c>
      <c r="U109" s="9">
        <f t="shared" si="9"/>
        <v>25</v>
      </c>
      <c r="V109" s="8">
        <v>35765</v>
      </c>
      <c r="W109" t="s">
        <v>7617</v>
      </c>
      <c r="X109" s="2">
        <v>0.89800000000000002</v>
      </c>
      <c r="Y109" s="7">
        <f t="shared" si="10"/>
        <v>2.3971597127679455E-2</v>
      </c>
      <c r="AA109">
        <v>9641726</v>
      </c>
      <c r="AB109">
        <v>29859</v>
      </c>
      <c r="AD109" t="s">
        <v>1</v>
      </c>
      <c r="AE109">
        <v>6</v>
      </c>
      <c r="AF109">
        <v>6</v>
      </c>
      <c r="AH109" t="s">
        <v>7711</v>
      </c>
      <c r="AI109" t="s">
        <v>7710</v>
      </c>
      <c r="AK109" t="s">
        <v>7709</v>
      </c>
      <c r="AL109">
        <v>39</v>
      </c>
      <c r="AM109" s="5">
        <f t="shared" si="11"/>
        <v>1.56</v>
      </c>
      <c r="AN109" s="4">
        <f t="shared" si="12"/>
        <v>2.3627413858386976E-3</v>
      </c>
      <c r="AO109" s="3"/>
      <c r="AP109">
        <v>0</v>
      </c>
      <c r="AR109" t="s">
        <v>0</v>
      </c>
      <c r="AT109" s="2">
        <v>3.585</v>
      </c>
      <c r="AU109" s="1">
        <f t="shared" si="13"/>
        <v>1.7488940405127225</v>
      </c>
      <c r="AV109" s="1">
        <f t="shared" si="14"/>
        <v>1.3167169256759075</v>
      </c>
      <c r="AW109" s="1">
        <f t="shared" si="15"/>
        <v>0.88453981083909239</v>
      </c>
    </row>
    <row r="110" spans="1:49" x14ac:dyDescent="0.2">
      <c r="A110">
        <v>108</v>
      </c>
      <c r="B110" t="s">
        <v>7708</v>
      </c>
      <c r="C110" t="s">
        <v>7707</v>
      </c>
      <c r="F110" t="s">
        <v>7706</v>
      </c>
      <c r="G110" t="s">
        <v>4</v>
      </c>
      <c r="H110" t="s">
        <v>3</v>
      </c>
      <c r="I110" t="s">
        <v>440</v>
      </c>
      <c r="J110">
        <v>60021859</v>
      </c>
      <c r="K110" t="s">
        <v>488</v>
      </c>
      <c r="L110" t="s">
        <v>487</v>
      </c>
      <c r="M110" t="s">
        <v>116</v>
      </c>
      <c r="N110">
        <v>3</v>
      </c>
      <c r="O110" t="s">
        <v>7705</v>
      </c>
      <c r="P110" t="s">
        <v>7704</v>
      </c>
      <c r="Q110" t="s">
        <v>694</v>
      </c>
      <c r="R110" s="8">
        <v>35765</v>
      </c>
      <c r="S110" s="9">
        <f t="shared" si="8"/>
        <v>1997</v>
      </c>
      <c r="T110" s="9">
        <v>1997</v>
      </c>
      <c r="U110" s="9">
        <f t="shared" si="9"/>
        <v>25</v>
      </c>
      <c r="V110" s="8">
        <v>35765</v>
      </c>
      <c r="W110" t="s">
        <v>392</v>
      </c>
      <c r="X110" s="2">
        <v>1.6519999999999999</v>
      </c>
      <c r="Y110" s="7">
        <f t="shared" si="10"/>
        <v>4.409919649769093E-2</v>
      </c>
      <c r="AA110" t="s">
        <v>391</v>
      </c>
      <c r="AB110">
        <v>17337</v>
      </c>
      <c r="AD110" t="s">
        <v>1</v>
      </c>
      <c r="AE110">
        <v>45</v>
      </c>
      <c r="AF110">
        <v>12</v>
      </c>
      <c r="AH110" t="s">
        <v>7703</v>
      </c>
      <c r="AI110" t="s">
        <v>7702</v>
      </c>
      <c r="AK110" t="s">
        <v>7701</v>
      </c>
      <c r="AL110">
        <v>5</v>
      </c>
      <c r="AM110" s="5">
        <f t="shared" si="11"/>
        <v>0.2</v>
      </c>
      <c r="AN110" s="4">
        <f t="shared" si="12"/>
        <v>3.0291556228701253E-4</v>
      </c>
      <c r="AO110" s="3"/>
      <c r="AP110">
        <v>0</v>
      </c>
      <c r="AR110" t="s">
        <v>0</v>
      </c>
      <c r="AT110" s="2" t="s">
        <v>5</v>
      </c>
      <c r="AU110" s="1">
        <f t="shared" si="13"/>
        <v>3.0960312217069754</v>
      </c>
      <c r="AV110" s="1">
        <f t="shared" si="14"/>
        <v>2.2201056029988968</v>
      </c>
      <c r="AW110" s="1">
        <f t="shared" si="15"/>
        <v>1.3441799842908186</v>
      </c>
    </row>
    <row r="111" spans="1:49" x14ac:dyDescent="0.2">
      <c r="A111">
        <v>109</v>
      </c>
      <c r="B111" t="s">
        <v>7700</v>
      </c>
      <c r="C111" t="s">
        <v>7699</v>
      </c>
      <c r="F111" t="s">
        <v>7698</v>
      </c>
      <c r="G111" t="s">
        <v>4</v>
      </c>
      <c r="H111" t="s">
        <v>3</v>
      </c>
      <c r="I111" t="s">
        <v>7697</v>
      </c>
      <c r="J111">
        <v>60014313</v>
      </c>
      <c r="K111" t="s">
        <v>2690</v>
      </c>
      <c r="L111" t="s">
        <v>2689</v>
      </c>
      <c r="M111" t="s">
        <v>2</v>
      </c>
      <c r="N111">
        <v>2</v>
      </c>
      <c r="O111" t="s">
        <v>7696</v>
      </c>
      <c r="P111" t="s">
        <v>7695</v>
      </c>
      <c r="Q111" t="s">
        <v>2686</v>
      </c>
      <c r="R111" s="8">
        <v>35765</v>
      </c>
      <c r="S111" s="9">
        <f t="shared" si="8"/>
        <v>1997</v>
      </c>
      <c r="T111" s="9">
        <v>1997</v>
      </c>
      <c r="U111" s="9">
        <f t="shared" si="9"/>
        <v>25</v>
      </c>
      <c r="V111" s="8">
        <v>35765</v>
      </c>
      <c r="W111" t="s">
        <v>392</v>
      </c>
      <c r="X111" s="2">
        <v>1.6519999999999999</v>
      </c>
      <c r="Y111" s="7">
        <f t="shared" si="10"/>
        <v>4.409919649769093E-2</v>
      </c>
      <c r="AA111" t="s">
        <v>391</v>
      </c>
      <c r="AB111">
        <v>17337</v>
      </c>
      <c r="AD111" t="s">
        <v>1</v>
      </c>
      <c r="AE111">
        <v>45</v>
      </c>
      <c r="AF111">
        <v>12</v>
      </c>
      <c r="AH111" t="s">
        <v>7694</v>
      </c>
      <c r="AI111" t="s">
        <v>7693</v>
      </c>
      <c r="AK111" t="s">
        <v>7692</v>
      </c>
      <c r="AL111">
        <v>16</v>
      </c>
      <c r="AM111" s="5">
        <f t="shared" si="11"/>
        <v>0.64</v>
      </c>
      <c r="AN111" s="4">
        <f t="shared" si="12"/>
        <v>9.6932979931844E-4</v>
      </c>
      <c r="AO111" s="3"/>
      <c r="AP111">
        <v>0</v>
      </c>
      <c r="AR111" t="s">
        <v>0</v>
      </c>
      <c r="AT111" s="2" t="s">
        <v>5</v>
      </c>
      <c r="AU111" s="1">
        <f t="shared" si="13"/>
        <v>3.1160236488179183</v>
      </c>
      <c r="AV111" s="1">
        <f t="shared" si="14"/>
        <v>2.2534263148504685</v>
      </c>
      <c r="AW111" s="1">
        <f t="shared" si="15"/>
        <v>1.3908289808830185</v>
      </c>
    </row>
    <row r="112" spans="1:49" x14ac:dyDescent="0.2">
      <c r="A112">
        <v>110</v>
      </c>
      <c r="B112" t="s">
        <v>7691</v>
      </c>
      <c r="C112" t="s">
        <v>7690</v>
      </c>
      <c r="F112" t="s">
        <v>7689</v>
      </c>
      <c r="G112" t="s">
        <v>4</v>
      </c>
      <c r="H112" t="s">
        <v>3</v>
      </c>
      <c r="I112" t="s">
        <v>7688</v>
      </c>
      <c r="J112" t="s">
        <v>7687</v>
      </c>
      <c r="K112" t="s">
        <v>7686</v>
      </c>
      <c r="L112" t="s">
        <v>7685</v>
      </c>
      <c r="M112" t="s">
        <v>7684</v>
      </c>
      <c r="N112">
        <v>2</v>
      </c>
      <c r="O112" t="s">
        <v>7683</v>
      </c>
      <c r="P112" t="s">
        <v>7682</v>
      </c>
      <c r="Q112" t="s">
        <v>7681</v>
      </c>
      <c r="R112" s="8">
        <v>35765</v>
      </c>
      <c r="S112" s="9">
        <f t="shared" si="8"/>
        <v>1997</v>
      </c>
      <c r="T112" s="9">
        <v>1997</v>
      </c>
      <c r="U112" s="9">
        <f t="shared" si="9"/>
        <v>25</v>
      </c>
      <c r="V112" s="8">
        <v>35765</v>
      </c>
      <c r="W112" t="s">
        <v>439</v>
      </c>
      <c r="X112" s="2">
        <v>0.88100000000000001</v>
      </c>
      <c r="Y112" s="7">
        <f t="shared" si="10"/>
        <v>2.3517791836843653E-2</v>
      </c>
      <c r="AA112">
        <v>10459243</v>
      </c>
      <c r="AB112">
        <v>17248</v>
      </c>
      <c r="AD112" t="s">
        <v>1</v>
      </c>
      <c r="AE112">
        <v>39</v>
      </c>
      <c r="AF112">
        <v>6</v>
      </c>
      <c r="AH112" t="s">
        <v>7680</v>
      </c>
      <c r="AI112" t="s">
        <v>7679</v>
      </c>
      <c r="AJ112" t="s">
        <v>7678</v>
      </c>
      <c r="AK112" t="s">
        <v>7677</v>
      </c>
      <c r="AL112">
        <v>6</v>
      </c>
      <c r="AM112" s="5">
        <f t="shared" si="11"/>
        <v>0.24</v>
      </c>
      <c r="AN112" s="4">
        <f t="shared" si="12"/>
        <v>3.6349867474441499E-4</v>
      </c>
      <c r="AO112" s="3"/>
      <c r="AP112">
        <v>0</v>
      </c>
      <c r="AR112" t="s">
        <v>0</v>
      </c>
      <c r="AT112" s="2" t="s">
        <v>5</v>
      </c>
      <c r="AU112" s="1">
        <f t="shared" si="13"/>
        <v>1.6571503888213879</v>
      </c>
      <c r="AV112" s="1">
        <f t="shared" si="14"/>
        <v>1.1940645255794033</v>
      </c>
      <c r="AW112" s="1">
        <f t="shared" si="15"/>
        <v>0.73097866233741859</v>
      </c>
    </row>
    <row r="113" spans="1:49" x14ac:dyDescent="0.2">
      <c r="A113">
        <v>111</v>
      </c>
      <c r="B113" t="s">
        <v>7676</v>
      </c>
      <c r="C113" t="s">
        <v>7675</v>
      </c>
      <c r="F113" t="s">
        <v>7674</v>
      </c>
      <c r="G113" t="s">
        <v>4</v>
      </c>
      <c r="H113" t="s">
        <v>3</v>
      </c>
      <c r="I113" t="s">
        <v>691</v>
      </c>
      <c r="J113">
        <v>60005429</v>
      </c>
      <c r="K113" t="s">
        <v>3760</v>
      </c>
      <c r="L113" t="s">
        <v>348</v>
      </c>
      <c r="M113" t="s">
        <v>250</v>
      </c>
      <c r="N113">
        <v>2</v>
      </c>
      <c r="O113" t="s">
        <v>3759</v>
      </c>
      <c r="P113" t="s">
        <v>3758</v>
      </c>
      <c r="Q113" t="s">
        <v>3757</v>
      </c>
      <c r="R113" s="8">
        <v>35765</v>
      </c>
      <c r="S113" s="9">
        <f t="shared" si="8"/>
        <v>1997</v>
      </c>
      <c r="T113" s="9">
        <v>1997</v>
      </c>
      <c r="U113" s="9">
        <f t="shared" si="9"/>
        <v>25</v>
      </c>
      <c r="V113" s="8">
        <v>35765</v>
      </c>
      <c r="W113" t="s">
        <v>392</v>
      </c>
      <c r="X113" s="2">
        <v>1.6519999999999999</v>
      </c>
      <c r="Y113" s="7">
        <f t="shared" si="10"/>
        <v>4.409919649769093E-2</v>
      </c>
      <c r="AA113" t="s">
        <v>391</v>
      </c>
      <c r="AB113">
        <v>17337</v>
      </c>
      <c r="AD113" t="s">
        <v>1</v>
      </c>
      <c r="AE113">
        <v>45</v>
      </c>
      <c r="AF113">
        <v>12</v>
      </c>
      <c r="AH113" t="s">
        <v>7673</v>
      </c>
      <c r="AI113" t="s">
        <v>7672</v>
      </c>
      <c r="AK113" t="s">
        <v>7671</v>
      </c>
      <c r="AL113">
        <v>31</v>
      </c>
      <c r="AM113" s="5">
        <f t="shared" si="11"/>
        <v>1.24</v>
      </c>
      <c r="AN113" s="4">
        <f t="shared" si="12"/>
        <v>1.8780764861794775E-3</v>
      </c>
      <c r="AO113" s="3"/>
      <c r="AP113">
        <v>0</v>
      </c>
      <c r="AQ113" t="s">
        <v>362</v>
      </c>
      <c r="AR113" t="s">
        <v>3752</v>
      </c>
      <c r="AS113" t="s">
        <v>361</v>
      </c>
      <c r="AT113" s="2" t="s">
        <v>5</v>
      </c>
      <c r="AU113" s="1">
        <f t="shared" si="13"/>
        <v>3.1432860494237493</v>
      </c>
      <c r="AV113" s="1">
        <f t="shared" si="14"/>
        <v>2.2988636491935206</v>
      </c>
      <c r="AW113" s="1">
        <f t="shared" si="15"/>
        <v>1.4544412489632912</v>
      </c>
    </row>
    <row r="114" spans="1:49" x14ac:dyDescent="0.2">
      <c r="A114">
        <v>112</v>
      </c>
      <c r="B114" t="s">
        <v>7670</v>
      </c>
      <c r="C114" t="s">
        <v>7669</v>
      </c>
      <c r="D114" t="s">
        <v>7668</v>
      </c>
      <c r="F114" t="s">
        <v>7667</v>
      </c>
      <c r="G114" t="s">
        <v>4</v>
      </c>
      <c r="H114" t="s">
        <v>3</v>
      </c>
      <c r="I114" t="s">
        <v>7666</v>
      </c>
      <c r="J114">
        <v>60003821</v>
      </c>
      <c r="K114" t="s">
        <v>7665</v>
      </c>
      <c r="L114" t="s">
        <v>16</v>
      </c>
      <c r="M114" t="s">
        <v>2</v>
      </c>
      <c r="N114">
        <v>1</v>
      </c>
      <c r="O114" t="s">
        <v>7664</v>
      </c>
      <c r="P114">
        <v>7102272779</v>
      </c>
      <c r="Q114">
        <v>60003821</v>
      </c>
      <c r="R114" s="8">
        <v>35765</v>
      </c>
      <c r="S114" s="9">
        <f t="shared" si="8"/>
        <v>1997</v>
      </c>
      <c r="T114" s="9">
        <v>1997</v>
      </c>
      <c r="U114" s="9">
        <f t="shared" si="9"/>
        <v>25</v>
      </c>
      <c r="V114" s="8">
        <v>1997</v>
      </c>
      <c r="W114" t="s">
        <v>448</v>
      </c>
      <c r="X114" s="2">
        <v>1.3720000000000001</v>
      </c>
      <c r="Y114" s="7">
        <f t="shared" si="10"/>
        <v>3.662475641333654E-2</v>
      </c>
      <c r="AA114">
        <v>189480</v>
      </c>
      <c r="AB114">
        <v>17366</v>
      </c>
      <c r="AD114" t="s">
        <v>1</v>
      </c>
      <c r="AE114">
        <v>45</v>
      </c>
      <c r="AF114" t="s">
        <v>7453</v>
      </c>
      <c r="AH114" t="s">
        <v>7663</v>
      </c>
      <c r="AI114" t="s">
        <v>7662</v>
      </c>
      <c r="AJ114" t="s">
        <v>7661</v>
      </c>
      <c r="AK114" t="s">
        <v>7660</v>
      </c>
      <c r="AL114">
        <v>52</v>
      </c>
      <c r="AM114" s="5">
        <f t="shared" si="11"/>
        <v>2.08</v>
      </c>
      <c r="AN114" s="4">
        <f t="shared" si="12"/>
        <v>3.1503218477849301E-3</v>
      </c>
      <c r="AO114" s="3"/>
      <c r="AP114">
        <v>0</v>
      </c>
      <c r="AR114" t="s">
        <v>0</v>
      </c>
      <c r="AT114" s="2" t="s">
        <v>5</v>
      </c>
      <c r="AU114" s="1">
        <f t="shared" si="13"/>
        <v>2.6582426043671057</v>
      </c>
      <c r="AV114" s="1">
        <f t="shared" si="14"/>
        <v>1.9887539130560734</v>
      </c>
      <c r="AW114" s="1">
        <f t="shared" si="15"/>
        <v>1.3192652217450413</v>
      </c>
    </row>
    <row r="115" spans="1:49" x14ac:dyDescent="0.2">
      <c r="A115">
        <v>113</v>
      </c>
      <c r="B115" t="s">
        <v>7659</v>
      </c>
      <c r="C115" t="s">
        <v>7658</v>
      </c>
      <c r="F115" t="s">
        <v>7657</v>
      </c>
      <c r="G115" t="s">
        <v>4</v>
      </c>
      <c r="H115" t="s">
        <v>3</v>
      </c>
      <c r="I115" t="s">
        <v>293</v>
      </c>
      <c r="J115">
        <v>60011357</v>
      </c>
      <c r="K115" t="s">
        <v>292</v>
      </c>
      <c r="L115" t="s">
        <v>291</v>
      </c>
      <c r="M115" t="s">
        <v>250</v>
      </c>
      <c r="N115">
        <v>2</v>
      </c>
      <c r="O115" t="s">
        <v>290</v>
      </c>
      <c r="P115" t="s">
        <v>289</v>
      </c>
      <c r="Q115" t="s">
        <v>288</v>
      </c>
      <c r="R115" s="8">
        <v>35765</v>
      </c>
      <c r="S115" s="9">
        <f t="shared" si="8"/>
        <v>1997</v>
      </c>
      <c r="T115" s="9">
        <v>1997</v>
      </c>
      <c r="U115" s="9">
        <f t="shared" si="9"/>
        <v>25</v>
      </c>
      <c r="V115" s="8">
        <v>35765</v>
      </c>
      <c r="W115" t="s">
        <v>392</v>
      </c>
      <c r="X115" s="2">
        <v>1.6519999999999999</v>
      </c>
      <c r="Y115" s="7">
        <f t="shared" si="10"/>
        <v>4.409919649769093E-2</v>
      </c>
      <c r="AA115" t="s">
        <v>391</v>
      </c>
      <c r="AB115">
        <v>17337</v>
      </c>
      <c r="AD115" t="s">
        <v>1</v>
      </c>
      <c r="AE115">
        <v>45</v>
      </c>
      <c r="AF115">
        <v>12</v>
      </c>
      <c r="AH115" t="s">
        <v>7656</v>
      </c>
      <c r="AI115" t="s">
        <v>7655</v>
      </c>
      <c r="AK115" t="s">
        <v>7654</v>
      </c>
      <c r="AL115">
        <v>84</v>
      </c>
      <c r="AM115" s="5">
        <f t="shared" si="11"/>
        <v>3.36</v>
      </c>
      <c r="AN115" s="4">
        <f t="shared" si="12"/>
        <v>5.0889814464218095E-3</v>
      </c>
      <c r="AO115" s="3"/>
      <c r="AP115">
        <v>0</v>
      </c>
      <c r="AR115" t="s">
        <v>0</v>
      </c>
      <c r="AT115" s="2" t="s">
        <v>5</v>
      </c>
      <c r="AU115" s="1">
        <f t="shared" si="13"/>
        <v>3.2396131982310195</v>
      </c>
      <c r="AV115" s="1">
        <f t="shared" si="14"/>
        <v>2.4594088972056372</v>
      </c>
      <c r="AW115" s="1">
        <f t="shared" si="15"/>
        <v>1.6792045961802546</v>
      </c>
    </row>
    <row r="116" spans="1:49" x14ac:dyDescent="0.2">
      <c r="A116">
        <v>114</v>
      </c>
      <c r="B116" t="s">
        <v>7653</v>
      </c>
      <c r="C116" t="s">
        <v>7652</v>
      </c>
      <c r="F116" t="s">
        <v>7651</v>
      </c>
      <c r="G116" t="s">
        <v>4</v>
      </c>
      <c r="H116" t="s">
        <v>3</v>
      </c>
      <c r="I116" t="s">
        <v>7650</v>
      </c>
      <c r="J116">
        <v>60002838</v>
      </c>
      <c r="K116" t="s">
        <v>5186</v>
      </c>
      <c r="L116" t="s">
        <v>7649</v>
      </c>
      <c r="M116" t="s">
        <v>116</v>
      </c>
      <c r="N116">
        <v>3</v>
      </c>
      <c r="O116" t="s">
        <v>7648</v>
      </c>
      <c r="P116" t="s">
        <v>7647</v>
      </c>
      <c r="Q116" t="s">
        <v>7646</v>
      </c>
      <c r="R116" s="8">
        <v>35765</v>
      </c>
      <c r="S116" s="9">
        <f t="shared" si="8"/>
        <v>1997</v>
      </c>
      <c r="T116" s="9">
        <v>1997</v>
      </c>
      <c r="U116" s="9">
        <f t="shared" si="9"/>
        <v>25</v>
      </c>
      <c r="V116" s="8">
        <v>35765</v>
      </c>
      <c r="W116" t="s">
        <v>392</v>
      </c>
      <c r="X116" s="2">
        <v>1.6519999999999999</v>
      </c>
      <c r="Y116" s="7">
        <f t="shared" si="10"/>
        <v>4.409919649769093E-2</v>
      </c>
      <c r="AA116" t="s">
        <v>391</v>
      </c>
      <c r="AB116">
        <v>17337</v>
      </c>
      <c r="AD116" t="s">
        <v>1</v>
      </c>
      <c r="AE116">
        <v>45</v>
      </c>
      <c r="AF116">
        <v>12</v>
      </c>
      <c r="AH116" t="s">
        <v>7645</v>
      </c>
      <c r="AI116" t="s">
        <v>7644</v>
      </c>
      <c r="AK116" t="s">
        <v>7643</v>
      </c>
      <c r="AL116">
        <v>4</v>
      </c>
      <c r="AM116" s="5">
        <f t="shared" si="11"/>
        <v>0.16</v>
      </c>
      <c r="AN116" s="4">
        <f t="shared" si="12"/>
        <v>2.4233244982961E-4</v>
      </c>
      <c r="AO116" s="3"/>
      <c r="AP116">
        <v>0</v>
      </c>
      <c r="AR116" t="s">
        <v>0</v>
      </c>
      <c r="AT116" s="2" t="s">
        <v>5</v>
      </c>
      <c r="AU116" s="1">
        <f t="shared" si="13"/>
        <v>3.0942137283332531</v>
      </c>
      <c r="AV116" s="1">
        <f t="shared" si="14"/>
        <v>2.2170764473760269</v>
      </c>
      <c r="AW116" s="1">
        <f t="shared" si="15"/>
        <v>1.3399391664188005</v>
      </c>
    </row>
    <row r="117" spans="1:49" x14ac:dyDescent="0.2">
      <c r="A117">
        <v>115</v>
      </c>
      <c r="B117" t="s">
        <v>7642</v>
      </c>
      <c r="C117" t="s">
        <v>7641</v>
      </c>
      <c r="F117" t="s">
        <v>7640</v>
      </c>
      <c r="G117" t="s">
        <v>4</v>
      </c>
      <c r="H117" t="s">
        <v>3</v>
      </c>
      <c r="I117" t="s">
        <v>24</v>
      </c>
      <c r="J117">
        <v>60001881</v>
      </c>
      <c r="K117" t="s">
        <v>23</v>
      </c>
      <c r="L117" t="s">
        <v>22</v>
      </c>
      <c r="M117" t="s">
        <v>8</v>
      </c>
      <c r="N117">
        <v>2</v>
      </c>
      <c r="O117" t="s">
        <v>21</v>
      </c>
      <c r="P117" t="s">
        <v>20</v>
      </c>
      <c r="Q117" t="s">
        <v>19</v>
      </c>
      <c r="R117" s="8">
        <v>35765</v>
      </c>
      <c r="S117" s="9">
        <f t="shared" si="8"/>
        <v>1997</v>
      </c>
      <c r="T117" s="9">
        <v>1997</v>
      </c>
      <c r="U117" s="9">
        <f t="shared" si="9"/>
        <v>25</v>
      </c>
      <c r="V117" s="8">
        <v>35765</v>
      </c>
      <c r="W117" t="s">
        <v>392</v>
      </c>
      <c r="X117" s="2">
        <v>1.6519999999999999</v>
      </c>
      <c r="Y117" s="7">
        <f t="shared" si="10"/>
        <v>4.409919649769093E-2</v>
      </c>
      <c r="AA117" t="s">
        <v>391</v>
      </c>
      <c r="AB117">
        <v>17337</v>
      </c>
      <c r="AD117" t="s">
        <v>1</v>
      </c>
      <c r="AE117">
        <v>45</v>
      </c>
      <c r="AF117">
        <v>12</v>
      </c>
      <c r="AH117" t="s">
        <v>7639</v>
      </c>
      <c r="AI117" t="s">
        <v>7638</v>
      </c>
      <c r="AK117" t="s">
        <v>7637</v>
      </c>
      <c r="AL117">
        <v>0</v>
      </c>
      <c r="AM117" s="5">
        <f t="shared" si="11"/>
        <v>0</v>
      </c>
      <c r="AN117" s="4">
        <f t="shared" si="12"/>
        <v>0</v>
      </c>
      <c r="AO117" s="3"/>
      <c r="AP117">
        <v>0</v>
      </c>
      <c r="AR117" t="s">
        <v>0</v>
      </c>
      <c r="AT117" s="2" t="s">
        <v>5</v>
      </c>
      <c r="AU117" s="1">
        <f t="shared" si="13"/>
        <v>3.0869437548383649</v>
      </c>
      <c r="AV117" s="1">
        <f t="shared" si="14"/>
        <v>2.2049598248845466</v>
      </c>
      <c r="AW117" s="1">
        <f t="shared" si="15"/>
        <v>1.3229758949307278</v>
      </c>
    </row>
    <row r="118" spans="1:49" x14ac:dyDescent="0.2">
      <c r="A118">
        <v>116</v>
      </c>
      <c r="B118" t="s">
        <v>7636</v>
      </c>
      <c r="C118" t="s">
        <v>7635</v>
      </c>
      <c r="D118" t="s">
        <v>7634</v>
      </c>
      <c r="F118" t="s">
        <v>7633</v>
      </c>
      <c r="G118" t="s">
        <v>4</v>
      </c>
      <c r="H118" t="s">
        <v>3</v>
      </c>
      <c r="I118" t="s">
        <v>163</v>
      </c>
      <c r="J118">
        <v>60013372</v>
      </c>
      <c r="K118" t="s">
        <v>670</v>
      </c>
      <c r="L118" t="s">
        <v>669</v>
      </c>
      <c r="M118" t="s">
        <v>2</v>
      </c>
      <c r="N118">
        <v>3</v>
      </c>
      <c r="O118" t="s">
        <v>7632</v>
      </c>
      <c r="P118" t="s">
        <v>7631</v>
      </c>
      <c r="Q118" t="s">
        <v>7630</v>
      </c>
      <c r="R118" s="8">
        <v>35765</v>
      </c>
      <c r="S118" s="9">
        <f t="shared" si="8"/>
        <v>1997</v>
      </c>
      <c r="T118" s="9">
        <v>1997</v>
      </c>
      <c r="U118" s="9">
        <f t="shared" si="9"/>
        <v>25</v>
      </c>
      <c r="V118" s="8">
        <v>35765</v>
      </c>
      <c r="W118" t="s">
        <v>684</v>
      </c>
      <c r="X118" s="2">
        <v>1.3460000000000001</v>
      </c>
      <c r="Y118" s="7">
        <f t="shared" si="10"/>
        <v>3.593070126264649E-2</v>
      </c>
      <c r="AA118">
        <v>7338724</v>
      </c>
      <c r="AB118">
        <v>12178</v>
      </c>
      <c r="AD118" t="s">
        <v>1</v>
      </c>
      <c r="AE118">
        <v>15</v>
      </c>
      <c r="AF118">
        <v>12</v>
      </c>
      <c r="AH118" t="s">
        <v>7629</v>
      </c>
      <c r="AI118" t="s">
        <v>7628</v>
      </c>
      <c r="AJ118" t="s">
        <v>7627</v>
      </c>
      <c r="AK118" t="s">
        <v>7626</v>
      </c>
      <c r="AL118">
        <v>13</v>
      </c>
      <c r="AM118" s="5">
        <f t="shared" si="11"/>
        <v>0.52</v>
      </c>
      <c r="AN118" s="4">
        <f t="shared" si="12"/>
        <v>7.8758046194623253E-4</v>
      </c>
      <c r="AO118" s="3"/>
      <c r="AP118">
        <v>0</v>
      </c>
      <c r="AQ118" t="s">
        <v>157</v>
      </c>
      <c r="AR118" t="s">
        <v>0</v>
      </c>
      <c r="AS118" t="s">
        <v>156</v>
      </c>
      <c r="AT118" s="2">
        <v>4.1420000000000003</v>
      </c>
      <c r="AU118" s="1">
        <f t="shared" si="13"/>
        <v>2.5387765022436408</v>
      </c>
      <c r="AV118" s="1">
        <f t="shared" si="14"/>
        <v>1.8359140862296361</v>
      </c>
      <c r="AW118" s="1">
        <f t="shared" si="15"/>
        <v>1.133051670215631</v>
      </c>
    </row>
    <row r="119" spans="1:49" x14ac:dyDescent="0.2">
      <c r="A119">
        <v>117</v>
      </c>
      <c r="B119" t="s">
        <v>7625</v>
      </c>
      <c r="C119" t="s">
        <v>7624</v>
      </c>
      <c r="D119" t="s">
        <v>7623</v>
      </c>
      <c r="F119" t="s">
        <v>7622</v>
      </c>
      <c r="G119" t="s">
        <v>4</v>
      </c>
      <c r="H119" t="s">
        <v>3</v>
      </c>
      <c r="I119" t="s">
        <v>7621</v>
      </c>
      <c r="J119">
        <v>60001439</v>
      </c>
      <c r="K119" t="s">
        <v>286</v>
      </c>
      <c r="L119" t="s">
        <v>285</v>
      </c>
      <c r="M119" t="s">
        <v>2</v>
      </c>
      <c r="N119">
        <v>5</v>
      </c>
      <c r="O119" t="s">
        <v>7620</v>
      </c>
      <c r="P119" t="s">
        <v>7619</v>
      </c>
      <c r="Q119" t="s">
        <v>7618</v>
      </c>
      <c r="R119" s="8">
        <v>35765</v>
      </c>
      <c r="S119" s="9">
        <f t="shared" si="8"/>
        <v>1997</v>
      </c>
      <c r="T119" s="9">
        <v>1997</v>
      </c>
      <c r="U119" s="9">
        <f t="shared" si="9"/>
        <v>25</v>
      </c>
      <c r="V119" s="8">
        <v>35765</v>
      </c>
      <c r="W119" t="s">
        <v>7617</v>
      </c>
      <c r="X119" s="2">
        <v>0.89800000000000002</v>
      </c>
      <c r="Y119" s="7">
        <f t="shared" si="10"/>
        <v>2.3971597127679455E-2</v>
      </c>
      <c r="AA119">
        <v>9641726</v>
      </c>
      <c r="AB119">
        <v>29859</v>
      </c>
      <c r="AD119" t="s">
        <v>1</v>
      </c>
      <c r="AE119">
        <v>6</v>
      </c>
      <c r="AF119">
        <v>6</v>
      </c>
      <c r="AH119" t="s">
        <v>7616</v>
      </c>
      <c r="AI119" t="s">
        <v>7615</v>
      </c>
      <c r="AK119" t="s">
        <v>7614</v>
      </c>
      <c r="AL119">
        <v>46</v>
      </c>
      <c r="AM119" s="5">
        <f t="shared" si="11"/>
        <v>1.84</v>
      </c>
      <c r="AN119" s="4">
        <f t="shared" si="12"/>
        <v>2.786823173040515E-3</v>
      </c>
      <c r="AO119" s="3"/>
      <c r="AP119">
        <v>0</v>
      </c>
      <c r="AR119" t="s">
        <v>0</v>
      </c>
      <c r="AT119" s="2">
        <v>3.585</v>
      </c>
      <c r="AU119" s="1">
        <f t="shared" si="13"/>
        <v>1.7616164941287771</v>
      </c>
      <c r="AV119" s="1">
        <f t="shared" si="14"/>
        <v>1.3379210150359984</v>
      </c>
      <c r="AW119" s="1">
        <f t="shared" si="15"/>
        <v>0.91422553594321965</v>
      </c>
    </row>
    <row r="120" spans="1:49" x14ac:dyDescent="0.2">
      <c r="A120">
        <v>118</v>
      </c>
      <c r="B120" t="s">
        <v>7613</v>
      </c>
      <c r="C120" t="s">
        <v>7612</v>
      </c>
      <c r="F120" t="s">
        <v>7611</v>
      </c>
      <c r="G120" t="s">
        <v>4</v>
      </c>
      <c r="H120" t="s">
        <v>3</v>
      </c>
      <c r="I120" t="s">
        <v>7610</v>
      </c>
      <c r="N120">
        <v>1</v>
      </c>
      <c r="O120" t="s">
        <v>7609</v>
      </c>
      <c r="P120">
        <v>7801312478</v>
      </c>
      <c r="R120" s="8">
        <v>35765</v>
      </c>
      <c r="S120" s="9">
        <f t="shared" si="8"/>
        <v>1997</v>
      </c>
      <c r="T120" s="9">
        <v>1997</v>
      </c>
      <c r="U120" s="9">
        <f t="shared" si="9"/>
        <v>25</v>
      </c>
      <c r="V120" s="8">
        <v>35765</v>
      </c>
      <c r="W120" t="s">
        <v>185</v>
      </c>
      <c r="X120" s="2">
        <v>0.22500000000000001</v>
      </c>
      <c r="Y120" s="7">
        <f t="shared" si="10"/>
        <v>6.0062464963562111E-3</v>
      </c>
      <c r="AA120">
        <v>189235</v>
      </c>
      <c r="AB120">
        <v>17318</v>
      </c>
      <c r="AD120" t="s">
        <v>1</v>
      </c>
      <c r="AE120">
        <v>34</v>
      </c>
      <c r="AF120">
        <v>12</v>
      </c>
      <c r="AH120" t="s">
        <v>7608</v>
      </c>
      <c r="AI120" t="s">
        <v>7607</v>
      </c>
      <c r="AK120" t="s">
        <v>7606</v>
      </c>
      <c r="AL120">
        <v>2</v>
      </c>
      <c r="AM120" s="5">
        <f t="shared" si="11"/>
        <v>0.08</v>
      </c>
      <c r="AN120" s="4">
        <f t="shared" si="12"/>
        <v>1.21166224914805E-4</v>
      </c>
      <c r="AO120" s="3"/>
      <c r="AP120">
        <v>0</v>
      </c>
      <c r="AR120" t="s">
        <v>0</v>
      </c>
      <c r="AT120" s="2">
        <v>2.875</v>
      </c>
      <c r="AU120" s="1">
        <f t="shared" si="13"/>
        <v>0.42407224149237893</v>
      </c>
      <c r="AV120" s="1">
        <f t="shared" si="14"/>
        <v>0.30637063606355081</v>
      </c>
      <c r="AW120" s="1">
        <f t="shared" si="15"/>
        <v>0.18866903063472268</v>
      </c>
    </row>
    <row r="121" spans="1:49" x14ac:dyDescent="0.2">
      <c r="A121">
        <v>119</v>
      </c>
      <c r="B121" t="s">
        <v>7605</v>
      </c>
      <c r="C121" t="s">
        <v>7604</v>
      </c>
      <c r="D121" t="s">
        <v>7603</v>
      </c>
      <c r="F121" t="s">
        <v>7602</v>
      </c>
      <c r="G121" t="s">
        <v>4</v>
      </c>
      <c r="H121" t="s">
        <v>3</v>
      </c>
      <c r="I121" t="s">
        <v>7601</v>
      </c>
      <c r="J121">
        <v>60010338</v>
      </c>
      <c r="K121" t="s">
        <v>7600</v>
      </c>
      <c r="L121" t="s">
        <v>5464</v>
      </c>
      <c r="M121" t="s">
        <v>7</v>
      </c>
      <c r="N121">
        <v>1</v>
      </c>
      <c r="O121" t="s">
        <v>7599</v>
      </c>
      <c r="P121">
        <v>6603501530</v>
      </c>
      <c r="Q121">
        <v>60010338</v>
      </c>
      <c r="R121" s="8">
        <v>35765</v>
      </c>
      <c r="S121" s="9">
        <f t="shared" si="8"/>
        <v>1997</v>
      </c>
      <c r="T121" s="9">
        <v>1997</v>
      </c>
      <c r="U121" s="9">
        <f t="shared" si="9"/>
        <v>25</v>
      </c>
      <c r="V121" s="8">
        <v>1997</v>
      </c>
      <c r="W121" t="s">
        <v>448</v>
      </c>
      <c r="X121" s="2">
        <v>1.3720000000000001</v>
      </c>
      <c r="Y121" s="7">
        <f t="shared" si="10"/>
        <v>3.662475641333654E-2</v>
      </c>
      <c r="AA121">
        <v>189480</v>
      </c>
      <c r="AB121">
        <v>17366</v>
      </c>
      <c r="AD121" t="s">
        <v>1</v>
      </c>
      <c r="AE121">
        <v>45</v>
      </c>
      <c r="AF121" t="s">
        <v>7453</v>
      </c>
      <c r="AH121" t="s">
        <v>7598</v>
      </c>
      <c r="AI121" t="s">
        <v>7597</v>
      </c>
      <c r="AJ121" t="s">
        <v>7596</v>
      </c>
      <c r="AK121" t="s">
        <v>7595</v>
      </c>
      <c r="AL121">
        <v>27</v>
      </c>
      <c r="AM121" s="5">
        <f t="shared" si="11"/>
        <v>1.08</v>
      </c>
      <c r="AN121" s="4">
        <f t="shared" si="12"/>
        <v>1.6357440363498675E-3</v>
      </c>
      <c r="AO121" s="3"/>
      <c r="AP121">
        <v>0</v>
      </c>
      <c r="AQ121" t="s">
        <v>124</v>
      </c>
      <c r="AR121" t="s">
        <v>0</v>
      </c>
      <c r="AS121" t="s">
        <v>123</v>
      </c>
      <c r="AT121" s="2" t="s">
        <v>5</v>
      </c>
      <c r="AU121" s="1">
        <f t="shared" si="13"/>
        <v>2.6128052700240536</v>
      </c>
      <c r="AV121" s="1">
        <f t="shared" si="14"/>
        <v>1.9130250224843204</v>
      </c>
      <c r="AW121" s="1">
        <f t="shared" si="15"/>
        <v>1.2132447749445869</v>
      </c>
    </row>
    <row r="122" spans="1:49" x14ac:dyDescent="0.2">
      <c r="A122">
        <v>120</v>
      </c>
      <c r="B122" t="s">
        <v>7594</v>
      </c>
      <c r="C122" t="s">
        <v>7593</v>
      </c>
      <c r="F122" t="s">
        <v>7592</v>
      </c>
      <c r="G122" t="s">
        <v>4</v>
      </c>
      <c r="H122" t="s">
        <v>3</v>
      </c>
      <c r="I122" t="s">
        <v>1909</v>
      </c>
      <c r="J122">
        <v>60025778</v>
      </c>
      <c r="K122" t="s">
        <v>636</v>
      </c>
      <c r="L122" t="s">
        <v>635</v>
      </c>
      <c r="M122" t="s">
        <v>2</v>
      </c>
      <c r="N122">
        <v>2</v>
      </c>
      <c r="O122" t="s">
        <v>7591</v>
      </c>
      <c r="P122" t="s">
        <v>7590</v>
      </c>
      <c r="Q122" t="s">
        <v>634</v>
      </c>
      <c r="R122" s="8">
        <v>35765</v>
      </c>
      <c r="S122" s="9">
        <f t="shared" si="8"/>
        <v>1997</v>
      </c>
      <c r="T122" s="9">
        <v>1997</v>
      </c>
      <c r="U122" s="9">
        <f t="shared" si="9"/>
        <v>25</v>
      </c>
      <c r="V122" s="8">
        <v>35765</v>
      </c>
      <c r="W122" t="s">
        <v>392</v>
      </c>
      <c r="X122" s="2">
        <v>1.6519999999999999</v>
      </c>
      <c r="Y122" s="7">
        <f t="shared" si="10"/>
        <v>4.409919649769093E-2</v>
      </c>
      <c r="AA122" t="s">
        <v>391</v>
      </c>
      <c r="AB122">
        <v>17337</v>
      </c>
      <c r="AD122" t="s">
        <v>1</v>
      </c>
      <c r="AE122">
        <v>45</v>
      </c>
      <c r="AF122">
        <v>12</v>
      </c>
      <c r="AH122" t="s">
        <v>7589</v>
      </c>
      <c r="AI122" t="s">
        <v>7588</v>
      </c>
      <c r="AK122" t="s">
        <v>7587</v>
      </c>
      <c r="AL122">
        <v>22</v>
      </c>
      <c r="AM122" s="5">
        <f t="shared" si="11"/>
        <v>0.88</v>
      </c>
      <c r="AN122" s="4">
        <f t="shared" si="12"/>
        <v>1.332828474062855E-3</v>
      </c>
      <c r="AO122" s="3"/>
      <c r="AP122">
        <v>0</v>
      </c>
      <c r="AR122" t="s">
        <v>0</v>
      </c>
      <c r="AS122" t="s">
        <v>5963</v>
      </c>
      <c r="AT122" s="2" t="s">
        <v>5</v>
      </c>
      <c r="AU122" s="1">
        <f t="shared" si="13"/>
        <v>3.1269286090602506</v>
      </c>
      <c r="AV122" s="1">
        <f t="shared" si="14"/>
        <v>2.2716012485876891</v>
      </c>
      <c r="AW122" s="1">
        <f t="shared" si="15"/>
        <v>1.4162738881151276</v>
      </c>
    </row>
    <row r="123" spans="1:49" x14ac:dyDescent="0.2">
      <c r="A123">
        <v>121</v>
      </c>
      <c r="B123" t="s">
        <v>7586</v>
      </c>
      <c r="C123" t="s">
        <v>7585</v>
      </c>
      <c r="D123" t="s">
        <v>7584</v>
      </c>
      <c r="F123" t="s">
        <v>7583</v>
      </c>
      <c r="G123" t="s">
        <v>4</v>
      </c>
      <c r="H123" t="s">
        <v>3</v>
      </c>
      <c r="I123" t="s">
        <v>747</v>
      </c>
      <c r="J123">
        <v>60009615</v>
      </c>
      <c r="K123" t="s">
        <v>746</v>
      </c>
      <c r="L123" t="s">
        <v>258</v>
      </c>
      <c r="M123" t="s">
        <v>214</v>
      </c>
      <c r="N123">
        <v>2</v>
      </c>
      <c r="O123" t="s">
        <v>7582</v>
      </c>
      <c r="P123" t="s">
        <v>7581</v>
      </c>
      <c r="Q123" t="s">
        <v>748</v>
      </c>
      <c r="R123" s="8">
        <v>35765</v>
      </c>
      <c r="S123" s="9">
        <f t="shared" si="8"/>
        <v>1997</v>
      </c>
      <c r="T123" s="9">
        <v>1997</v>
      </c>
      <c r="U123" s="9">
        <f t="shared" si="9"/>
        <v>25</v>
      </c>
      <c r="V123" s="8">
        <v>1997</v>
      </c>
      <c r="W123" t="s">
        <v>4702</v>
      </c>
      <c r="X123" s="2">
        <v>0.78200000000000003</v>
      </c>
      <c r="Y123" s="7">
        <f t="shared" si="10"/>
        <v>2.0875043378446919E-2</v>
      </c>
      <c r="AA123">
        <v>189316</v>
      </c>
      <c r="AB123">
        <v>19901</v>
      </c>
      <c r="AD123" t="s">
        <v>1</v>
      </c>
      <c r="AE123">
        <v>43</v>
      </c>
      <c r="AF123">
        <v>4</v>
      </c>
      <c r="AH123" t="s">
        <v>7580</v>
      </c>
      <c r="AI123" t="s">
        <v>7579</v>
      </c>
      <c r="AJ123" t="s">
        <v>7578</v>
      </c>
      <c r="AK123" t="s">
        <v>7577</v>
      </c>
      <c r="AL123">
        <v>21</v>
      </c>
      <c r="AM123" s="5">
        <f t="shared" si="11"/>
        <v>0.84</v>
      </c>
      <c r="AN123" s="4">
        <f t="shared" si="12"/>
        <v>1.2722453616054524E-3</v>
      </c>
      <c r="AO123" s="3"/>
      <c r="AP123">
        <v>0</v>
      </c>
      <c r="AR123" t="s">
        <v>0</v>
      </c>
      <c r="AT123" s="2">
        <v>3.863</v>
      </c>
      <c r="AU123" s="1">
        <f t="shared" si="13"/>
        <v>1.4994203973394478</v>
      </c>
      <c r="AV123" s="1">
        <f t="shared" si="14"/>
        <v>1.1073644370026186</v>
      </c>
      <c r="AW123" s="1">
        <f t="shared" si="15"/>
        <v>0.71530847666578923</v>
      </c>
    </row>
    <row r="124" spans="1:49" x14ac:dyDescent="0.2">
      <c r="A124">
        <v>122</v>
      </c>
      <c r="B124" t="s">
        <v>7576</v>
      </c>
      <c r="C124" t="s">
        <v>7575</v>
      </c>
      <c r="F124" t="s">
        <v>7574</v>
      </c>
      <c r="G124" t="s">
        <v>4</v>
      </c>
      <c r="H124" t="s">
        <v>3</v>
      </c>
      <c r="I124" t="s">
        <v>7573</v>
      </c>
      <c r="J124">
        <v>60029738</v>
      </c>
      <c r="K124" t="s">
        <v>282</v>
      </c>
      <c r="L124" t="s">
        <v>281</v>
      </c>
      <c r="M124" t="s">
        <v>8</v>
      </c>
      <c r="N124">
        <v>2</v>
      </c>
      <c r="O124" t="s">
        <v>7572</v>
      </c>
      <c r="P124" t="s">
        <v>7571</v>
      </c>
      <c r="Q124" t="s">
        <v>300</v>
      </c>
      <c r="R124" s="8">
        <v>35765</v>
      </c>
      <c r="S124" s="9">
        <f t="shared" si="8"/>
        <v>1997</v>
      </c>
      <c r="T124" s="9">
        <v>1997</v>
      </c>
      <c r="U124" s="9">
        <f t="shared" si="9"/>
        <v>25</v>
      </c>
      <c r="V124" s="8">
        <v>35765</v>
      </c>
      <c r="W124" t="s">
        <v>392</v>
      </c>
      <c r="X124" s="2">
        <v>1.6519999999999999</v>
      </c>
      <c r="Y124" s="7">
        <f t="shared" si="10"/>
        <v>4.409919649769093E-2</v>
      </c>
      <c r="AA124" t="s">
        <v>391</v>
      </c>
      <c r="AB124">
        <v>17337</v>
      </c>
      <c r="AD124" t="s">
        <v>1</v>
      </c>
      <c r="AE124">
        <v>45</v>
      </c>
      <c r="AF124">
        <v>12</v>
      </c>
      <c r="AH124" t="s">
        <v>7570</v>
      </c>
      <c r="AI124" t="s">
        <v>7569</v>
      </c>
      <c r="AK124" t="s">
        <v>7568</v>
      </c>
      <c r="AL124">
        <v>3</v>
      </c>
      <c r="AM124" s="5">
        <f t="shared" si="11"/>
        <v>0.12</v>
      </c>
      <c r="AN124" s="4">
        <f t="shared" si="12"/>
        <v>1.8174933737220749E-4</v>
      </c>
      <c r="AO124" s="3"/>
      <c r="AP124">
        <v>0</v>
      </c>
      <c r="AQ124" t="s">
        <v>443</v>
      </c>
      <c r="AR124" t="s">
        <v>0</v>
      </c>
      <c r="AS124" t="s">
        <v>442</v>
      </c>
      <c r="AT124" s="2" t="s">
        <v>5</v>
      </c>
      <c r="AU124" s="1">
        <f t="shared" si="13"/>
        <v>3.0923962349595313</v>
      </c>
      <c r="AV124" s="1">
        <f t="shared" si="14"/>
        <v>2.2140472917531571</v>
      </c>
      <c r="AW124" s="1">
        <f t="shared" si="15"/>
        <v>1.3356983485467824</v>
      </c>
    </row>
    <row r="125" spans="1:49" x14ac:dyDescent="0.2">
      <c r="A125">
        <v>123</v>
      </c>
      <c r="B125" t="s">
        <v>7567</v>
      </c>
      <c r="F125" t="s">
        <v>7566</v>
      </c>
      <c r="G125" t="s">
        <v>4</v>
      </c>
      <c r="H125" t="s">
        <v>3</v>
      </c>
      <c r="I125" t="s">
        <v>7565</v>
      </c>
      <c r="J125">
        <v>60018829</v>
      </c>
      <c r="K125" t="s">
        <v>7564</v>
      </c>
      <c r="L125" t="s">
        <v>7563</v>
      </c>
      <c r="M125" t="s">
        <v>8</v>
      </c>
      <c r="N125">
        <v>3</v>
      </c>
      <c r="O125" t="s">
        <v>7562</v>
      </c>
      <c r="P125" t="s">
        <v>7561</v>
      </c>
      <c r="Q125" t="s">
        <v>7560</v>
      </c>
      <c r="R125" s="8">
        <v>35765</v>
      </c>
      <c r="S125" s="9">
        <f t="shared" si="8"/>
        <v>1997</v>
      </c>
      <c r="T125" s="9">
        <v>1997</v>
      </c>
      <c r="U125" s="9">
        <f t="shared" si="9"/>
        <v>25</v>
      </c>
      <c r="V125" s="8">
        <v>1997</v>
      </c>
      <c r="W125" t="s">
        <v>7559</v>
      </c>
      <c r="X125" s="2" t="s">
        <v>5</v>
      </c>
      <c r="Y125" s="7" t="e">
        <f t="shared" si="10"/>
        <v>#VALUE!</v>
      </c>
      <c r="AA125">
        <v>2679337</v>
      </c>
      <c r="AB125">
        <v>69667</v>
      </c>
      <c r="AD125" t="s">
        <v>1</v>
      </c>
      <c r="AE125">
        <v>12</v>
      </c>
      <c r="AF125">
        <v>2</v>
      </c>
      <c r="AH125" t="s">
        <v>7558</v>
      </c>
      <c r="AL125">
        <v>3</v>
      </c>
      <c r="AM125" s="5">
        <f t="shared" si="11"/>
        <v>0.12</v>
      </c>
      <c r="AN125" s="4">
        <f t="shared" si="12"/>
        <v>1.8174933737220749E-4</v>
      </c>
      <c r="AO125" s="3"/>
      <c r="AP125">
        <v>0</v>
      </c>
      <c r="AR125" t="s">
        <v>0</v>
      </c>
      <c r="AT125" s="2" t="s">
        <v>5</v>
      </c>
      <c r="AU125" s="1" t="e">
        <f t="shared" si="13"/>
        <v>#VALUE!</v>
      </c>
      <c r="AV125" s="1" t="e">
        <f t="shared" si="14"/>
        <v>#VALUE!</v>
      </c>
      <c r="AW125" s="1" t="e">
        <f t="shared" si="15"/>
        <v>#VALUE!</v>
      </c>
    </row>
    <row r="126" spans="1:49" x14ac:dyDescent="0.2">
      <c r="A126">
        <v>124</v>
      </c>
      <c r="B126" t="s">
        <v>7557</v>
      </c>
      <c r="C126" t="s">
        <v>7556</v>
      </c>
      <c r="F126" t="s">
        <v>7555</v>
      </c>
      <c r="G126" t="s">
        <v>4</v>
      </c>
      <c r="H126" t="s">
        <v>3</v>
      </c>
      <c r="I126" t="s">
        <v>515</v>
      </c>
      <c r="J126">
        <v>60017161</v>
      </c>
      <c r="K126" t="s">
        <v>514</v>
      </c>
      <c r="L126" t="s">
        <v>513</v>
      </c>
      <c r="M126" t="s">
        <v>512</v>
      </c>
      <c r="N126">
        <v>4</v>
      </c>
      <c r="O126" t="s">
        <v>7554</v>
      </c>
      <c r="P126" t="s">
        <v>511</v>
      </c>
      <c r="Q126" t="s">
        <v>510</v>
      </c>
      <c r="R126" s="8">
        <v>35765</v>
      </c>
      <c r="S126" s="9">
        <f t="shared" si="8"/>
        <v>1997</v>
      </c>
      <c r="T126" s="9">
        <v>1997</v>
      </c>
      <c r="U126" s="9">
        <f t="shared" si="9"/>
        <v>25</v>
      </c>
      <c r="V126" s="8">
        <v>35765</v>
      </c>
      <c r="W126" t="s">
        <v>392</v>
      </c>
      <c r="X126" s="2">
        <v>1.6519999999999999</v>
      </c>
      <c r="Y126" s="7">
        <f t="shared" si="10"/>
        <v>4.409919649769093E-2</v>
      </c>
      <c r="AA126" t="s">
        <v>391</v>
      </c>
      <c r="AB126">
        <v>17337</v>
      </c>
      <c r="AD126" t="s">
        <v>1</v>
      </c>
      <c r="AE126">
        <v>45</v>
      </c>
      <c r="AF126">
        <v>12</v>
      </c>
      <c r="AH126" t="s">
        <v>7553</v>
      </c>
      <c r="AI126" t="s">
        <v>7552</v>
      </c>
      <c r="AK126" t="s">
        <v>7551</v>
      </c>
      <c r="AL126">
        <v>48</v>
      </c>
      <c r="AM126" s="5">
        <f t="shared" si="11"/>
        <v>1.92</v>
      </c>
      <c r="AN126" s="4">
        <f t="shared" si="12"/>
        <v>2.9079893979553199E-3</v>
      </c>
      <c r="AO126" s="3"/>
      <c r="AP126">
        <v>0</v>
      </c>
      <c r="AQ126" t="s">
        <v>7550</v>
      </c>
      <c r="AR126" t="s">
        <v>0</v>
      </c>
      <c r="AS126" t="s">
        <v>514</v>
      </c>
      <c r="AT126" s="2" t="s">
        <v>5</v>
      </c>
      <c r="AU126" s="1">
        <f t="shared" si="13"/>
        <v>3.174183436777025</v>
      </c>
      <c r="AV126" s="1">
        <f t="shared" si="14"/>
        <v>2.3503592947823124</v>
      </c>
      <c r="AW126" s="1">
        <f t="shared" si="15"/>
        <v>1.5265351527876001</v>
      </c>
    </row>
    <row r="127" spans="1:49" x14ac:dyDescent="0.2">
      <c r="A127">
        <v>125</v>
      </c>
      <c r="B127" t="s">
        <v>7549</v>
      </c>
      <c r="C127" t="s">
        <v>7548</v>
      </c>
      <c r="F127" t="s">
        <v>7547</v>
      </c>
      <c r="G127" t="s">
        <v>4</v>
      </c>
      <c r="H127" t="s">
        <v>3</v>
      </c>
      <c r="I127" t="s">
        <v>7546</v>
      </c>
      <c r="J127">
        <v>60011373</v>
      </c>
      <c r="K127" t="s">
        <v>323</v>
      </c>
      <c r="L127" t="s">
        <v>322</v>
      </c>
      <c r="M127" t="s">
        <v>106</v>
      </c>
      <c r="N127">
        <v>2</v>
      </c>
      <c r="O127" t="s">
        <v>7545</v>
      </c>
      <c r="P127" t="s">
        <v>7544</v>
      </c>
      <c r="Q127" t="s">
        <v>7543</v>
      </c>
      <c r="R127" s="8">
        <v>35765</v>
      </c>
      <c r="S127" s="9">
        <f t="shared" si="8"/>
        <v>1997</v>
      </c>
      <c r="T127" s="9">
        <v>1997</v>
      </c>
      <c r="U127" s="9">
        <f t="shared" si="9"/>
        <v>25</v>
      </c>
      <c r="V127" s="8">
        <v>35765</v>
      </c>
      <c r="W127" t="s">
        <v>392</v>
      </c>
      <c r="X127" s="2">
        <v>1.6519999999999999</v>
      </c>
      <c r="Y127" s="7">
        <f t="shared" si="10"/>
        <v>4.409919649769093E-2</v>
      </c>
      <c r="AA127" t="s">
        <v>391</v>
      </c>
      <c r="AB127">
        <v>17337</v>
      </c>
      <c r="AD127" t="s">
        <v>1</v>
      </c>
      <c r="AE127">
        <v>45</v>
      </c>
      <c r="AF127">
        <v>12</v>
      </c>
      <c r="AH127" t="s">
        <v>7542</v>
      </c>
      <c r="AI127" t="s">
        <v>7541</v>
      </c>
      <c r="AK127" t="s">
        <v>7540</v>
      </c>
      <c r="AL127">
        <v>93</v>
      </c>
      <c r="AM127" s="5">
        <f t="shared" si="11"/>
        <v>3.72</v>
      </c>
      <c r="AN127" s="4">
        <f t="shared" si="12"/>
        <v>5.6342294585384331E-3</v>
      </c>
      <c r="AO127" s="3"/>
      <c r="AP127">
        <v>0</v>
      </c>
      <c r="AR127" t="s">
        <v>0</v>
      </c>
      <c r="AT127" s="2" t="s">
        <v>5</v>
      </c>
      <c r="AU127" s="1">
        <f t="shared" si="13"/>
        <v>3.2559706385945177</v>
      </c>
      <c r="AV127" s="1">
        <f t="shared" si="14"/>
        <v>2.4866712978114682</v>
      </c>
      <c r="AW127" s="1">
        <f t="shared" si="15"/>
        <v>1.7173719570284181</v>
      </c>
    </row>
    <row r="128" spans="1:49" x14ac:dyDescent="0.2">
      <c r="A128">
        <v>126</v>
      </c>
      <c r="B128" t="s">
        <v>7539</v>
      </c>
      <c r="C128" t="s">
        <v>7538</v>
      </c>
      <c r="F128" t="s">
        <v>7537</v>
      </c>
      <c r="G128" t="s">
        <v>4</v>
      </c>
      <c r="H128" t="s">
        <v>3</v>
      </c>
      <c r="I128" t="s">
        <v>7536</v>
      </c>
      <c r="J128">
        <v>60018208</v>
      </c>
      <c r="K128" t="s">
        <v>7535</v>
      </c>
      <c r="L128" t="s">
        <v>7534</v>
      </c>
      <c r="M128" t="s">
        <v>2</v>
      </c>
      <c r="N128">
        <v>2</v>
      </c>
      <c r="O128" t="s">
        <v>7533</v>
      </c>
      <c r="P128" t="s">
        <v>7532</v>
      </c>
      <c r="Q128" t="s">
        <v>7531</v>
      </c>
      <c r="R128" s="8">
        <v>35765</v>
      </c>
      <c r="S128" s="9">
        <f t="shared" si="8"/>
        <v>1997</v>
      </c>
      <c r="T128" s="9">
        <v>1997</v>
      </c>
      <c r="U128" s="9">
        <f t="shared" si="9"/>
        <v>25</v>
      </c>
      <c r="V128" s="8">
        <v>35765</v>
      </c>
      <c r="W128" t="s">
        <v>392</v>
      </c>
      <c r="X128" s="2">
        <v>1.6519999999999999</v>
      </c>
      <c r="Y128" s="7">
        <f t="shared" si="10"/>
        <v>4.409919649769093E-2</v>
      </c>
      <c r="AA128" t="s">
        <v>391</v>
      </c>
      <c r="AB128">
        <v>17337</v>
      </c>
      <c r="AD128" t="s">
        <v>1</v>
      </c>
      <c r="AE128">
        <v>45</v>
      </c>
      <c r="AF128">
        <v>12</v>
      </c>
      <c r="AH128" t="s">
        <v>7530</v>
      </c>
      <c r="AI128" t="s">
        <v>7529</v>
      </c>
      <c r="AK128" t="s">
        <v>7528</v>
      </c>
      <c r="AL128">
        <v>24</v>
      </c>
      <c r="AM128" s="5">
        <f t="shared" si="11"/>
        <v>0.96</v>
      </c>
      <c r="AN128" s="4">
        <f t="shared" si="12"/>
        <v>1.4539946989776599E-3</v>
      </c>
      <c r="AO128" s="3"/>
      <c r="AP128">
        <v>0</v>
      </c>
      <c r="AQ128" t="s">
        <v>157</v>
      </c>
      <c r="AR128" t="s">
        <v>7527</v>
      </c>
      <c r="AS128" t="s">
        <v>156</v>
      </c>
      <c r="AT128" s="2" t="s">
        <v>5</v>
      </c>
      <c r="AU128" s="1">
        <f t="shared" si="13"/>
        <v>3.1305635958076952</v>
      </c>
      <c r="AV128" s="1">
        <f t="shared" si="14"/>
        <v>2.2776595598334297</v>
      </c>
      <c r="AW128" s="1">
        <f t="shared" si="15"/>
        <v>1.424755523859164</v>
      </c>
    </row>
    <row r="129" spans="1:49" x14ac:dyDescent="0.2">
      <c r="A129">
        <v>127</v>
      </c>
      <c r="B129" t="s">
        <v>7526</v>
      </c>
      <c r="C129" t="s">
        <v>7525</v>
      </c>
      <c r="F129" t="s">
        <v>7524</v>
      </c>
      <c r="G129" t="s">
        <v>4</v>
      </c>
      <c r="H129" t="s">
        <v>3</v>
      </c>
      <c r="I129" t="s">
        <v>7523</v>
      </c>
      <c r="J129">
        <v>100333886</v>
      </c>
      <c r="K129" t="s">
        <v>7522</v>
      </c>
      <c r="L129" t="s">
        <v>554</v>
      </c>
      <c r="M129" t="s">
        <v>8</v>
      </c>
      <c r="N129">
        <v>2</v>
      </c>
      <c r="O129" t="s">
        <v>7521</v>
      </c>
      <c r="P129" t="s">
        <v>7520</v>
      </c>
      <c r="Q129" t="s">
        <v>7519</v>
      </c>
      <c r="R129" s="8">
        <v>35765</v>
      </c>
      <c r="S129" s="9">
        <f t="shared" si="8"/>
        <v>1997</v>
      </c>
      <c r="T129" s="9">
        <v>1997</v>
      </c>
      <c r="U129" s="9">
        <f t="shared" si="9"/>
        <v>25</v>
      </c>
      <c r="V129" s="8">
        <v>35765</v>
      </c>
      <c r="W129" t="s">
        <v>392</v>
      </c>
      <c r="X129" s="2">
        <v>1.6519999999999999</v>
      </c>
      <c r="Y129" s="7">
        <f t="shared" si="10"/>
        <v>4.409919649769093E-2</v>
      </c>
      <c r="AA129" t="s">
        <v>391</v>
      </c>
      <c r="AB129">
        <v>17337</v>
      </c>
      <c r="AD129" t="s">
        <v>1</v>
      </c>
      <c r="AE129">
        <v>45</v>
      </c>
      <c r="AF129">
        <v>12</v>
      </c>
      <c r="AH129" t="s">
        <v>7518</v>
      </c>
      <c r="AI129" t="s">
        <v>7517</v>
      </c>
      <c r="AK129" t="s">
        <v>7516</v>
      </c>
      <c r="AL129">
        <v>2</v>
      </c>
      <c r="AM129" s="5">
        <f t="shared" si="11"/>
        <v>0.08</v>
      </c>
      <c r="AN129" s="4">
        <f t="shared" si="12"/>
        <v>1.21166224914805E-4</v>
      </c>
      <c r="AO129" s="3"/>
      <c r="AP129">
        <v>0</v>
      </c>
      <c r="AR129" t="s">
        <v>0</v>
      </c>
      <c r="AT129" s="2" t="s">
        <v>5</v>
      </c>
      <c r="AU129" s="1">
        <f t="shared" si="13"/>
        <v>3.090578741585809</v>
      </c>
      <c r="AV129" s="1">
        <f t="shared" si="14"/>
        <v>2.2110181361302867</v>
      </c>
      <c r="AW129" s="1">
        <f t="shared" si="15"/>
        <v>1.3314575306747642</v>
      </c>
    </row>
    <row r="130" spans="1:49" x14ac:dyDescent="0.2">
      <c r="A130">
        <v>128</v>
      </c>
      <c r="B130" t="s">
        <v>7515</v>
      </c>
      <c r="C130" t="s">
        <v>7514</v>
      </c>
      <c r="F130" t="s">
        <v>7513</v>
      </c>
      <c r="G130" t="s">
        <v>4</v>
      </c>
      <c r="H130" t="s">
        <v>3</v>
      </c>
      <c r="I130" t="s">
        <v>7512</v>
      </c>
      <c r="J130" t="s">
        <v>7511</v>
      </c>
      <c r="K130" t="s">
        <v>7510</v>
      </c>
      <c r="L130" t="s">
        <v>7509</v>
      </c>
      <c r="M130" t="s">
        <v>18</v>
      </c>
      <c r="N130">
        <v>10</v>
      </c>
      <c r="O130" t="s">
        <v>7508</v>
      </c>
      <c r="P130" t="s">
        <v>7507</v>
      </c>
      <c r="Q130" t="s">
        <v>7506</v>
      </c>
      <c r="R130" s="8">
        <v>35765</v>
      </c>
      <c r="S130" s="9">
        <f t="shared" ref="S130:S193" si="16">YEAR(R130)</f>
        <v>1997</v>
      </c>
      <c r="T130" s="9">
        <v>1997</v>
      </c>
      <c r="U130" s="9">
        <f t="shared" ref="U130:U193" si="17">2022-T130</f>
        <v>25</v>
      </c>
      <c r="V130" s="8">
        <v>35765</v>
      </c>
      <c r="W130" t="s">
        <v>637</v>
      </c>
      <c r="X130" s="2">
        <v>0.39600000000000002</v>
      </c>
      <c r="Y130" s="7">
        <f t="shared" ref="Y130:Y193" si="18">(X130-$Z$3)/($Z$2-$Z$3)</f>
        <v>1.0570993833586931E-2</v>
      </c>
      <c r="AA130">
        <v>8858985</v>
      </c>
      <c r="AB130">
        <v>25993</v>
      </c>
      <c r="AD130" t="s">
        <v>1</v>
      </c>
      <c r="AE130">
        <v>12</v>
      </c>
      <c r="AF130">
        <v>12</v>
      </c>
      <c r="AH130" s="6">
        <v>44533</v>
      </c>
      <c r="AI130" t="s">
        <v>7505</v>
      </c>
      <c r="AK130" t="s">
        <v>7504</v>
      </c>
      <c r="AL130">
        <v>2</v>
      </c>
      <c r="AM130" s="5">
        <f t="shared" ref="AM130:AM193" si="19">AL130/U130</f>
        <v>0.08</v>
      </c>
      <c r="AN130" s="4">
        <f t="shared" ref="AN130:AN193" si="20">(AM130-$AO$3)/($AO$2-$AO$3)</f>
        <v>1.21166224914805E-4</v>
      </c>
      <c r="AO130" s="3"/>
      <c r="AP130">
        <v>0</v>
      </c>
      <c r="AR130" t="s">
        <v>0</v>
      </c>
      <c r="AT130" s="2" t="s">
        <v>5</v>
      </c>
      <c r="AU130" s="1">
        <f t="shared" ref="AU130:AU193" si="21">(Y130*0.7+AN130*0.3)*100</f>
        <v>0.7436045550985293</v>
      </c>
      <c r="AV130" s="1">
        <f t="shared" ref="AV130:AV193" si="22">(Y130*0.5+AN130*0.5)*100</f>
        <v>0.53460800292508681</v>
      </c>
      <c r="AW130" s="1">
        <f t="shared" ref="AW130:AW193" si="23">(Y130*0.3+AN130*0.7)*100</f>
        <v>0.32561145075164427</v>
      </c>
    </row>
    <row r="131" spans="1:49" x14ac:dyDescent="0.2">
      <c r="A131">
        <v>129</v>
      </c>
      <c r="B131" t="s">
        <v>7503</v>
      </c>
      <c r="C131" t="s">
        <v>7502</v>
      </c>
      <c r="F131" t="s">
        <v>7501</v>
      </c>
      <c r="G131" t="s">
        <v>4</v>
      </c>
      <c r="H131" t="s">
        <v>3</v>
      </c>
      <c r="I131" t="s">
        <v>7500</v>
      </c>
      <c r="J131">
        <v>60015941</v>
      </c>
      <c r="K131" t="s">
        <v>437</v>
      </c>
      <c r="L131" t="s">
        <v>436</v>
      </c>
      <c r="M131" t="s">
        <v>2</v>
      </c>
      <c r="N131">
        <v>2</v>
      </c>
      <c r="O131" t="s">
        <v>7499</v>
      </c>
      <c r="P131" t="s">
        <v>7498</v>
      </c>
      <c r="Q131" t="s">
        <v>435</v>
      </c>
      <c r="R131" s="8">
        <v>35765</v>
      </c>
      <c r="S131" s="9">
        <f t="shared" si="16"/>
        <v>1997</v>
      </c>
      <c r="T131" s="9">
        <v>1997</v>
      </c>
      <c r="U131" s="9">
        <f t="shared" si="17"/>
        <v>25</v>
      </c>
      <c r="V131" s="8">
        <v>35765</v>
      </c>
      <c r="W131" t="s">
        <v>392</v>
      </c>
      <c r="X131" s="2">
        <v>1.6519999999999999</v>
      </c>
      <c r="Y131" s="7">
        <f t="shared" si="18"/>
        <v>4.409919649769093E-2</v>
      </c>
      <c r="AA131" t="s">
        <v>391</v>
      </c>
      <c r="AB131">
        <v>17337</v>
      </c>
      <c r="AD131" t="s">
        <v>1</v>
      </c>
      <c r="AE131">
        <v>45</v>
      </c>
      <c r="AF131">
        <v>12</v>
      </c>
      <c r="AH131" t="s">
        <v>7497</v>
      </c>
      <c r="AI131" t="s">
        <v>7496</v>
      </c>
      <c r="AK131" t="s">
        <v>7495</v>
      </c>
      <c r="AL131">
        <v>4</v>
      </c>
      <c r="AM131" s="5">
        <f t="shared" si="19"/>
        <v>0.16</v>
      </c>
      <c r="AN131" s="4">
        <f t="shared" si="20"/>
        <v>2.4233244982961E-4</v>
      </c>
      <c r="AO131" s="3"/>
      <c r="AP131">
        <v>0</v>
      </c>
      <c r="AR131" t="s">
        <v>0</v>
      </c>
      <c r="AT131" s="2" t="s">
        <v>5</v>
      </c>
      <c r="AU131" s="1">
        <f t="shared" si="21"/>
        <v>3.0942137283332531</v>
      </c>
      <c r="AV131" s="1">
        <f t="shared" si="22"/>
        <v>2.2170764473760269</v>
      </c>
      <c r="AW131" s="1">
        <f t="shared" si="23"/>
        <v>1.3399391664188005</v>
      </c>
    </row>
    <row r="132" spans="1:49" x14ac:dyDescent="0.2">
      <c r="A132">
        <v>130</v>
      </c>
      <c r="B132" t="s">
        <v>7494</v>
      </c>
      <c r="C132" t="s">
        <v>7493</v>
      </c>
      <c r="F132" t="s">
        <v>7492</v>
      </c>
      <c r="G132" t="s">
        <v>4</v>
      </c>
      <c r="H132" t="s">
        <v>3</v>
      </c>
      <c r="I132" t="s">
        <v>7491</v>
      </c>
      <c r="J132">
        <v>60003414</v>
      </c>
      <c r="K132" t="s">
        <v>7490</v>
      </c>
      <c r="L132" t="s">
        <v>112</v>
      </c>
      <c r="M132" t="s">
        <v>111</v>
      </c>
      <c r="N132">
        <v>2</v>
      </c>
      <c r="O132" t="s">
        <v>7489</v>
      </c>
      <c r="P132" t="s">
        <v>7488</v>
      </c>
      <c r="Q132" t="s">
        <v>7487</v>
      </c>
      <c r="R132" s="8">
        <v>35765</v>
      </c>
      <c r="S132" s="9">
        <f t="shared" si="16"/>
        <v>1997</v>
      </c>
      <c r="T132" s="9">
        <v>1997</v>
      </c>
      <c r="U132" s="9">
        <f t="shared" si="17"/>
        <v>25</v>
      </c>
      <c r="V132" s="8">
        <v>35765</v>
      </c>
      <c r="W132" t="s">
        <v>392</v>
      </c>
      <c r="X132" s="2">
        <v>1.6519999999999999</v>
      </c>
      <c r="Y132" s="7">
        <f t="shared" si="18"/>
        <v>4.409919649769093E-2</v>
      </c>
      <c r="AA132" t="s">
        <v>391</v>
      </c>
      <c r="AB132">
        <v>17337</v>
      </c>
      <c r="AD132" t="s">
        <v>1</v>
      </c>
      <c r="AE132">
        <v>45</v>
      </c>
      <c r="AF132">
        <v>12</v>
      </c>
      <c r="AH132" t="s">
        <v>7486</v>
      </c>
      <c r="AI132" t="s">
        <v>7485</v>
      </c>
      <c r="AK132" t="s">
        <v>7484</v>
      </c>
      <c r="AL132">
        <v>1</v>
      </c>
      <c r="AM132" s="5">
        <f t="shared" si="19"/>
        <v>0.04</v>
      </c>
      <c r="AN132" s="4">
        <f t="shared" si="20"/>
        <v>6.05831124574025E-5</v>
      </c>
      <c r="AO132" s="3"/>
      <c r="AP132">
        <v>0</v>
      </c>
      <c r="AR132" t="s">
        <v>0</v>
      </c>
      <c r="AT132" s="2" t="s">
        <v>5</v>
      </c>
      <c r="AU132" s="1">
        <f t="shared" si="21"/>
        <v>3.0887612482120872</v>
      </c>
      <c r="AV132" s="1">
        <f t="shared" si="22"/>
        <v>2.2079889805074164</v>
      </c>
      <c r="AW132" s="1">
        <f t="shared" si="23"/>
        <v>1.3272167128027459</v>
      </c>
    </row>
    <row r="133" spans="1:49" x14ac:dyDescent="0.2">
      <c r="A133">
        <v>131</v>
      </c>
      <c r="B133" t="s">
        <v>7483</v>
      </c>
      <c r="C133" t="s">
        <v>7482</v>
      </c>
      <c r="D133" t="s">
        <v>7481</v>
      </c>
      <c r="F133" t="s">
        <v>7480</v>
      </c>
      <c r="G133" t="s">
        <v>4</v>
      </c>
      <c r="H133" t="s">
        <v>3</v>
      </c>
      <c r="I133" t="s">
        <v>7479</v>
      </c>
      <c r="J133">
        <v>60005837</v>
      </c>
      <c r="K133" t="s">
        <v>7478</v>
      </c>
      <c r="L133" t="s">
        <v>7477</v>
      </c>
      <c r="M133" t="s">
        <v>2</v>
      </c>
      <c r="N133">
        <v>1</v>
      </c>
      <c r="O133" t="s">
        <v>7476</v>
      </c>
      <c r="P133">
        <v>7102009169</v>
      </c>
      <c r="Q133">
        <v>60005837</v>
      </c>
      <c r="R133" s="8">
        <v>35765</v>
      </c>
      <c r="S133" s="9">
        <f t="shared" si="16"/>
        <v>1997</v>
      </c>
      <c r="T133" s="9">
        <v>1997</v>
      </c>
      <c r="U133" s="9">
        <f t="shared" si="17"/>
        <v>25</v>
      </c>
      <c r="V133" s="8">
        <v>1997</v>
      </c>
      <c r="W133" t="s">
        <v>448</v>
      </c>
      <c r="X133" s="2">
        <v>1.3720000000000001</v>
      </c>
      <c r="Y133" s="7">
        <f t="shared" si="18"/>
        <v>3.662475641333654E-2</v>
      </c>
      <c r="AA133">
        <v>189480</v>
      </c>
      <c r="AB133">
        <v>17366</v>
      </c>
      <c r="AD133" t="s">
        <v>1</v>
      </c>
      <c r="AE133">
        <v>45</v>
      </c>
      <c r="AF133" t="s">
        <v>7453</v>
      </c>
      <c r="AH133" t="s">
        <v>7475</v>
      </c>
      <c r="AI133" t="s">
        <v>7474</v>
      </c>
      <c r="AJ133" t="s">
        <v>7473</v>
      </c>
      <c r="AK133" t="s">
        <v>7472</v>
      </c>
      <c r="AL133">
        <v>19</v>
      </c>
      <c r="AM133" s="5">
        <f t="shared" si="19"/>
        <v>0.76</v>
      </c>
      <c r="AN133" s="4">
        <f t="shared" si="20"/>
        <v>1.1510791366906475E-3</v>
      </c>
      <c r="AO133" s="3"/>
      <c r="AP133">
        <v>0</v>
      </c>
      <c r="AR133" t="s">
        <v>0</v>
      </c>
      <c r="AT133" s="2" t="s">
        <v>5</v>
      </c>
      <c r="AU133" s="1">
        <f t="shared" si="21"/>
        <v>2.5982653230342772</v>
      </c>
      <c r="AV133" s="1">
        <f t="shared" si="22"/>
        <v>1.8887917775013592</v>
      </c>
      <c r="AW133" s="1">
        <f t="shared" si="23"/>
        <v>1.1793182319684414</v>
      </c>
    </row>
    <row r="134" spans="1:49" x14ac:dyDescent="0.2">
      <c r="A134">
        <v>132</v>
      </c>
      <c r="B134" t="s">
        <v>7471</v>
      </c>
      <c r="C134" t="s">
        <v>7470</v>
      </c>
      <c r="D134" t="s">
        <v>7469</v>
      </c>
      <c r="F134" t="s">
        <v>7468</v>
      </c>
      <c r="G134" t="s">
        <v>4</v>
      </c>
      <c r="H134" t="s">
        <v>3</v>
      </c>
      <c r="I134" t="s">
        <v>7467</v>
      </c>
      <c r="J134">
        <v>60023143</v>
      </c>
      <c r="K134" t="s">
        <v>7466</v>
      </c>
      <c r="L134" t="s">
        <v>7465</v>
      </c>
      <c r="M134" t="s">
        <v>2</v>
      </c>
      <c r="N134">
        <v>1</v>
      </c>
      <c r="O134" t="s">
        <v>7464</v>
      </c>
      <c r="P134">
        <v>7006424996</v>
      </c>
      <c r="Q134">
        <v>60023143</v>
      </c>
      <c r="R134" s="8">
        <v>35765</v>
      </c>
      <c r="S134" s="9">
        <f t="shared" si="16"/>
        <v>1997</v>
      </c>
      <c r="T134" s="9">
        <v>1997</v>
      </c>
      <c r="U134" s="9">
        <f t="shared" si="17"/>
        <v>25</v>
      </c>
      <c r="V134" s="8">
        <v>1997</v>
      </c>
      <c r="W134" t="s">
        <v>448</v>
      </c>
      <c r="X134" s="2">
        <v>1.3720000000000001</v>
      </c>
      <c r="Y134" s="7">
        <f t="shared" si="18"/>
        <v>3.662475641333654E-2</v>
      </c>
      <c r="AA134">
        <v>189480</v>
      </c>
      <c r="AB134">
        <v>17366</v>
      </c>
      <c r="AD134" t="s">
        <v>1</v>
      </c>
      <c r="AE134">
        <v>45</v>
      </c>
      <c r="AF134" t="s">
        <v>7453</v>
      </c>
      <c r="AH134" t="s">
        <v>7463</v>
      </c>
      <c r="AI134" t="s">
        <v>7462</v>
      </c>
      <c r="AJ134" t="s">
        <v>7461</v>
      </c>
      <c r="AK134" t="s">
        <v>7460</v>
      </c>
      <c r="AL134">
        <v>7</v>
      </c>
      <c r="AM134" s="5">
        <f t="shared" si="19"/>
        <v>0.28000000000000003</v>
      </c>
      <c r="AN134" s="4">
        <f t="shared" si="20"/>
        <v>4.2408178720181755E-4</v>
      </c>
      <c r="AO134" s="3"/>
      <c r="AP134">
        <v>0</v>
      </c>
      <c r="AR134" t="s">
        <v>0</v>
      </c>
      <c r="AT134" s="2" t="s">
        <v>5</v>
      </c>
      <c r="AU134" s="1">
        <f t="shared" si="21"/>
        <v>2.576455402549612</v>
      </c>
      <c r="AV134" s="1">
        <f t="shared" si="22"/>
        <v>1.8524419100269178</v>
      </c>
      <c r="AW134" s="1">
        <f t="shared" si="23"/>
        <v>1.1284284175042234</v>
      </c>
    </row>
    <row r="135" spans="1:49" x14ac:dyDescent="0.2">
      <c r="A135">
        <v>133</v>
      </c>
      <c r="B135" t="s">
        <v>7459</v>
      </c>
      <c r="C135" t="s">
        <v>7458</v>
      </c>
      <c r="D135" t="s">
        <v>7457</v>
      </c>
      <c r="F135" t="s">
        <v>7456</v>
      </c>
      <c r="G135" t="s">
        <v>4</v>
      </c>
      <c r="H135" t="s">
        <v>3</v>
      </c>
      <c r="I135" t="s">
        <v>7455</v>
      </c>
      <c r="J135">
        <v>60025555</v>
      </c>
      <c r="K135" t="s">
        <v>366</v>
      </c>
      <c r="L135" t="s">
        <v>112</v>
      </c>
      <c r="M135" t="s">
        <v>111</v>
      </c>
      <c r="N135">
        <v>1</v>
      </c>
      <c r="O135" t="s">
        <v>7454</v>
      </c>
      <c r="P135">
        <v>57189705131</v>
      </c>
      <c r="Q135">
        <v>60025555</v>
      </c>
      <c r="R135" s="8">
        <v>35765</v>
      </c>
      <c r="S135" s="9">
        <f t="shared" si="16"/>
        <v>1997</v>
      </c>
      <c r="T135" s="9">
        <v>1997</v>
      </c>
      <c r="U135" s="9">
        <f t="shared" si="17"/>
        <v>25</v>
      </c>
      <c r="V135" s="8">
        <v>1997</v>
      </c>
      <c r="W135" t="s">
        <v>448</v>
      </c>
      <c r="X135" s="2">
        <v>1.3720000000000001</v>
      </c>
      <c r="Y135" s="7">
        <f t="shared" si="18"/>
        <v>3.662475641333654E-2</v>
      </c>
      <c r="AA135">
        <v>189480</v>
      </c>
      <c r="AB135">
        <v>17366</v>
      </c>
      <c r="AD135" t="s">
        <v>1</v>
      </c>
      <c r="AE135">
        <v>45</v>
      </c>
      <c r="AF135" t="s">
        <v>7453</v>
      </c>
      <c r="AH135" t="s">
        <v>7452</v>
      </c>
      <c r="AI135" t="s">
        <v>7451</v>
      </c>
      <c r="AJ135" t="s">
        <v>7450</v>
      </c>
      <c r="AK135" t="s">
        <v>7449</v>
      </c>
      <c r="AL135">
        <v>10</v>
      </c>
      <c r="AM135" s="5">
        <f t="shared" si="19"/>
        <v>0.4</v>
      </c>
      <c r="AN135" s="4">
        <f t="shared" si="20"/>
        <v>6.0583112457402507E-4</v>
      </c>
      <c r="AO135" s="3"/>
      <c r="AP135">
        <v>0</v>
      </c>
      <c r="AR135" t="s">
        <v>0</v>
      </c>
      <c r="AT135" s="2" t="s">
        <v>5</v>
      </c>
      <c r="AU135" s="1">
        <f t="shared" si="21"/>
        <v>2.5819078826707784</v>
      </c>
      <c r="AV135" s="1">
        <f t="shared" si="22"/>
        <v>1.8615293768955283</v>
      </c>
      <c r="AW135" s="1">
        <f t="shared" si="23"/>
        <v>1.141150871120278</v>
      </c>
    </row>
    <row r="136" spans="1:49" x14ac:dyDescent="0.2">
      <c r="A136">
        <v>134</v>
      </c>
      <c r="B136" t="s">
        <v>7448</v>
      </c>
      <c r="F136" t="s">
        <v>7447</v>
      </c>
      <c r="G136" t="s">
        <v>4</v>
      </c>
      <c r="H136" t="s">
        <v>3</v>
      </c>
      <c r="I136" t="s">
        <v>7446</v>
      </c>
      <c r="J136">
        <v>100443549</v>
      </c>
      <c r="K136" t="s">
        <v>7445</v>
      </c>
      <c r="L136" t="s">
        <v>7444</v>
      </c>
      <c r="M136" t="s">
        <v>2</v>
      </c>
      <c r="N136">
        <v>2</v>
      </c>
      <c r="O136" t="s">
        <v>7443</v>
      </c>
      <c r="P136" t="s">
        <v>7442</v>
      </c>
      <c r="Q136" t="s">
        <v>7441</v>
      </c>
      <c r="R136" s="8">
        <v>35765</v>
      </c>
      <c r="S136" s="9">
        <f t="shared" si="16"/>
        <v>1997</v>
      </c>
      <c r="T136" s="9">
        <v>1997</v>
      </c>
      <c r="U136" s="9">
        <f t="shared" si="17"/>
        <v>25</v>
      </c>
      <c r="V136" s="8">
        <v>35765</v>
      </c>
      <c r="W136" t="s">
        <v>7440</v>
      </c>
      <c r="X136" s="2" t="s">
        <v>5</v>
      </c>
      <c r="Y136" s="7" t="e">
        <f t="shared" si="18"/>
        <v>#VALUE!</v>
      </c>
      <c r="AA136">
        <v>134945</v>
      </c>
      <c r="AB136">
        <v>34230</v>
      </c>
      <c r="AD136" t="s">
        <v>1</v>
      </c>
      <c r="AE136">
        <v>37</v>
      </c>
      <c r="AF136">
        <v>16</v>
      </c>
      <c r="AH136" t="s">
        <v>7439</v>
      </c>
      <c r="AI136" t="s">
        <v>7438</v>
      </c>
      <c r="AK136" t="s">
        <v>7437</v>
      </c>
      <c r="AL136">
        <v>2</v>
      </c>
      <c r="AM136" s="5">
        <f t="shared" si="19"/>
        <v>0.08</v>
      </c>
      <c r="AN136" s="4">
        <f t="shared" si="20"/>
        <v>1.21166224914805E-4</v>
      </c>
      <c r="AO136" s="3"/>
      <c r="AP136">
        <v>0</v>
      </c>
      <c r="AR136" t="s">
        <v>0</v>
      </c>
      <c r="AT136" s="2" t="s">
        <v>5</v>
      </c>
      <c r="AU136" s="1" t="e">
        <f t="shared" si="21"/>
        <v>#VALUE!</v>
      </c>
      <c r="AV136" s="1" t="e">
        <f t="shared" si="22"/>
        <v>#VALUE!</v>
      </c>
      <c r="AW136" s="1" t="e">
        <f t="shared" si="23"/>
        <v>#VALUE!</v>
      </c>
    </row>
    <row r="137" spans="1:49" x14ac:dyDescent="0.2">
      <c r="A137">
        <v>135</v>
      </c>
      <c r="B137" t="s">
        <v>7436</v>
      </c>
      <c r="F137" t="s">
        <v>7435</v>
      </c>
      <c r="G137" t="s">
        <v>4</v>
      </c>
      <c r="H137" t="s">
        <v>3</v>
      </c>
      <c r="I137" t="s">
        <v>7434</v>
      </c>
      <c r="N137">
        <v>1</v>
      </c>
      <c r="O137" t="s">
        <v>7433</v>
      </c>
      <c r="P137">
        <v>57218973154</v>
      </c>
      <c r="R137" s="8">
        <v>35765</v>
      </c>
      <c r="S137" s="9">
        <f t="shared" si="16"/>
        <v>1997</v>
      </c>
      <c r="T137" s="9">
        <v>1997</v>
      </c>
      <c r="U137" s="9">
        <f t="shared" si="17"/>
        <v>25</v>
      </c>
      <c r="V137" s="8">
        <v>1997</v>
      </c>
      <c r="W137" t="s">
        <v>7432</v>
      </c>
      <c r="X137" s="2" t="s">
        <v>5</v>
      </c>
      <c r="Y137" s="7" t="e">
        <f t="shared" si="18"/>
        <v>#VALUE!</v>
      </c>
      <c r="AA137">
        <v>13670476</v>
      </c>
      <c r="AB137">
        <v>73228</v>
      </c>
      <c r="AD137" t="s">
        <v>1</v>
      </c>
      <c r="AE137">
        <v>14</v>
      </c>
      <c r="AF137">
        <v>1</v>
      </c>
      <c r="AH137" t="s">
        <v>7270</v>
      </c>
      <c r="AI137" t="s">
        <v>7431</v>
      </c>
      <c r="AK137" t="s">
        <v>7430</v>
      </c>
      <c r="AL137">
        <v>1</v>
      </c>
      <c r="AM137" s="5">
        <f t="shared" si="19"/>
        <v>0.04</v>
      </c>
      <c r="AN137" s="4">
        <f t="shared" si="20"/>
        <v>6.05831124574025E-5</v>
      </c>
      <c r="AO137" s="3"/>
      <c r="AP137">
        <v>0</v>
      </c>
      <c r="AR137" t="s">
        <v>0</v>
      </c>
      <c r="AT137" s="2" t="s">
        <v>5</v>
      </c>
      <c r="AU137" s="1" t="e">
        <f t="shared" si="21"/>
        <v>#VALUE!</v>
      </c>
      <c r="AV137" s="1" t="e">
        <f t="shared" si="22"/>
        <v>#VALUE!</v>
      </c>
      <c r="AW137" s="1" t="e">
        <f t="shared" si="23"/>
        <v>#VALUE!</v>
      </c>
    </row>
    <row r="138" spans="1:49" x14ac:dyDescent="0.2">
      <c r="A138">
        <v>136</v>
      </c>
      <c r="B138" t="s">
        <v>7429</v>
      </c>
      <c r="C138" t="s">
        <v>7428</v>
      </c>
      <c r="F138" t="s">
        <v>7427</v>
      </c>
      <c r="G138" t="s">
        <v>4</v>
      </c>
      <c r="H138" t="s">
        <v>3</v>
      </c>
      <c r="I138" t="s">
        <v>7426</v>
      </c>
      <c r="J138">
        <v>60012162</v>
      </c>
      <c r="K138" t="s">
        <v>410</v>
      </c>
      <c r="L138" t="s">
        <v>409</v>
      </c>
      <c r="M138" t="s">
        <v>116</v>
      </c>
      <c r="N138">
        <v>4</v>
      </c>
      <c r="O138" t="s">
        <v>7425</v>
      </c>
      <c r="P138" t="s">
        <v>7424</v>
      </c>
      <c r="Q138" t="s">
        <v>406</v>
      </c>
      <c r="R138" s="8">
        <v>35765</v>
      </c>
      <c r="S138" s="9">
        <f t="shared" si="16"/>
        <v>1997</v>
      </c>
      <c r="T138" s="9">
        <v>1997</v>
      </c>
      <c r="U138" s="9">
        <f t="shared" si="17"/>
        <v>25</v>
      </c>
      <c r="V138" s="8">
        <v>35765</v>
      </c>
      <c r="W138" t="s">
        <v>392</v>
      </c>
      <c r="X138" s="2">
        <v>1.6519999999999999</v>
      </c>
      <c r="Y138" s="7">
        <f t="shared" si="18"/>
        <v>4.409919649769093E-2</v>
      </c>
      <c r="AA138" t="s">
        <v>391</v>
      </c>
      <c r="AB138">
        <v>17337</v>
      </c>
      <c r="AD138" t="s">
        <v>1</v>
      </c>
      <c r="AE138">
        <v>45</v>
      </c>
      <c r="AF138">
        <v>12</v>
      </c>
      <c r="AH138" t="s">
        <v>7423</v>
      </c>
      <c r="AI138" t="s">
        <v>7422</v>
      </c>
      <c r="AK138" t="s">
        <v>7421</v>
      </c>
      <c r="AL138">
        <v>3</v>
      </c>
      <c r="AM138" s="5">
        <f t="shared" si="19"/>
        <v>0.12</v>
      </c>
      <c r="AN138" s="4">
        <f t="shared" si="20"/>
        <v>1.8174933737220749E-4</v>
      </c>
      <c r="AO138" s="3"/>
      <c r="AP138">
        <v>0</v>
      </c>
      <c r="AR138" t="s">
        <v>0</v>
      </c>
      <c r="AT138" s="2" t="s">
        <v>5</v>
      </c>
      <c r="AU138" s="1">
        <f t="shared" si="21"/>
        <v>3.0923962349595313</v>
      </c>
      <c r="AV138" s="1">
        <f t="shared" si="22"/>
        <v>2.2140472917531571</v>
      </c>
      <c r="AW138" s="1">
        <f t="shared" si="23"/>
        <v>1.3356983485467824</v>
      </c>
    </row>
    <row r="139" spans="1:49" x14ac:dyDescent="0.2">
      <c r="A139">
        <v>137</v>
      </c>
      <c r="B139" t="s">
        <v>7420</v>
      </c>
      <c r="C139" t="s">
        <v>7419</v>
      </c>
      <c r="F139" t="s">
        <v>7418</v>
      </c>
      <c r="G139" t="s">
        <v>4</v>
      </c>
      <c r="H139" t="s">
        <v>3</v>
      </c>
      <c r="I139" t="s">
        <v>7417</v>
      </c>
      <c r="J139">
        <v>60014652</v>
      </c>
      <c r="K139" t="s">
        <v>335</v>
      </c>
      <c r="L139" t="s">
        <v>334</v>
      </c>
      <c r="M139" t="s">
        <v>111</v>
      </c>
      <c r="N139">
        <v>3</v>
      </c>
      <c r="O139" t="s">
        <v>7416</v>
      </c>
      <c r="P139" t="s">
        <v>7415</v>
      </c>
      <c r="Q139" t="s">
        <v>7414</v>
      </c>
      <c r="R139" s="8">
        <v>35765</v>
      </c>
      <c r="S139" s="9">
        <f t="shared" si="16"/>
        <v>1997</v>
      </c>
      <c r="T139" s="9">
        <v>1997</v>
      </c>
      <c r="U139" s="9">
        <f t="shared" si="17"/>
        <v>25</v>
      </c>
      <c r="V139" s="8">
        <v>35765</v>
      </c>
      <c r="W139" t="s">
        <v>392</v>
      </c>
      <c r="X139" s="2">
        <v>1.6519999999999999</v>
      </c>
      <c r="Y139" s="7">
        <f t="shared" si="18"/>
        <v>4.409919649769093E-2</v>
      </c>
      <c r="AA139" t="s">
        <v>391</v>
      </c>
      <c r="AB139">
        <v>17337</v>
      </c>
      <c r="AD139" t="s">
        <v>1</v>
      </c>
      <c r="AE139">
        <v>45</v>
      </c>
      <c r="AF139">
        <v>12</v>
      </c>
      <c r="AH139" t="s">
        <v>7413</v>
      </c>
      <c r="AI139" t="s">
        <v>7412</v>
      </c>
      <c r="AK139" t="s">
        <v>7411</v>
      </c>
      <c r="AL139">
        <v>2</v>
      </c>
      <c r="AM139" s="5">
        <f t="shared" si="19"/>
        <v>0.08</v>
      </c>
      <c r="AN139" s="4">
        <f t="shared" si="20"/>
        <v>1.21166224914805E-4</v>
      </c>
      <c r="AO139" s="3"/>
      <c r="AP139">
        <v>0</v>
      </c>
      <c r="AR139" t="s">
        <v>0</v>
      </c>
      <c r="AT139" s="2" t="s">
        <v>5</v>
      </c>
      <c r="AU139" s="1">
        <f t="shared" si="21"/>
        <v>3.090578741585809</v>
      </c>
      <c r="AV139" s="1">
        <f t="shared" si="22"/>
        <v>2.2110181361302867</v>
      </c>
      <c r="AW139" s="1">
        <f t="shared" si="23"/>
        <v>1.3314575306747642</v>
      </c>
    </row>
    <row r="140" spans="1:49" x14ac:dyDescent="0.2">
      <c r="A140">
        <v>138</v>
      </c>
      <c r="B140" t="s">
        <v>7410</v>
      </c>
      <c r="F140" t="s">
        <v>7409</v>
      </c>
      <c r="G140" t="s">
        <v>4</v>
      </c>
      <c r="H140" t="s">
        <v>3</v>
      </c>
      <c r="I140" t="s">
        <v>7408</v>
      </c>
      <c r="J140">
        <v>60016835</v>
      </c>
      <c r="K140" t="s">
        <v>7398</v>
      </c>
      <c r="L140" t="s">
        <v>523</v>
      </c>
      <c r="M140" t="s">
        <v>190</v>
      </c>
      <c r="N140">
        <v>5</v>
      </c>
      <c r="O140" t="s">
        <v>7407</v>
      </c>
      <c r="P140" t="s">
        <v>7406</v>
      </c>
      <c r="Q140" t="s">
        <v>7405</v>
      </c>
      <c r="R140" s="8">
        <v>35765</v>
      </c>
      <c r="S140" s="9">
        <f t="shared" si="16"/>
        <v>1997</v>
      </c>
      <c r="T140" s="9">
        <v>1997</v>
      </c>
      <c r="U140" s="9">
        <f t="shared" si="17"/>
        <v>25</v>
      </c>
      <c r="V140" s="8">
        <v>1997</v>
      </c>
      <c r="W140" t="s">
        <v>7394</v>
      </c>
      <c r="X140" s="2">
        <v>0.128</v>
      </c>
      <c r="Y140" s="7">
        <f t="shared" si="18"/>
        <v>3.4168868957048667E-3</v>
      </c>
      <c r="AA140">
        <v>10040579</v>
      </c>
      <c r="AB140">
        <v>19474</v>
      </c>
      <c r="AD140" t="s">
        <v>1</v>
      </c>
      <c r="AE140">
        <v>6</v>
      </c>
      <c r="AF140">
        <v>4</v>
      </c>
      <c r="AH140" t="s">
        <v>7404</v>
      </c>
      <c r="AI140" t="s">
        <v>7403</v>
      </c>
      <c r="AK140" t="s">
        <v>7402</v>
      </c>
      <c r="AL140">
        <v>2</v>
      </c>
      <c r="AM140" s="5">
        <f t="shared" si="19"/>
        <v>0.08</v>
      </c>
      <c r="AN140" s="4">
        <f t="shared" si="20"/>
        <v>1.21166224914805E-4</v>
      </c>
      <c r="AO140" s="3"/>
      <c r="AP140">
        <v>0</v>
      </c>
      <c r="AR140" t="s">
        <v>0</v>
      </c>
      <c r="AT140" s="2" t="s">
        <v>5</v>
      </c>
      <c r="AU140" s="1">
        <f t="shared" si="21"/>
        <v>0.24281706944678483</v>
      </c>
      <c r="AV140" s="1">
        <f t="shared" si="22"/>
        <v>0.17690265603098357</v>
      </c>
      <c r="AW140" s="1">
        <f t="shared" si="23"/>
        <v>0.11098824261518234</v>
      </c>
    </row>
    <row r="141" spans="1:49" x14ac:dyDescent="0.2">
      <c r="A141">
        <v>139</v>
      </c>
      <c r="B141" t="s">
        <v>7401</v>
      </c>
      <c r="F141" t="s">
        <v>7400</v>
      </c>
      <c r="G141" t="s">
        <v>4</v>
      </c>
      <c r="H141" t="s">
        <v>3</v>
      </c>
      <c r="I141" t="s">
        <v>7399</v>
      </c>
      <c r="J141">
        <v>60016835</v>
      </c>
      <c r="K141" t="s">
        <v>7398</v>
      </c>
      <c r="L141" t="s">
        <v>523</v>
      </c>
      <c r="M141" t="s">
        <v>190</v>
      </c>
      <c r="N141">
        <v>3</v>
      </c>
      <c r="O141" t="s">
        <v>7397</v>
      </c>
      <c r="P141" t="s">
        <v>7396</v>
      </c>
      <c r="Q141" t="s">
        <v>7395</v>
      </c>
      <c r="R141" s="8">
        <v>35765</v>
      </c>
      <c r="S141" s="9">
        <f t="shared" si="16"/>
        <v>1997</v>
      </c>
      <c r="T141" s="9">
        <v>1997</v>
      </c>
      <c r="U141" s="9">
        <f t="shared" si="17"/>
        <v>25</v>
      </c>
      <c r="V141" s="8">
        <v>1997</v>
      </c>
      <c r="W141" t="s">
        <v>7394</v>
      </c>
      <c r="X141" s="2">
        <v>0.128</v>
      </c>
      <c r="Y141" s="7">
        <f t="shared" si="18"/>
        <v>3.4168868957048667E-3</v>
      </c>
      <c r="AA141">
        <v>10040579</v>
      </c>
      <c r="AB141">
        <v>19474</v>
      </c>
      <c r="AD141" t="s">
        <v>1</v>
      </c>
      <c r="AE141">
        <v>6</v>
      </c>
      <c r="AF141">
        <v>3</v>
      </c>
      <c r="AH141" t="s">
        <v>370</v>
      </c>
      <c r="AI141" t="s">
        <v>7393</v>
      </c>
      <c r="AK141" t="s">
        <v>7392</v>
      </c>
      <c r="AL141">
        <v>2</v>
      </c>
      <c r="AM141" s="5">
        <f t="shared" si="19"/>
        <v>0.08</v>
      </c>
      <c r="AN141" s="4">
        <f t="shared" si="20"/>
        <v>1.21166224914805E-4</v>
      </c>
      <c r="AO141" s="3"/>
      <c r="AP141">
        <v>0</v>
      </c>
      <c r="AR141" t="s">
        <v>0</v>
      </c>
      <c r="AT141" s="2" t="s">
        <v>5</v>
      </c>
      <c r="AU141" s="1">
        <f t="shared" si="21"/>
        <v>0.24281706944678483</v>
      </c>
      <c r="AV141" s="1">
        <f t="shared" si="22"/>
        <v>0.17690265603098357</v>
      </c>
      <c r="AW141" s="1">
        <f t="shared" si="23"/>
        <v>0.11098824261518234</v>
      </c>
    </row>
    <row r="142" spans="1:49" x14ac:dyDescent="0.2">
      <c r="A142">
        <v>140</v>
      </c>
      <c r="B142" t="s">
        <v>7391</v>
      </c>
      <c r="F142" t="s">
        <v>7390</v>
      </c>
      <c r="G142" t="s">
        <v>4</v>
      </c>
      <c r="H142" t="s">
        <v>3</v>
      </c>
      <c r="I142" t="s">
        <v>7389</v>
      </c>
      <c r="J142">
        <v>60001881</v>
      </c>
      <c r="K142" t="s">
        <v>23</v>
      </c>
      <c r="L142" t="s">
        <v>22</v>
      </c>
      <c r="M142" t="s">
        <v>8</v>
      </c>
      <c r="N142">
        <v>4</v>
      </c>
      <c r="O142" t="s">
        <v>7388</v>
      </c>
      <c r="P142" t="s">
        <v>7387</v>
      </c>
      <c r="Q142" t="s">
        <v>7386</v>
      </c>
      <c r="R142" s="8">
        <v>35765</v>
      </c>
      <c r="S142" s="9">
        <f t="shared" si="16"/>
        <v>1997</v>
      </c>
      <c r="T142" s="9">
        <v>1997</v>
      </c>
      <c r="U142" s="9">
        <f t="shared" si="17"/>
        <v>25</v>
      </c>
      <c r="V142" s="8">
        <v>1997</v>
      </c>
      <c r="W142" t="s">
        <v>105</v>
      </c>
      <c r="X142" s="2">
        <v>0.1</v>
      </c>
      <c r="Y142" s="7">
        <f t="shared" si="18"/>
        <v>2.6694428872694269E-3</v>
      </c>
      <c r="AA142">
        <v>9633308</v>
      </c>
      <c r="AB142">
        <v>17917</v>
      </c>
      <c r="AD142" t="s">
        <v>1</v>
      </c>
      <c r="AF142">
        <v>328</v>
      </c>
      <c r="AI142" t="s">
        <v>7385</v>
      </c>
      <c r="AK142" t="s">
        <v>7384</v>
      </c>
      <c r="AL142">
        <v>0</v>
      </c>
      <c r="AM142" s="5">
        <f t="shared" si="19"/>
        <v>0</v>
      </c>
      <c r="AN142" s="4">
        <f t="shared" si="20"/>
        <v>0</v>
      </c>
      <c r="AO142" s="3"/>
      <c r="AP142">
        <v>0</v>
      </c>
      <c r="AR142" t="s">
        <v>0</v>
      </c>
      <c r="AT142" s="2" t="s">
        <v>5</v>
      </c>
      <c r="AU142" s="1">
        <f t="shared" si="21"/>
        <v>0.18686100210885986</v>
      </c>
      <c r="AV142" s="1">
        <f t="shared" si="22"/>
        <v>0.13347214436347135</v>
      </c>
      <c r="AW142" s="1">
        <f t="shared" si="23"/>
        <v>8.0083286618082811E-2</v>
      </c>
    </row>
    <row r="143" spans="1:49" x14ac:dyDescent="0.2">
      <c r="A143">
        <v>141</v>
      </c>
      <c r="B143" t="s">
        <v>7383</v>
      </c>
      <c r="C143" t="s">
        <v>7382</v>
      </c>
      <c r="D143" t="s">
        <v>7381</v>
      </c>
      <c r="F143" t="s">
        <v>7380</v>
      </c>
      <c r="G143" t="s">
        <v>4</v>
      </c>
      <c r="H143" t="s">
        <v>3</v>
      </c>
      <c r="I143" t="s">
        <v>3246</v>
      </c>
      <c r="J143">
        <v>60014313</v>
      </c>
      <c r="K143" t="s">
        <v>2690</v>
      </c>
      <c r="L143" t="s">
        <v>2689</v>
      </c>
      <c r="M143" t="s">
        <v>2</v>
      </c>
      <c r="N143">
        <v>2</v>
      </c>
      <c r="O143" t="s">
        <v>7379</v>
      </c>
      <c r="P143" t="s">
        <v>7378</v>
      </c>
      <c r="Q143" t="s">
        <v>2686</v>
      </c>
      <c r="R143" s="8">
        <v>35765</v>
      </c>
      <c r="S143" s="9">
        <f t="shared" si="16"/>
        <v>1997</v>
      </c>
      <c r="T143" s="9">
        <v>1997</v>
      </c>
      <c r="U143" s="9">
        <f t="shared" si="17"/>
        <v>25</v>
      </c>
      <c r="V143" s="8">
        <v>1997</v>
      </c>
      <c r="W143" t="s">
        <v>392</v>
      </c>
      <c r="X143" s="2">
        <v>1.6519999999999999</v>
      </c>
      <c r="Y143" s="7">
        <f t="shared" si="18"/>
        <v>4.409919649769093E-2</v>
      </c>
      <c r="AA143" t="s">
        <v>391</v>
      </c>
      <c r="AB143">
        <v>17337</v>
      </c>
      <c r="AD143" t="s">
        <v>1</v>
      </c>
      <c r="AE143">
        <v>45</v>
      </c>
      <c r="AF143">
        <v>11</v>
      </c>
      <c r="AH143" t="s">
        <v>7377</v>
      </c>
      <c r="AI143" t="s">
        <v>7376</v>
      </c>
      <c r="AJ143" t="s">
        <v>272</v>
      </c>
      <c r="AK143" t="s">
        <v>7375</v>
      </c>
      <c r="AL143">
        <v>276</v>
      </c>
      <c r="AM143" s="5">
        <f t="shared" si="19"/>
        <v>11.04</v>
      </c>
      <c r="AN143" s="4">
        <f t="shared" si="20"/>
        <v>1.672093903824309E-2</v>
      </c>
      <c r="AO143" s="3"/>
      <c r="AP143">
        <v>0</v>
      </c>
      <c r="AR143" t="s">
        <v>0</v>
      </c>
      <c r="AT143" s="2" t="s">
        <v>5</v>
      </c>
      <c r="AU143" s="1">
        <f t="shared" si="21"/>
        <v>3.5885719259856579</v>
      </c>
      <c r="AV143" s="1">
        <f t="shared" si="22"/>
        <v>3.0410067767967011</v>
      </c>
      <c r="AW143" s="1">
        <f t="shared" si="23"/>
        <v>2.4934416276077438</v>
      </c>
    </row>
    <row r="144" spans="1:49" x14ac:dyDescent="0.2">
      <c r="A144">
        <v>142</v>
      </c>
      <c r="B144" t="s">
        <v>7374</v>
      </c>
      <c r="C144" t="s">
        <v>7373</v>
      </c>
      <c r="D144" t="s">
        <v>7372</v>
      </c>
      <c r="F144" t="s">
        <v>7371</v>
      </c>
      <c r="G144" t="s">
        <v>4</v>
      </c>
      <c r="H144" t="s">
        <v>3</v>
      </c>
      <c r="I144" t="s">
        <v>7370</v>
      </c>
      <c r="J144">
        <v>60021378</v>
      </c>
      <c r="K144" t="s">
        <v>302</v>
      </c>
      <c r="L144" t="s">
        <v>301</v>
      </c>
      <c r="M144" t="s">
        <v>2</v>
      </c>
      <c r="N144">
        <v>1</v>
      </c>
      <c r="O144" t="s">
        <v>7369</v>
      </c>
      <c r="P144">
        <v>7202113187</v>
      </c>
      <c r="Q144">
        <v>60021378</v>
      </c>
      <c r="R144" s="8">
        <v>35765</v>
      </c>
      <c r="S144" s="9">
        <f t="shared" si="16"/>
        <v>1997</v>
      </c>
      <c r="T144" s="9">
        <v>1997</v>
      </c>
      <c r="U144" s="9">
        <f t="shared" si="17"/>
        <v>25</v>
      </c>
      <c r="V144" s="8">
        <v>1997</v>
      </c>
      <c r="W144" t="s">
        <v>4163</v>
      </c>
      <c r="X144" s="2">
        <v>1.365</v>
      </c>
      <c r="Y144" s="7">
        <f t="shared" si="18"/>
        <v>3.6437895411227675E-2</v>
      </c>
      <c r="AA144">
        <v>189545</v>
      </c>
      <c r="AB144">
        <v>17393</v>
      </c>
      <c r="AD144" t="s">
        <v>1</v>
      </c>
      <c r="AE144">
        <v>46</v>
      </c>
      <c r="AF144">
        <v>4</v>
      </c>
      <c r="AH144" t="s">
        <v>7368</v>
      </c>
      <c r="AI144" t="s">
        <v>7367</v>
      </c>
      <c r="AJ144" t="s">
        <v>7366</v>
      </c>
      <c r="AK144" t="s">
        <v>7365</v>
      </c>
      <c r="AL144">
        <v>52</v>
      </c>
      <c r="AM144" s="5">
        <f t="shared" si="19"/>
        <v>2.08</v>
      </c>
      <c r="AN144" s="4">
        <f t="shared" si="20"/>
        <v>3.1503218477849301E-3</v>
      </c>
      <c r="AO144" s="3"/>
      <c r="AP144">
        <v>0</v>
      </c>
      <c r="AQ144" t="s">
        <v>53</v>
      </c>
      <c r="AR144" t="s">
        <v>7364</v>
      </c>
      <c r="AS144" t="s">
        <v>52</v>
      </c>
      <c r="AT144" s="2" t="s">
        <v>5</v>
      </c>
      <c r="AU144" s="1">
        <f t="shared" si="21"/>
        <v>2.645162334219485</v>
      </c>
      <c r="AV144" s="1">
        <f t="shared" si="22"/>
        <v>1.9794108629506302</v>
      </c>
      <c r="AW144" s="1">
        <f t="shared" si="23"/>
        <v>1.3136593916817751</v>
      </c>
    </row>
    <row r="145" spans="1:49" x14ac:dyDescent="0.2">
      <c r="A145">
        <v>143</v>
      </c>
      <c r="B145" t="s">
        <v>7363</v>
      </c>
      <c r="C145" t="s">
        <v>7362</v>
      </c>
      <c r="D145" t="s">
        <v>7361</v>
      </c>
      <c r="F145" t="s">
        <v>7360</v>
      </c>
      <c r="G145" t="s">
        <v>4</v>
      </c>
      <c r="H145" t="s">
        <v>3</v>
      </c>
      <c r="I145" t="s">
        <v>7359</v>
      </c>
      <c r="J145" t="s">
        <v>7358</v>
      </c>
      <c r="K145" t="s">
        <v>7357</v>
      </c>
      <c r="L145" t="s">
        <v>7356</v>
      </c>
      <c r="M145" t="s">
        <v>18</v>
      </c>
      <c r="N145">
        <v>3</v>
      </c>
      <c r="O145" t="s">
        <v>7355</v>
      </c>
      <c r="P145" t="s">
        <v>7354</v>
      </c>
      <c r="Q145" t="s">
        <v>7353</v>
      </c>
      <c r="R145" s="8">
        <v>35765</v>
      </c>
      <c r="S145" s="9">
        <f t="shared" si="16"/>
        <v>1997</v>
      </c>
      <c r="T145" s="9">
        <v>1997</v>
      </c>
      <c r="U145" s="9">
        <f t="shared" si="17"/>
        <v>25</v>
      </c>
      <c r="V145" s="8">
        <v>1997</v>
      </c>
      <c r="W145" t="s">
        <v>1379</v>
      </c>
      <c r="X145" s="2">
        <v>0.65500000000000003</v>
      </c>
      <c r="Y145" s="7">
        <f t="shared" si="18"/>
        <v>1.7484850911614749E-2</v>
      </c>
      <c r="AA145">
        <v>189375</v>
      </c>
      <c r="AB145">
        <v>26051</v>
      </c>
      <c r="AD145" t="s">
        <v>1</v>
      </c>
      <c r="AE145">
        <v>39</v>
      </c>
      <c r="AF145">
        <v>4</v>
      </c>
      <c r="AH145" t="s">
        <v>7352</v>
      </c>
      <c r="AI145" t="s">
        <v>7351</v>
      </c>
      <c r="AJ145" t="s">
        <v>7350</v>
      </c>
      <c r="AK145" t="s">
        <v>7349</v>
      </c>
      <c r="AL145">
        <v>2</v>
      </c>
      <c r="AM145" s="5">
        <f t="shared" si="19"/>
        <v>0.08</v>
      </c>
      <c r="AN145" s="4">
        <f t="shared" si="20"/>
        <v>1.21166224914805E-4</v>
      </c>
      <c r="AO145" s="3"/>
      <c r="AP145">
        <v>0</v>
      </c>
      <c r="AR145" t="s">
        <v>0</v>
      </c>
      <c r="AT145" s="2" t="s">
        <v>5</v>
      </c>
      <c r="AU145" s="1">
        <f t="shared" si="21"/>
        <v>1.2275745505604765</v>
      </c>
      <c r="AV145" s="1">
        <f t="shared" si="22"/>
        <v>0.88030085682647763</v>
      </c>
      <c r="AW145" s="1">
        <f t="shared" si="23"/>
        <v>0.53302716309247877</v>
      </c>
    </row>
    <row r="146" spans="1:49" x14ac:dyDescent="0.2">
      <c r="A146">
        <v>144</v>
      </c>
      <c r="B146" t="s">
        <v>7348</v>
      </c>
      <c r="C146" t="s">
        <v>7347</v>
      </c>
      <c r="D146" t="s">
        <v>7346</v>
      </c>
      <c r="F146" t="s">
        <v>7345</v>
      </c>
      <c r="G146" t="s">
        <v>4</v>
      </c>
      <c r="H146" t="s">
        <v>3</v>
      </c>
      <c r="I146" t="s">
        <v>7344</v>
      </c>
      <c r="J146" t="s">
        <v>7343</v>
      </c>
      <c r="K146" t="s">
        <v>7342</v>
      </c>
      <c r="L146" t="s">
        <v>7341</v>
      </c>
      <c r="M146" t="s">
        <v>66</v>
      </c>
      <c r="N146">
        <v>4</v>
      </c>
      <c r="O146" t="s">
        <v>7340</v>
      </c>
      <c r="P146" t="s">
        <v>7339</v>
      </c>
      <c r="Q146" t="s">
        <v>7338</v>
      </c>
      <c r="R146" s="8">
        <v>35765</v>
      </c>
      <c r="S146" s="9">
        <f t="shared" si="16"/>
        <v>1997</v>
      </c>
      <c r="T146" s="9">
        <v>1997</v>
      </c>
      <c r="U146" s="9">
        <f t="shared" si="17"/>
        <v>25</v>
      </c>
      <c r="V146" s="8">
        <v>1997</v>
      </c>
      <c r="W146" t="s">
        <v>448</v>
      </c>
      <c r="X146" s="2">
        <v>1.3720000000000001</v>
      </c>
      <c r="Y146" s="7">
        <f t="shared" si="18"/>
        <v>3.662475641333654E-2</v>
      </c>
      <c r="AA146">
        <v>189480</v>
      </c>
      <c r="AB146">
        <v>17366</v>
      </c>
      <c r="AD146" t="s">
        <v>1</v>
      </c>
      <c r="AE146">
        <v>45</v>
      </c>
      <c r="AF146">
        <v>11</v>
      </c>
      <c r="AH146" t="s">
        <v>7337</v>
      </c>
      <c r="AI146" t="s">
        <v>7336</v>
      </c>
      <c r="AJ146" t="s">
        <v>7335</v>
      </c>
      <c r="AK146" t="s">
        <v>7334</v>
      </c>
      <c r="AL146">
        <v>65</v>
      </c>
      <c r="AM146" s="5">
        <f t="shared" si="19"/>
        <v>2.6</v>
      </c>
      <c r="AN146" s="4">
        <f t="shared" si="20"/>
        <v>3.9379023097311627E-3</v>
      </c>
      <c r="AO146" s="3"/>
      <c r="AP146">
        <v>0</v>
      </c>
      <c r="AR146" t="s">
        <v>0</v>
      </c>
      <c r="AT146" s="2" t="s">
        <v>5</v>
      </c>
      <c r="AU146" s="1">
        <f t="shared" si="21"/>
        <v>2.6818700182254922</v>
      </c>
      <c r="AV146" s="1">
        <f t="shared" si="22"/>
        <v>2.0281329361533853</v>
      </c>
      <c r="AW146" s="1">
        <f t="shared" si="23"/>
        <v>1.3743958540812777</v>
      </c>
    </row>
    <row r="147" spans="1:49" x14ac:dyDescent="0.2">
      <c r="A147">
        <v>145</v>
      </c>
      <c r="B147" t="s">
        <v>7333</v>
      </c>
      <c r="C147" t="s">
        <v>7332</v>
      </c>
      <c r="D147" t="s">
        <v>7331</v>
      </c>
      <c r="F147" t="s">
        <v>7330</v>
      </c>
      <c r="G147" t="s">
        <v>4</v>
      </c>
      <c r="H147" t="s">
        <v>3</v>
      </c>
      <c r="I147" t="s">
        <v>7329</v>
      </c>
      <c r="J147">
        <v>60013395</v>
      </c>
      <c r="K147" t="s">
        <v>5017</v>
      </c>
      <c r="L147" t="s">
        <v>5016</v>
      </c>
      <c r="M147" t="s">
        <v>250</v>
      </c>
      <c r="N147">
        <v>2</v>
      </c>
      <c r="O147" t="s">
        <v>7328</v>
      </c>
      <c r="P147" t="s">
        <v>7327</v>
      </c>
      <c r="Q147" t="s">
        <v>5013</v>
      </c>
      <c r="R147" s="8">
        <v>35765</v>
      </c>
      <c r="S147" s="9">
        <f t="shared" si="16"/>
        <v>1997</v>
      </c>
      <c r="T147" s="9">
        <v>1997</v>
      </c>
      <c r="U147" s="9">
        <f t="shared" si="17"/>
        <v>25</v>
      </c>
      <c r="V147" s="8">
        <v>1997</v>
      </c>
      <c r="W147" t="s">
        <v>1379</v>
      </c>
      <c r="X147" s="2">
        <v>0.65500000000000003</v>
      </c>
      <c r="Y147" s="7">
        <f t="shared" si="18"/>
        <v>1.7484850911614749E-2</v>
      </c>
      <c r="AA147">
        <v>189375</v>
      </c>
      <c r="AB147">
        <v>26051</v>
      </c>
      <c r="AD147" t="s">
        <v>1</v>
      </c>
      <c r="AE147">
        <v>39</v>
      </c>
      <c r="AF147">
        <v>4</v>
      </c>
      <c r="AH147" t="s">
        <v>7326</v>
      </c>
      <c r="AI147" t="s">
        <v>7325</v>
      </c>
      <c r="AJ147" t="s">
        <v>7324</v>
      </c>
      <c r="AK147" t="s">
        <v>7323</v>
      </c>
      <c r="AL147">
        <v>6</v>
      </c>
      <c r="AM147" s="5">
        <f t="shared" si="19"/>
        <v>0.24</v>
      </c>
      <c r="AN147" s="4">
        <f t="shared" si="20"/>
        <v>3.6349867474441499E-4</v>
      </c>
      <c r="AO147" s="3"/>
      <c r="AP147">
        <v>0</v>
      </c>
      <c r="AQ147" t="s">
        <v>362</v>
      </c>
      <c r="AR147" t="s">
        <v>7322</v>
      </c>
      <c r="AS147" t="s">
        <v>361</v>
      </c>
      <c r="AT147" s="2" t="s">
        <v>5</v>
      </c>
      <c r="AU147" s="1">
        <f t="shared" si="21"/>
        <v>1.2348445240553647</v>
      </c>
      <c r="AV147" s="1">
        <f t="shared" si="22"/>
        <v>0.89241747931795812</v>
      </c>
      <c r="AW147" s="1">
        <f t="shared" si="23"/>
        <v>0.54999043458055152</v>
      </c>
    </row>
    <row r="148" spans="1:49" x14ac:dyDescent="0.2">
      <c r="A148">
        <v>146</v>
      </c>
      <c r="B148" t="s">
        <v>7321</v>
      </c>
      <c r="C148" t="s">
        <v>7320</v>
      </c>
      <c r="D148" t="s">
        <v>7319</v>
      </c>
      <c r="F148" t="s">
        <v>7318</v>
      </c>
      <c r="G148" t="s">
        <v>4</v>
      </c>
      <c r="H148" t="s">
        <v>3</v>
      </c>
      <c r="I148" t="s">
        <v>7317</v>
      </c>
      <c r="J148" t="s">
        <v>7312</v>
      </c>
      <c r="K148" t="s">
        <v>7316</v>
      </c>
      <c r="L148" t="s">
        <v>7315</v>
      </c>
      <c r="M148" t="s">
        <v>18</v>
      </c>
      <c r="N148">
        <v>2</v>
      </c>
      <c r="O148" t="s">
        <v>7314</v>
      </c>
      <c r="P148" t="s">
        <v>7313</v>
      </c>
      <c r="Q148" t="s">
        <v>7312</v>
      </c>
      <c r="R148" s="8">
        <v>35765</v>
      </c>
      <c r="S148" s="9">
        <f t="shared" si="16"/>
        <v>1997</v>
      </c>
      <c r="T148" s="9">
        <v>1997</v>
      </c>
      <c r="U148" s="9">
        <f t="shared" si="17"/>
        <v>25</v>
      </c>
      <c r="V148" s="8">
        <v>1997</v>
      </c>
      <c r="W148" t="s">
        <v>392</v>
      </c>
      <c r="X148" s="2">
        <v>1.6519999999999999</v>
      </c>
      <c r="Y148" s="7">
        <f t="shared" si="18"/>
        <v>4.409919649769093E-2</v>
      </c>
      <c r="AA148" t="s">
        <v>391</v>
      </c>
      <c r="AB148">
        <v>17337</v>
      </c>
      <c r="AD148" t="s">
        <v>1</v>
      </c>
      <c r="AE148">
        <v>45</v>
      </c>
      <c r="AF148">
        <v>11</v>
      </c>
      <c r="AH148" t="s">
        <v>7311</v>
      </c>
      <c r="AI148" t="s">
        <v>7310</v>
      </c>
      <c r="AJ148" t="s">
        <v>7309</v>
      </c>
      <c r="AK148" t="s">
        <v>7308</v>
      </c>
      <c r="AL148">
        <v>79</v>
      </c>
      <c r="AM148" s="5">
        <f t="shared" si="19"/>
        <v>3.16</v>
      </c>
      <c r="AN148" s="4">
        <f t="shared" si="20"/>
        <v>4.7860658841347974E-3</v>
      </c>
      <c r="AO148" s="3"/>
      <c r="AP148">
        <v>0</v>
      </c>
      <c r="AQ148" t="s">
        <v>7307</v>
      </c>
      <c r="AR148" t="s">
        <v>0</v>
      </c>
      <c r="AS148" t="s">
        <v>7306</v>
      </c>
      <c r="AT148" s="2" t="s">
        <v>5</v>
      </c>
      <c r="AU148" s="1">
        <f t="shared" si="21"/>
        <v>3.2305257313624089</v>
      </c>
      <c r="AV148" s="1">
        <f t="shared" si="22"/>
        <v>2.4442631190912865</v>
      </c>
      <c r="AW148" s="1">
        <f t="shared" si="23"/>
        <v>1.6580005068201638</v>
      </c>
    </row>
    <row r="149" spans="1:49" x14ac:dyDescent="0.2">
      <c r="A149">
        <v>147</v>
      </c>
      <c r="B149" t="s">
        <v>7305</v>
      </c>
      <c r="C149" t="s">
        <v>7304</v>
      </c>
      <c r="D149" t="s">
        <v>7303</v>
      </c>
      <c r="F149" t="s">
        <v>7302</v>
      </c>
      <c r="G149" t="s">
        <v>4</v>
      </c>
      <c r="H149" t="s">
        <v>3</v>
      </c>
      <c r="I149" t="s">
        <v>7301</v>
      </c>
      <c r="J149">
        <v>60070264</v>
      </c>
      <c r="K149" t="s">
        <v>7300</v>
      </c>
      <c r="L149" t="s">
        <v>259</v>
      </c>
      <c r="M149" t="s">
        <v>214</v>
      </c>
      <c r="N149">
        <v>3</v>
      </c>
      <c r="O149" t="s">
        <v>7299</v>
      </c>
      <c r="P149" t="s">
        <v>7298</v>
      </c>
      <c r="Q149" t="s">
        <v>7297</v>
      </c>
      <c r="R149" s="8">
        <v>35765</v>
      </c>
      <c r="S149" s="9">
        <f t="shared" si="16"/>
        <v>1997</v>
      </c>
      <c r="T149" s="9">
        <v>1997</v>
      </c>
      <c r="U149" s="9">
        <f t="shared" si="17"/>
        <v>25</v>
      </c>
      <c r="V149" s="8">
        <v>1997</v>
      </c>
      <c r="W149" t="s">
        <v>1379</v>
      </c>
      <c r="X149" s="2">
        <v>0.65500000000000003</v>
      </c>
      <c r="Y149" s="7">
        <f t="shared" si="18"/>
        <v>1.7484850911614749E-2</v>
      </c>
      <c r="AA149">
        <v>189375</v>
      </c>
      <c r="AB149">
        <v>26051</v>
      </c>
      <c r="AD149" t="s">
        <v>1</v>
      </c>
      <c r="AE149">
        <v>39</v>
      </c>
      <c r="AF149">
        <v>4</v>
      </c>
      <c r="AH149" t="s">
        <v>7296</v>
      </c>
      <c r="AI149" t="s">
        <v>7295</v>
      </c>
      <c r="AJ149" t="s">
        <v>7294</v>
      </c>
      <c r="AK149" t="s">
        <v>7293</v>
      </c>
      <c r="AL149">
        <v>6</v>
      </c>
      <c r="AM149" s="5">
        <f t="shared" si="19"/>
        <v>0.24</v>
      </c>
      <c r="AN149" s="4">
        <f t="shared" si="20"/>
        <v>3.6349867474441499E-4</v>
      </c>
      <c r="AO149" s="3"/>
      <c r="AP149">
        <v>0</v>
      </c>
      <c r="AR149" t="s">
        <v>0</v>
      </c>
      <c r="AT149" s="2" t="s">
        <v>5</v>
      </c>
      <c r="AU149" s="1">
        <f t="shared" si="21"/>
        <v>1.2348445240553647</v>
      </c>
      <c r="AV149" s="1">
        <f t="shared" si="22"/>
        <v>0.89241747931795812</v>
      </c>
      <c r="AW149" s="1">
        <f t="shared" si="23"/>
        <v>0.54999043458055152</v>
      </c>
    </row>
    <row r="150" spans="1:49" x14ac:dyDescent="0.2">
      <c r="A150">
        <v>148</v>
      </c>
      <c r="B150" t="s">
        <v>7292</v>
      </c>
      <c r="C150" t="s">
        <v>7291</v>
      </c>
      <c r="D150" t="s">
        <v>7290</v>
      </c>
      <c r="F150" t="s">
        <v>7289</v>
      </c>
      <c r="G150" t="s">
        <v>4</v>
      </c>
      <c r="H150" t="s">
        <v>3</v>
      </c>
      <c r="I150" t="s">
        <v>7288</v>
      </c>
      <c r="J150">
        <v>60012370</v>
      </c>
      <c r="K150" t="s">
        <v>374</v>
      </c>
      <c r="L150" t="s">
        <v>373</v>
      </c>
      <c r="M150" t="s">
        <v>250</v>
      </c>
      <c r="N150">
        <v>2</v>
      </c>
      <c r="O150" t="s">
        <v>7287</v>
      </c>
      <c r="P150" t="s">
        <v>7286</v>
      </c>
      <c r="Q150" t="s">
        <v>4446</v>
      </c>
      <c r="R150" s="8">
        <v>35765</v>
      </c>
      <c r="S150" s="9">
        <f t="shared" si="16"/>
        <v>1997</v>
      </c>
      <c r="T150" s="9">
        <v>1997</v>
      </c>
      <c r="U150" s="9">
        <f t="shared" si="17"/>
        <v>25</v>
      </c>
      <c r="V150" s="8">
        <v>1997</v>
      </c>
      <c r="W150" t="s">
        <v>392</v>
      </c>
      <c r="X150" s="2">
        <v>1.6519999999999999</v>
      </c>
      <c r="Y150" s="7">
        <f t="shared" si="18"/>
        <v>4.409919649769093E-2</v>
      </c>
      <c r="AA150" t="s">
        <v>391</v>
      </c>
      <c r="AB150">
        <v>17337</v>
      </c>
      <c r="AD150" t="s">
        <v>1</v>
      </c>
      <c r="AE150">
        <v>45</v>
      </c>
      <c r="AF150">
        <v>11</v>
      </c>
      <c r="AH150" t="s">
        <v>7285</v>
      </c>
      <c r="AI150" t="s">
        <v>7284</v>
      </c>
      <c r="AJ150" t="s">
        <v>4202</v>
      </c>
      <c r="AK150" t="s">
        <v>7283</v>
      </c>
      <c r="AL150">
        <v>40</v>
      </c>
      <c r="AM150" s="5">
        <f t="shared" si="19"/>
        <v>1.6</v>
      </c>
      <c r="AN150" s="4">
        <f t="shared" si="20"/>
        <v>2.4233244982961003E-3</v>
      </c>
      <c r="AO150" s="3"/>
      <c r="AP150">
        <v>0</v>
      </c>
      <c r="AQ150" t="s">
        <v>362</v>
      </c>
      <c r="AR150" t="s">
        <v>7282</v>
      </c>
      <c r="AS150" t="s">
        <v>361</v>
      </c>
      <c r="AT150" s="2" t="s">
        <v>5</v>
      </c>
      <c r="AU150" s="1">
        <f t="shared" si="21"/>
        <v>3.1596434897872476</v>
      </c>
      <c r="AV150" s="1">
        <f t="shared" si="22"/>
        <v>2.3261260497993517</v>
      </c>
      <c r="AW150" s="1">
        <f t="shared" si="23"/>
        <v>1.4926086098114548</v>
      </c>
    </row>
    <row r="151" spans="1:49" x14ac:dyDescent="0.2">
      <c r="A151">
        <v>149</v>
      </c>
      <c r="B151" t="s">
        <v>7281</v>
      </c>
      <c r="C151" t="s">
        <v>7280</v>
      </c>
      <c r="F151" t="s">
        <v>7279</v>
      </c>
      <c r="G151" t="s">
        <v>4</v>
      </c>
      <c r="H151" t="s">
        <v>3</v>
      </c>
      <c r="I151" t="s">
        <v>7278</v>
      </c>
      <c r="J151" t="s">
        <v>7277</v>
      </c>
      <c r="K151" t="s">
        <v>7276</v>
      </c>
      <c r="L151" t="s">
        <v>7275</v>
      </c>
      <c r="M151" t="s">
        <v>7274</v>
      </c>
      <c r="N151">
        <v>3</v>
      </c>
      <c r="O151" t="s">
        <v>7273</v>
      </c>
      <c r="P151" t="s">
        <v>7272</v>
      </c>
      <c r="Q151" t="s">
        <v>7271</v>
      </c>
      <c r="R151" s="8">
        <v>35765</v>
      </c>
      <c r="S151" s="9">
        <f t="shared" si="16"/>
        <v>1997</v>
      </c>
      <c r="T151" s="9">
        <v>1997</v>
      </c>
      <c r="U151" s="9">
        <f t="shared" si="17"/>
        <v>25</v>
      </c>
      <c r="V151" s="8">
        <v>1997</v>
      </c>
      <c r="W151" t="s">
        <v>637</v>
      </c>
      <c r="X151" s="2">
        <v>0.39600000000000002</v>
      </c>
      <c r="Y151" s="7">
        <f t="shared" si="18"/>
        <v>1.0570993833586931E-2</v>
      </c>
      <c r="AA151">
        <v>8858985</v>
      </c>
      <c r="AB151">
        <v>25993</v>
      </c>
      <c r="AD151" t="s">
        <v>1</v>
      </c>
      <c r="AE151">
        <v>12</v>
      </c>
      <c r="AF151">
        <v>11</v>
      </c>
      <c r="AH151" t="s">
        <v>7270</v>
      </c>
      <c r="AI151" t="s">
        <v>7269</v>
      </c>
      <c r="AK151" t="s">
        <v>7268</v>
      </c>
      <c r="AL151">
        <v>33</v>
      </c>
      <c r="AM151" s="5">
        <f t="shared" si="19"/>
        <v>1.32</v>
      </c>
      <c r="AN151" s="4">
        <f t="shared" si="20"/>
        <v>1.9992427110942824E-3</v>
      </c>
      <c r="AO151" s="3"/>
      <c r="AP151">
        <v>0</v>
      </c>
      <c r="AR151" t="s">
        <v>0</v>
      </c>
      <c r="AT151" s="2" t="s">
        <v>5</v>
      </c>
      <c r="AU151" s="1">
        <f t="shared" si="21"/>
        <v>0.79994684968391372</v>
      </c>
      <c r="AV151" s="1">
        <f t="shared" si="22"/>
        <v>0.62851182723406063</v>
      </c>
      <c r="AW151" s="1">
        <f t="shared" si="23"/>
        <v>0.4570768047842077</v>
      </c>
    </row>
    <row r="152" spans="1:49" x14ac:dyDescent="0.2">
      <c r="A152">
        <v>150</v>
      </c>
      <c r="B152" t="s">
        <v>7267</v>
      </c>
      <c r="C152" t="s">
        <v>7266</v>
      </c>
      <c r="D152" t="s">
        <v>7265</v>
      </c>
      <c r="F152" t="s">
        <v>7264</v>
      </c>
      <c r="G152" t="s">
        <v>4</v>
      </c>
      <c r="H152" t="s">
        <v>3</v>
      </c>
      <c r="I152" t="s">
        <v>275</v>
      </c>
      <c r="J152">
        <v>60009941</v>
      </c>
      <c r="K152" t="s">
        <v>353</v>
      </c>
      <c r="L152" t="s">
        <v>352</v>
      </c>
      <c r="M152" t="s">
        <v>7</v>
      </c>
      <c r="N152">
        <v>1</v>
      </c>
      <c r="O152" t="s">
        <v>7263</v>
      </c>
      <c r="P152">
        <v>57188732923</v>
      </c>
      <c r="Q152">
        <v>60009941</v>
      </c>
      <c r="R152" s="8">
        <v>35765</v>
      </c>
      <c r="S152" s="9">
        <f t="shared" si="16"/>
        <v>1997</v>
      </c>
      <c r="T152" s="9">
        <v>1997</v>
      </c>
      <c r="U152" s="9">
        <f t="shared" si="17"/>
        <v>25</v>
      </c>
      <c r="V152" s="8">
        <v>1997</v>
      </c>
      <c r="W152" t="s">
        <v>4163</v>
      </c>
      <c r="X152" s="2">
        <v>1.365</v>
      </c>
      <c r="Y152" s="7">
        <f t="shared" si="18"/>
        <v>3.6437895411227675E-2</v>
      </c>
      <c r="AA152">
        <v>189545</v>
      </c>
      <c r="AB152">
        <v>17393</v>
      </c>
      <c r="AD152" t="s">
        <v>1</v>
      </c>
      <c r="AE152">
        <v>46</v>
      </c>
      <c r="AF152">
        <v>4</v>
      </c>
      <c r="AH152" t="s">
        <v>7262</v>
      </c>
      <c r="AI152" t="s">
        <v>7261</v>
      </c>
      <c r="AJ152" t="s">
        <v>7260</v>
      </c>
      <c r="AK152" t="s">
        <v>7259</v>
      </c>
      <c r="AL152">
        <v>8</v>
      </c>
      <c r="AM152" s="5">
        <f t="shared" si="19"/>
        <v>0.32</v>
      </c>
      <c r="AN152" s="4">
        <f t="shared" si="20"/>
        <v>4.8466489965922E-4</v>
      </c>
      <c r="AO152" s="3"/>
      <c r="AP152">
        <v>0</v>
      </c>
      <c r="AR152" t="s">
        <v>0</v>
      </c>
      <c r="AT152" s="2" t="s">
        <v>5</v>
      </c>
      <c r="AU152" s="1">
        <f t="shared" si="21"/>
        <v>2.5651926257757136</v>
      </c>
      <c r="AV152" s="1">
        <f t="shared" si="22"/>
        <v>1.8461280155443447</v>
      </c>
      <c r="AW152" s="1">
        <f t="shared" si="23"/>
        <v>1.1270634053129756</v>
      </c>
    </row>
    <row r="153" spans="1:49" x14ac:dyDescent="0.2">
      <c r="A153">
        <v>151</v>
      </c>
      <c r="B153" t="s">
        <v>7258</v>
      </c>
      <c r="C153" t="s">
        <v>7257</v>
      </c>
      <c r="D153" t="s">
        <v>7256</v>
      </c>
      <c r="F153" t="s">
        <v>7255</v>
      </c>
      <c r="G153" t="s">
        <v>4</v>
      </c>
      <c r="H153" t="s">
        <v>3</v>
      </c>
      <c r="I153" t="s">
        <v>1900</v>
      </c>
      <c r="J153">
        <v>60002069</v>
      </c>
      <c r="K153" t="s">
        <v>7254</v>
      </c>
      <c r="L153" t="s">
        <v>7253</v>
      </c>
      <c r="M153" t="s">
        <v>250</v>
      </c>
      <c r="N153">
        <v>2</v>
      </c>
      <c r="O153" t="s">
        <v>7252</v>
      </c>
      <c r="P153" t="s">
        <v>7251</v>
      </c>
      <c r="Q153" t="s">
        <v>7250</v>
      </c>
      <c r="R153" s="8">
        <v>35765</v>
      </c>
      <c r="S153" s="9">
        <f t="shared" si="16"/>
        <v>1997</v>
      </c>
      <c r="T153" s="9">
        <v>1997</v>
      </c>
      <c r="U153" s="9">
        <f t="shared" si="17"/>
        <v>25</v>
      </c>
      <c r="V153" s="8">
        <v>1997</v>
      </c>
      <c r="W153" t="s">
        <v>392</v>
      </c>
      <c r="X153" s="2">
        <v>1.6519999999999999</v>
      </c>
      <c r="Y153" s="7">
        <f t="shared" si="18"/>
        <v>4.409919649769093E-2</v>
      </c>
      <c r="AA153" t="s">
        <v>391</v>
      </c>
      <c r="AB153">
        <v>17337</v>
      </c>
      <c r="AD153" t="s">
        <v>1</v>
      </c>
      <c r="AE153">
        <v>45</v>
      </c>
      <c r="AF153">
        <v>11</v>
      </c>
      <c r="AH153" t="s">
        <v>1699</v>
      </c>
      <c r="AI153" t="s">
        <v>7249</v>
      </c>
      <c r="AJ153" t="s">
        <v>272</v>
      </c>
      <c r="AK153" t="s">
        <v>7248</v>
      </c>
      <c r="AL153">
        <v>18</v>
      </c>
      <c r="AM153" s="5">
        <f t="shared" si="19"/>
        <v>0.72</v>
      </c>
      <c r="AN153" s="4">
        <f t="shared" si="20"/>
        <v>1.090496024233245E-3</v>
      </c>
      <c r="AO153" s="3"/>
      <c r="AP153">
        <v>0</v>
      </c>
      <c r="AQ153" t="s">
        <v>362</v>
      </c>
      <c r="AR153" t="s">
        <v>7247</v>
      </c>
      <c r="AS153" t="s">
        <v>361</v>
      </c>
      <c r="AT153" s="2" t="s">
        <v>5</v>
      </c>
      <c r="AU153" s="1">
        <f t="shared" si="21"/>
        <v>3.1196586355653624</v>
      </c>
      <c r="AV153" s="1">
        <f t="shared" si="22"/>
        <v>2.2594846260962087</v>
      </c>
      <c r="AW153" s="1">
        <f t="shared" si="23"/>
        <v>1.399310616627055</v>
      </c>
    </row>
    <row r="154" spans="1:49" x14ac:dyDescent="0.2">
      <c r="A154">
        <v>152</v>
      </c>
      <c r="B154" t="s">
        <v>7246</v>
      </c>
      <c r="C154" t="s">
        <v>7245</v>
      </c>
      <c r="D154" t="s">
        <v>7244</v>
      </c>
      <c r="F154" t="s">
        <v>7243</v>
      </c>
      <c r="G154" t="s">
        <v>4</v>
      </c>
      <c r="H154" t="s">
        <v>3</v>
      </c>
      <c r="I154" t="s">
        <v>7180</v>
      </c>
      <c r="J154">
        <v>60028218</v>
      </c>
      <c r="K154" t="s">
        <v>7179</v>
      </c>
      <c r="L154" t="s">
        <v>7178</v>
      </c>
      <c r="M154" t="s">
        <v>116</v>
      </c>
      <c r="N154">
        <v>1</v>
      </c>
      <c r="O154" t="s">
        <v>7177</v>
      </c>
      <c r="P154">
        <v>7003699386</v>
      </c>
      <c r="Q154">
        <v>60028218</v>
      </c>
      <c r="R154" s="8">
        <v>35765</v>
      </c>
      <c r="S154" s="9">
        <f t="shared" si="16"/>
        <v>1997</v>
      </c>
      <c r="T154" s="9">
        <v>1997</v>
      </c>
      <c r="U154" s="9">
        <f t="shared" si="17"/>
        <v>25</v>
      </c>
      <c r="V154" s="8">
        <v>1997</v>
      </c>
      <c r="W154" t="s">
        <v>4163</v>
      </c>
      <c r="X154" s="2">
        <v>1.365</v>
      </c>
      <c r="Y154" s="7">
        <f t="shared" si="18"/>
        <v>3.6437895411227675E-2</v>
      </c>
      <c r="AA154">
        <v>189545</v>
      </c>
      <c r="AB154">
        <v>17393</v>
      </c>
      <c r="AD154" t="s">
        <v>1</v>
      </c>
      <c r="AE154">
        <v>46</v>
      </c>
      <c r="AF154">
        <v>4</v>
      </c>
      <c r="AH154" t="s">
        <v>7242</v>
      </c>
      <c r="AI154" t="s">
        <v>7241</v>
      </c>
      <c r="AJ154" t="s">
        <v>7240</v>
      </c>
      <c r="AK154" t="s">
        <v>7239</v>
      </c>
      <c r="AL154">
        <v>59</v>
      </c>
      <c r="AM154" s="5">
        <f t="shared" si="19"/>
        <v>2.36</v>
      </c>
      <c r="AN154" s="4">
        <f t="shared" si="20"/>
        <v>3.5744036349867471E-3</v>
      </c>
      <c r="AO154" s="3"/>
      <c r="AP154">
        <v>0</v>
      </c>
      <c r="AR154" t="s">
        <v>0</v>
      </c>
      <c r="AT154" s="2" t="s">
        <v>5</v>
      </c>
      <c r="AU154" s="1">
        <f t="shared" si="21"/>
        <v>2.6578847878355396</v>
      </c>
      <c r="AV154" s="1">
        <f t="shared" si="22"/>
        <v>2.0006149523107211</v>
      </c>
      <c r="AW154" s="1">
        <f t="shared" si="23"/>
        <v>1.3433451167859025</v>
      </c>
    </row>
    <row r="155" spans="1:49" x14ac:dyDescent="0.2">
      <c r="A155">
        <v>153</v>
      </c>
      <c r="B155" t="s">
        <v>7238</v>
      </c>
      <c r="C155" t="s">
        <v>7237</v>
      </c>
      <c r="D155" t="s">
        <v>7236</v>
      </c>
      <c r="F155" t="s">
        <v>7235</v>
      </c>
      <c r="G155" t="s">
        <v>4</v>
      </c>
      <c r="H155" t="s">
        <v>3</v>
      </c>
      <c r="I155" t="s">
        <v>7234</v>
      </c>
      <c r="J155">
        <v>60022144</v>
      </c>
      <c r="K155" t="s">
        <v>360</v>
      </c>
      <c r="L155" t="s">
        <v>359</v>
      </c>
      <c r="M155" t="s">
        <v>2</v>
      </c>
      <c r="N155">
        <v>2</v>
      </c>
      <c r="O155" t="s">
        <v>7233</v>
      </c>
      <c r="P155" t="s">
        <v>7232</v>
      </c>
      <c r="Q155" t="s">
        <v>358</v>
      </c>
      <c r="R155" s="8">
        <v>35765</v>
      </c>
      <c r="S155" s="9">
        <f t="shared" si="16"/>
        <v>1997</v>
      </c>
      <c r="T155" s="9">
        <v>1997</v>
      </c>
      <c r="U155" s="9">
        <f t="shared" si="17"/>
        <v>25</v>
      </c>
      <c r="V155" s="8">
        <v>1997</v>
      </c>
      <c r="W155" t="s">
        <v>392</v>
      </c>
      <c r="X155" s="2">
        <v>1.6519999999999999</v>
      </c>
      <c r="Y155" s="7">
        <f t="shared" si="18"/>
        <v>4.409919649769093E-2</v>
      </c>
      <c r="AA155" t="s">
        <v>391</v>
      </c>
      <c r="AB155">
        <v>17337</v>
      </c>
      <c r="AD155" t="s">
        <v>1</v>
      </c>
      <c r="AE155">
        <v>45</v>
      </c>
      <c r="AF155">
        <v>11</v>
      </c>
      <c r="AH155" t="s">
        <v>7231</v>
      </c>
      <c r="AI155" t="s">
        <v>7230</v>
      </c>
      <c r="AJ155" t="s">
        <v>272</v>
      </c>
      <c r="AK155" t="s">
        <v>7229</v>
      </c>
      <c r="AL155">
        <v>37</v>
      </c>
      <c r="AM155" s="5">
        <f t="shared" si="19"/>
        <v>1.48</v>
      </c>
      <c r="AN155" s="4">
        <f t="shared" si="20"/>
        <v>2.2415751609238923E-3</v>
      </c>
      <c r="AO155" s="3"/>
      <c r="AP155">
        <v>0</v>
      </c>
      <c r="AR155" t="s">
        <v>0</v>
      </c>
      <c r="AT155" s="2" t="s">
        <v>5</v>
      </c>
      <c r="AU155" s="1">
        <f t="shared" si="21"/>
        <v>3.1541910096660817</v>
      </c>
      <c r="AV155" s="1">
        <f t="shared" si="22"/>
        <v>2.3170385829307412</v>
      </c>
      <c r="AW155" s="1">
        <f t="shared" si="23"/>
        <v>1.4798861561954002</v>
      </c>
    </row>
    <row r="156" spans="1:49" x14ac:dyDescent="0.2">
      <c r="A156">
        <v>154</v>
      </c>
      <c r="B156" t="s">
        <v>7228</v>
      </c>
      <c r="C156" t="s">
        <v>7227</v>
      </c>
      <c r="D156" t="s">
        <v>7226</v>
      </c>
      <c r="F156" t="s">
        <v>7225</v>
      </c>
      <c r="G156" t="s">
        <v>4</v>
      </c>
      <c r="H156" t="s">
        <v>3</v>
      </c>
      <c r="I156" t="s">
        <v>7131</v>
      </c>
      <c r="J156">
        <v>60023053</v>
      </c>
      <c r="K156" t="s">
        <v>2639</v>
      </c>
      <c r="L156" t="s">
        <v>2638</v>
      </c>
      <c r="M156" t="s">
        <v>2</v>
      </c>
      <c r="N156">
        <v>2</v>
      </c>
      <c r="O156" t="s">
        <v>7130</v>
      </c>
      <c r="P156" t="s">
        <v>7129</v>
      </c>
      <c r="Q156" t="s">
        <v>7128</v>
      </c>
      <c r="R156" s="8">
        <v>35765</v>
      </c>
      <c r="S156" s="9">
        <f t="shared" si="16"/>
        <v>1997</v>
      </c>
      <c r="T156" s="9">
        <v>1997</v>
      </c>
      <c r="U156" s="9">
        <f t="shared" si="17"/>
        <v>25</v>
      </c>
      <c r="V156" s="8">
        <v>1997</v>
      </c>
      <c r="W156" t="s">
        <v>1379</v>
      </c>
      <c r="X156" s="2">
        <v>0.65500000000000003</v>
      </c>
      <c r="Y156" s="7">
        <f t="shared" si="18"/>
        <v>1.7484850911614749E-2</v>
      </c>
      <c r="AA156">
        <v>189375</v>
      </c>
      <c r="AB156">
        <v>26051</v>
      </c>
      <c r="AD156" t="s">
        <v>1</v>
      </c>
      <c r="AE156">
        <v>39</v>
      </c>
      <c r="AF156">
        <v>4</v>
      </c>
      <c r="AH156" t="s">
        <v>727</v>
      </c>
      <c r="AI156" t="s">
        <v>7224</v>
      </c>
      <c r="AJ156" t="s">
        <v>7223</v>
      </c>
      <c r="AK156" t="s">
        <v>7222</v>
      </c>
      <c r="AL156">
        <v>5</v>
      </c>
      <c r="AM156" s="5">
        <f t="shared" si="19"/>
        <v>0.2</v>
      </c>
      <c r="AN156" s="4">
        <f t="shared" si="20"/>
        <v>3.0291556228701253E-4</v>
      </c>
      <c r="AO156" s="3"/>
      <c r="AP156">
        <v>0</v>
      </c>
      <c r="AR156" t="s">
        <v>0</v>
      </c>
      <c r="AT156" s="2" t="s">
        <v>5</v>
      </c>
      <c r="AU156" s="1">
        <f t="shared" si="21"/>
        <v>1.2330270306816427</v>
      </c>
      <c r="AV156" s="1">
        <f t="shared" si="22"/>
        <v>0.88938832369508813</v>
      </c>
      <c r="AW156" s="1">
        <f t="shared" si="23"/>
        <v>0.54574961670853339</v>
      </c>
    </row>
    <row r="157" spans="1:49" x14ac:dyDescent="0.2">
      <c r="A157">
        <v>155</v>
      </c>
      <c r="B157" t="s">
        <v>7221</v>
      </c>
      <c r="C157" t="s">
        <v>7220</v>
      </c>
      <c r="D157" t="s">
        <v>7219</v>
      </c>
      <c r="F157" t="s">
        <v>7218</v>
      </c>
      <c r="G157" t="s">
        <v>4</v>
      </c>
      <c r="H157" t="s">
        <v>3</v>
      </c>
      <c r="I157" t="s">
        <v>7217</v>
      </c>
      <c r="J157">
        <v>60022144</v>
      </c>
      <c r="K157" t="s">
        <v>360</v>
      </c>
      <c r="L157" t="s">
        <v>359</v>
      </c>
      <c r="M157" t="s">
        <v>2</v>
      </c>
      <c r="N157">
        <v>1</v>
      </c>
      <c r="O157" t="s">
        <v>7216</v>
      </c>
      <c r="P157">
        <v>6602768503</v>
      </c>
      <c r="Q157">
        <v>60022144</v>
      </c>
      <c r="R157" s="8">
        <v>35765</v>
      </c>
      <c r="S157" s="9">
        <f t="shared" si="16"/>
        <v>1997</v>
      </c>
      <c r="T157" s="9">
        <v>1997</v>
      </c>
      <c r="U157" s="9">
        <f t="shared" si="17"/>
        <v>25</v>
      </c>
      <c r="V157" s="8">
        <v>1997</v>
      </c>
      <c r="W157" t="s">
        <v>392</v>
      </c>
      <c r="X157" s="2">
        <v>1.6519999999999999</v>
      </c>
      <c r="Y157" s="7">
        <f t="shared" si="18"/>
        <v>4.409919649769093E-2</v>
      </c>
      <c r="AA157" t="s">
        <v>391</v>
      </c>
      <c r="AB157">
        <v>17337</v>
      </c>
      <c r="AD157" t="s">
        <v>1</v>
      </c>
      <c r="AE157">
        <v>45</v>
      </c>
      <c r="AF157">
        <v>11</v>
      </c>
      <c r="AH157" t="s">
        <v>7215</v>
      </c>
      <c r="AI157" t="s">
        <v>7214</v>
      </c>
      <c r="AJ157" t="s">
        <v>7213</v>
      </c>
      <c r="AK157" t="s">
        <v>7212</v>
      </c>
      <c r="AL157">
        <v>145</v>
      </c>
      <c r="AM157" s="5">
        <f t="shared" si="19"/>
        <v>5.8</v>
      </c>
      <c r="AN157" s="4">
        <f t="shared" si="20"/>
        <v>8.7845513063233623E-3</v>
      </c>
      <c r="AO157" s="3"/>
      <c r="AP157">
        <v>0</v>
      </c>
      <c r="AR157" t="s">
        <v>0</v>
      </c>
      <c r="AT157" s="2" t="s">
        <v>5</v>
      </c>
      <c r="AU157" s="1">
        <f t="shared" si="21"/>
        <v>3.350480294028066</v>
      </c>
      <c r="AV157" s="1">
        <f t="shared" si="22"/>
        <v>2.6441873902007149</v>
      </c>
      <c r="AW157" s="1">
        <f t="shared" si="23"/>
        <v>1.9378944863733631</v>
      </c>
    </row>
    <row r="158" spans="1:49" x14ac:dyDescent="0.2">
      <c r="A158">
        <v>156</v>
      </c>
      <c r="B158" t="s">
        <v>7211</v>
      </c>
      <c r="C158" t="s">
        <v>7210</v>
      </c>
      <c r="D158" t="s">
        <v>7209</v>
      </c>
      <c r="F158" t="s">
        <v>7208</v>
      </c>
      <c r="G158" t="s">
        <v>4</v>
      </c>
      <c r="H158" t="s">
        <v>3</v>
      </c>
      <c r="I158" t="s">
        <v>7207</v>
      </c>
      <c r="J158">
        <v>60008652</v>
      </c>
      <c r="K158" t="s">
        <v>7206</v>
      </c>
      <c r="L158" t="s">
        <v>7205</v>
      </c>
      <c r="M158" t="s">
        <v>8</v>
      </c>
      <c r="N158">
        <v>1</v>
      </c>
      <c r="O158" t="s">
        <v>7204</v>
      </c>
      <c r="P158">
        <v>56979443600</v>
      </c>
      <c r="Q158">
        <v>60008652</v>
      </c>
      <c r="R158" s="8">
        <v>35765</v>
      </c>
      <c r="S158" s="9">
        <f t="shared" si="16"/>
        <v>1997</v>
      </c>
      <c r="T158" s="9">
        <v>1997</v>
      </c>
      <c r="U158" s="9">
        <f t="shared" si="17"/>
        <v>25</v>
      </c>
      <c r="V158" s="8">
        <v>1997</v>
      </c>
      <c r="W158" t="s">
        <v>4163</v>
      </c>
      <c r="X158" s="2">
        <v>1.365</v>
      </c>
      <c r="Y158" s="7">
        <f t="shared" si="18"/>
        <v>3.6437895411227675E-2</v>
      </c>
      <c r="AA158">
        <v>189545</v>
      </c>
      <c r="AB158">
        <v>17393</v>
      </c>
      <c r="AD158" t="s">
        <v>1</v>
      </c>
      <c r="AE158">
        <v>46</v>
      </c>
      <c r="AF158">
        <v>4</v>
      </c>
      <c r="AH158" t="s">
        <v>7203</v>
      </c>
      <c r="AI158" t="s">
        <v>7202</v>
      </c>
      <c r="AJ158" t="s">
        <v>7201</v>
      </c>
      <c r="AK158" t="s">
        <v>7200</v>
      </c>
      <c r="AL158">
        <v>100</v>
      </c>
      <c r="AM158" s="5">
        <f t="shared" si="19"/>
        <v>4</v>
      </c>
      <c r="AN158" s="4">
        <f t="shared" si="20"/>
        <v>6.0583112457402496E-3</v>
      </c>
      <c r="AO158" s="3"/>
      <c r="AP158">
        <v>0</v>
      </c>
      <c r="AR158" t="s">
        <v>0</v>
      </c>
      <c r="AT158" s="2" t="s">
        <v>5</v>
      </c>
      <c r="AU158" s="1">
        <f t="shared" si="21"/>
        <v>2.7324020161581442</v>
      </c>
      <c r="AV158" s="1">
        <f t="shared" si="22"/>
        <v>2.1248103328483965</v>
      </c>
      <c r="AW158" s="1">
        <f t="shared" si="23"/>
        <v>1.5172186495386475</v>
      </c>
    </row>
    <row r="159" spans="1:49" x14ac:dyDescent="0.2">
      <c r="A159">
        <v>157</v>
      </c>
      <c r="B159" t="s">
        <v>7199</v>
      </c>
      <c r="C159" t="s">
        <v>7198</v>
      </c>
      <c r="D159" t="s">
        <v>7197</v>
      </c>
      <c r="F159" t="s">
        <v>7196</v>
      </c>
      <c r="G159" t="s">
        <v>4</v>
      </c>
      <c r="H159" t="s">
        <v>3</v>
      </c>
      <c r="I159" t="s">
        <v>7195</v>
      </c>
      <c r="J159" t="s">
        <v>7194</v>
      </c>
      <c r="K159" t="s">
        <v>7193</v>
      </c>
      <c r="L159" t="s">
        <v>7192</v>
      </c>
      <c r="M159" t="s">
        <v>128</v>
      </c>
      <c r="N159">
        <v>2</v>
      </c>
      <c r="O159" t="s">
        <v>7191</v>
      </c>
      <c r="P159" t="s">
        <v>7190</v>
      </c>
      <c r="Q159" t="s">
        <v>7189</v>
      </c>
      <c r="R159" s="8">
        <v>35765</v>
      </c>
      <c r="S159" s="9">
        <f t="shared" si="16"/>
        <v>1997</v>
      </c>
      <c r="T159" s="9">
        <v>1997</v>
      </c>
      <c r="U159" s="9">
        <f t="shared" si="17"/>
        <v>25</v>
      </c>
      <c r="V159" s="8">
        <v>1997</v>
      </c>
      <c r="W159" t="s">
        <v>1379</v>
      </c>
      <c r="X159" s="2">
        <v>0.65500000000000003</v>
      </c>
      <c r="Y159" s="7">
        <f t="shared" si="18"/>
        <v>1.7484850911614749E-2</v>
      </c>
      <c r="AA159">
        <v>189375</v>
      </c>
      <c r="AB159">
        <v>26051</v>
      </c>
      <c r="AD159" t="s">
        <v>1</v>
      </c>
      <c r="AE159">
        <v>39</v>
      </c>
      <c r="AF159">
        <v>4</v>
      </c>
      <c r="AH159" t="s">
        <v>7188</v>
      </c>
      <c r="AI159" t="s">
        <v>7187</v>
      </c>
      <c r="AJ159" t="s">
        <v>7186</v>
      </c>
      <c r="AK159" t="s">
        <v>7185</v>
      </c>
      <c r="AL159">
        <v>13</v>
      </c>
      <c r="AM159" s="5">
        <f t="shared" si="19"/>
        <v>0.52</v>
      </c>
      <c r="AN159" s="4">
        <f t="shared" si="20"/>
        <v>7.8758046194623253E-4</v>
      </c>
      <c r="AO159" s="3"/>
      <c r="AP159">
        <v>0</v>
      </c>
      <c r="AR159" t="s">
        <v>0</v>
      </c>
      <c r="AT159" s="2" t="s">
        <v>5</v>
      </c>
      <c r="AU159" s="1">
        <f t="shared" si="21"/>
        <v>1.2475669776714193</v>
      </c>
      <c r="AV159" s="1">
        <f t="shared" si="22"/>
        <v>0.913621568678049</v>
      </c>
      <c r="AW159" s="1">
        <f t="shared" si="23"/>
        <v>0.57967615968467878</v>
      </c>
    </row>
    <row r="160" spans="1:49" x14ac:dyDescent="0.2">
      <c r="A160">
        <v>158</v>
      </c>
      <c r="B160" t="s">
        <v>7184</v>
      </c>
      <c r="C160" t="s">
        <v>7183</v>
      </c>
      <c r="D160" t="s">
        <v>7182</v>
      </c>
      <c r="F160" t="s">
        <v>7181</v>
      </c>
      <c r="G160" t="s">
        <v>4</v>
      </c>
      <c r="H160" t="s">
        <v>3</v>
      </c>
      <c r="I160" t="s">
        <v>7180</v>
      </c>
      <c r="J160">
        <v>60028218</v>
      </c>
      <c r="K160" t="s">
        <v>7179</v>
      </c>
      <c r="L160" t="s">
        <v>7178</v>
      </c>
      <c r="M160" t="s">
        <v>116</v>
      </c>
      <c r="N160">
        <v>1</v>
      </c>
      <c r="O160" t="s">
        <v>7177</v>
      </c>
      <c r="P160">
        <v>7003699386</v>
      </c>
      <c r="Q160">
        <v>60028218</v>
      </c>
      <c r="R160" s="8">
        <v>35765</v>
      </c>
      <c r="S160" s="9">
        <f t="shared" si="16"/>
        <v>1997</v>
      </c>
      <c r="T160" s="9">
        <v>1997</v>
      </c>
      <c r="U160" s="9">
        <f t="shared" si="17"/>
        <v>25</v>
      </c>
      <c r="V160" s="8">
        <v>1997</v>
      </c>
      <c r="W160" t="s">
        <v>4163</v>
      </c>
      <c r="X160" s="2">
        <v>1.365</v>
      </c>
      <c r="Y160" s="7">
        <f t="shared" si="18"/>
        <v>3.6437895411227675E-2</v>
      </c>
      <c r="AA160">
        <v>189545</v>
      </c>
      <c r="AB160">
        <v>17393</v>
      </c>
      <c r="AD160" t="s">
        <v>1</v>
      </c>
      <c r="AE160">
        <v>46</v>
      </c>
      <c r="AF160">
        <v>4</v>
      </c>
      <c r="AH160" t="s">
        <v>7176</v>
      </c>
      <c r="AI160" t="s">
        <v>7175</v>
      </c>
      <c r="AJ160" t="s">
        <v>7174</v>
      </c>
      <c r="AK160" t="s">
        <v>7173</v>
      </c>
      <c r="AL160">
        <v>11</v>
      </c>
      <c r="AM160" s="5">
        <f t="shared" si="19"/>
        <v>0.44</v>
      </c>
      <c r="AN160" s="4">
        <f t="shared" si="20"/>
        <v>6.6641423703142752E-4</v>
      </c>
      <c r="AO160" s="3"/>
      <c r="AP160">
        <v>0</v>
      </c>
      <c r="AQ160" t="s">
        <v>7172</v>
      </c>
      <c r="AR160" t="s">
        <v>0</v>
      </c>
      <c r="AS160" t="s">
        <v>332</v>
      </c>
      <c r="AT160" s="2" t="s">
        <v>5</v>
      </c>
      <c r="AU160" s="1">
        <f t="shared" si="21"/>
        <v>2.5706451058968796</v>
      </c>
      <c r="AV160" s="1">
        <f t="shared" si="22"/>
        <v>1.855215482412955</v>
      </c>
      <c r="AW160" s="1">
        <f t="shared" si="23"/>
        <v>1.1397858589290302</v>
      </c>
    </row>
    <row r="161" spans="1:49" x14ac:dyDescent="0.2">
      <c r="A161">
        <v>159</v>
      </c>
      <c r="B161" t="s">
        <v>7171</v>
      </c>
      <c r="C161" t="s">
        <v>7170</v>
      </c>
      <c r="F161" t="s">
        <v>7169</v>
      </c>
      <c r="G161" t="s">
        <v>4</v>
      </c>
      <c r="H161" t="s">
        <v>3</v>
      </c>
      <c r="I161" t="s">
        <v>7168</v>
      </c>
      <c r="J161">
        <v>60027550</v>
      </c>
      <c r="K161" t="s">
        <v>98</v>
      </c>
      <c r="L161" t="s">
        <v>72</v>
      </c>
      <c r="M161" t="s">
        <v>2</v>
      </c>
      <c r="N161">
        <v>2</v>
      </c>
      <c r="O161" t="s">
        <v>7167</v>
      </c>
      <c r="P161" t="s">
        <v>7166</v>
      </c>
      <c r="Q161" t="s">
        <v>97</v>
      </c>
      <c r="R161" s="8">
        <v>35765</v>
      </c>
      <c r="S161" s="9">
        <f t="shared" si="16"/>
        <v>1997</v>
      </c>
      <c r="T161" s="9">
        <v>1997</v>
      </c>
      <c r="U161" s="9">
        <f t="shared" si="17"/>
        <v>25</v>
      </c>
      <c r="V161" s="8">
        <v>1997</v>
      </c>
      <c r="W161" t="s">
        <v>4138</v>
      </c>
      <c r="X161" s="2">
        <v>0.9</v>
      </c>
      <c r="Y161" s="7">
        <f t="shared" si="18"/>
        <v>2.4024985985424845E-2</v>
      </c>
      <c r="AA161">
        <v>9630252</v>
      </c>
      <c r="AB161">
        <v>29614</v>
      </c>
      <c r="AD161" t="s">
        <v>1</v>
      </c>
      <c r="AE161">
        <v>6</v>
      </c>
      <c r="AF161">
        <v>4</v>
      </c>
      <c r="AH161" t="s">
        <v>7165</v>
      </c>
      <c r="AI161" t="s">
        <v>7164</v>
      </c>
      <c r="AK161" t="s">
        <v>7163</v>
      </c>
      <c r="AL161">
        <v>40</v>
      </c>
      <c r="AM161" s="5">
        <f t="shared" si="19"/>
        <v>1.6</v>
      </c>
      <c r="AN161" s="4">
        <f t="shared" si="20"/>
        <v>2.4233244982961003E-3</v>
      </c>
      <c r="AO161" s="3"/>
      <c r="AP161">
        <v>0</v>
      </c>
      <c r="AR161" t="s">
        <v>0</v>
      </c>
      <c r="AT161" s="2" t="s">
        <v>5</v>
      </c>
      <c r="AU161" s="1">
        <f t="shared" si="21"/>
        <v>1.754448753928622</v>
      </c>
      <c r="AV161" s="1">
        <f t="shared" si="22"/>
        <v>1.3224155241860471</v>
      </c>
      <c r="AW161" s="1">
        <f t="shared" si="23"/>
        <v>0.89038229444347239</v>
      </c>
    </row>
    <row r="162" spans="1:49" x14ac:dyDescent="0.2">
      <c r="A162">
        <v>160</v>
      </c>
      <c r="B162" t="s">
        <v>7162</v>
      </c>
      <c r="C162" t="s">
        <v>7161</v>
      </c>
      <c r="D162" t="s">
        <v>7160</v>
      </c>
      <c r="F162" t="s">
        <v>7159</v>
      </c>
      <c r="G162" t="s">
        <v>4</v>
      </c>
      <c r="H162" t="s">
        <v>3</v>
      </c>
      <c r="I162" t="s">
        <v>7158</v>
      </c>
      <c r="J162">
        <v>60015179</v>
      </c>
      <c r="K162" t="s">
        <v>386</v>
      </c>
      <c r="L162" t="s">
        <v>385</v>
      </c>
      <c r="M162" t="s">
        <v>39</v>
      </c>
      <c r="N162">
        <v>2</v>
      </c>
      <c r="O162" t="s">
        <v>7157</v>
      </c>
      <c r="P162" t="s">
        <v>7156</v>
      </c>
      <c r="Q162" t="s">
        <v>7155</v>
      </c>
      <c r="R162" s="8">
        <v>35765</v>
      </c>
      <c r="S162" s="9">
        <f t="shared" si="16"/>
        <v>1997</v>
      </c>
      <c r="T162" s="9">
        <v>1997</v>
      </c>
      <c r="U162" s="9">
        <f t="shared" si="17"/>
        <v>25</v>
      </c>
      <c r="V162" s="8">
        <v>1997</v>
      </c>
      <c r="W162" t="s">
        <v>392</v>
      </c>
      <c r="X162" s="2">
        <v>1.6519999999999999</v>
      </c>
      <c r="Y162" s="7">
        <f t="shared" si="18"/>
        <v>4.409919649769093E-2</v>
      </c>
      <c r="AA162" t="s">
        <v>391</v>
      </c>
      <c r="AB162">
        <v>17337</v>
      </c>
      <c r="AD162" t="s">
        <v>1</v>
      </c>
      <c r="AE162">
        <v>45</v>
      </c>
      <c r="AF162">
        <v>11</v>
      </c>
      <c r="AH162" t="s">
        <v>7154</v>
      </c>
      <c r="AI162" t="s">
        <v>7153</v>
      </c>
      <c r="AJ162" t="s">
        <v>7152</v>
      </c>
      <c r="AK162" t="s">
        <v>7151</v>
      </c>
      <c r="AL162">
        <v>74</v>
      </c>
      <c r="AM162" s="5">
        <f t="shared" si="19"/>
        <v>2.96</v>
      </c>
      <c r="AN162" s="4">
        <f t="shared" si="20"/>
        <v>4.4831503218477845E-3</v>
      </c>
      <c r="AO162" s="3"/>
      <c r="AP162">
        <v>0</v>
      </c>
      <c r="AR162" t="s">
        <v>0</v>
      </c>
      <c r="AT162" s="2" t="s">
        <v>5</v>
      </c>
      <c r="AU162" s="1">
        <f t="shared" si="21"/>
        <v>3.2214382644937984</v>
      </c>
      <c r="AV162" s="1">
        <f t="shared" si="22"/>
        <v>2.4291173409769358</v>
      </c>
      <c r="AW162" s="1">
        <f t="shared" si="23"/>
        <v>1.6367964174600729</v>
      </c>
    </row>
    <row r="163" spans="1:49" x14ac:dyDescent="0.2">
      <c r="A163">
        <v>161</v>
      </c>
      <c r="B163" t="s">
        <v>7150</v>
      </c>
      <c r="C163" t="s">
        <v>7149</v>
      </c>
      <c r="D163" t="s">
        <v>7148</v>
      </c>
      <c r="F163" t="s">
        <v>7147</v>
      </c>
      <c r="G163" t="s">
        <v>4</v>
      </c>
      <c r="H163" t="s">
        <v>3</v>
      </c>
      <c r="I163" t="s">
        <v>7146</v>
      </c>
      <c r="J163" t="s">
        <v>7145</v>
      </c>
      <c r="K163" t="s">
        <v>7144</v>
      </c>
      <c r="L163" t="s">
        <v>7143</v>
      </c>
      <c r="M163" t="s">
        <v>18</v>
      </c>
      <c r="N163">
        <v>1</v>
      </c>
      <c r="O163" t="s">
        <v>7142</v>
      </c>
      <c r="P163">
        <v>14319795400</v>
      </c>
      <c r="Q163" t="s">
        <v>7141</v>
      </c>
      <c r="R163" s="8">
        <v>35765</v>
      </c>
      <c r="S163" s="9">
        <f t="shared" si="16"/>
        <v>1997</v>
      </c>
      <c r="T163" s="9">
        <v>1997</v>
      </c>
      <c r="U163" s="9">
        <f t="shared" si="17"/>
        <v>25</v>
      </c>
      <c r="V163" s="8">
        <v>1997</v>
      </c>
      <c r="W163" t="s">
        <v>392</v>
      </c>
      <c r="X163" s="2">
        <v>1.6519999999999999</v>
      </c>
      <c r="Y163" s="7">
        <f t="shared" si="18"/>
        <v>4.409919649769093E-2</v>
      </c>
      <c r="AA163" t="s">
        <v>391</v>
      </c>
      <c r="AB163">
        <v>17337</v>
      </c>
      <c r="AD163" t="s">
        <v>1</v>
      </c>
      <c r="AE163">
        <v>45</v>
      </c>
      <c r="AF163">
        <v>11</v>
      </c>
      <c r="AH163" t="s">
        <v>7140</v>
      </c>
      <c r="AI163" t="s">
        <v>7139</v>
      </c>
      <c r="AJ163" t="s">
        <v>7138</v>
      </c>
      <c r="AK163" t="s">
        <v>7137</v>
      </c>
      <c r="AL163">
        <v>2</v>
      </c>
      <c r="AM163" s="5">
        <f t="shared" si="19"/>
        <v>0.08</v>
      </c>
      <c r="AN163" s="4">
        <f t="shared" si="20"/>
        <v>1.21166224914805E-4</v>
      </c>
      <c r="AO163" s="3"/>
      <c r="AP163">
        <v>0</v>
      </c>
      <c r="AQ163" t="s">
        <v>598</v>
      </c>
      <c r="AR163" t="s">
        <v>7136</v>
      </c>
      <c r="AS163" t="s">
        <v>597</v>
      </c>
      <c r="AT163" s="2" t="s">
        <v>5</v>
      </c>
      <c r="AU163" s="1">
        <f t="shared" si="21"/>
        <v>3.090578741585809</v>
      </c>
      <c r="AV163" s="1">
        <f t="shared" si="22"/>
        <v>2.2110181361302867</v>
      </c>
      <c r="AW163" s="1">
        <f t="shared" si="23"/>
        <v>1.3314575306747642</v>
      </c>
    </row>
    <row r="164" spans="1:49" x14ac:dyDescent="0.2">
      <c r="A164">
        <v>162</v>
      </c>
      <c r="B164" t="s">
        <v>7135</v>
      </c>
      <c r="C164" t="s">
        <v>7134</v>
      </c>
      <c r="D164" t="s">
        <v>7133</v>
      </c>
      <c r="F164" t="s">
        <v>7132</v>
      </c>
      <c r="G164" t="s">
        <v>4</v>
      </c>
      <c r="H164" t="s">
        <v>3</v>
      </c>
      <c r="I164" t="s">
        <v>7131</v>
      </c>
      <c r="J164">
        <v>60023053</v>
      </c>
      <c r="K164" t="s">
        <v>2639</v>
      </c>
      <c r="L164" t="s">
        <v>2638</v>
      </c>
      <c r="M164" t="s">
        <v>2</v>
      </c>
      <c r="N164">
        <v>2</v>
      </c>
      <c r="O164" t="s">
        <v>7130</v>
      </c>
      <c r="P164" t="s">
        <v>7129</v>
      </c>
      <c r="Q164" t="s">
        <v>7128</v>
      </c>
      <c r="R164" s="8">
        <v>35765</v>
      </c>
      <c r="S164" s="9">
        <f t="shared" si="16"/>
        <v>1997</v>
      </c>
      <c r="T164" s="9">
        <v>1997</v>
      </c>
      <c r="U164" s="9">
        <f t="shared" si="17"/>
        <v>25</v>
      </c>
      <c r="V164" s="8">
        <v>1997</v>
      </c>
      <c r="W164" t="s">
        <v>1379</v>
      </c>
      <c r="X164" s="2">
        <v>0.65500000000000003</v>
      </c>
      <c r="Y164" s="7">
        <f t="shared" si="18"/>
        <v>1.7484850911614749E-2</v>
      </c>
      <c r="AA164">
        <v>189375</v>
      </c>
      <c r="AB164">
        <v>26051</v>
      </c>
      <c r="AD164" t="s">
        <v>1</v>
      </c>
      <c r="AE164">
        <v>39</v>
      </c>
      <c r="AF164">
        <v>4</v>
      </c>
      <c r="AH164" t="s">
        <v>7127</v>
      </c>
      <c r="AI164" t="s">
        <v>7126</v>
      </c>
      <c r="AJ164" t="s">
        <v>7125</v>
      </c>
      <c r="AK164" t="s">
        <v>7124</v>
      </c>
      <c r="AL164">
        <v>8</v>
      </c>
      <c r="AM164" s="5">
        <f t="shared" si="19"/>
        <v>0.32</v>
      </c>
      <c r="AN164" s="4">
        <f t="shared" si="20"/>
        <v>4.8466489965922E-4</v>
      </c>
      <c r="AO164" s="3"/>
      <c r="AP164">
        <v>0</v>
      </c>
      <c r="AR164" t="s">
        <v>0</v>
      </c>
      <c r="AT164" s="2" t="s">
        <v>5</v>
      </c>
      <c r="AU164" s="1">
        <f t="shared" si="21"/>
        <v>1.2384795108028088</v>
      </c>
      <c r="AV164" s="1">
        <f t="shared" si="22"/>
        <v>0.89847579056369853</v>
      </c>
      <c r="AW164" s="1">
        <f t="shared" si="23"/>
        <v>0.5584720703245879</v>
      </c>
    </row>
    <row r="165" spans="1:49" x14ac:dyDescent="0.2">
      <c r="A165">
        <v>163</v>
      </c>
      <c r="B165" t="s">
        <v>7123</v>
      </c>
      <c r="C165" t="s">
        <v>7122</v>
      </c>
      <c r="D165" t="s">
        <v>7121</v>
      </c>
      <c r="F165" t="s">
        <v>7120</v>
      </c>
      <c r="G165" t="s">
        <v>4</v>
      </c>
      <c r="H165" t="s">
        <v>3</v>
      </c>
      <c r="I165" t="s">
        <v>7119</v>
      </c>
      <c r="J165" t="s">
        <v>7118</v>
      </c>
      <c r="K165" t="s">
        <v>7117</v>
      </c>
      <c r="L165" t="s">
        <v>7116</v>
      </c>
      <c r="M165" t="s">
        <v>18</v>
      </c>
      <c r="N165">
        <v>3</v>
      </c>
      <c r="O165" t="s">
        <v>7115</v>
      </c>
      <c r="P165" t="s">
        <v>7114</v>
      </c>
      <c r="Q165" t="s">
        <v>7113</v>
      </c>
      <c r="R165" s="8">
        <v>35765</v>
      </c>
      <c r="S165" s="9">
        <f t="shared" si="16"/>
        <v>1997</v>
      </c>
      <c r="T165" s="9">
        <v>1997</v>
      </c>
      <c r="U165" s="9">
        <f t="shared" si="17"/>
        <v>25</v>
      </c>
      <c r="V165" s="8">
        <v>1997</v>
      </c>
      <c r="W165" t="s">
        <v>392</v>
      </c>
      <c r="X165" s="2">
        <v>1.6519999999999999</v>
      </c>
      <c r="Y165" s="7">
        <f t="shared" si="18"/>
        <v>4.409919649769093E-2</v>
      </c>
      <c r="AA165" t="s">
        <v>391</v>
      </c>
      <c r="AB165">
        <v>17337</v>
      </c>
      <c r="AD165" t="s">
        <v>1</v>
      </c>
      <c r="AE165">
        <v>45</v>
      </c>
      <c r="AF165">
        <v>11</v>
      </c>
      <c r="AH165" t="s">
        <v>7112</v>
      </c>
      <c r="AI165" t="s">
        <v>7111</v>
      </c>
      <c r="AJ165" t="s">
        <v>272</v>
      </c>
      <c r="AK165" t="s">
        <v>7110</v>
      </c>
      <c r="AL165">
        <v>16</v>
      </c>
      <c r="AM165" s="5">
        <f t="shared" si="19"/>
        <v>0.64</v>
      </c>
      <c r="AN165" s="4">
        <f t="shared" si="20"/>
        <v>9.6932979931844E-4</v>
      </c>
      <c r="AO165" s="3"/>
      <c r="AP165">
        <v>0</v>
      </c>
      <c r="AR165" t="s">
        <v>0</v>
      </c>
      <c r="AT165" s="2" t="s">
        <v>5</v>
      </c>
      <c r="AU165" s="1">
        <f t="shared" si="21"/>
        <v>3.1160236488179183</v>
      </c>
      <c r="AV165" s="1">
        <f t="shared" si="22"/>
        <v>2.2534263148504685</v>
      </c>
      <c r="AW165" s="1">
        <f t="shared" si="23"/>
        <v>1.3908289808830185</v>
      </c>
    </row>
    <row r="166" spans="1:49" x14ac:dyDescent="0.2">
      <c r="A166">
        <v>164</v>
      </c>
      <c r="B166" t="s">
        <v>7109</v>
      </c>
      <c r="C166" t="s">
        <v>7108</v>
      </c>
      <c r="D166" t="s">
        <v>7107</v>
      </c>
      <c r="F166" t="s">
        <v>7106</v>
      </c>
      <c r="G166" t="s">
        <v>4</v>
      </c>
      <c r="H166" t="s">
        <v>3</v>
      </c>
      <c r="I166" t="s">
        <v>651</v>
      </c>
      <c r="J166" t="s">
        <v>7105</v>
      </c>
      <c r="K166" t="s">
        <v>7104</v>
      </c>
      <c r="L166" t="s">
        <v>7103</v>
      </c>
      <c r="M166" t="s">
        <v>63</v>
      </c>
      <c r="N166">
        <v>2</v>
      </c>
      <c r="O166" t="s">
        <v>870</v>
      </c>
      <c r="P166" t="s">
        <v>869</v>
      </c>
      <c r="Q166" t="s">
        <v>7102</v>
      </c>
      <c r="R166" s="8">
        <v>35765</v>
      </c>
      <c r="S166" s="9">
        <f t="shared" si="16"/>
        <v>1997</v>
      </c>
      <c r="T166" s="9">
        <v>1997</v>
      </c>
      <c r="U166" s="9">
        <f t="shared" si="17"/>
        <v>25</v>
      </c>
      <c r="V166" s="8">
        <v>1997</v>
      </c>
      <c r="W166" t="s">
        <v>392</v>
      </c>
      <c r="X166" s="2">
        <v>1.6519999999999999</v>
      </c>
      <c r="Y166" s="7">
        <f t="shared" si="18"/>
        <v>4.409919649769093E-2</v>
      </c>
      <c r="AA166" t="s">
        <v>391</v>
      </c>
      <c r="AB166">
        <v>17337</v>
      </c>
      <c r="AD166" t="s">
        <v>1</v>
      </c>
      <c r="AE166">
        <v>45</v>
      </c>
      <c r="AF166">
        <v>10</v>
      </c>
      <c r="AH166" t="s">
        <v>423</v>
      </c>
      <c r="AI166" t="s">
        <v>7101</v>
      </c>
      <c r="AJ166" t="s">
        <v>7100</v>
      </c>
      <c r="AK166" t="s">
        <v>7099</v>
      </c>
      <c r="AL166">
        <v>231</v>
      </c>
      <c r="AM166" s="5">
        <f t="shared" si="19"/>
        <v>9.24</v>
      </c>
      <c r="AN166" s="4">
        <f t="shared" si="20"/>
        <v>1.3994698977659977E-2</v>
      </c>
      <c r="AO166" s="3"/>
      <c r="AP166">
        <v>0</v>
      </c>
      <c r="AQ166" t="s">
        <v>53</v>
      </c>
      <c r="AR166" t="s">
        <v>863</v>
      </c>
      <c r="AS166" t="s">
        <v>52</v>
      </c>
      <c r="AT166" s="2" t="s">
        <v>5</v>
      </c>
      <c r="AU166" s="1">
        <f t="shared" si="21"/>
        <v>3.5067847241681647</v>
      </c>
      <c r="AV166" s="1">
        <f t="shared" si="22"/>
        <v>2.9046947737675453</v>
      </c>
      <c r="AW166" s="1">
        <f t="shared" si="23"/>
        <v>2.3026048233669263</v>
      </c>
    </row>
    <row r="167" spans="1:49" x14ac:dyDescent="0.2">
      <c r="A167">
        <v>165</v>
      </c>
      <c r="B167" t="s">
        <v>7098</v>
      </c>
      <c r="C167" t="s">
        <v>7097</v>
      </c>
      <c r="D167" t="s">
        <v>7096</v>
      </c>
      <c r="F167" t="s">
        <v>7095</v>
      </c>
      <c r="G167" t="s">
        <v>4</v>
      </c>
      <c r="H167" t="s">
        <v>3</v>
      </c>
      <c r="I167" t="s">
        <v>7094</v>
      </c>
      <c r="J167" t="s">
        <v>7089</v>
      </c>
      <c r="K167" t="s">
        <v>7093</v>
      </c>
      <c r="L167" t="s">
        <v>7092</v>
      </c>
      <c r="M167" t="s">
        <v>676</v>
      </c>
      <c r="N167">
        <v>2</v>
      </c>
      <c r="O167" t="s">
        <v>7091</v>
      </c>
      <c r="P167" t="s">
        <v>7090</v>
      </c>
      <c r="Q167" t="s">
        <v>7089</v>
      </c>
      <c r="R167" s="8">
        <v>35765</v>
      </c>
      <c r="S167" s="9">
        <f t="shared" si="16"/>
        <v>1997</v>
      </c>
      <c r="T167" s="9">
        <v>1997</v>
      </c>
      <c r="U167" s="9">
        <f t="shared" si="17"/>
        <v>25</v>
      </c>
      <c r="V167" s="8">
        <v>1997</v>
      </c>
      <c r="W167" t="s">
        <v>392</v>
      </c>
      <c r="X167" s="2">
        <v>1.6519999999999999</v>
      </c>
      <c r="Y167" s="7">
        <f t="shared" si="18"/>
        <v>4.409919649769093E-2</v>
      </c>
      <c r="AA167" t="s">
        <v>391</v>
      </c>
      <c r="AB167">
        <v>17337</v>
      </c>
      <c r="AD167" t="s">
        <v>1</v>
      </c>
      <c r="AE167">
        <v>45</v>
      </c>
      <c r="AF167">
        <v>10</v>
      </c>
      <c r="AH167" t="s">
        <v>7088</v>
      </c>
      <c r="AI167" t="s">
        <v>7087</v>
      </c>
      <c r="AJ167" t="s">
        <v>3814</v>
      </c>
      <c r="AK167" t="s">
        <v>7086</v>
      </c>
      <c r="AL167">
        <v>47</v>
      </c>
      <c r="AM167" s="5">
        <f t="shared" si="19"/>
        <v>1.88</v>
      </c>
      <c r="AN167" s="4">
        <f t="shared" si="20"/>
        <v>2.8474062854979172E-3</v>
      </c>
      <c r="AO167" s="3"/>
      <c r="AP167">
        <v>0</v>
      </c>
      <c r="AR167" t="s">
        <v>0</v>
      </c>
      <c r="AT167" s="2" t="s">
        <v>5</v>
      </c>
      <c r="AU167" s="1">
        <f t="shared" si="21"/>
        <v>3.1723659434033027</v>
      </c>
      <c r="AV167" s="1">
        <f t="shared" si="22"/>
        <v>2.3473301391594426</v>
      </c>
      <c r="AW167" s="1">
        <f t="shared" si="23"/>
        <v>1.522294334915582</v>
      </c>
    </row>
    <row r="168" spans="1:49" x14ac:dyDescent="0.2">
      <c r="A168">
        <v>166</v>
      </c>
      <c r="B168" t="s">
        <v>7085</v>
      </c>
      <c r="C168" t="s">
        <v>7084</v>
      </c>
      <c r="D168" t="s">
        <v>7083</v>
      </c>
      <c r="F168" t="s">
        <v>7082</v>
      </c>
      <c r="G168" t="s">
        <v>4</v>
      </c>
      <c r="H168" t="s">
        <v>3</v>
      </c>
      <c r="I168" t="s">
        <v>7081</v>
      </c>
      <c r="J168">
        <v>60002644</v>
      </c>
      <c r="K168" t="s">
        <v>318</v>
      </c>
      <c r="L168" t="s">
        <v>317</v>
      </c>
      <c r="M168" t="s">
        <v>39</v>
      </c>
      <c r="N168">
        <v>1</v>
      </c>
      <c r="O168" t="s">
        <v>7080</v>
      </c>
      <c r="P168">
        <v>7003954653</v>
      </c>
      <c r="Q168">
        <v>60002644</v>
      </c>
      <c r="R168" s="8">
        <v>35765</v>
      </c>
      <c r="S168" s="9">
        <f t="shared" si="16"/>
        <v>1997</v>
      </c>
      <c r="T168" s="9">
        <v>1997</v>
      </c>
      <c r="U168" s="9">
        <f t="shared" si="17"/>
        <v>25</v>
      </c>
      <c r="V168" s="8">
        <v>1997</v>
      </c>
      <c r="W168" t="s">
        <v>392</v>
      </c>
      <c r="X168" s="2">
        <v>1.6519999999999999</v>
      </c>
      <c r="Y168" s="7">
        <f t="shared" si="18"/>
        <v>4.409919649769093E-2</v>
      </c>
      <c r="AA168" t="s">
        <v>391</v>
      </c>
      <c r="AB168">
        <v>17337</v>
      </c>
      <c r="AD168" t="s">
        <v>1</v>
      </c>
      <c r="AE168">
        <v>45</v>
      </c>
      <c r="AF168">
        <v>10</v>
      </c>
      <c r="AH168" t="s">
        <v>7079</v>
      </c>
      <c r="AI168" t="s">
        <v>7078</v>
      </c>
      <c r="AJ168" t="s">
        <v>7077</v>
      </c>
      <c r="AK168" t="s">
        <v>7076</v>
      </c>
      <c r="AL168">
        <v>30</v>
      </c>
      <c r="AM168" s="5">
        <f t="shared" si="19"/>
        <v>1.2</v>
      </c>
      <c r="AN168" s="4">
        <f t="shared" si="20"/>
        <v>1.8174933737220749E-3</v>
      </c>
      <c r="AO168" s="3"/>
      <c r="AP168">
        <v>0</v>
      </c>
      <c r="AR168" t="s">
        <v>0</v>
      </c>
      <c r="AT168" s="2" t="s">
        <v>5</v>
      </c>
      <c r="AU168" s="1">
        <f t="shared" si="21"/>
        <v>3.1414685560500275</v>
      </c>
      <c r="AV168" s="1">
        <f t="shared" si="22"/>
        <v>2.2958344935706503</v>
      </c>
      <c r="AW168" s="1">
        <f t="shared" si="23"/>
        <v>1.4502004310912731</v>
      </c>
    </row>
    <row r="169" spans="1:49" x14ac:dyDescent="0.2">
      <c r="A169">
        <v>167</v>
      </c>
      <c r="B169" t="s">
        <v>7075</v>
      </c>
      <c r="C169" t="s">
        <v>7074</v>
      </c>
      <c r="F169" t="s">
        <v>7073</v>
      </c>
      <c r="G169" t="s">
        <v>4</v>
      </c>
      <c r="H169" t="s">
        <v>3</v>
      </c>
      <c r="I169" t="s">
        <v>7072</v>
      </c>
      <c r="J169" t="s">
        <v>7071</v>
      </c>
      <c r="K169" t="s">
        <v>7070</v>
      </c>
      <c r="L169" t="s">
        <v>7069</v>
      </c>
      <c r="M169" t="s">
        <v>64</v>
      </c>
      <c r="N169">
        <v>2</v>
      </c>
      <c r="O169" t="s">
        <v>7068</v>
      </c>
      <c r="P169" t="s">
        <v>7067</v>
      </c>
      <c r="Q169" t="s">
        <v>7066</v>
      </c>
      <c r="R169" s="8">
        <v>35765</v>
      </c>
      <c r="S169" s="9">
        <f t="shared" si="16"/>
        <v>1997</v>
      </c>
      <c r="T169" s="9">
        <v>1997</v>
      </c>
      <c r="U169" s="9">
        <f t="shared" si="17"/>
        <v>25</v>
      </c>
      <c r="V169" s="8">
        <v>1997</v>
      </c>
      <c r="W169" t="s">
        <v>3745</v>
      </c>
      <c r="X169" s="2">
        <v>1.137</v>
      </c>
      <c r="Y169" s="7">
        <f t="shared" si="18"/>
        <v>3.0351565628253384E-2</v>
      </c>
      <c r="AA169">
        <v>189251</v>
      </c>
      <c r="AB169">
        <v>17336</v>
      </c>
      <c r="AD169" t="s">
        <v>1</v>
      </c>
      <c r="AE169">
        <v>33</v>
      </c>
      <c r="AF169">
        <v>4</v>
      </c>
      <c r="AH169" t="s">
        <v>7065</v>
      </c>
      <c r="AI169" t="s">
        <v>7064</v>
      </c>
      <c r="AK169" t="s">
        <v>7063</v>
      </c>
      <c r="AL169">
        <v>6</v>
      </c>
      <c r="AM169" s="5">
        <f t="shared" si="19"/>
        <v>0.24</v>
      </c>
      <c r="AN169" s="4">
        <f t="shared" si="20"/>
        <v>3.6349867474441499E-4</v>
      </c>
      <c r="AO169" s="3"/>
      <c r="AP169">
        <v>0</v>
      </c>
      <c r="AQ169" t="s">
        <v>208</v>
      </c>
      <c r="AR169">
        <v>6650427</v>
      </c>
      <c r="AS169" t="s">
        <v>207</v>
      </c>
      <c r="AT169" s="2" t="s">
        <v>5</v>
      </c>
      <c r="AU169" s="1">
        <f t="shared" si="21"/>
        <v>2.1355145542200691</v>
      </c>
      <c r="AV169" s="1">
        <f t="shared" si="22"/>
        <v>1.5357532151498898</v>
      </c>
      <c r="AW169" s="1">
        <f t="shared" si="23"/>
        <v>0.93599187607971057</v>
      </c>
    </row>
    <row r="170" spans="1:49" x14ac:dyDescent="0.2">
      <c r="A170">
        <v>168</v>
      </c>
      <c r="B170" t="s">
        <v>7062</v>
      </c>
      <c r="C170" t="s">
        <v>7061</v>
      </c>
      <c r="F170" t="s">
        <v>7060</v>
      </c>
      <c r="G170" t="s">
        <v>4</v>
      </c>
      <c r="H170" t="s">
        <v>3</v>
      </c>
      <c r="I170" t="s">
        <v>7059</v>
      </c>
      <c r="J170" t="s">
        <v>7058</v>
      </c>
      <c r="K170" t="s">
        <v>7057</v>
      </c>
      <c r="L170" t="s">
        <v>7056</v>
      </c>
      <c r="M170" t="s">
        <v>713</v>
      </c>
      <c r="N170">
        <v>1</v>
      </c>
      <c r="O170" t="s">
        <v>7055</v>
      </c>
      <c r="P170">
        <v>7102391180</v>
      </c>
      <c r="Q170" t="s">
        <v>7054</v>
      </c>
      <c r="R170" s="8">
        <v>35765</v>
      </c>
      <c r="S170" s="9">
        <f t="shared" si="16"/>
        <v>1997</v>
      </c>
      <c r="T170" s="9">
        <v>1997</v>
      </c>
      <c r="U170" s="9">
        <f t="shared" si="17"/>
        <v>25</v>
      </c>
      <c r="V170" s="8">
        <v>1997</v>
      </c>
      <c r="W170" t="s">
        <v>637</v>
      </c>
      <c r="X170" s="2">
        <v>0.39600000000000002</v>
      </c>
      <c r="Y170" s="7">
        <f t="shared" si="18"/>
        <v>1.0570993833586931E-2</v>
      </c>
      <c r="AA170">
        <v>8858985</v>
      </c>
      <c r="AB170">
        <v>25993</v>
      </c>
      <c r="AD170" t="s">
        <v>1</v>
      </c>
      <c r="AE170">
        <v>12</v>
      </c>
      <c r="AF170">
        <v>10</v>
      </c>
      <c r="AH170" t="s">
        <v>7053</v>
      </c>
      <c r="AI170" t="s">
        <v>7052</v>
      </c>
      <c r="AK170" t="s">
        <v>7051</v>
      </c>
      <c r="AL170">
        <v>4</v>
      </c>
      <c r="AM170" s="5">
        <f t="shared" si="19"/>
        <v>0.16</v>
      </c>
      <c r="AN170" s="4">
        <f t="shared" si="20"/>
        <v>2.4233244982961E-4</v>
      </c>
      <c r="AO170" s="3"/>
      <c r="AP170">
        <v>0</v>
      </c>
      <c r="AR170" t="s">
        <v>0</v>
      </c>
      <c r="AT170" s="2" t="s">
        <v>5</v>
      </c>
      <c r="AU170" s="1">
        <f t="shared" si="21"/>
        <v>0.74723954184597341</v>
      </c>
      <c r="AV170" s="1">
        <f t="shared" si="22"/>
        <v>0.54066631417082711</v>
      </c>
      <c r="AW170" s="1">
        <f t="shared" si="23"/>
        <v>0.33409308649568059</v>
      </c>
    </row>
    <row r="171" spans="1:49" x14ac:dyDescent="0.2">
      <c r="A171">
        <v>169</v>
      </c>
      <c r="B171" t="s">
        <v>7050</v>
      </c>
      <c r="C171" t="s">
        <v>7049</v>
      </c>
      <c r="D171" t="s">
        <v>7048</v>
      </c>
      <c r="F171" t="s">
        <v>7047</v>
      </c>
      <c r="G171" t="s">
        <v>4</v>
      </c>
      <c r="H171" t="s">
        <v>3</v>
      </c>
      <c r="I171" t="s">
        <v>293</v>
      </c>
      <c r="J171" t="s">
        <v>7046</v>
      </c>
      <c r="K171" t="s">
        <v>7045</v>
      </c>
      <c r="L171" t="s">
        <v>7044</v>
      </c>
      <c r="M171" t="s">
        <v>203</v>
      </c>
      <c r="N171">
        <v>3</v>
      </c>
      <c r="O171" t="s">
        <v>7043</v>
      </c>
      <c r="P171" t="s">
        <v>7042</v>
      </c>
      <c r="Q171" t="s">
        <v>7041</v>
      </c>
      <c r="R171" s="8">
        <v>35765</v>
      </c>
      <c r="S171" s="9">
        <f t="shared" si="16"/>
        <v>1997</v>
      </c>
      <c r="T171" s="9">
        <v>1997</v>
      </c>
      <c r="U171" s="9">
        <f t="shared" si="17"/>
        <v>25</v>
      </c>
      <c r="V171" s="8">
        <v>1997</v>
      </c>
      <c r="W171" t="s">
        <v>392</v>
      </c>
      <c r="X171" s="2">
        <v>1.6519999999999999</v>
      </c>
      <c r="Y171" s="7">
        <f t="shared" si="18"/>
        <v>4.409919649769093E-2</v>
      </c>
      <c r="AA171" t="s">
        <v>391</v>
      </c>
      <c r="AB171">
        <v>17337</v>
      </c>
      <c r="AD171" t="s">
        <v>1</v>
      </c>
      <c r="AE171">
        <v>45</v>
      </c>
      <c r="AF171">
        <v>10</v>
      </c>
      <c r="AH171" t="s">
        <v>7040</v>
      </c>
      <c r="AI171" t="s">
        <v>7039</v>
      </c>
      <c r="AJ171" t="s">
        <v>7038</v>
      </c>
      <c r="AK171" t="s">
        <v>7037</v>
      </c>
      <c r="AL171">
        <v>13</v>
      </c>
      <c r="AM171" s="5">
        <f t="shared" si="19"/>
        <v>0.52</v>
      </c>
      <c r="AN171" s="4">
        <f t="shared" si="20"/>
        <v>7.8758046194623253E-4</v>
      </c>
      <c r="AO171" s="3"/>
      <c r="AP171">
        <v>0</v>
      </c>
      <c r="AR171" t="s">
        <v>0</v>
      </c>
      <c r="AT171" s="2" t="s">
        <v>5</v>
      </c>
      <c r="AU171" s="1">
        <f t="shared" si="21"/>
        <v>3.1105711686967519</v>
      </c>
      <c r="AV171" s="1">
        <f t="shared" si="22"/>
        <v>2.244338847981858</v>
      </c>
      <c r="AW171" s="1">
        <f t="shared" si="23"/>
        <v>1.3781065272669641</v>
      </c>
    </row>
    <row r="172" spans="1:49" x14ac:dyDescent="0.2">
      <c r="A172">
        <v>170</v>
      </c>
      <c r="B172" t="s">
        <v>7036</v>
      </c>
      <c r="C172" t="s">
        <v>7035</v>
      </c>
      <c r="D172" t="s">
        <v>7034</v>
      </c>
      <c r="F172" t="s">
        <v>7033</v>
      </c>
      <c r="G172" t="s">
        <v>4</v>
      </c>
      <c r="H172" t="s">
        <v>3</v>
      </c>
      <c r="I172" t="s">
        <v>238</v>
      </c>
      <c r="J172">
        <v>60030526</v>
      </c>
      <c r="K172" t="s">
        <v>237</v>
      </c>
      <c r="L172" t="s">
        <v>112</v>
      </c>
      <c r="M172" t="s">
        <v>111</v>
      </c>
      <c r="N172">
        <v>1</v>
      </c>
      <c r="O172" t="s">
        <v>7032</v>
      </c>
      <c r="P172">
        <v>55633340100</v>
      </c>
      <c r="Q172">
        <v>60030526</v>
      </c>
      <c r="R172" s="8">
        <v>35765</v>
      </c>
      <c r="S172" s="9">
        <f t="shared" si="16"/>
        <v>1997</v>
      </c>
      <c r="T172" s="9">
        <v>1997</v>
      </c>
      <c r="U172" s="9">
        <f t="shared" si="17"/>
        <v>25</v>
      </c>
      <c r="V172" s="8">
        <v>1997</v>
      </c>
      <c r="W172" t="s">
        <v>392</v>
      </c>
      <c r="X172" s="2">
        <v>1.6519999999999999</v>
      </c>
      <c r="Y172" s="7">
        <f t="shared" si="18"/>
        <v>4.409919649769093E-2</v>
      </c>
      <c r="AA172" t="s">
        <v>391</v>
      </c>
      <c r="AB172">
        <v>17337</v>
      </c>
      <c r="AD172" t="s">
        <v>1</v>
      </c>
      <c r="AE172">
        <v>45</v>
      </c>
      <c r="AF172">
        <v>10</v>
      </c>
      <c r="AH172" t="s">
        <v>7031</v>
      </c>
      <c r="AI172" t="s">
        <v>7030</v>
      </c>
      <c r="AJ172" t="s">
        <v>7029</v>
      </c>
      <c r="AK172" t="s">
        <v>7028</v>
      </c>
      <c r="AL172">
        <v>71</v>
      </c>
      <c r="AM172" s="5">
        <f t="shared" si="19"/>
        <v>2.84</v>
      </c>
      <c r="AN172" s="4">
        <f t="shared" si="20"/>
        <v>4.3014009844755769E-3</v>
      </c>
      <c r="AO172" s="3"/>
      <c r="AP172">
        <v>0</v>
      </c>
      <c r="AR172" t="s">
        <v>0</v>
      </c>
      <c r="AT172" s="2" t="s">
        <v>5</v>
      </c>
      <c r="AU172" s="1">
        <f t="shared" si="21"/>
        <v>3.2159857843726325</v>
      </c>
      <c r="AV172" s="1">
        <f t="shared" si="22"/>
        <v>2.4200298741083253</v>
      </c>
      <c r="AW172" s="1">
        <f t="shared" si="23"/>
        <v>1.6240739638440183</v>
      </c>
    </row>
    <row r="173" spans="1:49" x14ac:dyDescent="0.2">
      <c r="A173">
        <v>171</v>
      </c>
      <c r="B173" t="s">
        <v>7027</v>
      </c>
      <c r="C173" t="s">
        <v>7026</v>
      </c>
      <c r="D173" t="s">
        <v>7025</v>
      </c>
      <c r="F173" t="s">
        <v>7024</v>
      </c>
      <c r="G173" t="s">
        <v>4</v>
      </c>
      <c r="H173" t="s">
        <v>3</v>
      </c>
      <c r="I173" t="s">
        <v>7023</v>
      </c>
      <c r="J173">
        <v>60018363</v>
      </c>
      <c r="K173" t="s">
        <v>7022</v>
      </c>
      <c r="L173" t="s">
        <v>7021</v>
      </c>
      <c r="M173" t="s">
        <v>116</v>
      </c>
      <c r="N173">
        <v>1</v>
      </c>
      <c r="O173" t="s">
        <v>7020</v>
      </c>
      <c r="P173">
        <v>6701316004</v>
      </c>
      <c r="Q173">
        <v>60018363</v>
      </c>
      <c r="R173" s="8">
        <v>35765</v>
      </c>
      <c r="S173" s="9">
        <f t="shared" si="16"/>
        <v>1997</v>
      </c>
      <c r="T173" s="9">
        <v>1997</v>
      </c>
      <c r="U173" s="9">
        <f t="shared" si="17"/>
        <v>25</v>
      </c>
      <c r="V173" s="8">
        <v>1997</v>
      </c>
      <c r="W173" t="s">
        <v>392</v>
      </c>
      <c r="X173" s="2">
        <v>1.6519999999999999</v>
      </c>
      <c r="Y173" s="7">
        <f t="shared" si="18"/>
        <v>4.409919649769093E-2</v>
      </c>
      <c r="AA173" t="s">
        <v>391</v>
      </c>
      <c r="AB173">
        <v>17337</v>
      </c>
      <c r="AD173" t="s">
        <v>1</v>
      </c>
      <c r="AE173">
        <v>45</v>
      </c>
      <c r="AF173">
        <v>10</v>
      </c>
      <c r="AH173" t="s">
        <v>7019</v>
      </c>
      <c r="AI173" t="s">
        <v>7018</v>
      </c>
      <c r="AJ173" t="s">
        <v>7017</v>
      </c>
      <c r="AK173" t="s">
        <v>7016</v>
      </c>
      <c r="AL173">
        <v>39</v>
      </c>
      <c r="AM173" s="5">
        <f t="shared" si="19"/>
        <v>1.56</v>
      </c>
      <c r="AN173" s="4">
        <f t="shared" si="20"/>
        <v>2.3627413858386976E-3</v>
      </c>
      <c r="AO173" s="3"/>
      <c r="AP173">
        <v>0</v>
      </c>
      <c r="AR173" t="s">
        <v>0</v>
      </c>
      <c r="AT173" s="2" t="s">
        <v>5</v>
      </c>
      <c r="AU173" s="1">
        <f t="shared" si="21"/>
        <v>3.1578259964135262</v>
      </c>
      <c r="AV173" s="1">
        <f t="shared" si="22"/>
        <v>2.3230968941764814</v>
      </c>
      <c r="AW173" s="1">
        <f t="shared" si="23"/>
        <v>1.4883677919394367</v>
      </c>
    </row>
    <row r="174" spans="1:49" x14ac:dyDescent="0.2">
      <c r="A174">
        <v>172</v>
      </c>
      <c r="B174" t="s">
        <v>7015</v>
      </c>
      <c r="C174" t="s">
        <v>7014</v>
      </c>
      <c r="D174" t="s">
        <v>7013</v>
      </c>
      <c r="F174" t="s">
        <v>7012</v>
      </c>
      <c r="G174" t="s">
        <v>4</v>
      </c>
      <c r="H174" t="s">
        <v>3</v>
      </c>
      <c r="I174" t="s">
        <v>7011</v>
      </c>
      <c r="J174">
        <v>60026638</v>
      </c>
      <c r="K174" t="s">
        <v>7010</v>
      </c>
      <c r="L174" t="s">
        <v>6084</v>
      </c>
      <c r="M174" t="s">
        <v>179</v>
      </c>
      <c r="N174">
        <v>2</v>
      </c>
      <c r="O174" t="s">
        <v>7009</v>
      </c>
      <c r="P174" t="s">
        <v>7008</v>
      </c>
      <c r="Q174" t="s">
        <v>7007</v>
      </c>
      <c r="R174" s="8">
        <v>35765</v>
      </c>
      <c r="S174" s="9">
        <f t="shared" si="16"/>
        <v>1997</v>
      </c>
      <c r="T174" s="9">
        <v>1997</v>
      </c>
      <c r="U174" s="9">
        <f t="shared" si="17"/>
        <v>25</v>
      </c>
      <c r="V174" s="8">
        <v>1997</v>
      </c>
      <c r="W174" t="s">
        <v>4294</v>
      </c>
      <c r="X174" s="2">
        <v>1.468</v>
      </c>
      <c r="Y174" s="7">
        <f t="shared" si="18"/>
        <v>3.9187421585115186E-2</v>
      </c>
      <c r="AA174">
        <v>906778</v>
      </c>
      <c r="AB174">
        <v>18931</v>
      </c>
      <c r="AD174" t="s">
        <v>1</v>
      </c>
      <c r="AE174">
        <v>45</v>
      </c>
      <c r="AF174">
        <v>10</v>
      </c>
      <c r="AH174" t="s">
        <v>6228</v>
      </c>
      <c r="AI174" t="s">
        <v>7006</v>
      </c>
      <c r="AK174" t="s">
        <v>7005</v>
      </c>
      <c r="AL174">
        <v>99</v>
      </c>
      <c r="AM174" s="5">
        <f t="shared" si="19"/>
        <v>3.96</v>
      </c>
      <c r="AN174" s="4">
        <f t="shared" si="20"/>
        <v>5.9977281332828473E-3</v>
      </c>
      <c r="AO174" s="3"/>
      <c r="AP174">
        <v>0</v>
      </c>
      <c r="AQ174" t="s">
        <v>7004</v>
      </c>
      <c r="AR174" t="s">
        <v>0</v>
      </c>
      <c r="AS174" t="s">
        <v>477</v>
      </c>
      <c r="AT174" s="2">
        <v>5.0830000000000002</v>
      </c>
      <c r="AU174" s="1">
        <f t="shared" si="21"/>
        <v>2.9230513549565482</v>
      </c>
      <c r="AV174" s="1">
        <f t="shared" si="22"/>
        <v>2.2592574859199015</v>
      </c>
      <c r="AW174" s="1">
        <f t="shared" si="23"/>
        <v>1.595463616883255</v>
      </c>
    </row>
    <row r="175" spans="1:49" x14ac:dyDescent="0.2">
      <c r="A175">
        <v>173</v>
      </c>
      <c r="B175" t="s">
        <v>7003</v>
      </c>
      <c r="C175" t="s">
        <v>7002</v>
      </c>
      <c r="D175" t="s">
        <v>7001</v>
      </c>
      <c r="F175" t="s">
        <v>7000</v>
      </c>
      <c r="G175" t="s">
        <v>4</v>
      </c>
      <c r="H175" t="s">
        <v>3</v>
      </c>
      <c r="I175" t="s">
        <v>6999</v>
      </c>
      <c r="J175">
        <v>60019702</v>
      </c>
      <c r="K175" t="s">
        <v>382</v>
      </c>
      <c r="L175" t="s">
        <v>381</v>
      </c>
      <c r="M175" t="s">
        <v>8</v>
      </c>
      <c r="N175">
        <v>1</v>
      </c>
      <c r="O175" t="s">
        <v>6998</v>
      </c>
      <c r="P175">
        <v>54679550000</v>
      </c>
      <c r="Q175">
        <v>60019702</v>
      </c>
      <c r="R175" s="8">
        <v>35765</v>
      </c>
      <c r="S175" s="9">
        <f t="shared" si="16"/>
        <v>1997</v>
      </c>
      <c r="T175" s="9">
        <v>1997</v>
      </c>
      <c r="U175" s="9">
        <f t="shared" si="17"/>
        <v>25</v>
      </c>
      <c r="V175" s="8">
        <v>1997</v>
      </c>
      <c r="W175" t="s">
        <v>392</v>
      </c>
      <c r="X175" s="2">
        <v>1.6519999999999999</v>
      </c>
      <c r="Y175" s="7">
        <f t="shared" si="18"/>
        <v>4.409919649769093E-2</v>
      </c>
      <c r="AA175" t="s">
        <v>391</v>
      </c>
      <c r="AB175">
        <v>17337</v>
      </c>
      <c r="AD175" t="s">
        <v>1</v>
      </c>
      <c r="AE175">
        <v>45</v>
      </c>
      <c r="AF175">
        <v>10</v>
      </c>
      <c r="AH175" t="s">
        <v>6997</v>
      </c>
      <c r="AI175" t="s">
        <v>6996</v>
      </c>
      <c r="AJ175" t="s">
        <v>4967</v>
      </c>
      <c r="AK175" t="s">
        <v>6995</v>
      </c>
      <c r="AL175">
        <v>355</v>
      </c>
      <c r="AM175" s="5">
        <f t="shared" si="19"/>
        <v>14.2</v>
      </c>
      <c r="AN175" s="4">
        <f t="shared" si="20"/>
        <v>2.1507004922377886E-2</v>
      </c>
      <c r="AO175" s="3"/>
      <c r="AP175">
        <v>0</v>
      </c>
      <c r="AR175" t="s">
        <v>6994</v>
      </c>
      <c r="AS175" t="s">
        <v>382</v>
      </c>
      <c r="AT175" s="2" t="s">
        <v>5</v>
      </c>
      <c r="AU175" s="1">
        <f t="shared" si="21"/>
        <v>3.7321539025097015</v>
      </c>
      <c r="AV175" s="1">
        <f t="shared" si="22"/>
        <v>3.280310071003441</v>
      </c>
      <c r="AW175" s="1">
        <f t="shared" si="23"/>
        <v>2.8284662394971796</v>
      </c>
    </row>
    <row r="176" spans="1:49" x14ac:dyDescent="0.2">
      <c r="A176">
        <v>174</v>
      </c>
      <c r="B176" t="s">
        <v>6993</v>
      </c>
      <c r="C176" t="s">
        <v>6992</v>
      </c>
      <c r="D176" t="s">
        <v>6991</v>
      </c>
      <c r="F176" t="s">
        <v>6990</v>
      </c>
      <c r="G176" t="s">
        <v>4</v>
      </c>
      <c r="H176" t="s">
        <v>3</v>
      </c>
      <c r="I176" t="s">
        <v>6989</v>
      </c>
      <c r="J176" t="s">
        <v>6988</v>
      </c>
      <c r="K176" t="s">
        <v>6987</v>
      </c>
      <c r="L176" t="s">
        <v>6986</v>
      </c>
      <c r="M176" t="s">
        <v>431</v>
      </c>
      <c r="N176">
        <v>1</v>
      </c>
      <c r="O176" t="s">
        <v>6985</v>
      </c>
      <c r="P176">
        <v>56211272900</v>
      </c>
      <c r="Q176" t="s">
        <v>6984</v>
      </c>
      <c r="R176" s="8">
        <v>35765</v>
      </c>
      <c r="S176" s="9">
        <f t="shared" si="16"/>
        <v>1997</v>
      </c>
      <c r="T176" s="9">
        <v>1997</v>
      </c>
      <c r="U176" s="9">
        <f t="shared" si="17"/>
        <v>25</v>
      </c>
      <c r="V176" s="8">
        <v>1997</v>
      </c>
      <c r="W176" t="s">
        <v>392</v>
      </c>
      <c r="X176" s="2">
        <v>1.6519999999999999</v>
      </c>
      <c r="Y176" s="7">
        <f t="shared" si="18"/>
        <v>4.409919649769093E-2</v>
      </c>
      <c r="AA176" t="s">
        <v>391</v>
      </c>
      <c r="AB176">
        <v>17337</v>
      </c>
      <c r="AD176" t="s">
        <v>1</v>
      </c>
      <c r="AE176">
        <v>45</v>
      </c>
      <c r="AF176">
        <v>10</v>
      </c>
      <c r="AH176" t="s">
        <v>6983</v>
      </c>
      <c r="AI176" t="s">
        <v>6982</v>
      </c>
      <c r="AJ176" t="s">
        <v>6981</v>
      </c>
      <c r="AK176" t="s">
        <v>6980</v>
      </c>
      <c r="AL176">
        <v>5</v>
      </c>
      <c r="AM176" s="5">
        <f t="shared" si="19"/>
        <v>0.2</v>
      </c>
      <c r="AN176" s="4">
        <f t="shared" si="20"/>
        <v>3.0291556228701253E-4</v>
      </c>
      <c r="AO176" s="3"/>
      <c r="AP176">
        <v>0</v>
      </c>
      <c r="AR176" t="s">
        <v>0</v>
      </c>
      <c r="AT176" s="2" t="s">
        <v>5</v>
      </c>
      <c r="AU176" s="1">
        <f t="shared" si="21"/>
        <v>3.0960312217069754</v>
      </c>
      <c r="AV176" s="1">
        <f t="shared" si="22"/>
        <v>2.2201056029988968</v>
      </c>
      <c r="AW176" s="1">
        <f t="shared" si="23"/>
        <v>1.3441799842908186</v>
      </c>
    </row>
    <row r="177" spans="1:49" x14ac:dyDescent="0.2">
      <c r="A177">
        <v>175</v>
      </c>
      <c r="B177" t="s">
        <v>6979</v>
      </c>
      <c r="C177" t="s">
        <v>6978</v>
      </c>
      <c r="D177" t="s">
        <v>6977</v>
      </c>
      <c r="F177" t="s">
        <v>6976</v>
      </c>
      <c r="G177" t="s">
        <v>4</v>
      </c>
      <c r="H177" t="s">
        <v>3</v>
      </c>
      <c r="I177" t="s">
        <v>6975</v>
      </c>
      <c r="J177">
        <v>60032503</v>
      </c>
      <c r="K177" t="s">
        <v>96</v>
      </c>
      <c r="L177" t="s">
        <v>95</v>
      </c>
      <c r="M177" t="s">
        <v>2</v>
      </c>
      <c r="N177">
        <v>1</v>
      </c>
      <c r="O177" t="s">
        <v>6974</v>
      </c>
      <c r="P177">
        <v>7006091102</v>
      </c>
      <c r="Q177">
        <v>60032503</v>
      </c>
      <c r="R177" s="8">
        <v>35765</v>
      </c>
      <c r="S177" s="9">
        <f t="shared" si="16"/>
        <v>1997</v>
      </c>
      <c r="T177" s="9">
        <v>1997</v>
      </c>
      <c r="U177" s="9">
        <f t="shared" si="17"/>
        <v>25</v>
      </c>
      <c r="V177" s="8">
        <v>1997</v>
      </c>
      <c r="W177" t="s">
        <v>392</v>
      </c>
      <c r="X177" s="2">
        <v>1.6519999999999999</v>
      </c>
      <c r="Y177" s="7">
        <f t="shared" si="18"/>
        <v>4.409919649769093E-2</v>
      </c>
      <c r="AA177" t="s">
        <v>391</v>
      </c>
      <c r="AB177">
        <v>17337</v>
      </c>
      <c r="AD177" t="s">
        <v>1</v>
      </c>
      <c r="AE177">
        <v>45</v>
      </c>
      <c r="AF177">
        <v>10</v>
      </c>
      <c r="AH177" t="s">
        <v>6973</v>
      </c>
      <c r="AI177" t="s">
        <v>6972</v>
      </c>
      <c r="AJ177" t="s">
        <v>6971</v>
      </c>
      <c r="AK177" t="s">
        <v>6970</v>
      </c>
      <c r="AL177">
        <v>39</v>
      </c>
      <c r="AM177" s="5">
        <f t="shared" si="19"/>
        <v>1.56</v>
      </c>
      <c r="AN177" s="4">
        <f t="shared" si="20"/>
        <v>2.3627413858386976E-3</v>
      </c>
      <c r="AO177" s="3"/>
      <c r="AP177">
        <v>0</v>
      </c>
      <c r="AR177" t="s">
        <v>0</v>
      </c>
      <c r="AT177" s="2" t="s">
        <v>5</v>
      </c>
      <c r="AU177" s="1">
        <f t="shared" si="21"/>
        <v>3.1578259964135262</v>
      </c>
      <c r="AV177" s="1">
        <f t="shared" si="22"/>
        <v>2.3230968941764814</v>
      </c>
      <c r="AW177" s="1">
        <f t="shared" si="23"/>
        <v>1.4883677919394367</v>
      </c>
    </row>
    <row r="178" spans="1:49" x14ac:dyDescent="0.2">
      <c r="A178">
        <v>176</v>
      </c>
      <c r="B178" t="s">
        <v>6969</v>
      </c>
      <c r="C178" t="s">
        <v>6968</v>
      </c>
      <c r="D178" t="s">
        <v>6967</v>
      </c>
      <c r="F178" t="s">
        <v>6966</v>
      </c>
      <c r="G178" t="s">
        <v>4</v>
      </c>
      <c r="H178" t="s">
        <v>3</v>
      </c>
      <c r="I178" t="s">
        <v>6965</v>
      </c>
      <c r="J178">
        <v>60011373</v>
      </c>
      <c r="K178" t="s">
        <v>323</v>
      </c>
      <c r="L178" t="s">
        <v>322</v>
      </c>
      <c r="M178" t="s">
        <v>106</v>
      </c>
      <c r="N178">
        <v>1</v>
      </c>
      <c r="O178" t="s">
        <v>6964</v>
      </c>
      <c r="P178">
        <v>6603248498</v>
      </c>
      <c r="Q178">
        <v>60011373</v>
      </c>
      <c r="R178" s="8">
        <v>35765</v>
      </c>
      <c r="S178" s="9">
        <f t="shared" si="16"/>
        <v>1997</v>
      </c>
      <c r="T178" s="9">
        <v>1997</v>
      </c>
      <c r="U178" s="9">
        <f t="shared" si="17"/>
        <v>25</v>
      </c>
      <c r="V178" s="8">
        <v>1997</v>
      </c>
      <c r="W178" t="s">
        <v>392</v>
      </c>
      <c r="X178" s="2">
        <v>1.6519999999999999</v>
      </c>
      <c r="Y178" s="7">
        <f t="shared" si="18"/>
        <v>4.409919649769093E-2</v>
      </c>
      <c r="AA178" t="s">
        <v>391</v>
      </c>
      <c r="AB178">
        <v>17337</v>
      </c>
      <c r="AD178" t="s">
        <v>1</v>
      </c>
      <c r="AE178">
        <v>45</v>
      </c>
      <c r="AF178">
        <v>10</v>
      </c>
      <c r="AH178" t="s">
        <v>6963</v>
      </c>
      <c r="AI178" t="s">
        <v>6962</v>
      </c>
      <c r="AJ178" t="s">
        <v>4216</v>
      </c>
      <c r="AK178" t="s">
        <v>6961</v>
      </c>
      <c r="AL178">
        <v>15</v>
      </c>
      <c r="AM178" s="5">
        <f t="shared" si="19"/>
        <v>0.6</v>
      </c>
      <c r="AN178" s="4">
        <f t="shared" si="20"/>
        <v>9.0874668686103744E-4</v>
      </c>
      <c r="AO178" s="3"/>
      <c r="AP178">
        <v>0</v>
      </c>
      <c r="AR178" t="s">
        <v>0</v>
      </c>
      <c r="AT178" s="2" t="s">
        <v>5</v>
      </c>
      <c r="AU178" s="1">
        <f t="shared" si="21"/>
        <v>3.1142061554441964</v>
      </c>
      <c r="AV178" s="1">
        <f t="shared" si="22"/>
        <v>2.2503971592275982</v>
      </c>
      <c r="AW178" s="1">
        <f t="shared" si="23"/>
        <v>1.3865881630110004</v>
      </c>
    </row>
    <row r="179" spans="1:49" x14ac:dyDescent="0.2">
      <c r="A179">
        <v>177</v>
      </c>
      <c r="B179" t="s">
        <v>6960</v>
      </c>
      <c r="C179" t="s">
        <v>6959</v>
      </c>
      <c r="D179" t="s">
        <v>6958</v>
      </c>
      <c r="F179" t="s">
        <v>6957</v>
      </c>
      <c r="G179" t="s">
        <v>4</v>
      </c>
      <c r="H179" t="s">
        <v>3</v>
      </c>
      <c r="I179" t="s">
        <v>264</v>
      </c>
      <c r="J179">
        <v>60002286</v>
      </c>
      <c r="K179" t="s">
        <v>263</v>
      </c>
      <c r="L179" t="s">
        <v>177</v>
      </c>
      <c r="M179" t="s">
        <v>127</v>
      </c>
      <c r="N179">
        <v>1</v>
      </c>
      <c r="O179" t="s">
        <v>6956</v>
      </c>
      <c r="P179">
        <v>7003780679</v>
      </c>
      <c r="Q179">
        <v>60002286</v>
      </c>
      <c r="R179" s="8">
        <v>35765</v>
      </c>
      <c r="S179" s="9">
        <f t="shared" si="16"/>
        <v>1997</v>
      </c>
      <c r="T179" s="9">
        <v>1997</v>
      </c>
      <c r="U179" s="9">
        <f t="shared" si="17"/>
        <v>25</v>
      </c>
      <c r="V179" s="8">
        <v>1997</v>
      </c>
      <c r="W179" t="s">
        <v>392</v>
      </c>
      <c r="X179" s="2">
        <v>1.6519999999999999</v>
      </c>
      <c r="Y179" s="7">
        <f t="shared" si="18"/>
        <v>4.409919649769093E-2</v>
      </c>
      <c r="AA179" t="s">
        <v>391</v>
      </c>
      <c r="AB179">
        <v>17337</v>
      </c>
      <c r="AD179" t="s">
        <v>1</v>
      </c>
      <c r="AE179">
        <v>45</v>
      </c>
      <c r="AF179">
        <v>10</v>
      </c>
      <c r="AH179" t="s">
        <v>6955</v>
      </c>
      <c r="AI179" t="s">
        <v>6954</v>
      </c>
      <c r="AJ179" t="s">
        <v>4202</v>
      </c>
      <c r="AK179" t="s">
        <v>6953</v>
      </c>
      <c r="AL179">
        <v>45</v>
      </c>
      <c r="AM179" s="5">
        <f t="shared" si="19"/>
        <v>1.8</v>
      </c>
      <c r="AN179" s="4">
        <f t="shared" si="20"/>
        <v>2.7262400605831123E-3</v>
      </c>
      <c r="AO179" s="3"/>
      <c r="AP179">
        <v>0</v>
      </c>
      <c r="AR179" t="s">
        <v>0</v>
      </c>
      <c r="AT179" s="2" t="s">
        <v>5</v>
      </c>
      <c r="AU179" s="1">
        <f t="shared" si="21"/>
        <v>3.1687309566558581</v>
      </c>
      <c r="AV179" s="1">
        <f t="shared" si="22"/>
        <v>2.3412718279137024</v>
      </c>
      <c r="AW179" s="1">
        <f t="shared" si="23"/>
        <v>1.5138126991715457</v>
      </c>
    </row>
    <row r="180" spans="1:49" x14ac:dyDescent="0.2">
      <c r="A180">
        <v>178</v>
      </c>
      <c r="B180" t="s">
        <v>6952</v>
      </c>
      <c r="C180" t="s">
        <v>6951</v>
      </c>
      <c r="D180" t="s">
        <v>6950</v>
      </c>
      <c r="F180" t="s">
        <v>6949</v>
      </c>
      <c r="G180" t="s">
        <v>4</v>
      </c>
      <c r="H180" t="s">
        <v>3</v>
      </c>
      <c r="I180" t="s">
        <v>6948</v>
      </c>
      <c r="J180" t="s">
        <v>219</v>
      </c>
      <c r="K180" t="s">
        <v>218</v>
      </c>
      <c r="L180" t="s">
        <v>217</v>
      </c>
      <c r="M180" t="s">
        <v>18</v>
      </c>
      <c r="N180">
        <v>1</v>
      </c>
      <c r="O180" t="s">
        <v>6947</v>
      </c>
      <c r="P180">
        <v>36059540600</v>
      </c>
      <c r="Q180" t="s">
        <v>6946</v>
      </c>
      <c r="R180" s="8">
        <v>35765</v>
      </c>
      <c r="S180" s="9">
        <f t="shared" si="16"/>
        <v>1997</v>
      </c>
      <c r="T180" s="9">
        <v>1997</v>
      </c>
      <c r="U180" s="9">
        <f t="shared" si="17"/>
        <v>25</v>
      </c>
      <c r="V180" s="8">
        <v>1997</v>
      </c>
      <c r="W180" t="s">
        <v>392</v>
      </c>
      <c r="X180" s="2">
        <v>1.6519999999999999</v>
      </c>
      <c r="Y180" s="7">
        <f t="shared" si="18"/>
        <v>4.409919649769093E-2</v>
      </c>
      <c r="AA180" t="s">
        <v>391</v>
      </c>
      <c r="AB180">
        <v>17337</v>
      </c>
      <c r="AD180" t="s">
        <v>1</v>
      </c>
      <c r="AE180">
        <v>45</v>
      </c>
      <c r="AF180">
        <v>10</v>
      </c>
      <c r="AH180" t="s">
        <v>6945</v>
      </c>
      <c r="AI180" t="s">
        <v>6944</v>
      </c>
      <c r="AJ180" t="s">
        <v>5686</v>
      </c>
      <c r="AK180" t="s">
        <v>6943</v>
      </c>
      <c r="AL180">
        <v>23</v>
      </c>
      <c r="AM180" s="5">
        <f t="shared" si="19"/>
        <v>0.92</v>
      </c>
      <c r="AN180" s="4">
        <f t="shared" si="20"/>
        <v>1.3934115865202575E-3</v>
      </c>
      <c r="AO180" s="3"/>
      <c r="AP180">
        <v>0</v>
      </c>
      <c r="AQ180" t="s">
        <v>6942</v>
      </c>
      <c r="AR180" t="s">
        <v>0</v>
      </c>
      <c r="AS180" t="s">
        <v>6941</v>
      </c>
      <c r="AT180" s="2" t="s">
        <v>5</v>
      </c>
      <c r="AU180" s="1">
        <f t="shared" si="21"/>
        <v>3.1287461024339729</v>
      </c>
      <c r="AV180" s="1">
        <f t="shared" si="22"/>
        <v>2.2746304042105594</v>
      </c>
      <c r="AW180" s="1">
        <f t="shared" si="23"/>
        <v>1.4205147059871459</v>
      </c>
    </row>
    <row r="181" spans="1:49" x14ac:dyDescent="0.2">
      <c r="A181">
        <v>179</v>
      </c>
      <c r="B181" t="s">
        <v>6940</v>
      </c>
      <c r="C181" t="s">
        <v>6939</v>
      </c>
      <c r="D181" t="s">
        <v>6938</v>
      </c>
      <c r="F181" t="s">
        <v>6937</v>
      </c>
      <c r="G181" t="s">
        <v>4</v>
      </c>
      <c r="H181" t="s">
        <v>3</v>
      </c>
      <c r="I181" t="s">
        <v>6936</v>
      </c>
      <c r="J181">
        <v>60032730</v>
      </c>
      <c r="K181" t="s">
        <v>6935</v>
      </c>
      <c r="L181" t="s">
        <v>258</v>
      </c>
      <c r="M181" t="s">
        <v>214</v>
      </c>
      <c r="N181">
        <v>4</v>
      </c>
      <c r="O181" t="s">
        <v>6934</v>
      </c>
      <c r="P181" t="s">
        <v>6933</v>
      </c>
      <c r="Q181" t="s">
        <v>6932</v>
      </c>
      <c r="R181" s="8">
        <v>35765</v>
      </c>
      <c r="S181" s="9">
        <f t="shared" si="16"/>
        <v>1997</v>
      </c>
      <c r="T181" s="9">
        <v>1997</v>
      </c>
      <c r="U181" s="9">
        <f t="shared" si="17"/>
        <v>25</v>
      </c>
      <c r="V181" s="8">
        <v>1997</v>
      </c>
      <c r="W181" t="s">
        <v>4939</v>
      </c>
      <c r="X181" s="2">
        <v>0.46</v>
      </c>
      <c r="Y181" s="7">
        <f t="shared" si="18"/>
        <v>1.2279437281439364E-2</v>
      </c>
      <c r="AA181">
        <v>933813</v>
      </c>
      <c r="AB181">
        <v>28031</v>
      </c>
      <c r="AD181" t="s">
        <v>1</v>
      </c>
      <c r="AE181">
        <v>25</v>
      </c>
      <c r="AF181">
        <v>5</v>
      </c>
      <c r="AH181" t="s">
        <v>6931</v>
      </c>
      <c r="AI181" t="s">
        <v>6930</v>
      </c>
      <c r="AJ181" t="s">
        <v>6929</v>
      </c>
      <c r="AK181" t="s">
        <v>6928</v>
      </c>
      <c r="AL181">
        <v>10</v>
      </c>
      <c r="AM181" s="5">
        <f t="shared" si="19"/>
        <v>0.4</v>
      </c>
      <c r="AN181" s="4">
        <f t="shared" si="20"/>
        <v>6.0583112457402507E-4</v>
      </c>
      <c r="AO181" s="3"/>
      <c r="AP181">
        <v>0</v>
      </c>
      <c r="AR181" t="s">
        <v>0</v>
      </c>
      <c r="AS181" t="s">
        <v>6927</v>
      </c>
      <c r="AT181" s="2">
        <v>1.222</v>
      </c>
      <c r="AU181" s="1">
        <f t="shared" si="21"/>
        <v>0.877735543437976</v>
      </c>
      <c r="AV181" s="1">
        <f t="shared" si="22"/>
        <v>0.64426342030066952</v>
      </c>
      <c r="AW181" s="1">
        <f t="shared" si="23"/>
        <v>0.41079129716336271</v>
      </c>
    </row>
    <row r="182" spans="1:49" x14ac:dyDescent="0.2">
      <c r="A182">
        <v>180</v>
      </c>
      <c r="B182" t="s">
        <v>6926</v>
      </c>
      <c r="C182" t="s">
        <v>6925</v>
      </c>
      <c r="D182" t="s">
        <v>6924</v>
      </c>
      <c r="F182" t="s">
        <v>6923</v>
      </c>
      <c r="G182" t="s">
        <v>4</v>
      </c>
      <c r="H182" t="s">
        <v>3</v>
      </c>
      <c r="I182" t="s">
        <v>4449</v>
      </c>
      <c r="J182" t="s">
        <v>6922</v>
      </c>
      <c r="K182" t="s">
        <v>6921</v>
      </c>
      <c r="L182" t="s">
        <v>601</v>
      </c>
      <c r="M182" t="s">
        <v>600</v>
      </c>
      <c r="N182">
        <v>2</v>
      </c>
      <c r="O182" t="s">
        <v>6920</v>
      </c>
      <c r="P182" t="s">
        <v>6919</v>
      </c>
      <c r="Q182" t="s">
        <v>6918</v>
      </c>
      <c r="R182" s="8">
        <v>35765</v>
      </c>
      <c r="S182" s="9">
        <f t="shared" si="16"/>
        <v>1997</v>
      </c>
      <c r="T182" s="9">
        <v>1997</v>
      </c>
      <c r="U182" s="9">
        <f t="shared" si="17"/>
        <v>25</v>
      </c>
      <c r="V182" s="8">
        <v>1997</v>
      </c>
      <c r="W182" t="s">
        <v>448</v>
      </c>
      <c r="X182" s="2">
        <v>1.3720000000000001</v>
      </c>
      <c r="Y182" s="7">
        <f t="shared" si="18"/>
        <v>3.662475641333654E-2</v>
      </c>
      <c r="AA182">
        <v>189480</v>
      </c>
      <c r="AB182">
        <v>17366</v>
      </c>
      <c r="AD182" t="s">
        <v>1</v>
      </c>
      <c r="AE182">
        <v>45</v>
      </c>
      <c r="AF182" t="s">
        <v>6842</v>
      </c>
      <c r="AH182" t="s">
        <v>6917</v>
      </c>
      <c r="AI182" t="s">
        <v>6916</v>
      </c>
      <c r="AJ182" t="s">
        <v>6915</v>
      </c>
      <c r="AK182" t="s">
        <v>6914</v>
      </c>
      <c r="AL182">
        <v>55</v>
      </c>
      <c r="AM182" s="5">
        <f t="shared" si="19"/>
        <v>2.2000000000000002</v>
      </c>
      <c r="AN182" s="4">
        <f t="shared" si="20"/>
        <v>3.3320711851571377E-3</v>
      </c>
      <c r="AO182" s="3"/>
      <c r="AP182">
        <v>0</v>
      </c>
      <c r="AQ182" t="s">
        <v>362</v>
      </c>
      <c r="AR182" t="s">
        <v>6913</v>
      </c>
      <c r="AS182" t="s">
        <v>361</v>
      </c>
      <c r="AT182" s="2" t="s">
        <v>5</v>
      </c>
      <c r="AU182" s="1">
        <f t="shared" si="21"/>
        <v>2.6636950844882721</v>
      </c>
      <c r="AV182" s="1">
        <f t="shared" si="22"/>
        <v>1.9978413799246839</v>
      </c>
      <c r="AW182" s="1">
        <f t="shared" si="23"/>
        <v>1.3319876753610957</v>
      </c>
    </row>
    <row r="183" spans="1:49" x14ac:dyDescent="0.2">
      <c r="A183">
        <v>181</v>
      </c>
      <c r="B183" t="s">
        <v>6912</v>
      </c>
      <c r="C183" t="s">
        <v>6911</v>
      </c>
      <c r="D183" t="s">
        <v>6910</v>
      </c>
      <c r="F183" t="s">
        <v>6909</v>
      </c>
      <c r="G183" t="s">
        <v>4</v>
      </c>
      <c r="H183" t="s">
        <v>3</v>
      </c>
      <c r="I183" t="s">
        <v>954</v>
      </c>
      <c r="J183" t="s">
        <v>6908</v>
      </c>
      <c r="K183" t="s">
        <v>6907</v>
      </c>
      <c r="L183" t="s">
        <v>6906</v>
      </c>
      <c r="M183" t="s">
        <v>68</v>
      </c>
      <c r="N183">
        <v>4</v>
      </c>
      <c r="O183" t="s">
        <v>6905</v>
      </c>
      <c r="P183" t="s">
        <v>6904</v>
      </c>
      <c r="Q183" t="s">
        <v>6903</v>
      </c>
      <c r="R183" s="8">
        <v>35765</v>
      </c>
      <c r="S183" s="9">
        <f t="shared" si="16"/>
        <v>1997</v>
      </c>
      <c r="T183" s="9">
        <v>1997</v>
      </c>
      <c r="U183" s="9">
        <f t="shared" si="17"/>
        <v>25</v>
      </c>
      <c r="V183" s="8">
        <v>1997</v>
      </c>
      <c r="W183" t="s">
        <v>448</v>
      </c>
      <c r="X183" s="2">
        <v>1.3720000000000001</v>
      </c>
      <c r="Y183" s="7">
        <f t="shared" si="18"/>
        <v>3.662475641333654E-2</v>
      </c>
      <c r="AA183">
        <v>189480</v>
      </c>
      <c r="AB183">
        <v>17366</v>
      </c>
      <c r="AD183" t="s">
        <v>1</v>
      </c>
      <c r="AE183">
        <v>45</v>
      </c>
      <c r="AF183" t="s">
        <v>6842</v>
      </c>
      <c r="AH183" t="s">
        <v>6902</v>
      </c>
      <c r="AI183" t="s">
        <v>6901</v>
      </c>
      <c r="AJ183" t="s">
        <v>6900</v>
      </c>
      <c r="AK183" t="s">
        <v>6899</v>
      </c>
      <c r="AL183">
        <v>42</v>
      </c>
      <c r="AM183" s="5">
        <f t="shared" si="19"/>
        <v>1.68</v>
      </c>
      <c r="AN183" s="4">
        <f t="shared" si="20"/>
        <v>2.5444907232109047E-3</v>
      </c>
      <c r="AO183" s="3"/>
      <c r="AP183">
        <v>0</v>
      </c>
      <c r="AQ183" t="s">
        <v>443</v>
      </c>
      <c r="AR183" t="s">
        <v>6898</v>
      </c>
      <c r="AS183" t="s">
        <v>442</v>
      </c>
      <c r="AT183" s="2" t="s">
        <v>5</v>
      </c>
      <c r="AU183" s="1">
        <f t="shared" si="21"/>
        <v>2.6400676706298847</v>
      </c>
      <c r="AV183" s="1">
        <f t="shared" si="22"/>
        <v>1.9584623568273722</v>
      </c>
      <c r="AW183" s="1">
        <f t="shared" si="23"/>
        <v>1.2768570430248596</v>
      </c>
    </row>
    <row r="184" spans="1:49" x14ac:dyDescent="0.2">
      <c r="A184">
        <v>182</v>
      </c>
      <c r="B184" t="s">
        <v>6897</v>
      </c>
      <c r="C184" t="s">
        <v>6896</v>
      </c>
      <c r="D184" t="s">
        <v>6895</v>
      </c>
      <c r="F184" t="s">
        <v>6894</v>
      </c>
      <c r="G184" t="s">
        <v>4</v>
      </c>
      <c r="H184" t="s">
        <v>3</v>
      </c>
      <c r="I184" t="s">
        <v>6893</v>
      </c>
      <c r="J184">
        <v>60003892</v>
      </c>
      <c r="K184" t="s">
        <v>183</v>
      </c>
      <c r="L184" t="s">
        <v>182</v>
      </c>
      <c r="M184" t="s">
        <v>2</v>
      </c>
      <c r="N184">
        <v>3</v>
      </c>
      <c r="O184" t="s">
        <v>6892</v>
      </c>
      <c r="P184" t="s">
        <v>6891</v>
      </c>
      <c r="Q184" t="s">
        <v>6890</v>
      </c>
      <c r="R184" s="8">
        <v>35765</v>
      </c>
      <c r="S184" s="9">
        <f t="shared" si="16"/>
        <v>1997</v>
      </c>
      <c r="T184" s="9">
        <v>1997</v>
      </c>
      <c r="U184" s="9">
        <f t="shared" si="17"/>
        <v>25</v>
      </c>
      <c r="V184" s="8">
        <v>1997</v>
      </c>
      <c r="W184" t="s">
        <v>448</v>
      </c>
      <c r="X184" s="2">
        <v>1.3720000000000001</v>
      </c>
      <c r="Y184" s="7">
        <f t="shared" si="18"/>
        <v>3.662475641333654E-2</v>
      </c>
      <c r="AA184">
        <v>189480</v>
      </c>
      <c r="AB184">
        <v>17366</v>
      </c>
      <c r="AD184" t="s">
        <v>1</v>
      </c>
      <c r="AE184">
        <v>45</v>
      </c>
      <c r="AF184" t="s">
        <v>6876</v>
      </c>
      <c r="AH184" t="s">
        <v>6889</v>
      </c>
      <c r="AI184" t="s">
        <v>6888</v>
      </c>
      <c r="AJ184" t="s">
        <v>6887</v>
      </c>
      <c r="AK184" t="s">
        <v>6886</v>
      </c>
      <c r="AL184">
        <v>41</v>
      </c>
      <c r="AM184" s="5">
        <f t="shared" si="19"/>
        <v>1.64</v>
      </c>
      <c r="AN184" s="4">
        <f t="shared" si="20"/>
        <v>2.4839076107535025E-3</v>
      </c>
      <c r="AO184" s="3"/>
      <c r="AP184">
        <v>0</v>
      </c>
      <c r="AR184" t="s">
        <v>6885</v>
      </c>
      <c r="AT184" s="2" t="s">
        <v>5</v>
      </c>
      <c r="AU184" s="1">
        <f t="shared" si="21"/>
        <v>2.6382501772561624</v>
      </c>
      <c r="AV184" s="1">
        <f t="shared" si="22"/>
        <v>1.9554332012045021</v>
      </c>
      <c r="AW184" s="1">
        <f t="shared" si="23"/>
        <v>1.2726162251528415</v>
      </c>
    </row>
    <row r="185" spans="1:49" x14ac:dyDescent="0.2">
      <c r="A185">
        <v>183</v>
      </c>
      <c r="B185" t="s">
        <v>6884</v>
      </c>
      <c r="C185" t="s">
        <v>6883</v>
      </c>
      <c r="D185" t="s">
        <v>6882</v>
      </c>
      <c r="F185" t="s">
        <v>6881</v>
      </c>
      <c r="G185" t="s">
        <v>4</v>
      </c>
      <c r="H185" t="s">
        <v>3</v>
      </c>
      <c r="I185" t="s">
        <v>6880</v>
      </c>
      <c r="J185">
        <v>60010065</v>
      </c>
      <c r="K185" t="s">
        <v>17</v>
      </c>
      <c r="L185" t="s">
        <v>16</v>
      </c>
      <c r="M185" t="s">
        <v>2</v>
      </c>
      <c r="N185">
        <v>2</v>
      </c>
      <c r="O185" t="s">
        <v>6879</v>
      </c>
      <c r="P185" t="s">
        <v>6878</v>
      </c>
      <c r="Q185" t="s">
        <v>6877</v>
      </c>
      <c r="R185" s="8">
        <v>35765</v>
      </c>
      <c r="S185" s="9">
        <f t="shared" si="16"/>
        <v>1997</v>
      </c>
      <c r="T185" s="9">
        <v>1997</v>
      </c>
      <c r="U185" s="9">
        <f t="shared" si="17"/>
        <v>25</v>
      </c>
      <c r="V185" s="8">
        <v>1997</v>
      </c>
      <c r="W185" t="s">
        <v>448</v>
      </c>
      <c r="X185" s="2">
        <v>1.3720000000000001</v>
      </c>
      <c r="Y185" s="7">
        <f t="shared" si="18"/>
        <v>3.662475641333654E-2</v>
      </c>
      <c r="AA185">
        <v>189480</v>
      </c>
      <c r="AB185">
        <v>17366</v>
      </c>
      <c r="AD185" t="s">
        <v>1</v>
      </c>
      <c r="AE185">
        <v>45</v>
      </c>
      <c r="AF185" t="s">
        <v>6876</v>
      </c>
      <c r="AH185" t="s">
        <v>6875</v>
      </c>
      <c r="AI185" t="s">
        <v>6874</v>
      </c>
      <c r="AJ185" t="s">
        <v>6873</v>
      </c>
      <c r="AK185" t="s">
        <v>6872</v>
      </c>
      <c r="AL185">
        <v>237</v>
      </c>
      <c r="AM185" s="5">
        <f t="shared" si="19"/>
        <v>9.48</v>
      </c>
      <c r="AN185" s="4">
        <f t="shared" si="20"/>
        <v>1.4358197652404392E-2</v>
      </c>
      <c r="AO185" s="3"/>
      <c r="AP185">
        <v>0</v>
      </c>
      <c r="AQ185" t="s">
        <v>6871</v>
      </c>
      <c r="AR185" t="s">
        <v>0</v>
      </c>
      <c r="AS185" t="s">
        <v>6870</v>
      </c>
      <c r="AT185" s="2" t="s">
        <v>5</v>
      </c>
      <c r="AU185" s="1">
        <f t="shared" si="21"/>
        <v>2.9944788785056895</v>
      </c>
      <c r="AV185" s="1">
        <f t="shared" si="22"/>
        <v>2.5491477032870464</v>
      </c>
      <c r="AW185" s="1">
        <f t="shared" si="23"/>
        <v>2.1038165280684038</v>
      </c>
    </row>
    <row r="186" spans="1:49" x14ac:dyDescent="0.2">
      <c r="A186">
        <v>184</v>
      </c>
      <c r="B186" t="s">
        <v>6869</v>
      </c>
      <c r="C186" t="s">
        <v>6868</v>
      </c>
      <c r="D186" t="s">
        <v>6867</v>
      </c>
      <c r="F186" t="s">
        <v>6866</v>
      </c>
      <c r="G186" t="s">
        <v>4</v>
      </c>
      <c r="H186" t="s">
        <v>3</v>
      </c>
      <c r="I186" t="s">
        <v>6865</v>
      </c>
      <c r="J186" t="s">
        <v>6864</v>
      </c>
      <c r="K186" t="s">
        <v>6863</v>
      </c>
      <c r="L186" t="s">
        <v>6862</v>
      </c>
      <c r="M186" t="s">
        <v>676</v>
      </c>
      <c r="N186">
        <v>4</v>
      </c>
      <c r="O186" t="s">
        <v>6861</v>
      </c>
      <c r="P186" t="s">
        <v>6860</v>
      </c>
      <c r="Q186" t="s">
        <v>6859</v>
      </c>
      <c r="R186" s="8">
        <v>35765</v>
      </c>
      <c r="S186" s="9">
        <f t="shared" si="16"/>
        <v>1997</v>
      </c>
      <c r="T186" s="9">
        <v>1997</v>
      </c>
      <c r="U186" s="9">
        <f t="shared" si="17"/>
        <v>25</v>
      </c>
      <c r="V186" s="8">
        <v>1997</v>
      </c>
      <c r="W186" t="s">
        <v>448</v>
      </c>
      <c r="X186" s="2">
        <v>1.3720000000000001</v>
      </c>
      <c r="Y186" s="7">
        <f t="shared" si="18"/>
        <v>3.662475641333654E-2</v>
      </c>
      <c r="AA186">
        <v>189480</v>
      </c>
      <c r="AB186">
        <v>17366</v>
      </c>
      <c r="AD186" t="s">
        <v>1</v>
      </c>
      <c r="AE186">
        <v>45</v>
      </c>
      <c r="AF186" t="s">
        <v>6842</v>
      </c>
      <c r="AH186" t="s">
        <v>6858</v>
      </c>
      <c r="AI186" t="s">
        <v>6857</v>
      </c>
      <c r="AJ186" t="s">
        <v>6856</v>
      </c>
      <c r="AK186" t="s">
        <v>6855</v>
      </c>
      <c r="AL186">
        <v>5</v>
      </c>
      <c r="AM186" s="5">
        <f t="shared" si="19"/>
        <v>0.2</v>
      </c>
      <c r="AN186" s="4">
        <f t="shared" si="20"/>
        <v>3.0291556228701253E-4</v>
      </c>
      <c r="AO186" s="3"/>
      <c r="AP186">
        <v>0</v>
      </c>
      <c r="AR186" t="s">
        <v>0</v>
      </c>
      <c r="AT186" s="2" t="s">
        <v>5</v>
      </c>
      <c r="AU186" s="1">
        <f t="shared" si="21"/>
        <v>2.5728204158021679</v>
      </c>
      <c r="AV186" s="1">
        <f t="shared" si="22"/>
        <v>1.8463835987811774</v>
      </c>
      <c r="AW186" s="1">
        <f t="shared" si="23"/>
        <v>1.1199467817601871</v>
      </c>
    </row>
    <row r="187" spans="1:49" x14ac:dyDescent="0.2">
      <c r="A187">
        <v>185</v>
      </c>
      <c r="B187" t="s">
        <v>6854</v>
      </c>
      <c r="C187" t="s">
        <v>6853</v>
      </c>
      <c r="D187" t="s">
        <v>6852</v>
      </c>
      <c r="F187" t="s">
        <v>6851</v>
      </c>
      <c r="G187" t="s">
        <v>4</v>
      </c>
      <c r="H187" t="s">
        <v>3</v>
      </c>
      <c r="I187" t="s">
        <v>6850</v>
      </c>
      <c r="J187" t="s">
        <v>6849</v>
      </c>
      <c r="K187" t="s">
        <v>6848</v>
      </c>
      <c r="L187" t="s">
        <v>6847</v>
      </c>
      <c r="M187" t="s">
        <v>6846</v>
      </c>
      <c r="N187">
        <v>3</v>
      </c>
      <c r="O187" t="s">
        <v>6845</v>
      </c>
      <c r="P187" t="s">
        <v>6844</v>
      </c>
      <c r="Q187" t="s">
        <v>6843</v>
      </c>
      <c r="R187" s="8">
        <v>35765</v>
      </c>
      <c r="S187" s="9">
        <f t="shared" si="16"/>
        <v>1997</v>
      </c>
      <c r="T187" s="9">
        <v>1997</v>
      </c>
      <c r="U187" s="9">
        <f t="shared" si="17"/>
        <v>25</v>
      </c>
      <c r="V187" s="8">
        <v>1997</v>
      </c>
      <c r="W187" t="s">
        <v>448</v>
      </c>
      <c r="X187" s="2">
        <v>1.3720000000000001</v>
      </c>
      <c r="Y187" s="7">
        <f t="shared" si="18"/>
        <v>3.662475641333654E-2</v>
      </c>
      <c r="AA187">
        <v>189480</v>
      </c>
      <c r="AB187">
        <v>17366</v>
      </c>
      <c r="AD187" t="s">
        <v>1</v>
      </c>
      <c r="AE187">
        <v>45</v>
      </c>
      <c r="AF187" t="s">
        <v>6842</v>
      </c>
      <c r="AH187" t="s">
        <v>6841</v>
      </c>
      <c r="AI187" t="s">
        <v>6840</v>
      </c>
      <c r="AJ187" t="s">
        <v>6839</v>
      </c>
      <c r="AK187" t="s">
        <v>6838</v>
      </c>
      <c r="AL187">
        <v>1</v>
      </c>
      <c r="AM187" s="5">
        <f t="shared" si="19"/>
        <v>0.04</v>
      </c>
      <c r="AN187" s="4">
        <f t="shared" si="20"/>
        <v>6.05831124574025E-5</v>
      </c>
      <c r="AO187" s="3"/>
      <c r="AP187">
        <v>0</v>
      </c>
      <c r="AR187" t="s">
        <v>0</v>
      </c>
      <c r="AT187" s="2" t="s">
        <v>5</v>
      </c>
      <c r="AU187" s="1">
        <f t="shared" si="21"/>
        <v>2.5655504423072797</v>
      </c>
      <c r="AV187" s="1">
        <f t="shared" si="22"/>
        <v>1.834266976289697</v>
      </c>
      <c r="AW187" s="1">
        <f t="shared" si="23"/>
        <v>1.1029835102721144</v>
      </c>
    </row>
    <row r="188" spans="1:49" x14ac:dyDescent="0.2">
      <c r="A188">
        <v>186</v>
      </c>
      <c r="B188" t="s">
        <v>6837</v>
      </c>
      <c r="C188" t="s">
        <v>6836</v>
      </c>
      <c r="D188" t="s">
        <v>6835</v>
      </c>
      <c r="F188" t="s">
        <v>6834</v>
      </c>
      <c r="G188" t="s">
        <v>4</v>
      </c>
      <c r="H188" t="s">
        <v>3</v>
      </c>
      <c r="I188" t="s">
        <v>6833</v>
      </c>
      <c r="J188">
        <v>60008088</v>
      </c>
      <c r="K188" t="s">
        <v>47</v>
      </c>
      <c r="L188" t="s">
        <v>46</v>
      </c>
      <c r="M188" t="s">
        <v>45</v>
      </c>
      <c r="N188">
        <v>4</v>
      </c>
      <c r="O188" t="s">
        <v>6832</v>
      </c>
      <c r="P188" t="s">
        <v>6831</v>
      </c>
      <c r="Q188" t="s">
        <v>6830</v>
      </c>
      <c r="R188" s="8">
        <v>35765</v>
      </c>
      <c r="S188" s="9">
        <f t="shared" si="16"/>
        <v>1997</v>
      </c>
      <c r="T188" s="9">
        <v>1997</v>
      </c>
      <c r="U188" s="9">
        <f t="shared" si="17"/>
        <v>25</v>
      </c>
      <c r="V188" s="8">
        <v>1997</v>
      </c>
      <c r="W188" t="s">
        <v>280</v>
      </c>
      <c r="X188" s="2">
        <v>1.3280000000000001</v>
      </c>
      <c r="Y188" s="7">
        <f t="shared" si="18"/>
        <v>3.5450201542937994E-2</v>
      </c>
      <c r="AA188">
        <v>7413335</v>
      </c>
      <c r="AB188">
        <v>29251</v>
      </c>
      <c r="AD188" t="s">
        <v>1</v>
      </c>
      <c r="AE188">
        <v>39</v>
      </c>
      <c r="AF188">
        <v>10</v>
      </c>
      <c r="AH188" t="s">
        <v>6829</v>
      </c>
      <c r="AI188" t="s">
        <v>6828</v>
      </c>
      <c r="AK188" t="s">
        <v>6827</v>
      </c>
      <c r="AL188">
        <v>9</v>
      </c>
      <c r="AM188" s="5">
        <f t="shared" si="19"/>
        <v>0.36</v>
      </c>
      <c r="AN188" s="4">
        <f t="shared" si="20"/>
        <v>5.4524801211662251E-4</v>
      </c>
      <c r="AO188" s="3"/>
      <c r="AP188">
        <v>0</v>
      </c>
      <c r="AR188" t="s">
        <v>0</v>
      </c>
      <c r="AT188" s="2">
        <v>2.4580000000000002</v>
      </c>
      <c r="AU188" s="1">
        <f t="shared" si="21"/>
        <v>2.497871548369158</v>
      </c>
      <c r="AV188" s="1">
        <f t="shared" si="22"/>
        <v>1.7997724777527309</v>
      </c>
      <c r="AW188" s="1">
        <f t="shared" si="23"/>
        <v>1.1016734071363035</v>
      </c>
    </row>
    <row r="189" spans="1:49" x14ac:dyDescent="0.2">
      <c r="A189">
        <v>187</v>
      </c>
      <c r="B189" t="s">
        <v>6826</v>
      </c>
      <c r="C189" t="s">
        <v>6825</v>
      </c>
      <c r="D189" t="s">
        <v>6824</v>
      </c>
      <c r="F189" t="s">
        <v>6823</v>
      </c>
      <c r="G189" t="s">
        <v>4</v>
      </c>
      <c r="H189" t="s">
        <v>3</v>
      </c>
      <c r="I189" t="s">
        <v>6822</v>
      </c>
      <c r="J189">
        <v>60028186</v>
      </c>
      <c r="K189" t="s">
        <v>427</v>
      </c>
      <c r="L189" t="s">
        <v>426</v>
      </c>
      <c r="M189" t="s">
        <v>81</v>
      </c>
      <c r="N189">
        <v>2</v>
      </c>
      <c r="O189" t="s">
        <v>6821</v>
      </c>
      <c r="P189" t="s">
        <v>6820</v>
      </c>
      <c r="Q189" t="s">
        <v>6819</v>
      </c>
      <c r="R189" s="8">
        <v>35765</v>
      </c>
      <c r="S189" s="9">
        <f t="shared" si="16"/>
        <v>1997</v>
      </c>
      <c r="T189" s="9">
        <v>1997</v>
      </c>
      <c r="U189" s="9">
        <f t="shared" si="17"/>
        <v>25</v>
      </c>
      <c r="V189" s="8">
        <v>1997</v>
      </c>
      <c r="W189" t="s">
        <v>392</v>
      </c>
      <c r="X189" s="2">
        <v>1.6519999999999999</v>
      </c>
      <c r="Y189" s="7">
        <f t="shared" si="18"/>
        <v>4.409919649769093E-2</v>
      </c>
      <c r="AA189" t="s">
        <v>391</v>
      </c>
      <c r="AB189">
        <v>17337</v>
      </c>
      <c r="AD189" t="s">
        <v>1</v>
      </c>
      <c r="AE189">
        <v>45</v>
      </c>
      <c r="AF189">
        <v>9</v>
      </c>
      <c r="AH189" t="s">
        <v>6818</v>
      </c>
      <c r="AI189" t="s">
        <v>6817</v>
      </c>
      <c r="AJ189" t="s">
        <v>6816</v>
      </c>
      <c r="AK189" t="s">
        <v>6815</v>
      </c>
      <c r="AL189">
        <v>28</v>
      </c>
      <c r="AM189" s="5">
        <f t="shared" si="19"/>
        <v>1.1200000000000001</v>
      </c>
      <c r="AN189" s="4">
        <f t="shared" si="20"/>
        <v>1.6963271488072702E-3</v>
      </c>
      <c r="AO189" s="3"/>
      <c r="AP189">
        <v>0</v>
      </c>
      <c r="AR189" t="s">
        <v>0</v>
      </c>
      <c r="AT189" s="2" t="s">
        <v>5</v>
      </c>
      <c r="AU189" s="1">
        <f t="shared" si="21"/>
        <v>3.1378335693025829</v>
      </c>
      <c r="AV189" s="1">
        <f t="shared" si="22"/>
        <v>2.2897761823249101</v>
      </c>
      <c r="AW189" s="1">
        <f t="shared" si="23"/>
        <v>1.4417187953472366</v>
      </c>
    </row>
    <row r="190" spans="1:49" x14ac:dyDescent="0.2">
      <c r="A190">
        <v>188</v>
      </c>
      <c r="B190" t="s">
        <v>6814</v>
      </c>
      <c r="C190" t="s">
        <v>6813</v>
      </c>
      <c r="D190" t="s">
        <v>6812</v>
      </c>
      <c r="F190" t="s">
        <v>6811</v>
      </c>
      <c r="G190" t="s">
        <v>4</v>
      </c>
      <c r="H190" t="s">
        <v>3</v>
      </c>
      <c r="I190" t="s">
        <v>271</v>
      </c>
      <c r="J190">
        <v>60024872</v>
      </c>
      <c r="K190" t="s">
        <v>6810</v>
      </c>
      <c r="L190" t="s">
        <v>304</v>
      </c>
      <c r="M190" t="s">
        <v>303</v>
      </c>
      <c r="N190">
        <v>2</v>
      </c>
      <c r="O190" t="s">
        <v>6809</v>
      </c>
      <c r="P190" t="s">
        <v>6808</v>
      </c>
      <c r="Q190" t="s">
        <v>6807</v>
      </c>
      <c r="R190" s="8">
        <v>35765</v>
      </c>
      <c r="S190" s="9">
        <f t="shared" si="16"/>
        <v>1997</v>
      </c>
      <c r="T190" s="9">
        <v>1997</v>
      </c>
      <c r="U190" s="9">
        <f t="shared" si="17"/>
        <v>25</v>
      </c>
      <c r="V190" s="8">
        <v>1997</v>
      </c>
      <c r="W190" t="s">
        <v>392</v>
      </c>
      <c r="X190" s="2">
        <v>1.6519999999999999</v>
      </c>
      <c r="Y190" s="7">
        <f t="shared" si="18"/>
        <v>4.409919649769093E-2</v>
      </c>
      <c r="AA190" t="s">
        <v>391</v>
      </c>
      <c r="AB190">
        <v>17337</v>
      </c>
      <c r="AD190" t="s">
        <v>1</v>
      </c>
      <c r="AE190">
        <v>45</v>
      </c>
      <c r="AF190">
        <v>9</v>
      </c>
      <c r="AH190" t="s">
        <v>6806</v>
      </c>
      <c r="AI190" t="s">
        <v>6805</v>
      </c>
      <c r="AJ190" t="s">
        <v>6804</v>
      </c>
      <c r="AK190" t="s">
        <v>6803</v>
      </c>
      <c r="AL190">
        <v>97</v>
      </c>
      <c r="AM190" s="5">
        <f t="shared" si="19"/>
        <v>3.88</v>
      </c>
      <c r="AN190" s="4">
        <f t="shared" si="20"/>
        <v>5.876561908368042E-3</v>
      </c>
      <c r="AO190" s="3"/>
      <c r="AP190">
        <v>0</v>
      </c>
      <c r="AR190" t="s">
        <v>0</v>
      </c>
      <c r="AT190" s="2" t="s">
        <v>5</v>
      </c>
      <c r="AU190" s="1">
        <f t="shared" si="21"/>
        <v>3.263240612089406</v>
      </c>
      <c r="AV190" s="1">
        <f t="shared" si="22"/>
        <v>2.4987879203029486</v>
      </c>
      <c r="AW190" s="1">
        <f t="shared" si="23"/>
        <v>1.7343352285164908</v>
      </c>
    </row>
    <row r="191" spans="1:49" x14ac:dyDescent="0.2">
      <c r="A191">
        <v>189</v>
      </c>
      <c r="B191" t="s">
        <v>6802</v>
      </c>
      <c r="C191" t="s">
        <v>6801</v>
      </c>
      <c r="D191" t="s">
        <v>6800</v>
      </c>
      <c r="F191" t="s">
        <v>6799</v>
      </c>
      <c r="G191" t="s">
        <v>4</v>
      </c>
      <c r="H191" t="s">
        <v>3</v>
      </c>
      <c r="I191" t="s">
        <v>6798</v>
      </c>
      <c r="J191">
        <v>60008724</v>
      </c>
      <c r="K191" t="s">
        <v>6797</v>
      </c>
      <c r="L191" t="s">
        <v>60</v>
      </c>
      <c r="M191" t="s">
        <v>2</v>
      </c>
      <c r="N191">
        <v>2</v>
      </c>
      <c r="O191" t="s">
        <v>6796</v>
      </c>
      <c r="P191" t="s">
        <v>6795</v>
      </c>
      <c r="Q191" t="s">
        <v>6794</v>
      </c>
      <c r="R191" s="8">
        <v>35765</v>
      </c>
      <c r="S191" s="9">
        <f t="shared" si="16"/>
        <v>1997</v>
      </c>
      <c r="T191" s="9">
        <v>1997</v>
      </c>
      <c r="U191" s="9">
        <f t="shared" si="17"/>
        <v>25</v>
      </c>
      <c r="V191" s="8">
        <v>1997</v>
      </c>
      <c r="W191" t="s">
        <v>392</v>
      </c>
      <c r="X191" s="2">
        <v>1.6519999999999999</v>
      </c>
      <c r="Y191" s="7">
        <f t="shared" si="18"/>
        <v>4.409919649769093E-2</v>
      </c>
      <c r="AA191" t="s">
        <v>391</v>
      </c>
      <c r="AB191">
        <v>17337</v>
      </c>
      <c r="AD191" t="s">
        <v>1</v>
      </c>
      <c r="AE191">
        <v>45</v>
      </c>
      <c r="AF191">
        <v>9</v>
      </c>
      <c r="AH191" t="s">
        <v>6793</v>
      </c>
      <c r="AI191" t="s">
        <v>6792</v>
      </c>
      <c r="AJ191" t="s">
        <v>6104</v>
      </c>
      <c r="AK191" t="s">
        <v>6791</v>
      </c>
      <c r="AL191">
        <v>166</v>
      </c>
      <c r="AM191" s="5">
        <f t="shared" si="19"/>
        <v>6.64</v>
      </c>
      <c r="AN191" s="4">
        <f t="shared" si="20"/>
        <v>1.0056796667928814E-2</v>
      </c>
      <c r="AO191" s="3"/>
      <c r="AP191">
        <v>0</v>
      </c>
      <c r="AQ191" t="s">
        <v>157</v>
      </c>
      <c r="AR191" t="s">
        <v>6790</v>
      </c>
      <c r="AS191" t="s">
        <v>156</v>
      </c>
      <c r="AT191" s="2" t="s">
        <v>5</v>
      </c>
      <c r="AU191" s="1">
        <f t="shared" si="21"/>
        <v>3.3886476548762299</v>
      </c>
      <c r="AV191" s="1">
        <f t="shared" si="22"/>
        <v>2.7077996582809871</v>
      </c>
      <c r="AW191" s="1">
        <f t="shared" si="23"/>
        <v>2.0269516616857448</v>
      </c>
    </row>
    <row r="192" spans="1:49" x14ac:dyDescent="0.2">
      <c r="A192">
        <v>190</v>
      </c>
      <c r="B192" t="s">
        <v>6789</v>
      </c>
      <c r="C192" t="s">
        <v>6788</v>
      </c>
      <c r="D192" t="s">
        <v>6787</v>
      </c>
      <c r="F192" t="s">
        <v>6786</v>
      </c>
      <c r="G192" t="s">
        <v>4</v>
      </c>
      <c r="H192" t="s">
        <v>3</v>
      </c>
      <c r="I192" t="s">
        <v>6785</v>
      </c>
      <c r="J192">
        <v>60008950</v>
      </c>
      <c r="K192" t="s">
        <v>71</v>
      </c>
      <c r="L192" t="s">
        <v>70</v>
      </c>
      <c r="M192" t="s">
        <v>50</v>
      </c>
      <c r="N192">
        <v>2</v>
      </c>
      <c r="O192" t="s">
        <v>6784</v>
      </c>
      <c r="P192" t="s">
        <v>6783</v>
      </c>
      <c r="Q192" t="s">
        <v>69</v>
      </c>
      <c r="R192" s="8">
        <v>35765</v>
      </c>
      <c r="S192" s="9">
        <f t="shared" si="16"/>
        <v>1997</v>
      </c>
      <c r="T192" s="9">
        <v>1997</v>
      </c>
      <c r="U192" s="9">
        <f t="shared" si="17"/>
        <v>25</v>
      </c>
      <c r="V192" s="8">
        <v>1997</v>
      </c>
      <c r="W192" t="s">
        <v>4294</v>
      </c>
      <c r="X192" s="2">
        <v>1.468</v>
      </c>
      <c r="Y192" s="7">
        <f t="shared" si="18"/>
        <v>3.9187421585115186E-2</v>
      </c>
      <c r="AA192">
        <v>906778</v>
      </c>
      <c r="AB192">
        <v>18931</v>
      </c>
      <c r="AD192" t="s">
        <v>1</v>
      </c>
      <c r="AE192">
        <v>45</v>
      </c>
      <c r="AF192">
        <v>9</v>
      </c>
      <c r="AH192" t="s">
        <v>6782</v>
      </c>
      <c r="AI192" t="s">
        <v>6781</v>
      </c>
      <c r="AJ192" t="s">
        <v>6780</v>
      </c>
      <c r="AK192" t="s">
        <v>6779</v>
      </c>
      <c r="AL192">
        <v>4</v>
      </c>
      <c r="AM192" s="5">
        <f t="shared" si="19"/>
        <v>0.16</v>
      </c>
      <c r="AN192" s="4">
        <f t="shared" si="20"/>
        <v>2.4233244982961E-4</v>
      </c>
      <c r="AO192" s="3"/>
      <c r="AP192">
        <v>0</v>
      </c>
      <c r="AR192" t="s">
        <v>0</v>
      </c>
      <c r="AT192" s="2">
        <v>5.0830000000000002</v>
      </c>
      <c r="AU192" s="1">
        <f t="shared" si="21"/>
        <v>2.7503894844529508</v>
      </c>
      <c r="AV192" s="1">
        <f t="shared" si="22"/>
        <v>1.9714877017472396</v>
      </c>
      <c r="AW192" s="1">
        <f t="shared" si="23"/>
        <v>1.1925859190415282</v>
      </c>
    </row>
    <row r="193" spans="1:49" x14ac:dyDescent="0.2">
      <c r="A193">
        <v>191</v>
      </c>
      <c r="B193" t="s">
        <v>6778</v>
      </c>
      <c r="C193" t="s">
        <v>6777</v>
      </c>
      <c r="D193" t="s">
        <v>6776</v>
      </c>
      <c r="F193" t="s">
        <v>6775</v>
      </c>
      <c r="G193" t="s">
        <v>4</v>
      </c>
      <c r="H193" t="s">
        <v>3</v>
      </c>
      <c r="I193" t="s">
        <v>6774</v>
      </c>
      <c r="J193">
        <v>60020650</v>
      </c>
      <c r="K193" t="s">
        <v>1203</v>
      </c>
      <c r="L193" t="s">
        <v>1202</v>
      </c>
      <c r="M193" t="s">
        <v>8</v>
      </c>
      <c r="N193">
        <v>1</v>
      </c>
      <c r="O193" t="s">
        <v>6773</v>
      </c>
      <c r="P193">
        <v>7006370365</v>
      </c>
      <c r="Q193">
        <v>60020650</v>
      </c>
      <c r="R193" s="8">
        <v>35765</v>
      </c>
      <c r="S193" s="9">
        <f t="shared" si="16"/>
        <v>1997</v>
      </c>
      <c r="T193" s="9">
        <v>1997</v>
      </c>
      <c r="U193" s="9">
        <f t="shared" si="17"/>
        <v>25</v>
      </c>
      <c r="V193" s="8">
        <v>1997</v>
      </c>
      <c r="W193" t="s">
        <v>392</v>
      </c>
      <c r="X193" s="2">
        <v>1.6519999999999999</v>
      </c>
      <c r="Y193" s="7">
        <f t="shared" si="18"/>
        <v>4.409919649769093E-2</v>
      </c>
      <c r="AA193" t="s">
        <v>391</v>
      </c>
      <c r="AB193">
        <v>17337</v>
      </c>
      <c r="AD193" t="s">
        <v>1</v>
      </c>
      <c r="AE193">
        <v>45</v>
      </c>
      <c r="AF193">
        <v>9</v>
      </c>
      <c r="AH193" t="s">
        <v>6772</v>
      </c>
      <c r="AI193" t="s">
        <v>6771</v>
      </c>
      <c r="AJ193" t="s">
        <v>224</v>
      </c>
      <c r="AK193" t="s">
        <v>6770</v>
      </c>
      <c r="AL193">
        <v>3</v>
      </c>
      <c r="AM193" s="5">
        <f t="shared" si="19"/>
        <v>0.12</v>
      </c>
      <c r="AN193" s="4">
        <f t="shared" si="20"/>
        <v>1.8174933737220749E-4</v>
      </c>
      <c r="AO193" s="3"/>
      <c r="AP193">
        <v>0</v>
      </c>
      <c r="AR193" t="s">
        <v>0</v>
      </c>
      <c r="AT193" s="2" t="s">
        <v>5</v>
      </c>
      <c r="AU193" s="1">
        <f t="shared" si="21"/>
        <v>3.0923962349595313</v>
      </c>
      <c r="AV193" s="1">
        <f t="shared" si="22"/>
        <v>2.2140472917531571</v>
      </c>
      <c r="AW193" s="1">
        <f t="shared" si="23"/>
        <v>1.3356983485467824</v>
      </c>
    </row>
    <row r="194" spans="1:49" x14ac:dyDescent="0.2">
      <c r="A194">
        <v>192</v>
      </c>
      <c r="B194" t="s">
        <v>6769</v>
      </c>
      <c r="C194" t="s">
        <v>6768</v>
      </c>
      <c r="D194" t="s">
        <v>6767</v>
      </c>
      <c r="F194" t="s">
        <v>6766</v>
      </c>
      <c r="G194" t="s">
        <v>4</v>
      </c>
      <c r="H194" t="s">
        <v>3</v>
      </c>
      <c r="I194" t="s">
        <v>4351</v>
      </c>
      <c r="J194" t="s">
        <v>162</v>
      </c>
      <c r="K194" t="s">
        <v>161</v>
      </c>
      <c r="L194" t="s">
        <v>160</v>
      </c>
      <c r="M194" t="s">
        <v>18</v>
      </c>
      <c r="N194">
        <v>2</v>
      </c>
      <c r="O194" t="s">
        <v>4350</v>
      </c>
      <c r="P194" t="s">
        <v>4349</v>
      </c>
      <c r="Q194" t="s">
        <v>159</v>
      </c>
      <c r="R194" s="8">
        <v>35765</v>
      </c>
      <c r="S194" s="9">
        <f t="shared" ref="S194:S257" si="24">YEAR(R194)</f>
        <v>1997</v>
      </c>
      <c r="T194" s="9">
        <v>1997</v>
      </c>
      <c r="U194" s="9">
        <f t="shared" ref="U194:U257" si="25">2022-T194</f>
        <v>25</v>
      </c>
      <c r="V194" s="8">
        <v>1997</v>
      </c>
      <c r="W194" t="s">
        <v>5406</v>
      </c>
      <c r="X194" s="2">
        <v>1.218</v>
      </c>
      <c r="Y194" s="7">
        <f t="shared" ref="Y194:Y257" si="26">(X194-$Z$3)/($Z$2-$Z$3)</f>
        <v>3.2513814366941618E-2</v>
      </c>
      <c r="AA194">
        <v>189448</v>
      </c>
      <c r="AB194">
        <v>15107</v>
      </c>
      <c r="AD194" t="s">
        <v>1</v>
      </c>
      <c r="AE194">
        <v>43</v>
      </c>
      <c r="AF194">
        <v>5</v>
      </c>
      <c r="AH194" t="s">
        <v>6765</v>
      </c>
      <c r="AI194" t="s">
        <v>6764</v>
      </c>
      <c r="AJ194" t="s">
        <v>6763</v>
      </c>
      <c r="AK194" t="s">
        <v>6762</v>
      </c>
      <c r="AL194">
        <v>19</v>
      </c>
      <c r="AM194" s="5">
        <f t="shared" ref="AM194:AM257" si="27">AL194/U194</f>
        <v>0.76</v>
      </c>
      <c r="AN194" s="4">
        <f t="shared" ref="AN194:AN257" si="28">(AM194-$AO$3)/($AO$2-$AO$3)</f>
        <v>1.1510791366906475E-3</v>
      </c>
      <c r="AO194" s="3"/>
      <c r="AP194">
        <v>0</v>
      </c>
      <c r="AQ194" t="s">
        <v>53</v>
      </c>
      <c r="AR194" t="s">
        <v>6761</v>
      </c>
      <c r="AS194" t="s">
        <v>52</v>
      </c>
      <c r="AT194" s="2" t="s">
        <v>5</v>
      </c>
      <c r="AU194" s="1">
        <f t="shared" ref="AU194:AU257" si="29">(Y194*0.7+AN194*0.3)*100</f>
        <v>2.3104993797866324</v>
      </c>
      <c r="AV194" s="1">
        <f t="shared" ref="AV194:AV257" si="30">(Y194*0.5+AN194*0.5)*100</f>
        <v>1.683244675181613</v>
      </c>
      <c r="AW194" s="1">
        <f t="shared" ref="AW194:AW257" si="31">(Y194*0.3+AN194*0.7)*100</f>
        <v>1.0559899705765938</v>
      </c>
    </row>
    <row r="195" spans="1:49" x14ac:dyDescent="0.2">
      <c r="A195">
        <v>193</v>
      </c>
      <c r="B195" t="s">
        <v>6760</v>
      </c>
      <c r="C195" t="s">
        <v>6759</v>
      </c>
      <c r="F195" t="s">
        <v>6758</v>
      </c>
      <c r="G195" t="s">
        <v>4</v>
      </c>
      <c r="H195" t="s">
        <v>3</v>
      </c>
      <c r="I195" t="s">
        <v>6757</v>
      </c>
      <c r="J195" t="s">
        <v>6756</v>
      </c>
      <c r="K195" t="s">
        <v>6755</v>
      </c>
      <c r="L195" t="s">
        <v>6754</v>
      </c>
      <c r="M195" t="s">
        <v>6753</v>
      </c>
      <c r="N195">
        <v>3</v>
      </c>
      <c r="O195" t="s">
        <v>6752</v>
      </c>
      <c r="P195" t="s">
        <v>6751</v>
      </c>
      <c r="Q195" t="s">
        <v>6750</v>
      </c>
      <c r="R195" s="8">
        <v>35765</v>
      </c>
      <c r="S195" s="9">
        <f t="shared" si="24"/>
        <v>1997</v>
      </c>
      <c r="T195" s="9">
        <v>1997</v>
      </c>
      <c r="U195" s="9">
        <f t="shared" si="25"/>
        <v>25</v>
      </c>
      <c r="V195" s="8">
        <v>1997</v>
      </c>
      <c r="W195" t="s">
        <v>4348</v>
      </c>
      <c r="X195" s="2">
        <v>0.81499999999999995</v>
      </c>
      <c r="Y195" s="7">
        <f t="shared" si="26"/>
        <v>2.1755959531245827E-2</v>
      </c>
      <c r="AA195">
        <v>10709908</v>
      </c>
      <c r="AB195">
        <v>17316</v>
      </c>
      <c r="AD195" t="s">
        <v>1</v>
      </c>
      <c r="AE195">
        <v>4</v>
      </c>
      <c r="AF195">
        <v>9</v>
      </c>
      <c r="AH195" t="s">
        <v>6749</v>
      </c>
      <c r="AI195" t="s">
        <v>6748</v>
      </c>
      <c r="AJ195" t="s">
        <v>6747</v>
      </c>
      <c r="AK195" t="s">
        <v>6746</v>
      </c>
      <c r="AL195">
        <v>21</v>
      </c>
      <c r="AM195" s="5">
        <f t="shared" si="27"/>
        <v>0.84</v>
      </c>
      <c r="AN195" s="4">
        <f t="shared" si="28"/>
        <v>1.2722453616054524E-3</v>
      </c>
      <c r="AO195" s="3"/>
      <c r="AP195">
        <v>0</v>
      </c>
      <c r="AQ195" t="s">
        <v>639</v>
      </c>
      <c r="AR195" t="s">
        <v>6745</v>
      </c>
      <c r="AS195" t="s">
        <v>638</v>
      </c>
      <c r="AT195" s="2">
        <v>3.109</v>
      </c>
      <c r="AU195" s="1">
        <f t="shared" si="29"/>
        <v>1.5610845280353713</v>
      </c>
      <c r="AV195" s="1">
        <f t="shared" si="30"/>
        <v>1.151410244642564</v>
      </c>
      <c r="AW195" s="1">
        <f t="shared" si="31"/>
        <v>0.74173596124975638</v>
      </c>
    </row>
    <row r="196" spans="1:49" x14ac:dyDescent="0.2">
      <c r="A196">
        <v>194</v>
      </c>
      <c r="B196" t="s">
        <v>6744</v>
      </c>
      <c r="C196" t="s">
        <v>6743</v>
      </c>
      <c r="D196" t="s">
        <v>6742</v>
      </c>
      <c r="F196" t="s">
        <v>6741</v>
      </c>
      <c r="G196" t="s">
        <v>4</v>
      </c>
      <c r="H196" t="s">
        <v>3</v>
      </c>
      <c r="I196" t="s">
        <v>6740</v>
      </c>
      <c r="J196" t="s">
        <v>6739</v>
      </c>
      <c r="K196" t="s">
        <v>6738</v>
      </c>
      <c r="L196" t="s">
        <v>6737</v>
      </c>
      <c r="M196" t="s">
        <v>6736</v>
      </c>
      <c r="N196">
        <v>3</v>
      </c>
      <c r="O196" t="s">
        <v>6735</v>
      </c>
      <c r="P196" t="s">
        <v>6734</v>
      </c>
      <c r="Q196" t="s">
        <v>6733</v>
      </c>
      <c r="R196" s="8">
        <v>35765</v>
      </c>
      <c r="S196" s="9">
        <f t="shared" si="24"/>
        <v>1997</v>
      </c>
      <c r="T196" s="9">
        <v>1997</v>
      </c>
      <c r="U196" s="9">
        <f t="shared" si="25"/>
        <v>25</v>
      </c>
      <c r="V196" s="8">
        <v>1997</v>
      </c>
      <c r="W196" t="s">
        <v>392</v>
      </c>
      <c r="X196" s="2">
        <v>1.6519999999999999</v>
      </c>
      <c r="Y196" s="7">
        <f t="shared" si="26"/>
        <v>4.409919649769093E-2</v>
      </c>
      <c r="AA196" t="s">
        <v>391</v>
      </c>
      <c r="AB196">
        <v>17337</v>
      </c>
      <c r="AD196" t="s">
        <v>1</v>
      </c>
      <c r="AE196">
        <v>45</v>
      </c>
      <c r="AF196">
        <v>9</v>
      </c>
      <c r="AH196" t="s">
        <v>6732</v>
      </c>
      <c r="AI196" t="s">
        <v>6731</v>
      </c>
      <c r="AJ196" t="s">
        <v>6730</v>
      </c>
      <c r="AK196" t="s">
        <v>6729</v>
      </c>
      <c r="AL196">
        <v>6</v>
      </c>
      <c r="AM196" s="5">
        <f t="shared" si="27"/>
        <v>0.24</v>
      </c>
      <c r="AN196" s="4">
        <f t="shared" si="28"/>
        <v>3.6349867474441499E-4</v>
      </c>
      <c r="AO196" s="3"/>
      <c r="AP196">
        <v>0</v>
      </c>
      <c r="AQ196" t="s">
        <v>6728</v>
      </c>
      <c r="AR196" t="s">
        <v>0</v>
      </c>
      <c r="AS196" t="s">
        <v>6727</v>
      </c>
      <c r="AT196" s="2" t="s">
        <v>5</v>
      </c>
      <c r="AU196" s="1">
        <f t="shared" si="29"/>
        <v>3.0978487150806973</v>
      </c>
      <c r="AV196" s="1">
        <f t="shared" si="30"/>
        <v>2.2231347586217676</v>
      </c>
      <c r="AW196" s="1">
        <f t="shared" si="31"/>
        <v>1.3484208021628368</v>
      </c>
    </row>
    <row r="197" spans="1:49" x14ac:dyDescent="0.2">
      <c r="A197">
        <v>195</v>
      </c>
      <c r="B197" t="s">
        <v>6726</v>
      </c>
      <c r="C197" t="s">
        <v>6725</v>
      </c>
      <c r="D197" t="s">
        <v>6724</v>
      </c>
      <c r="F197" t="s">
        <v>6723</v>
      </c>
      <c r="G197" t="s">
        <v>4</v>
      </c>
      <c r="H197" t="s">
        <v>3</v>
      </c>
      <c r="I197" t="s">
        <v>6722</v>
      </c>
      <c r="J197" t="s">
        <v>6721</v>
      </c>
      <c r="K197" t="s">
        <v>6720</v>
      </c>
      <c r="L197" t="s">
        <v>6719</v>
      </c>
      <c r="M197" t="s">
        <v>6718</v>
      </c>
      <c r="N197">
        <v>3</v>
      </c>
      <c r="O197" t="s">
        <v>6717</v>
      </c>
      <c r="P197" t="s">
        <v>6716</v>
      </c>
      <c r="Q197" t="s">
        <v>6715</v>
      </c>
      <c r="R197" s="8">
        <v>35765</v>
      </c>
      <c r="S197" s="9">
        <f t="shared" si="24"/>
        <v>1997</v>
      </c>
      <c r="T197" s="9">
        <v>1997</v>
      </c>
      <c r="U197" s="9">
        <f t="shared" si="25"/>
        <v>25</v>
      </c>
      <c r="V197" s="8">
        <v>1997</v>
      </c>
      <c r="W197" t="s">
        <v>4702</v>
      </c>
      <c r="X197" s="2">
        <v>0.78200000000000003</v>
      </c>
      <c r="Y197" s="7">
        <f t="shared" si="26"/>
        <v>2.0875043378446919E-2</v>
      </c>
      <c r="AA197">
        <v>189316</v>
      </c>
      <c r="AB197">
        <v>19901</v>
      </c>
      <c r="AD197" t="s">
        <v>1</v>
      </c>
      <c r="AE197">
        <v>43</v>
      </c>
      <c r="AF197">
        <v>3</v>
      </c>
      <c r="AH197" t="s">
        <v>724</v>
      </c>
      <c r="AI197" t="s">
        <v>6714</v>
      </c>
      <c r="AK197" t="s">
        <v>6713</v>
      </c>
      <c r="AL197">
        <v>3</v>
      </c>
      <c r="AM197" s="5">
        <f t="shared" si="27"/>
        <v>0.12</v>
      </c>
      <c r="AN197" s="4">
        <f t="shared" si="28"/>
        <v>1.8174933737220749E-4</v>
      </c>
      <c r="AO197" s="3"/>
      <c r="AP197">
        <v>0</v>
      </c>
      <c r="AQ197" t="s">
        <v>6712</v>
      </c>
      <c r="AR197" t="s">
        <v>0</v>
      </c>
      <c r="AS197" t="s">
        <v>6711</v>
      </c>
      <c r="AT197" s="2">
        <v>3.863</v>
      </c>
      <c r="AU197" s="1">
        <f t="shared" si="29"/>
        <v>1.4667055166124503</v>
      </c>
      <c r="AV197" s="1">
        <f t="shared" si="30"/>
        <v>1.0528396357909564</v>
      </c>
      <c r="AW197" s="1">
        <f t="shared" si="31"/>
        <v>0.63897375496946207</v>
      </c>
    </row>
    <row r="198" spans="1:49" x14ac:dyDescent="0.2">
      <c r="A198">
        <v>196</v>
      </c>
      <c r="B198" t="s">
        <v>6710</v>
      </c>
      <c r="C198" t="s">
        <v>6709</v>
      </c>
      <c r="F198" t="s">
        <v>6708</v>
      </c>
      <c r="G198" t="s">
        <v>4</v>
      </c>
      <c r="H198" t="s">
        <v>3</v>
      </c>
      <c r="I198" t="s">
        <v>6707</v>
      </c>
      <c r="J198" t="s">
        <v>6706</v>
      </c>
      <c r="K198" t="s">
        <v>6705</v>
      </c>
      <c r="L198" t="s">
        <v>6704</v>
      </c>
      <c r="M198" t="s">
        <v>738</v>
      </c>
      <c r="N198">
        <v>4</v>
      </c>
      <c r="O198" t="s">
        <v>6703</v>
      </c>
      <c r="P198" t="s">
        <v>6702</v>
      </c>
      <c r="Q198" t="s">
        <v>6701</v>
      </c>
      <c r="R198" s="8">
        <v>35765</v>
      </c>
      <c r="S198" s="9">
        <f t="shared" si="24"/>
        <v>1997</v>
      </c>
      <c r="T198" s="9">
        <v>1997</v>
      </c>
      <c r="U198" s="9">
        <f t="shared" si="25"/>
        <v>25</v>
      </c>
      <c r="V198" s="8">
        <v>1997</v>
      </c>
      <c r="W198" t="s">
        <v>637</v>
      </c>
      <c r="X198" s="2">
        <v>0.39600000000000002</v>
      </c>
      <c r="Y198" s="7">
        <f t="shared" si="26"/>
        <v>1.0570993833586931E-2</v>
      </c>
      <c r="AA198">
        <v>8858985</v>
      </c>
      <c r="AB198">
        <v>25993</v>
      </c>
      <c r="AD198" t="s">
        <v>1</v>
      </c>
      <c r="AE198">
        <v>12</v>
      </c>
      <c r="AF198">
        <v>9</v>
      </c>
      <c r="AH198" t="s">
        <v>6700</v>
      </c>
      <c r="AI198" t="s">
        <v>6699</v>
      </c>
      <c r="AJ198" t="s">
        <v>6698</v>
      </c>
      <c r="AK198" t="s">
        <v>6697</v>
      </c>
      <c r="AL198">
        <v>23</v>
      </c>
      <c r="AM198" s="5">
        <f t="shared" si="27"/>
        <v>0.92</v>
      </c>
      <c r="AN198" s="4">
        <f t="shared" si="28"/>
        <v>1.3934115865202575E-3</v>
      </c>
      <c r="AO198" s="3"/>
      <c r="AP198">
        <v>0</v>
      </c>
      <c r="AR198" t="s">
        <v>0</v>
      </c>
      <c r="AT198" s="2" t="s">
        <v>5</v>
      </c>
      <c r="AU198" s="1">
        <f t="shared" si="29"/>
        <v>0.78177191594669282</v>
      </c>
      <c r="AV198" s="1">
        <f t="shared" si="30"/>
        <v>0.59822027100535946</v>
      </c>
      <c r="AW198" s="1">
        <f t="shared" si="31"/>
        <v>0.41466862606402594</v>
      </c>
    </row>
    <row r="199" spans="1:49" x14ac:dyDescent="0.2">
      <c r="A199">
        <v>197</v>
      </c>
      <c r="B199" t="s">
        <v>6696</v>
      </c>
      <c r="C199" t="s">
        <v>6695</v>
      </c>
      <c r="D199" t="s">
        <v>6694</v>
      </c>
      <c r="F199" t="s">
        <v>6693</v>
      </c>
      <c r="G199" t="s">
        <v>4</v>
      </c>
      <c r="H199" t="s">
        <v>3</v>
      </c>
      <c r="I199" t="s">
        <v>6692</v>
      </c>
      <c r="J199" t="s">
        <v>6687</v>
      </c>
      <c r="K199" t="s">
        <v>6691</v>
      </c>
      <c r="L199" t="s">
        <v>6690</v>
      </c>
      <c r="M199" t="s">
        <v>122</v>
      </c>
      <c r="N199">
        <v>2</v>
      </c>
      <c r="O199" t="s">
        <v>6689</v>
      </c>
      <c r="P199" t="s">
        <v>6688</v>
      </c>
      <c r="Q199" t="s">
        <v>6687</v>
      </c>
      <c r="R199" s="8">
        <v>35765</v>
      </c>
      <c r="S199" s="9">
        <f t="shared" si="24"/>
        <v>1997</v>
      </c>
      <c r="T199" s="9">
        <v>1997</v>
      </c>
      <c r="U199" s="9">
        <f t="shared" si="25"/>
        <v>25</v>
      </c>
      <c r="V199" s="8">
        <v>1997</v>
      </c>
      <c r="W199" t="s">
        <v>6686</v>
      </c>
      <c r="X199" s="2" t="s">
        <v>5</v>
      </c>
      <c r="Y199" s="7" t="e">
        <f t="shared" si="26"/>
        <v>#VALUE!</v>
      </c>
      <c r="AA199">
        <v>10577122</v>
      </c>
      <c r="AB199">
        <v>26028</v>
      </c>
      <c r="AD199" t="s">
        <v>1</v>
      </c>
      <c r="AE199">
        <v>44</v>
      </c>
      <c r="AF199">
        <v>9</v>
      </c>
      <c r="AH199" t="s">
        <v>6685</v>
      </c>
      <c r="AI199" t="s">
        <v>6684</v>
      </c>
      <c r="AJ199" t="s">
        <v>6683</v>
      </c>
      <c r="AK199" t="s">
        <v>6682</v>
      </c>
      <c r="AL199">
        <v>122</v>
      </c>
      <c r="AM199" s="5">
        <f t="shared" si="27"/>
        <v>4.88</v>
      </c>
      <c r="AN199" s="4">
        <f t="shared" si="28"/>
        <v>7.3911397198031048E-3</v>
      </c>
      <c r="AO199" s="3"/>
      <c r="AP199">
        <v>0</v>
      </c>
      <c r="AR199" t="s">
        <v>0</v>
      </c>
      <c r="AT199" s="2" t="s">
        <v>5</v>
      </c>
      <c r="AU199" s="1" t="e">
        <f t="shared" si="29"/>
        <v>#VALUE!</v>
      </c>
      <c r="AV199" s="1" t="e">
        <f t="shared" si="30"/>
        <v>#VALUE!</v>
      </c>
      <c r="AW199" s="1" t="e">
        <f t="shared" si="31"/>
        <v>#VALUE!</v>
      </c>
    </row>
    <row r="200" spans="1:49" x14ac:dyDescent="0.2">
      <c r="A200">
        <v>198</v>
      </c>
      <c r="B200" t="s">
        <v>6681</v>
      </c>
      <c r="C200" t="s">
        <v>6680</v>
      </c>
      <c r="D200" t="s">
        <v>6679</v>
      </c>
      <c r="F200" t="s">
        <v>6678</v>
      </c>
      <c r="G200" t="s">
        <v>4</v>
      </c>
      <c r="H200" t="s">
        <v>3</v>
      </c>
      <c r="I200" t="s">
        <v>6677</v>
      </c>
      <c r="J200" t="s">
        <v>6676</v>
      </c>
      <c r="K200" t="s">
        <v>6675</v>
      </c>
      <c r="L200" t="s">
        <v>6674</v>
      </c>
      <c r="M200" t="s">
        <v>118</v>
      </c>
      <c r="N200">
        <v>2</v>
      </c>
      <c r="O200" t="s">
        <v>6673</v>
      </c>
      <c r="P200" t="s">
        <v>6672</v>
      </c>
      <c r="Q200" t="s">
        <v>6671</v>
      </c>
      <c r="R200" s="8">
        <v>35765</v>
      </c>
      <c r="S200" s="9">
        <f t="shared" si="24"/>
        <v>1997</v>
      </c>
      <c r="T200" s="9">
        <v>1997</v>
      </c>
      <c r="U200" s="9">
        <f t="shared" si="25"/>
        <v>25</v>
      </c>
      <c r="V200" s="8">
        <v>1997</v>
      </c>
      <c r="W200" t="s">
        <v>392</v>
      </c>
      <c r="X200" s="2">
        <v>1.6519999999999999</v>
      </c>
      <c r="Y200" s="7">
        <f t="shared" si="26"/>
        <v>4.409919649769093E-2</v>
      </c>
      <c r="AA200" t="s">
        <v>391</v>
      </c>
      <c r="AB200">
        <v>17337</v>
      </c>
      <c r="AD200" t="s">
        <v>1</v>
      </c>
      <c r="AE200">
        <v>45</v>
      </c>
      <c r="AF200">
        <v>9</v>
      </c>
      <c r="AH200" t="s">
        <v>6670</v>
      </c>
      <c r="AI200" t="s">
        <v>6669</v>
      </c>
      <c r="AJ200" t="s">
        <v>5570</v>
      </c>
      <c r="AK200" t="s">
        <v>6668</v>
      </c>
      <c r="AL200">
        <v>521</v>
      </c>
      <c r="AM200" s="5">
        <f t="shared" si="27"/>
        <v>20.84</v>
      </c>
      <c r="AN200" s="4">
        <f t="shared" si="28"/>
        <v>3.1563801590306702E-2</v>
      </c>
      <c r="AO200" s="3"/>
      <c r="AP200">
        <v>0</v>
      </c>
      <c r="AR200" t="s">
        <v>0</v>
      </c>
      <c r="AT200" s="2" t="s">
        <v>5</v>
      </c>
      <c r="AU200" s="1">
        <f t="shared" si="29"/>
        <v>4.0338578025475664</v>
      </c>
      <c r="AV200" s="1">
        <f t="shared" si="30"/>
        <v>3.7831499043998815</v>
      </c>
      <c r="AW200" s="1">
        <f t="shared" si="31"/>
        <v>3.5324420062521971</v>
      </c>
    </row>
    <row r="201" spans="1:49" x14ac:dyDescent="0.2">
      <c r="A201">
        <v>199</v>
      </c>
      <c r="B201" t="s">
        <v>6667</v>
      </c>
      <c r="C201" t="s">
        <v>6666</v>
      </c>
      <c r="D201" t="s">
        <v>6665</v>
      </c>
      <c r="F201" t="s">
        <v>6664</v>
      </c>
      <c r="G201" t="s">
        <v>4</v>
      </c>
      <c r="H201" t="s">
        <v>3</v>
      </c>
      <c r="I201" t="s">
        <v>6663</v>
      </c>
      <c r="J201">
        <v>60011047</v>
      </c>
      <c r="K201" t="s">
        <v>223</v>
      </c>
      <c r="L201" t="s">
        <v>222</v>
      </c>
      <c r="M201" t="s">
        <v>111</v>
      </c>
      <c r="N201">
        <v>4</v>
      </c>
      <c r="O201" t="s">
        <v>6662</v>
      </c>
      <c r="P201" t="s">
        <v>6661</v>
      </c>
      <c r="Q201" t="s">
        <v>221</v>
      </c>
      <c r="R201" s="8">
        <v>35765</v>
      </c>
      <c r="S201" s="9">
        <f t="shared" si="24"/>
        <v>1997</v>
      </c>
      <c r="T201" s="9">
        <v>1997</v>
      </c>
      <c r="U201" s="9">
        <f t="shared" si="25"/>
        <v>25</v>
      </c>
      <c r="V201" s="8">
        <v>1997</v>
      </c>
      <c r="W201" t="s">
        <v>280</v>
      </c>
      <c r="X201" s="2">
        <v>1.3280000000000001</v>
      </c>
      <c r="Y201" s="7">
        <f t="shared" si="26"/>
        <v>3.5450201542937994E-2</v>
      </c>
      <c r="AA201">
        <v>7413335</v>
      </c>
      <c r="AB201">
        <v>29251</v>
      </c>
      <c r="AD201" t="s">
        <v>1</v>
      </c>
      <c r="AE201">
        <v>39</v>
      </c>
      <c r="AF201">
        <v>9</v>
      </c>
      <c r="AH201" t="s">
        <v>6660</v>
      </c>
      <c r="AI201" t="s">
        <v>6659</v>
      </c>
      <c r="AK201" t="s">
        <v>6658</v>
      </c>
      <c r="AL201">
        <v>35</v>
      </c>
      <c r="AM201" s="5">
        <f t="shared" si="27"/>
        <v>1.4</v>
      </c>
      <c r="AN201" s="4">
        <f t="shared" si="28"/>
        <v>2.1204089360090874E-3</v>
      </c>
      <c r="AO201" s="3"/>
      <c r="AP201">
        <v>0</v>
      </c>
      <c r="AR201" t="s">
        <v>0</v>
      </c>
      <c r="AT201" s="2">
        <v>2.4580000000000002</v>
      </c>
      <c r="AU201" s="1">
        <f t="shared" si="29"/>
        <v>2.545126376085932</v>
      </c>
      <c r="AV201" s="1">
        <f t="shared" si="30"/>
        <v>1.878530523947354</v>
      </c>
      <c r="AW201" s="1">
        <f t="shared" si="31"/>
        <v>1.211934671808776</v>
      </c>
    </row>
    <row r="202" spans="1:49" x14ac:dyDescent="0.2">
      <c r="A202">
        <v>200</v>
      </c>
      <c r="B202" t="s">
        <v>6657</v>
      </c>
      <c r="C202" t="s">
        <v>6656</v>
      </c>
      <c r="D202" t="s">
        <v>6655</v>
      </c>
      <c r="F202" t="s">
        <v>6654</v>
      </c>
      <c r="G202" t="s">
        <v>4</v>
      </c>
      <c r="H202" t="s">
        <v>3</v>
      </c>
      <c r="I202" t="s">
        <v>6653</v>
      </c>
      <c r="J202">
        <v>60012519</v>
      </c>
      <c r="K202" t="s">
        <v>6652</v>
      </c>
      <c r="L202" t="s">
        <v>6651</v>
      </c>
      <c r="M202" t="s">
        <v>6650</v>
      </c>
      <c r="N202">
        <v>2</v>
      </c>
      <c r="O202" t="s">
        <v>6649</v>
      </c>
      <c r="P202" t="s">
        <v>6648</v>
      </c>
      <c r="Q202" t="s">
        <v>6647</v>
      </c>
      <c r="R202" s="8">
        <v>35765</v>
      </c>
      <c r="S202" s="9">
        <f t="shared" si="24"/>
        <v>1997</v>
      </c>
      <c r="T202" s="9">
        <v>1997</v>
      </c>
      <c r="U202" s="9">
        <f t="shared" si="25"/>
        <v>25</v>
      </c>
      <c r="V202" s="8">
        <v>1997</v>
      </c>
      <c r="W202" t="s">
        <v>448</v>
      </c>
      <c r="X202" s="2">
        <v>1.3720000000000001</v>
      </c>
      <c r="Y202" s="7">
        <f t="shared" si="26"/>
        <v>3.662475641333654E-2</v>
      </c>
      <c r="AA202">
        <v>189480</v>
      </c>
      <c r="AB202">
        <v>17366</v>
      </c>
      <c r="AD202" t="s">
        <v>1</v>
      </c>
      <c r="AE202">
        <v>45</v>
      </c>
      <c r="AF202">
        <v>9</v>
      </c>
      <c r="AH202" t="s">
        <v>6646</v>
      </c>
      <c r="AI202" t="s">
        <v>6645</v>
      </c>
      <c r="AJ202" t="s">
        <v>6644</v>
      </c>
      <c r="AK202" t="s">
        <v>6643</v>
      </c>
      <c r="AL202">
        <v>5</v>
      </c>
      <c r="AM202" s="5">
        <f t="shared" si="27"/>
        <v>0.2</v>
      </c>
      <c r="AN202" s="4">
        <f t="shared" si="28"/>
        <v>3.0291556228701253E-4</v>
      </c>
      <c r="AO202" s="3"/>
      <c r="AP202">
        <v>0</v>
      </c>
      <c r="AR202" t="s">
        <v>0</v>
      </c>
      <c r="AT202" s="2" t="s">
        <v>5</v>
      </c>
      <c r="AU202" s="1">
        <f t="shared" si="29"/>
        <v>2.5728204158021679</v>
      </c>
      <c r="AV202" s="1">
        <f t="shared" si="30"/>
        <v>1.8463835987811774</v>
      </c>
      <c r="AW202" s="1">
        <f t="shared" si="31"/>
        <v>1.1199467817601871</v>
      </c>
    </row>
    <row r="203" spans="1:49" x14ac:dyDescent="0.2">
      <c r="A203">
        <v>201</v>
      </c>
      <c r="B203" t="s">
        <v>6642</v>
      </c>
      <c r="C203" t="s">
        <v>6641</v>
      </c>
      <c r="F203" t="s">
        <v>6640</v>
      </c>
      <c r="G203" t="s">
        <v>4</v>
      </c>
      <c r="H203" t="s">
        <v>3</v>
      </c>
      <c r="I203" t="s">
        <v>6639</v>
      </c>
      <c r="J203" t="s">
        <v>6638</v>
      </c>
      <c r="K203" t="s">
        <v>6637</v>
      </c>
      <c r="L203" t="s">
        <v>6636</v>
      </c>
      <c r="M203" t="s">
        <v>63</v>
      </c>
      <c r="N203">
        <v>2</v>
      </c>
      <c r="O203" t="s">
        <v>6635</v>
      </c>
      <c r="P203" t="s">
        <v>6634</v>
      </c>
      <c r="Q203" t="s">
        <v>6633</v>
      </c>
      <c r="R203" s="8">
        <v>35765</v>
      </c>
      <c r="S203" s="9">
        <f t="shared" si="24"/>
        <v>1997</v>
      </c>
      <c r="T203" s="9">
        <v>1997</v>
      </c>
      <c r="U203" s="9">
        <f t="shared" si="25"/>
        <v>25</v>
      </c>
      <c r="V203" s="8">
        <v>1997</v>
      </c>
      <c r="W203" t="s">
        <v>107</v>
      </c>
      <c r="X203" s="2">
        <v>0.62</v>
      </c>
      <c r="Y203" s="7">
        <f t="shared" si="26"/>
        <v>1.6550545901070447E-2</v>
      </c>
      <c r="AA203">
        <v>189464</v>
      </c>
      <c r="AB203">
        <v>17364</v>
      </c>
      <c r="AD203" t="s">
        <v>1</v>
      </c>
      <c r="AE203">
        <v>33</v>
      </c>
      <c r="AF203" t="s">
        <v>5302</v>
      </c>
      <c r="AH203" t="s">
        <v>6632</v>
      </c>
      <c r="AI203" t="s">
        <v>6631</v>
      </c>
      <c r="AK203" t="s">
        <v>6630</v>
      </c>
      <c r="AL203">
        <v>2</v>
      </c>
      <c r="AM203" s="5">
        <f t="shared" si="27"/>
        <v>0.08</v>
      </c>
      <c r="AN203" s="4">
        <f t="shared" si="28"/>
        <v>1.21166224914805E-4</v>
      </c>
      <c r="AO203" s="3"/>
      <c r="AP203">
        <v>0</v>
      </c>
      <c r="AR203" t="s">
        <v>0</v>
      </c>
      <c r="AT203" s="2">
        <v>1.7</v>
      </c>
      <c r="AU203" s="1">
        <f t="shared" si="29"/>
        <v>1.1621731998223754</v>
      </c>
      <c r="AV203" s="1">
        <f t="shared" si="30"/>
        <v>0.83358560629926259</v>
      </c>
      <c r="AW203" s="1">
        <f t="shared" si="31"/>
        <v>0.50499801277614975</v>
      </c>
    </row>
    <row r="204" spans="1:49" x14ac:dyDescent="0.2">
      <c r="A204">
        <v>202</v>
      </c>
      <c r="B204" t="s">
        <v>6629</v>
      </c>
      <c r="C204" t="s">
        <v>6628</v>
      </c>
      <c r="D204" t="s">
        <v>6627</v>
      </c>
      <c r="F204" t="s">
        <v>6626</v>
      </c>
      <c r="G204" t="s">
        <v>4</v>
      </c>
      <c r="H204" t="s">
        <v>3</v>
      </c>
      <c r="I204" t="s">
        <v>6625</v>
      </c>
      <c r="J204">
        <v>60014662</v>
      </c>
      <c r="K204" t="s">
        <v>4115</v>
      </c>
      <c r="L204" t="s">
        <v>2741</v>
      </c>
      <c r="M204" t="s">
        <v>2</v>
      </c>
      <c r="N204">
        <v>1</v>
      </c>
      <c r="O204" t="s">
        <v>6624</v>
      </c>
      <c r="P204">
        <v>7006984131</v>
      </c>
      <c r="Q204">
        <v>60014662</v>
      </c>
      <c r="R204" s="8">
        <v>35765</v>
      </c>
      <c r="S204" s="9">
        <f t="shared" si="24"/>
        <v>1997</v>
      </c>
      <c r="T204" s="9">
        <v>1997</v>
      </c>
      <c r="U204" s="9">
        <f t="shared" si="25"/>
        <v>25</v>
      </c>
      <c r="V204" s="8">
        <v>1997</v>
      </c>
      <c r="W204" t="s">
        <v>448</v>
      </c>
      <c r="X204" s="2">
        <v>1.3720000000000001</v>
      </c>
      <c r="Y204" s="7">
        <f t="shared" si="26"/>
        <v>3.662475641333654E-2</v>
      </c>
      <c r="AA204">
        <v>189480</v>
      </c>
      <c r="AB204">
        <v>17366</v>
      </c>
      <c r="AD204" t="s">
        <v>1</v>
      </c>
      <c r="AE204">
        <v>45</v>
      </c>
      <c r="AF204" t="s">
        <v>6258</v>
      </c>
      <c r="AH204" t="s">
        <v>6623</v>
      </c>
      <c r="AI204" t="s">
        <v>6622</v>
      </c>
      <c r="AJ204" t="s">
        <v>6621</v>
      </c>
      <c r="AK204" t="s">
        <v>6620</v>
      </c>
      <c r="AL204">
        <v>20</v>
      </c>
      <c r="AM204" s="5">
        <f t="shared" si="27"/>
        <v>0.8</v>
      </c>
      <c r="AN204" s="4">
        <f t="shared" si="28"/>
        <v>1.2116622491480501E-3</v>
      </c>
      <c r="AO204" s="3"/>
      <c r="AP204">
        <v>0</v>
      </c>
      <c r="AQ204" t="s">
        <v>312</v>
      </c>
      <c r="AR204" t="s">
        <v>0</v>
      </c>
      <c r="AS204" t="s">
        <v>311</v>
      </c>
      <c r="AT204" s="2" t="s">
        <v>5</v>
      </c>
      <c r="AU204" s="1">
        <f t="shared" si="29"/>
        <v>2.600082816407999</v>
      </c>
      <c r="AV204" s="1">
        <f t="shared" si="30"/>
        <v>1.8918209331242295</v>
      </c>
      <c r="AW204" s="1">
        <f t="shared" si="31"/>
        <v>1.1835590498404598</v>
      </c>
    </row>
    <row r="205" spans="1:49" x14ac:dyDescent="0.2">
      <c r="A205">
        <v>203</v>
      </c>
      <c r="B205" t="s">
        <v>6619</v>
      </c>
      <c r="C205" t="s">
        <v>6618</v>
      </c>
      <c r="D205" t="s">
        <v>6617</v>
      </c>
      <c r="F205" t="s">
        <v>6616</v>
      </c>
      <c r="G205" t="s">
        <v>4</v>
      </c>
      <c r="H205" t="s">
        <v>3</v>
      </c>
      <c r="I205" t="s">
        <v>6615</v>
      </c>
      <c r="J205">
        <v>60027271</v>
      </c>
      <c r="K205" t="s">
        <v>321</v>
      </c>
      <c r="L205" t="s">
        <v>94</v>
      </c>
      <c r="M205" t="s">
        <v>2</v>
      </c>
      <c r="N205">
        <v>1</v>
      </c>
      <c r="O205" t="s">
        <v>6614</v>
      </c>
      <c r="P205">
        <v>35458989800</v>
      </c>
      <c r="Q205">
        <v>60027271</v>
      </c>
      <c r="R205" s="8">
        <v>35765</v>
      </c>
      <c r="S205" s="9">
        <f t="shared" si="24"/>
        <v>1997</v>
      </c>
      <c r="T205" s="9">
        <v>1997</v>
      </c>
      <c r="U205" s="9">
        <f t="shared" si="25"/>
        <v>25</v>
      </c>
      <c r="V205" s="8">
        <v>1997</v>
      </c>
      <c r="W205" t="s">
        <v>448</v>
      </c>
      <c r="X205" s="2">
        <v>1.3720000000000001</v>
      </c>
      <c r="Y205" s="7">
        <f t="shared" si="26"/>
        <v>3.662475641333654E-2</v>
      </c>
      <c r="AA205">
        <v>189480</v>
      </c>
      <c r="AB205">
        <v>17366</v>
      </c>
      <c r="AD205" t="s">
        <v>1</v>
      </c>
      <c r="AE205">
        <v>45</v>
      </c>
      <c r="AF205" t="s">
        <v>6258</v>
      </c>
      <c r="AH205" t="s">
        <v>6613</v>
      </c>
      <c r="AI205" t="s">
        <v>6612</v>
      </c>
      <c r="AJ205" t="s">
        <v>6611</v>
      </c>
      <c r="AK205" t="s">
        <v>6610</v>
      </c>
      <c r="AL205">
        <v>60</v>
      </c>
      <c r="AM205" s="5">
        <f t="shared" si="27"/>
        <v>2.4</v>
      </c>
      <c r="AN205" s="4">
        <f t="shared" si="28"/>
        <v>3.6349867474441497E-3</v>
      </c>
      <c r="AO205" s="3"/>
      <c r="AP205">
        <v>0</v>
      </c>
      <c r="AQ205" t="s">
        <v>157</v>
      </c>
      <c r="AR205" t="s">
        <v>0</v>
      </c>
      <c r="AS205" t="s">
        <v>156</v>
      </c>
      <c r="AT205" s="2" t="s">
        <v>5</v>
      </c>
      <c r="AU205" s="1">
        <f t="shared" si="29"/>
        <v>2.6727825513568821</v>
      </c>
      <c r="AV205" s="1">
        <f t="shared" si="30"/>
        <v>2.0129871580390346</v>
      </c>
      <c r="AW205" s="1">
        <f t="shared" si="31"/>
        <v>1.3531917647211866</v>
      </c>
    </row>
    <row r="206" spans="1:49" x14ac:dyDescent="0.2">
      <c r="A206">
        <v>204</v>
      </c>
      <c r="B206" t="s">
        <v>6609</v>
      </c>
      <c r="C206" t="s">
        <v>6608</v>
      </c>
      <c r="D206" t="s">
        <v>6607</v>
      </c>
      <c r="F206" t="s">
        <v>6606</v>
      </c>
      <c r="G206" t="s">
        <v>4</v>
      </c>
      <c r="H206" t="s">
        <v>3</v>
      </c>
      <c r="I206" t="s">
        <v>6605</v>
      </c>
      <c r="J206">
        <v>60003500</v>
      </c>
      <c r="K206" t="s">
        <v>356</v>
      </c>
      <c r="L206" t="s">
        <v>355</v>
      </c>
      <c r="M206" t="s">
        <v>2</v>
      </c>
      <c r="N206">
        <v>2</v>
      </c>
      <c r="O206" t="s">
        <v>6604</v>
      </c>
      <c r="P206" t="s">
        <v>6603</v>
      </c>
      <c r="Q206" t="s">
        <v>354</v>
      </c>
      <c r="R206" s="8">
        <v>35765</v>
      </c>
      <c r="S206" s="9">
        <f t="shared" si="24"/>
        <v>1997</v>
      </c>
      <c r="T206" s="9">
        <v>1997</v>
      </c>
      <c r="U206" s="9">
        <f t="shared" si="25"/>
        <v>25</v>
      </c>
      <c r="V206" s="8">
        <v>1997</v>
      </c>
      <c r="W206" t="s">
        <v>392</v>
      </c>
      <c r="X206" s="2">
        <v>1.6519999999999999</v>
      </c>
      <c r="Y206" s="7">
        <f t="shared" si="26"/>
        <v>4.409919649769093E-2</v>
      </c>
      <c r="AA206" t="s">
        <v>391</v>
      </c>
      <c r="AB206">
        <v>17337</v>
      </c>
      <c r="AD206" t="s">
        <v>1</v>
      </c>
      <c r="AE206">
        <v>45</v>
      </c>
      <c r="AF206">
        <v>8</v>
      </c>
      <c r="AH206" t="s">
        <v>6602</v>
      </c>
      <c r="AI206" t="s">
        <v>6601</v>
      </c>
      <c r="AJ206" t="s">
        <v>6600</v>
      </c>
      <c r="AK206" t="s">
        <v>6599</v>
      </c>
      <c r="AL206">
        <v>27</v>
      </c>
      <c r="AM206" s="5">
        <f t="shared" si="27"/>
        <v>1.08</v>
      </c>
      <c r="AN206" s="4">
        <f t="shared" si="28"/>
        <v>1.6357440363498675E-3</v>
      </c>
      <c r="AO206" s="3"/>
      <c r="AP206">
        <v>0</v>
      </c>
      <c r="AR206" t="s">
        <v>0</v>
      </c>
      <c r="AT206" s="2" t="s">
        <v>5</v>
      </c>
      <c r="AU206" s="1">
        <f t="shared" si="29"/>
        <v>3.1360160759288611</v>
      </c>
      <c r="AV206" s="1">
        <f t="shared" si="30"/>
        <v>2.2867470267020398</v>
      </c>
      <c r="AW206" s="1">
        <f t="shared" si="31"/>
        <v>1.4374779774752184</v>
      </c>
    </row>
    <row r="207" spans="1:49" x14ac:dyDescent="0.2">
      <c r="A207">
        <v>205</v>
      </c>
      <c r="B207" t="s">
        <v>6598</v>
      </c>
      <c r="C207" t="s">
        <v>6597</v>
      </c>
      <c r="D207" t="s">
        <v>6596</v>
      </c>
      <c r="F207" t="s">
        <v>6595</v>
      </c>
      <c r="G207" t="s">
        <v>4</v>
      </c>
      <c r="H207" t="s">
        <v>3</v>
      </c>
      <c r="I207" t="s">
        <v>6594</v>
      </c>
      <c r="J207">
        <v>60015272</v>
      </c>
      <c r="K207" t="s">
        <v>5789</v>
      </c>
      <c r="L207" t="s">
        <v>5788</v>
      </c>
      <c r="M207" t="s">
        <v>2</v>
      </c>
      <c r="N207">
        <v>1</v>
      </c>
      <c r="O207" t="s">
        <v>6593</v>
      </c>
      <c r="P207">
        <v>57203254698</v>
      </c>
      <c r="Q207">
        <v>60015272</v>
      </c>
      <c r="R207" s="8">
        <v>35765</v>
      </c>
      <c r="S207" s="9">
        <f t="shared" si="24"/>
        <v>1997</v>
      </c>
      <c r="T207" s="9">
        <v>1997</v>
      </c>
      <c r="U207" s="9">
        <f t="shared" si="25"/>
        <v>25</v>
      </c>
      <c r="V207" s="8">
        <v>1997</v>
      </c>
      <c r="W207" t="s">
        <v>448</v>
      </c>
      <c r="X207" s="2">
        <v>1.3720000000000001</v>
      </c>
      <c r="Y207" s="7">
        <f t="shared" si="26"/>
        <v>3.662475641333654E-2</v>
      </c>
      <c r="AA207">
        <v>189480</v>
      </c>
      <c r="AB207">
        <v>17366</v>
      </c>
      <c r="AD207" t="s">
        <v>1</v>
      </c>
      <c r="AE207">
        <v>45</v>
      </c>
      <c r="AF207" t="s">
        <v>6258</v>
      </c>
      <c r="AH207" t="s">
        <v>6592</v>
      </c>
      <c r="AI207" t="s">
        <v>6591</v>
      </c>
      <c r="AJ207" t="s">
        <v>6590</v>
      </c>
      <c r="AK207" t="s">
        <v>6589</v>
      </c>
      <c r="AL207">
        <v>48</v>
      </c>
      <c r="AM207" s="5">
        <f t="shared" si="27"/>
        <v>1.92</v>
      </c>
      <c r="AN207" s="4">
        <f t="shared" si="28"/>
        <v>2.9079893979553199E-3</v>
      </c>
      <c r="AO207" s="3"/>
      <c r="AP207">
        <v>0</v>
      </c>
      <c r="AR207" t="s">
        <v>0</v>
      </c>
      <c r="AT207" s="2" t="s">
        <v>5</v>
      </c>
      <c r="AU207" s="1">
        <f t="shared" si="29"/>
        <v>2.650972630872217</v>
      </c>
      <c r="AV207" s="1">
        <f t="shared" si="30"/>
        <v>1.976637290564593</v>
      </c>
      <c r="AW207" s="1">
        <f t="shared" si="31"/>
        <v>1.3023019502569686</v>
      </c>
    </row>
    <row r="208" spans="1:49" x14ac:dyDescent="0.2">
      <c r="A208">
        <v>206</v>
      </c>
      <c r="B208" t="s">
        <v>6588</v>
      </c>
      <c r="C208" t="s">
        <v>6587</v>
      </c>
      <c r="D208" t="s">
        <v>6586</v>
      </c>
      <c r="F208" t="s">
        <v>6585</v>
      </c>
      <c r="G208" t="s">
        <v>4</v>
      </c>
      <c r="H208" t="s">
        <v>3</v>
      </c>
      <c r="I208" t="s">
        <v>6584</v>
      </c>
      <c r="J208">
        <v>60025522</v>
      </c>
      <c r="K208" t="s">
        <v>6583</v>
      </c>
      <c r="L208" t="s">
        <v>278</v>
      </c>
      <c r="M208" t="s">
        <v>2</v>
      </c>
      <c r="N208">
        <v>1</v>
      </c>
      <c r="O208" t="s">
        <v>6582</v>
      </c>
      <c r="P208">
        <v>57198321214</v>
      </c>
      <c r="Q208">
        <v>60025522</v>
      </c>
      <c r="R208" s="8">
        <v>35765</v>
      </c>
      <c r="S208" s="9">
        <f t="shared" si="24"/>
        <v>1997</v>
      </c>
      <c r="T208" s="9">
        <v>1997</v>
      </c>
      <c r="U208" s="9">
        <f t="shared" si="25"/>
        <v>25</v>
      </c>
      <c r="V208" s="8">
        <v>1997</v>
      </c>
      <c r="W208" t="s">
        <v>448</v>
      </c>
      <c r="X208" s="2">
        <v>1.3720000000000001</v>
      </c>
      <c r="Y208" s="7">
        <f t="shared" si="26"/>
        <v>3.662475641333654E-2</v>
      </c>
      <c r="AA208">
        <v>189480</v>
      </c>
      <c r="AB208">
        <v>17366</v>
      </c>
      <c r="AD208" t="s">
        <v>1</v>
      </c>
      <c r="AE208">
        <v>45</v>
      </c>
      <c r="AF208" t="s">
        <v>6258</v>
      </c>
      <c r="AH208" t="s">
        <v>6581</v>
      </c>
      <c r="AI208" t="s">
        <v>6580</v>
      </c>
      <c r="AJ208" t="s">
        <v>6579</v>
      </c>
      <c r="AK208" t="s">
        <v>6578</v>
      </c>
      <c r="AL208">
        <v>9</v>
      </c>
      <c r="AM208" s="5">
        <f t="shared" si="27"/>
        <v>0.36</v>
      </c>
      <c r="AN208" s="4">
        <f t="shared" si="28"/>
        <v>5.4524801211662251E-4</v>
      </c>
      <c r="AO208" s="3"/>
      <c r="AP208">
        <v>0</v>
      </c>
      <c r="AR208" t="s">
        <v>0</v>
      </c>
      <c r="AS208" t="s">
        <v>6577</v>
      </c>
      <c r="AT208" s="2" t="s">
        <v>5</v>
      </c>
      <c r="AU208" s="1">
        <f t="shared" si="29"/>
        <v>2.5800903892970561</v>
      </c>
      <c r="AV208" s="1">
        <f t="shared" si="30"/>
        <v>1.8585002212726582</v>
      </c>
      <c r="AW208" s="1">
        <f t="shared" si="31"/>
        <v>1.1369100532482599</v>
      </c>
    </row>
    <row r="209" spans="1:49" x14ac:dyDescent="0.2">
      <c r="A209">
        <v>207</v>
      </c>
      <c r="B209" t="s">
        <v>6576</v>
      </c>
      <c r="C209" t="s">
        <v>6575</v>
      </c>
      <c r="D209" t="s">
        <v>6574</v>
      </c>
      <c r="F209" t="s">
        <v>6573</v>
      </c>
      <c r="G209" t="s">
        <v>4</v>
      </c>
      <c r="H209" t="s">
        <v>3</v>
      </c>
      <c r="I209" t="s">
        <v>4130</v>
      </c>
      <c r="J209" t="s">
        <v>6572</v>
      </c>
      <c r="K209" t="s">
        <v>6571</v>
      </c>
      <c r="L209" t="s">
        <v>6570</v>
      </c>
      <c r="M209" t="s">
        <v>6569</v>
      </c>
      <c r="N209">
        <v>4</v>
      </c>
      <c r="O209" t="s">
        <v>6568</v>
      </c>
      <c r="P209" t="s">
        <v>6567</v>
      </c>
      <c r="Q209" t="s">
        <v>6566</v>
      </c>
      <c r="R209" s="8">
        <v>35765</v>
      </c>
      <c r="S209" s="9">
        <f t="shared" si="24"/>
        <v>1997</v>
      </c>
      <c r="T209" s="9">
        <v>1997</v>
      </c>
      <c r="U209" s="9">
        <f t="shared" si="25"/>
        <v>25</v>
      </c>
      <c r="V209" s="8">
        <v>1997</v>
      </c>
      <c r="W209" t="s">
        <v>392</v>
      </c>
      <c r="X209" s="2">
        <v>1.6519999999999999</v>
      </c>
      <c r="Y209" s="7">
        <f t="shared" si="26"/>
        <v>4.409919649769093E-2</v>
      </c>
      <c r="AA209" t="s">
        <v>391</v>
      </c>
      <c r="AB209">
        <v>17337</v>
      </c>
      <c r="AD209" t="s">
        <v>1</v>
      </c>
      <c r="AE209">
        <v>45</v>
      </c>
      <c r="AF209">
        <v>8</v>
      </c>
      <c r="AH209" t="s">
        <v>6565</v>
      </c>
      <c r="AI209" t="s">
        <v>6564</v>
      </c>
      <c r="AJ209" t="s">
        <v>6563</v>
      </c>
      <c r="AK209" t="s">
        <v>6562</v>
      </c>
      <c r="AL209">
        <v>12</v>
      </c>
      <c r="AM209" s="5">
        <f t="shared" si="27"/>
        <v>0.48</v>
      </c>
      <c r="AN209" s="4">
        <f t="shared" si="28"/>
        <v>7.2699734948882997E-4</v>
      </c>
      <c r="AO209" s="3"/>
      <c r="AP209">
        <v>0</v>
      </c>
      <c r="AR209" t="s">
        <v>6561</v>
      </c>
      <c r="AT209" s="2" t="s">
        <v>5</v>
      </c>
      <c r="AU209" s="1">
        <f t="shared" si="29"/>
        <v>3.10875367532303</v>
      </c>
      <c r="AV209" s="1">
        <f t="shared" si="30"/>
        <v>2.2413096923589877</v>
      </c>
      <c r="AW209" s="1">
        <f t="shared" si="31"/>
        <v>1.3738657093949458</v>
      </c>
    </row>
    <row r="210" spans="1:49" x14ac:dyDescent="0.2">
      <c r="A210">
        <v>208</v>
      </c>
      <c r="B210" t="s">
        <v>6560</v>
      </c>
      <c r="C210" t="s">
        <v>6559</v>
      </c>
      <c r="D210" t="s">
        <v>6558</v>
      </c>
      <c r="F210" t="s">
        <v>6557</v>
      </c>
      <c r="G210" t="s">
        <v>4</v>
      </c>
      <c r="H210" t="s">
        <v>3</v>
      </c>
      <c r="I210" t="s">
        <v>6556</v>
      </c>
      <c r="J210" t="s">
        <v>6551</v>
      </c>
      <c r="K210" t="s">
        <v>6555</v>
      </c>
      <c r="L210" t="s">
        <v>6554</v>
      </c>
      <c r="M210" t="s">
        <v>18</v>
      </c>
      <c r="N210">
        <v>2</v>
      </c>
      <c r="O210" t="s">
        <v>6553</v>
      </c>
      <c r="P210" t="s">
        <v>6552</v>
      </c>
      <c r="Q210" t="s">
        <v>6551</v>
      </c>
      <c r="R210" s="8">
        <v>35765</v>
      </c>
      <c r="S210" s="9">
        <f t="shared" si="24"/>
        <v>1997</v>
      </c>
      <c r="T210" s="9">
        <v>1997</v>
      </c>
      <c r="U210" s="9">
        <f t="shared" si="25"/>
        <v>25</v>
      </c>
      <c r="V210" s="8">
        <v>1997</v>
      </c>
      <c r="W210" t="s">
        <v>392</v>
      </c>
      <c r="X210" s="2">
        <v>1.6519999999999999</v>
      </c>
      <c r="Y210" s="7">
        <f t="shared" si="26"/>
        <v>4.409919649769093E-2</v>
      </c>
      <c r="AA210" t="s">
        <v>391</v>
      </c>
      <c r="AB210">
        <v>17337</v>
      </c>
      <c r="AD210" t="s">
        <v>1</v>
      </c>
      <c r="AE210">
        <v>45</v>
      </c>
      <c r="AF210">
        <v>8</v>
      </c>
      <c r="AH210" t="s">
        <v>6550</v>
      </c>
      <c r="AI210" t="s">
        <v>6549</v>
      </c>
      <c r="AJ210" t="s">
        <v>6548</v>
      </c>
      <c r="AK210" t="s">
        <v>6547</v>
      </c>
      <c r="AL210">
        <v>10</v>
      </c>
      <c r="AM210" s="5">
        <f t="shared" si="27"/>
        <v>0.4</v>
      </c>
      <c r="AN210" s="4">
        <f t="shared" si="28"/>
        <v>6.0583112457402507E-4</v>
      </c>
      <c r="AO210" s="3"/>
      <c r="AP210">
        <v>0</v>
      </c>
      <c r="AR210" t="s">
        <v>0</v>
      </c>
      <c r="AT210" s="2" t="s">
        <v>5</v>
      </c>
      <c r="AU210" s="1">
        <f t="shared" si="29"/>
        <v>3.1051186885755859</v>
      </c>
      <c r="AV210" s="1">
        <f t="shared" si="30"/>
        <v>2.2352513811132479</v>
      </c>
      <c r="AW210" s="1">
        <f t="shared" si="31"/>
        <v>1.3653840736509095</v>
      </c>
    </row>
    <row r="211" spans="1:49" x14ac:dyDescent="0.2">
      <c r="A211">
        <v>209</v>
      </c>
      <c r="B211" t="s">
        <v>6546</v>
      </c>
      <c r="C211" t="s">
        <v>6545</v>
      </c>
      <c r="D211" t="s">
        <v>6544</v>
      </c>
      <c r="F211" t="s">
        <v>6543</v>
      </c>
      <c r="G211" t="s">
        <v>4</v>
      </c>
      <c r="H211" t="s">
        <v>3</v>
      </c>
      <c r="I211" t="s">
        <v>6542</v>
      </c>
      <c r="J211">
        <v>60026717</v>
      </c>
      <c r="K211" t="s">
        <v>325</v>
      </c>
      <c r="L211" t="s">
        <v>236</v>
      </c>
      <c r="M211" t="s">
        <v>2</v>
      </c>
      <c r="N211">
        <v>2</v>
      </c>
      <c r="O211" t="s">
        <v>6541</v>
      </c>
      <c r="P211" t="s">
        <v>6540</v>
      </c>
      <c r="Q211" t="s">
        <v>6539</v>
      </c>
      <c r="R211" s="8">
        <v>35765</v>
      </c>
      <c r="S211" s="9">
        <f t="shared" si="24"/>
        <v>1997</v>
      </c>
      <c r="T211" s="9">
        <v>1997</v>
      </c>
      <c r="U211" s="9">
        <f t="shared" si="25"/>
        <v>25</v>
      </c>
      <c r="V211" s="8">
        <v>1997</v>
      </c>
      <c r="W211" t="s">
        <v>392</v>
      </c>
      <c r="X211" s="2">
        <v>1.6519999999999999</v>
      </c>
      <c r="Y211" s="7">
        <f t="shared" si="26"/>
        <v>4.409919649769093E-2</v>
      </c>
      <c r="AA211" t="s">
        <v>391</v>
      </c>
      <c r="AB211">
        <v>17337</v>
      </c>
      <c r="AD211" t="s">
        <v>1</v>
      </c>
      <c r="AE211">
        <v>45</v>
      </c>
      <c r="AF211">
        <v>8</v>
      </c>
      <c r="AH211" t="s">
        <v>6538</v>
      </c>
      <c r="AI211" t="s">
        <v>6537</v>
      </c>
      <c r="AJ211" t="s">
        <v>6536</v>
      </c>
      <c r="AK211" t="s">
        <v>6535</v>
      </c>
      <c r="AL211">
        <v>13</v>
      </c>
      <c r="AM211" s="5">
        <f t="shared" si="27"/>
        <v>0.52</v>
      </c>
      <c r="AN211" s="4">
        <f t="shared" si="28"/>
        <v>7.8758046194623253E-4</v>
      </c>
      <c r="AO211" s="3"/>
      <c r="AP211">
        <v>0</v>
      </c>
      <c r="AR211" t="s">
        <v>0</v>
      </c>
      <c r="AT211" s="2" t="s">
        <v>5</v>
      </c>
      <c r="AU211" s="1">
        <f t="shared" si="29"/>
        <v>3.1105711686967519</v>
      </c>
      <c r="AV211" s="1">
        <f t="shared" si="30"/>
        <v>2.244338847981858</v>
      </c>
      <c r="AW211" s="1">
        <f t="shared" si="31"/>
        <v>1.3781065272669641</v>
      </c>
    </row>
    <row r="212" spans="1:49" x14ac:dyDescent="0.2">
      <c r="A212">
        <v>210</v>
      </c>
      <c r="B212" t="s">
        <v>6534</v>
      </c>
      <c r="C212" t="s">
        <v>6533</v>
      </c>
      <c r="D212" t="s">
        <v>6532</v>
      </c>
      <c r="F212" t="s">
        <v>6531</v>
      </c>
      <c r="G212" t="s">
        <v>4</v>
      </c>
      <c r="H212" t="s">
        <v>3</v>
      </c>
      <c r="I212" t="s">
        <v>3854</v>
      </c>
      <c r="J212">
        <v>60014982</v>
      </c>
      <c r="K212" t="s">
        <v>717</v>
      </c>
      <c r="L212" t="s">
        <v>716</v>
      </c>
      <c r="M212" t="s">
        <v>250</v>
      </c>
      <c r="N212">
        <v>2</v>
      </c>
      <c r="O212" t="s">
        <v>6530</v>
      </c>
      <c r="P212" t="s">
        <v>6529</v>
      </c>
      <c r="Q212" t="s">
        <v>715</v>
      </c>
      <c r="R212" s="8">
        <v>35765</v>
      </c>
      <c r="S212" s="9">
        <f t="shared" si="24"/>
        <v>1997</v>
      </c>
      <c r="T212" s="9">
        <v>1997</v>
      </c>
      <c r="U212" s="9">
        <f t="shared" si="25"/>
        <v>25</v>
      </c>
      <c r="V212" s="8">
        <v>1997</v>
      </c>
      <c r="W212" t="s">
        <v>4163</v>
      </c>
      <c r="X212" s="2">
        <v>1.365</v>
      </c>
      <c r="Y212" s="7">
        <f t="shared" si="26"/>
        <v>3.6437895411227675E-2</v>
      </c>
      <c r="AA212">
        <v>189545</v>
      </c>
      <c r="AB212">
        <v>17393</v>
      </c>
      <c r="AD212" t="s">
        <v>1</v>
      </c>
      <c r="AE212">
        <v>46</v>
      </c>
      <c r="AF212">
        <v>3</v>
      </c>
      <c r="AH212" t="s">
        <v>6528</v>
      </c>
      <c r="AI212" t="s">
        <v>6527</v>
      </c>
      <c r="AJ212" t="s">
        <v>6526</v>
      </c>
      <c r="AK212" t="s">
        <v>6525</v>
      </c>
      <c r="AL212">
        <v>27</v>
      </c>
      <c r="AM212" s="5">
        <f t="shared" si="27"/>
        <v>1.08</v>
      </c>
      <c r="AN212" s="4">
        <f t="shared" si="28"/>
        <v>1.6357440363498675E-3</v>
      </c>
      <c r="AO212" s="3"/>
      <c r="AP212">
        <v>0</v>
      </c>
      <c r="AR212" t="s">
        <v>6524</v>
      </c>
      <c r="AT212" s="2" t="s">
        <v>5</v>
      </c>
      <c r="AU212" s="1">
        <f t="shared" si="29"/>
        <v>2.5997249998764329</v>
      </c>
      <c r="AV212" s="1">
        <f t="shared" si="30"/>
        <v>1.9036819723788772</v>
      </c>
      <c r="AW212" s="1">
        <f t="shared" si="31"/>
        <v>1.207638944881321</v>
      </c>
    </row>
    <row r="213" spans="1:49" x14ac:dyDescent="0.2">
      <c r="A213">
        <v>211</v>
      </c>
      <c r="B213" t="s">
        <v>6523</v>
      </c>
      <c r="C213" t="s">
        <v>6522</v>
      </c>
      <c r="D213" t="s">
        <v>6521</v>
      </c>
      <c r="F213" t="s">
        <v>6520</v>
      </c>
      <c r="G213" t="s">
        <v>4</v>
      </c>
      <c r="H213" t="s">
        <v>3</v>
      </c>
      <c r="I213" t="s">
        <v>6519</v>
      </c>
      <c r="J213" t="s">
        <v>6518</v>
      </c>
      <c r="K213" t="s">
        <v>6517</v>
      </c>
      <c r="L213" t="s">
        <v>6516</v>
      </c>
      <c r="M213" t="s">
        <v>85</v>
      </c>
      <c r="N213">
        <v>3</v>
      </c>
      <c r="O213" t="s">
        <v>6515</v>
      </c>
      <c r="P213" t="s">
        <v>6514</v>
      </c>
      <c r="Q213" t="s">
        <v>6513</v>
      </c>
      <c r="R213" s="8">
        <v>35765</v>
      </c>
      <c r="S213" s="9">
        <f t="shared" si="24"/>
        <v>1997</v>
      </c>
      <c r="T213" s="9">
        <v>1997</v>
      </c>
      <c r="U213" s="9">
        <f t="shared" si="25"/>
        <v>25</v>
      </c>
      <c r="V213" s="8">
        <v>1997</v>
      </c>
      <c r="W213" t="s">
        <v>4163</v>
      </c>
      <c r="X213" s="2">
        <v>1.365</v>
      </c>
      <c r="Y213" s="7">
        <f t="shared" si="26"/>
        <v>3.6437895411227675E-2</v>
      </c>
      <c r="AA213">
        <v>189545</v>
      </c>
      <c r="AB213">
        <v>17393</v>
      </c>
      <c r="AD213" t="s">
        <v>1</v>
      </c>
      <c r="AE213">
        <v>46</v>
      </c>
      <c r="AF213">
        <v>3</v>
      </c>
      <c r="AH213" t="s">
        <v>6512</v>
      </c>
      <c r="AI213" t="s">
        <v>6511</v>
      </c>
      <c r="AJ213" t="s">
        <v>6510</v>
      </c>
      <c r="AK213" t="s">
        <v>6509</v>
      </c>
      <c r="AL213">
        <v>21</v>
      </c>
      <c r="AM213" s="5">
        <f t="shared" si="27"/>
        <v>0.84</v>
      </c>
      <c r="AN213" s="4">
        <f t="shared" si="28"/>
        <v>1.2722453616054524E-3</v>
      </c>
      <c r="AO213" s="3"/>
      <c r="AP213">
        <v>0</v>
      </c>
      <c r="AR213" t="s">
        <v>0</v>
      </c>
      <c r="AT213" s="2" t="s">
        <v>5</v>
      </c>
      <c r="AU213" s="1">
        <f t="shared" si="29"/>
        <v>2.5888200396341006</v>
      </c>
      <c r="AV213" s="1">
        <f t="shared" si="30"/>
        <v>1.8855070386416564</v>
      </c>
      <c r="AW213" s="1">
        <f t="shared" si="31"/>
        <v>1.1821940376492117</v>
      </c>
    </row>
    <row r="214" spans="1:49" x14ac:dyDescent="0.2">
      <c r="A214">
        <v>212</v>
      </c>
      <c r="B214" t="s">
        <v>6508</v>
      </c>
      <c r="C214" t="s">
        <v>6507</v>
      </c>
      <c r="D214" t="s">
        <v>6506</v>
      </c>
      <c r="F214" t="s">
        <v>6505</v>
      </c>
      <c r="G214" t="s">
        <v>4</v>
      </c>
      <c r="H214" t="s">
        <v>3</v>
      </c>
      <c r="I214" t="s">
        <v>651</v>
      </c>
      <c r="J214">
        <v>60011357</v>
      </c>
      <c r="K214" t="s">
        <v>292</v>
      </c>
      <c r="L214" t="s">
        <v>291</v>
      </c>
      <c r="M214" t="s">
        <v>250</v>
      </c>
      <c r="N214">
        <v>2</v>
      </c>
      <c r="O214" t="s">
        <v>650</v>
      </c>
      <c r="P214" t="s">
        <v>649</v>
      </c>
      <c r="Q214" t="s">
        <v>288</v>
      </c>
      <c r="R214" s="8">
        <v>35765</v>
      </c>
      <c r="S214" s="9">
        <f t="shared" si="24"/>
        <v>1997</v>
      </c>
      <c r="T214" s="9">
        <v>1997</v>
      </c>
      <c r="U214" s="9">
        <f t="shared" si="25"/>
        <v>25</v>
      </c>
      <c r="V214" s="8">
        <v>1997</v>
      </c>
      <c r="W214" t="s">
        <v>448</v>
      </c>
      <c r="X214" s="2">
        <v>1.3720000000000001</v>
      </c>
      <c r="Y214" s="7">
        <f t="shared" si="26"/>
        <v>3.662475641333654E-2</v>
      </c>
      <c r="AA214">
        <v>189480</v>
      </c>
      <c r="AB214">
        <v>17366</v>
      </c>
      <c r="AD214" t="s">
        <v>1</v>
      </c>
      <c r="AE214">
        <v>45</v>
      </c>
      <c r="AF214" t="s">
        <v>6423</v>
      </c>
      <c r="AH214" t="s">
        <v>6504</v>
      </c>
      <c r="AI214" t="s">
        <v>6503</v>
      </c>
      <c r="AJ214" t="s">
        <v>6502</v>
      </c>
      <c r="AK214" t="s">
        <v>6501</v>
      </c>
      <c r="AL214">
        <v>2</v>
      </c>
      <c r="AM214" s="5">
        <f t="shared" si="27"/>
        <v>0.08</v>
      </c>
      <c r="AN214" s="4">
        <f t="shared" si="28"/>
        <v>1.21166224914805E-4</v>
      </c>
      <c r="AO214" s="3"/>
      <c r="AP214">
        <v>0</v>
      </c>
      <c r="AR214" t="s">
        <v>0</v>
      </c>
      <c r="AT214" s="2" t="s">
        <v>5</v>
      </c>
      <c r="AU214" s="1">
        <f t="shared" si="29"/>
        <v>2.5673679356810015</v>
      </c>
      <c r="AV214" s="1">
        <f t="shared" si="30"/>
        <v>1.8372961319125674</v>
      </c>
      <c r="AW214" s="1">
        <f t="shared" si="31"/>
        <v>1.1072243281441325</v>
      </c>
    </row>
    <row r="215" spans="1:49" x14ac:dyDescent="0.2">
      <c r="A215">
        <v>213</v>
      </c>
      <c r="B215" t="s">
        <v>6500</v>
      </c>
      <c r="C215" t="s">
        <v>6499</v>
      </c>
      <c r="D215" t="s">
        <v>6498</v>
      </c>
      <c r="F215" t="s">
        <v>6497</v>
      </c>
      <c r="G215" t="s">
        <v>4</v>
      </c>
      <c r="H215" t="s">
        <v>3</v>
      </c>
      <c r="I215" t="s">
        <v>6496</v>
      </c>
      <c r="J215">
        <v>60025778</v>
      </c>
      <c r="K215" t="s">
        <v>636</v>
      </c>
      <c r="L215" t="s">
        <v>635</v>
      </c>
      <c r="M215" t="s">
        <v>2</v>
      </c>
      <c r="N215">
        <v>3</v>
      </c>
      <c r="O215" t="s">
        <v>6495</v>
      </c>
      <c r="P215" t="s">
        <v>6494</v>
      </c>
      <c r="Q215" t="s">
        <v>4608</v>
      </c>
      <c r="R215" s="8">
        <v>35765</v>
      </c>
      <c r="S215" s="9">
        <f t="shared" si="24"/>
        <v>1997</v>
      </c>
      <c r="T215" s="9">
        <v>1997</v>
      </c>
      <c r="U215" s="9">
        <f t="shared" si="25"/>
        <v>25</v>
      </c>
      <c r="V215" s="8">
        <v>1997</v>
      </c>
      <c r="W215" t="s">
        <v>392</v>
      </c>
      <c r="X215" s="2">
        <v>1.6519999999999999</v>
      </c>
      <c r="Y215" s="7">
        <f t="shared" si="26"/>
        <v>4.409919649769093E-2</v>
      </c>
      <c r="AA215" t="s">
        <v>391</v>
      </c>
      <c r="AB215">
        <v>17337</v>
      </c>
      <c r="AD215" t="s">
        <v>1</v>
      </c>
      <c r="AE215">
        <v>45</v>
      </c>
      <c r="AF215">
        <v>8</v>
      </c>
      <c r="AH215" t="s">
        <v>6493</v>
      </c>
      <c r="AI215" t="s">
        <v>6492</v>
      </c>
      <c r="AJ215" t="s">
        <v>272</v>
      </c>
      <c r="AK215" t="s">
        <v>6491</v>
      </c>
      <c r="AL215">
        <v>184</v>
      </c>
      <c r="AM215" s="5">
        <f t="shared" si="27"/>
        <v>7.36</v>
      </c>
      <c r="AN215" s="4">
        <f t="shared" si="28"/>
        <v>1.114729269216206E-2</v>
      </c>
      <c r="AO215" s="3"/>
      <c r="AP215">
        <v>0</v>
      </c>
      <c r="AR215" t="s">
        <v>6490</v>
      </c>
      <c r="AT215" s="2" t="s">
        <v>5</v>
      </c>
      <c r="AU215" s="1">
        <f t="shared" si="29"/>
        <v>3.4213625356032269</v>
      </c>
      <c r="AV215" s="1">
        <f t="shared" si="30"/>
        <v>2.7623244594926497</v>
      </c>
      <c r="AW215" s="1">
        <f t="shared" si="31"/>
        <v>2.1032863833820721</v>
      </c>
    </row>
    <row r="216" spans="1:49" x14ac:dyDescent="0.2">
      <c r="A216">
        <v>214</v>
      </c>
      <c r="B216" t="s">
        <v>6489</v>
      </c>
      <c r="C216" t="s">
        <v>6488</v>
      </c>
      <c r="D216" t="s">
        <v>6487</v>
      </c>
      <c r="F216" t="s">
        <v>6486</v>
      </c>
      <c r="G216" t="s">
        <v>4</v>
      </c>
      <c r="H216" t="s">
        <v>3</v>
      </c>
      <c r="I216" t="s">
        <v>6485</v>
      </c>
      <c r="J216">
        <v>60005465</v>
      </c>
      <c r="K216" t="s">
        <v>230</v>
      </c>
      <c r="L216" t="s">
        <v>229</v>
      </c>
      <c r="M216" t="s">
        <v>190</v>
      </c>
      <c r="N216">
        <v>1</v>
      </c>
      <c r="O216" t="s">
        <v>6484</v>
      </c>
      <c r="P216">
        <v>6507182224</v>
      </c>
      <c r="Q216">
        <v>60005465</v>
      </c>
      <c r="R216" s="8">
        <v>35765</v>
      </c>
      <c r="S216" s="9">
        <f t="shared" si="24"/>
        <v>1997</v>
      </c>
      <c r="T216" s="9">
        <v>1997</v>
      </c>
      <c r="U216" s="9">
        <f t="shared" si="25"/>
        <v>25</v>
      </c>
      <c r="V216" s="8">
        <v>1997</v>
      </c>
      <c r="W216" t="s">
        <v>1379</v>
      </c>
      <c r="X216" s="2">
        <v>0.65500000000000003</v>
      </c>
      <c r="Y216" s="7">
        <f t="shared" si="26"/>
        <v>1.7484850911614749E-2</v>
      </c>
      <c r="AA216">
        <v>189375</v>
      </c>
      <c r="AB216">
        <v>26051</v>
      </c>
      <c r="AD216" t="s">
        <v>1</v>
      </c>
      <c r="AE216">
        <v>39</v>
      </c>
      <c r="AF216">
        <v>3</v>
      </c>
      <c r="AH216" t="s">
        <v>6483</v>
      </c>
      <c r="AI216" t="s">
        <v>6482</v>
      </c>
      <c r="AJ216" t="s">
        <v>6481</v>
      </c>
      <c r="AK216" t="s">
        <v>6480</v>
      </c>
      <c r="AL216">
        <v>0</v>
      </c>
      <c r="AM216" s="5">
        <f t="shared" si="27"/>
        <v>0</v>
      </c>
      <c r="AN216" s="4">
        <f t="shared" si="28"/>
        <v>0</v>
      </c>
      <c r="AO216" s="3"/>
      <c r="AP216">
        <v>0</v>
      </c>
      <c r="AR216" t="s">
        <v>0</v>
      </c>
      <c r="AT216" s="2" t="s">
        <v>5</v>
      </c>
      <c r="AU216" s="1">
        <f t="shared" si="29"/>
        <v>1.2239395638130324</v>
      </c>
      <c r="AV216" s="1">
        <f t="shared" si="30"/>
        <v>0.87424254558073744</v>
      </c>
      <c r="AW216" s="1">
        <f t="shared" si="31"/>
        <v>0.52454552734844251</v>
      </c>
    </row>
    <row r="217" spans="1:49" x14ac:dyDescent="0.2">
      <c r="A217">
        <v>215</v>
      </c>
      <c r="B217" t="s">
        <v>6479</v>
      </c>
      <c r="C217" t="s">
        <v>6478</v>
      </c>
      <c r="D217" t="s">
        <v>6477</v>
      </c>
      <c r="F217" t="s">
        <v>6476</v>
      </c>
      <c r="G217" t="s">
        <v>4</v>
      </c>
      <c r="H217" t="s">
        <v>3</v>
      </c>
      <c r="I217" t="s">
        <v>6475</v>
      </c>
      <c r="J217">
        <v>60094206</v>
      </c>
      <c r="K217" t="s">
        <v>6474</v>
      </c>
      <c r="L217" t="s">
        <v>304</v>
      </c>
      <c r="M217" t="s">
        <v>303</v>
      </c>
      <c r="N217">
        <v>5</v>
      </c>
      <c r="O217" t="s">
        <v>6473</v>
      </c>
      <c r="P217" t="s">
        <v>6472</v>
      </c>
      <c r="Q217" t="s">
        <v>6471</v>
      </c>
      <c r="R217" s="8">
        <v>35765</v>
      </c>
      <c r="S217" s="9">
        <f t="shared" si="24"/>
        <v>1997</v>
      </c>
      <c r="T217" s="9">
        <v>1997</v>
      </c>
      <c r="U217" s="9">
        <f t="shared" si="25"/>
        <v>25</v>
      </c>
      <c r="V217" s="8">
        <v>1997</v>
      </c>
      <c r="W217" t="s">
        <v>392</v>
      </c>
      <c r="X217" s="2">
        <v>1.6519999999999999</v>
      </c>
      <c r="Y217" s="7">
        <f t="shared" si="26"/>
        <v>4.409919649769093E-2</v>
      </c>
      <c r="AA217" t="s">
        <v>391</v>
      </c>
      <c r="AB217">
        <v>17337</v>
      </c>
      <c r="AD217" t="s">
        <v>1</v>
      </c>
      <c r="AE217">
        <v>45</v>
      </c>
      <c r="AF217">
        <v>8</v>
      </c>
      <c r="AH217" t="s">
        <v>6470</v>
      </c>
      <c r="AI217" t="s">
        <v>6469</v>
      </c>
      <c r="AJ217" t="s">
        <v>4425</v>
      </c>
      <c r="AK217" t="s">
        <v>6468</v>
      </c>
      <c r="AL217">
        <v>3</v>
      </c>
      <c r="AM217" s="5">
        <f t="shared" si="27"/>
        <v>0.12</v>
      </c>
      <c r="AN217" s="4">
        <f t="shared" si="28"/>
        <v>1.8174933737220749E-4</v>
      </c>
      <c r="AO217" s="3"/>
      <c r="AP217">
        <v>0</v>
      </c>
      <c r="AR217" t="s">
        <v>0</v>
      </c>
      <c r="AT217" s="2" t="s">
        <v>5</v>
      </c>
      <c r="AU217" s="1">
        <f t="shared" si="29"/>
        <v>3.0923962349595313</v>
      </c>
      <c r="AV217" s="1">
        <f t="shared" si="30"/>
        <v>2.2140472917531571</v>
      </c>
      <c r="AW217" s="1">
        <f t="shared" si="31"/>
        <v>1.3356983485467824</v>
      </c>
    </row>
    <row r="218" spans="1:49" x14ac:dyDescent="0.2">
      <c r="A218">
        <v>216</v>
      </c>
      <c r="B218" t="s">
        <v>6467</v>
      </c>
      <c r="C218" t="s">
        <v>6466</v>
      </c>
      <c r="D218" t="s">
        <v>6465</v>
      </c>
      <c r="F218" t="s">
        <v>6464</v>
      </c>
      <c r="G218" t="s">
        <v>4</v>
      </c>
      <c r="H218" t="s">
        <v>3</v>
      </c>
      <c r="I218" t="s">
        <v>6463</v>
      </c>
      <c r="J218">
        <v>60033155</v>
      </c>
      <c r="K218" t="s">
        <v>6462</v>
      </c>
      <c r="L218" t="s">
        <v>6461</v>
      </c>
      <c r="M218" t="s">
        <v>7</v>
      </c>
      <c r="N218">
        <v>1</v>
      </c>
      <c r="O218" t="s">
        <v>6460</v>
      </c>
      <c r="P218">
        <v>35588019400</v>
      </c>
      <c r="Q218">
        <v>60033155</v>
      </c>
      <c r="R218" s="8">
        <v>35765</v>
      </c>
      <c r="S218" s="9">
        <f t="shared" si="24"/>
        <v>1997</v>
      </c>
      <c r="T218" s="9">
        <v>1997</v>
      </c>
      <c r="U218" s="9">
        <f t="shared" si="25"/>
        <v>25</v>
      </c>
      <c r="V218" s="8">
        <v>1997</v>
      </c>
      <c r="W218" t="s">
        <v>448</v>
      </c>
      <c r="X218" s="2">
        <v>1.3720000000000001</v>
      </c>
      <c r="Y218" s="7">
        <f t="shared" si="26"/>
        <v>3.662475641333654E-2</v>
      </c>
      <c r="AA218">
        <v>189480</v>
      </c>
      <c r="AB218">
        <v>17366</v>
      </c>
      <c r="AD218" t="s">
        <v>1</v>
      </c>
      <c r="AE218">
        <v>45</v>
      </c>
      <c r="AF218" t="s">
        <v>6258</v>
      </c>
      <c r="AH218" t="s">
        <v>6459</v>
      </c>
      <c r="AI218" t="s">
        <v>6458</v>
      </c>
      <c r="AJ218" t="s">
        <v>6457</v>
      </c>
      <c r="AK218" t="s">
        <v>6456</v>
      </c>
      <c r="AL218">
        <v>8</v>
      </c>
      <c r="AM218" s="5">
        <f t="shared" si="27"/>
        <v>0.32</v>
      </c>
      <c r="AN218" s="4">
        <f t="shared" si="28"/>
        <v>4.8466489965922E-4</v>
      </c>
      <c r="AO218" s="3"/>
      <c r="AP218">
        <v>0</v>
      </c>
      <c r="AR218" t="s">
        <v>0</v>
      </c>
      <c r="AT218" s="2" t="s">
        <v>5</v>
      </c>
      <c r="AU218" s="1">
        <f t="shared" si="29"/>
        <v>2.5782728959233343</v>
      </c>
      <c r="AV218" s="1">
        <f t="shared" si="30"/>
        <v>1.8554710656497879</v>
      </c>
      <c r="AW218" s="1">
        <f t="shared" si="31"/>
        <v>1.1326692353762415</v>
      </c>
    </row>
    <row r="219" spans="1:49" x14ac:dyDescent="0.2">
      <c r="A219">
        <v>217</v>
      </c>
      <c r="B219" t="s">
        <v>6455</v>
      </c>
      <c r="C219" t="s">
        <v>6454</v>
      </c>
      <c r="D219" t="s">
        <v>6453</v>
      </c>
      <c r="F219" t="s">
        <v>6452</v>
      </c>
      <c r="G219" t="s">
        <v>4</v>
      </c>
      <c r="H219" t="s">
        <v>3</v>
      </c>
      <c r="I219" t="s">
        <v>620</v>
      </c>
      <c r="J219">
        <v>60022144</v>
      </c>
      <c r="K219" t="s">
        <v>360</v>
      </c>
      <c r="L219" t="s">
        <v>359</v>
      </c>
      <c r="M219" t="s">
        <v>2</v>
      </c>
      <c r="N219">
        <v>1</v>
      </c>
      <c r="O219" t="s">
        <v>6451</v>
      </c>
      <c r="P219">
        <v>7103231658</v>
      </c>
      <c r="Q219">
        <v>60022144</v>
      </c>
      <c r="R219" s="8">
        <v>35765</v>
      </c>
      <c r="S219" s="9">
        <f t="shared" si="24"/>
        <v>1997</v>
      </c>
      <c r="T219" s="9">
        <v>1997</v>
      </c>
      <c r="U219" s="9">
        <f t="shared" si="25"/>
        <v>25</v>
      </c>
      <c r="V219" s="8">
        <v>1997</v>
      </c>
      <c r="W219" t="s">
        <v>448</v>
      </c>
      <c r="X219" s="2">
        <v>1.3720000000000001</v>
      </c>
      <c r="Y219" s="7">
        <f t="shared" si="26"/>
        <v>3.662475641333654E-2</v>
      </c>
      <c r="AA219">
        <v>189480</v>
      </c>
      <c r="AB219">
        <v>17366</v>
      </c>
      <c r="AD219" t="s">
        <v>1</v>
      </c>
      <c r="AE219">
        <v>45</v>
      </c>
      <c r="AF219" t="s">
        <v>6258</v>
      </c>
      <c r="AH219" t="s">
        <v>6450</v>
      </c>
      <c r="AI219" t="s">
        <v>6449</v>
      </c>
      <c r="AJ219" t="s">
        <v>6448</v>
      </c>
      <c r="AK219" t="s">
        <v>6447</v>
      </c>
      <c r="AL219">
        <v>10</v>
      </c>
      <c r="AM219" s="5">
        <f t="shared" si="27"/>
        <v>0.4</v>
      </c>
      <c r="AN219" s="4">
        <f t="shared" si="28"/>
        <v>6.0583112457402507E-4</v>
      </c>
      <c r="AO219" s="3"/>
      <c r="AP219">
        <v>0</v>
      </c>
      <c r="AR219" t="s">
        <v>0</v>
      </c>
      <c r="AT219" s="2" t="s">
        <v>5</v>
      </c>
      <c r="AU219" s="1">
        <f t="shared" si="29"/>
        <v>2.5819078826707784</v>
      </c>
      <c r="AV219" s="1">
        <f t="shared" si="30"/>
        <v>1.8615293768955283</v>
      </c>
      <c r="AW219" s="1">
        <f t="shared" si="31"/>
        <v>1.141150871120278</v>
      </c>
    </row>
    <row r="220" spans="1:49" x14ac:dyDescent="0.2">
      <c r="A220">
        <v>218</v>
      </c>
      <c r="B220" t="s">
        <v>6446</v>
      </c>
      <c r="C220" t="s">
        <v>6445</v>
      </c>
      <c r="F220" t="s">
        <v>6444</v>
      </c>
      <c r="G220" t="s">
        <v>4</v>
      </c>
      <c r="H220" t="s">
        <v>3</v>
      </c>
      <c r="I220" t="s">
        <v>6443</v>
      </c>
      <c r="J220">
        <v>60019722</v>
      </c>
      <c r="K220" t="s">
        <v>6442</v>
      </c>
      <c r="L220" t="s">
        <v>6441</v>
      </c>
      <c r="M220" t="s">
        <v>7</v>
      </c>
      <c r="N220">
        <v>2</v>
      </c>
      <c r="O220" t="s">
        <v>6440</v>
      </c>
      <c r="P220" t="s">
        <v>6439</v>
      </c>
      <c r="Q220" t="s">
        <v>6438</v>
      </c>
      <c r="R220" s="8">
        <v>35765</v>
      </c>
      <c r="S220" s="9">
        <f t="shared" si="24"/>
        <v>1997</v>
      </c>
      <c r="T220" s="9">
        <v>1997</v>
      </c>
      <c r="U220" s="9">
        <f t="shared" si="25"/>
        <v>25</v>
      </c>
      <c r="V220" s="8">
        <v>1997</v>
      </c>
      <c r="W220" t="s">
        <v>637</v>
      </c>
      <c r="X220" s="2">
        <v>0.39600000000000002</v>
      </c>
      <c r="Y220" s="7">
        <f t="shared" si="26"/>
        <v>1.0570993833586931E-2</v>
      </c>
      <c r="AA220">
        <v>8858985</v>
      </c>
      <c r="AB220">
        <v>25993</v>
      </c>
      <c r="AD220" t="s">
        <v>1</v>
      </c>
      <c r="AE220">
        <v>12</v>
      </c>
      <c r="AF220">
        <v>8</v>
      </c>
      <c r="AH220" t="s">
        <v>6437</v>
      </c>
      <c r="AI220" t="s">
        <v>6436</v>
      </c>
      <c r="AK220" t="s">
        <v>6435</v>
      </c>
      <c r="AL220">
        <v>20</v>
      </c>
      <c r="AM220" s="5">
        <f t="shared" si="27"/>
        <v>0.8</v>
      </c>
      <c r="AN220" s="4">
        <f t="shared" si="28"/>
        <v>1.2116622491480501E-3</v>
      </c>
      <c r="AO220" s="3"/>
      <c r="AP220">
        <v>0</v>
      </c>
      <c r="AR220" t="s">
        <v>0</v>
      </c>
      <c r="AT220" s="2" t="s">
        <v>5</v>
      </c>
      <c r="AU220" s="1">
        <f t="shared" si="29"/>
        <v>0.77631943582552665</v>
      </c>
      <c r="AV220" s="1">
        <f t="shared" si="30"/>
        <v>0.58913280413674907</v>
      </c>
      <c r="AW220" s="1">
        <f t="shared" si="31"/>
        <v>0.40194617244797143</v>
      </c>
    </row>
    <row r="221" spans="1:49" x14ac:dyDescent="0.2">
      <c r="A221">
        <v>219</v>
      </c>
      <c r="B221" t="s">
        <v>6434</v>
      </c>
      <c r="C221" t="s">
        <v>6433</v>
      </c>
      <c r="D221" t="s">
        <v>6432</v>
      </c>
      <c r="F221" t="s">
        <v>6431</v>
      </c>
      <c r="G221" t="s">
        <v>4</v>
      </c>
      <c r="H221" t="s">
        <v>3</v>
      </c>
      <c r="I221" t="s">
        <v>6430</v>
      </c>
      <c r="J221" t="s">
        <v>6429</v>
      </c>
      <c r="K221" t="s">
        <v>6428</v>
      </c>
      <c r="L221" t="s">
        <v>6427</v>
      </c>
      <c r="M221" t="s">
        <v>63</v>
      </c>
      <c r="N221">
        <v>2</v>
      </c>
      <c r="O221" t="s">
        <v>6426</v>
      </c>
      <c r="P221" t="s">
        <v>6425</v>
      </c>
      <c r="Q221" t="s">
        <v>6424</v>
      </c>
      <c r="R221" s="8">
        <v>35765</v>
      </c>
      <c r="S221" s="9">
        <f t="shared" si="24"/>
        <v>1997</v>
      </c>
      <c r="T221" s="9">
        <v>1997</v>
      </c>
      <c r="U221" s="9">
        <f t="shared" si="25"/>
        <v>25</v>
      </c>
      <c r="V221" s="8">
        <v>1997</v>
      </c>
      <c r="W221" t="s">
        <v>448</v>
      </c>
      <c r="X221" s="2">
        <v>1.3720000000000001</v>
      </c>
      <c r="Y221" s="7">
        <f t="shared" si="26"/>
        <v>3.662475641333654E-2</v>
      </c>
      <c r="AA221">
        <v>189480</v>
      </c>
      <c r="AB221">
        <v>17366</v>
      </c>
      <c r="AD221" t="s">
        <v>1</v>
      </c>
      <c r="AE221">
        <v>45</v>
      </c>
      <c r="AF221" t="s">
        <v>6423</v>
      </c>
      <c r="AH221" t="s">
        <v>6422</v>
      </c>
      <c r="AI221" t="s">
        <v>6421</v>
      </c>
      <c r="AJ221" t="s">
        <v>6420</v>
      </c>
      <c r="AK221" t="s">
        <v>6419</v>
      </c>
      <c r="AL221">
        <v>5</v>
      </c>
      <c r="AM221" s="5">
        <f t="shared" si="27"/>
        <v>0.2</v>
      </c>
      <c r="AN221" s="4">
        <f t="shared" si="28"/>
        <v>3.0291556228701253E-4</v>
      </c>
      <c r="AO221" s="3"/>
      <c r="AP221">
        <v>0</v>
      </c>
      <c r="AQ221" t="s">
        <v>598</v>
      </c>
      <c r="AR221" t="s">
        <v>6418</v>
      </c>
      <c r="AS221" t="s">
        <v>597</v>
      </c>
      <c r="AT221" s="2" t="s">
        <v>5</v>
      </c>
      <c r="AU221" s="1">
        <f t="shared" si="29"/>
        <v>2.5728204158021679</v>
      </c>
      <c r="AV221" s="1">
        <f t="shared" si="30"/>
        <v>1.8463835987811774</v>
      </c>
      <c r="AW221" s="1">
        <f t="shared" si="31"/>
        <v>1.1199467817601871</v>
      </c>
    </row>
    <row r="222" spans="1:49" x14ac:dyDescent="0.2">
      <c r="A222">
        <v>220</v>
      </c>
      <c r="B222" t="s">
        <v>6417</v>
      </c>
      <c r="C222" t="s">
        <v>6416</v>
      </c>
      <c r="D222" t="s">
        <v>6415</v>
      </c>
      <c r="F222" t="s">
        <v>6414</v>
      </c>
      <c r="G222" t="s">
        <v>4</v>
      </c>
      <c r="H222" t="s">
        <v>3</v>
      </c>
      <c r="I222" t="s">
        <v>6413</v>
      </c>
      <c r="J222">
        <v>60121655</v>
      </c>
      <c r="K222" t="s">
        <v>6412</v>
      </c>
      <c r="L222" t="s">
        <v>95</v>
      </c>
      <c r="M222" t="s">
        <v>2</v>
      </c>
      <c r="N222">
        <v>2</v>
      </c>
      <c r="O222" t="s">
        <v>6411</v>
      </c>
      <c r="P222" t="s">
        <v>6410</v>
      </c>
      <c r="Q222" t="s">
        <v>6409</v>
      </c>
      <c r="R222" s="8">
        <v>35765</v>
      </c>
      <c r="S222" s="9">
        <f t="shared" si="24"/>
        <v>1997</v>
      </c>
      <c r="T222" s="9">
        <v>1997</v>
      </c>
      <c r="U222" s="9">
        <f t="shared" si="25"/>
        <v>25</v>
      </c>
      <c r="V222" s="8">
        <v>1997</v>
      </c>
      <c r="W222" t="s">
        <v>4294</v>
      </c>
      <c r="X222" s="2">
        <v>1.468</v>
      </c>
      <c r="Y222" s="7">
        <f t="shared" si="26"/>
        <v>3.9187421585115186E-2</v>
      </c>
      <c r="AA222">
        <v>906778</v>
      </c>
      <c r="AB222">
        <v>18931</v>
      </c>
      <c r="AD222" t="s">
        <v>1</v>
      </c>
      <c r="AE222">
        <v>45</v>
      </c>
      <c r="AF222">
        <v>8</v>
      </c>
      <c r="AH222" t="s">
        <v>6408</v>
      </c>
      <c r="AI222" t="s">
        <v>6407</v>
      </c>
      <c r="AJ222" t="s">
        <v>6406</v>
      </c>
      <c r="AK222" t="s">
        <v>6405</v>
      </c>
      <c r="AL222">
        <v>35</v>
      </c>
      <c r="AM222" s="5">
        <f t="shared" si="27"/>
        <v>1.4</v>
      </c>
      <c r="AN222" s="4">
        <f t="shared" si="28"/>
        <v>2.1204089360090874E-3</v>
      </c>
      <c r="AO222" s="3"/>
      <c r="AP222">
        <v>0</v>
      </c>
      <c r="AQ222" t="s">
        <v>53</v>
      </c>
      <c r="AR222" t="s">
        <v>6404</v>
      </c>
      <c r="AS222" t="s">
        <v>52</v>
      </c>
      <c r="AT222" s="2">
        <v>5.0830000000000002</v>
      </c>
      <c r="AU222" s="1">
        <f t="shared" si="29"/>
        <v>2.8067317790383353</v>
      </c>
      <c r="AV222" s="1">
        <f t="shared" si="30"/>
        <v>2.0653915260562137</v>
      </c>
      <c r="AW222" s="1">
        <f t="shared" si="31"/>
        <v>1.3240512730740917</v>
      </c>
    </row>
    <row r="223" spans="1:49" x14ac:dyDescent="0.2">
      <c r="A223">
        <v>221</v>
      </c>
      <c r="B223" t="s">
        <v>6403</v>
      </c>
      <c r="C223" t="s">
        <v>6402</v>
      </c>
      <c r="D223" t="s">
        <v>6401</v>
      </c>
      <c r="F223" t="s">
        <v>6400</v>
      </c>
      <c r="G223" t="s">
        <v>4</v>
      </c>
      <c r="H223" t="s">
        <v>3</v>
      </c>
      <c r="I223" t="s">
        <v>6399</v>
      </c>
      <c r="J223">
        <v>60025555</v>
      </c>
      <c r="K223" t="s">
        <v>366</v>
      </c>
      <c r="L223" t="s">
        <v>112</v>
      </c>
      <c r="M223" t="s">
        <v>111</v>
      </c>
      <c r="N223">
        <v>1</v>
      </c>
      <c r="O223" t="s">
        <v>6398</v>
      </c>
      <c r="P223">
        <v>7006552817</v>
      </c>
      <c r="Q223">
        <v>60025555</v>
      </c>
      <c r="R223" s="8">
        <v>35765</v>
      </c>
      <c r="S223" s="9">
        <f t="shared" si="24"/>
        <v>1997</v>
      </c>
      <c r="T223" s="9">
        <v>1997</v>
      </c>
      <c r="U223" s="9">
        <f t="shared" si="25"/>
        <v>25</v>
      </c>
      <c r="V223" s="8">
        <v>1997</v>
      </c>
      <c r="W223" t="s">
        <v>448</v>
      </c>
      <c r="X223" s="2">
        <v>1.3720000000000001</v>
      </c>
      <c r="Y223" s="7">
        <f t="shared" si="26"/>
        <v>3.662475641333654E-2</v>
      </c>
      <c r="AA223">
        <v>189480</v>
      </c>
      <c r="AB223">
        <v>17366</v>
      </c>
      <c r="AD223" t="s">
        <v>1</v>
      </c>
      <c r="AE223">
        <v>45</v>
      </c>
      <c r="AF223" t="s">
        <v>6258</v>
      </c>
      <c r="AH223" t="s">
        <v>6397</v>
      </c>
      <c r="AI223" t="s">
        <v>6396</v>
      </c>
      <c r="AJ223" t="s">
        <v>6395</v>
      </c>
      <c r="AK223" t="s">
        <v>6394</v>
      </c>
      <c r="AL223">
        <v>13</v>
      </c>
      <c r="AM223" s="5">
        <f t="shared" si="27"/>
        <v>0.52</v>
      </c>
      <c r="AN223" s="4">
        <f t="shared" si="28"/>
        <v>7.8758046194623253E-4</v>
      </c>
      <c r="AO223" s="3"/>
      <c r="AP223">
        <v>0</v>
      </c>
      <c r="AR223" t="s">
        <v>0</v>
      </c>
      <c r="AT223" s="2" t="s">
        <v>5</v>
      </c>
      <c r="AU223" s="1">
        <f t="shared" si="29"/>
        <v>2.5873603627919444</v>
      </c>
      <c r="AV223" s="1">
        <f t="shared" si="30"/>
        <v>1.8706168437641386</v>
      </c>
      <c r="AW223" s="1">
        <f t="shared" si="31"/>
        <v>1.1538733247363324</v>
      </c>
    </row>
    <row r="224" spans="1:49" x14ac:dyDescent="0.2">
      <c r="A224">
        <v>222</v>
      </c>
      <c r="B224" t="s">
        <v>6393</v>
      </c>
      <c r="C224" t="s">
        <v>6392</v>
      </c>
      <c r="D224" t="s">
        <v>6391</v>
      </c>
      <c r="F224" t="s">
        <v>6390</v>
      </c>
      <c r="G224" t="s">
        <v>4</v>
      </c>
      <c r="H224" t="s">
        <v>3</v>
      </c>
      <c r="I224" t="s">
        <v>6389</v>
      </c>
      <c r="J224">
        <v>60089033</v>
      </c>
      <c r="K224" t="s">
        <v>6388</v>
      </c>
      <c r="L224" t="s">
        <v>6387</v>
      </c>
      <c r="M224" t="s">
        <v>2</v>
      </c>
      <c r="N224">
        <v>1</v>
      </c>
      <c r="O224" t="s">
        <v>6386</v>
      </c>
      <c r="P224">
        <v>7003619295</v>
      </c>
      <c r="Q224">
        <v>60089033</v>
      </c>
      <c r="R224" s="8">
        <v>35765</v>
      </c>
      <c r="S224" s="9">
        <f t="shared" si="24"/>
        <v>1997</v>
      </c>
      <c r="T224" s="9">
        <v>1997</v>
      </c>
      <c r="U224" s="9">
        <f t="shared" si="25"/>
        <v>25</v>
      </c>
      <c r="V224" s="8">
        <v>1997</v>
      </c>
      <c r="W224" t="s">
        <v>448</v>
      </c>
      <c r="X224" s="2">
        <v>1.3720000000000001</v>
      </c>
      <c r="Y224" s="7">
        <f t="shared" si="26"/>
        <v>3.662475641333654E-2</v>
      </c>
      <c r="AA224">
        <v>189480</v>
      </c>
      <c r="AB224">
        <v>17366</v>
      </c>
      <c r="AD224" t="s">
        <v>1</v>
      </c>
      <c r="AE224">
        <v>45</v>
      </c>
      <c r="AF224" t="s">
        <v>6258</v>
      </c>
      <c r="AH224" t="s">
        <v>6385</v>
      </c>
      <c r="AI224" t="s">
        <v>6384</v>
      </c>
      <c r="AJ224" t="s">
        <v>6383</v>
      </c>
      <c r="AK224" t="s">
        <v>6382</v>
      </c>
      <c r="AL224">
        <v>49</v>
      </c>
      <c r="AM224" s="5">
        <f t="shared" si="27"/>
        <v>1.96</v>
      </c>
      <c r="AN224" s="4">
        <f t="shared" si="28"/>
        <v>2.9685725104127226E-3</v>
      </c>
      <c r="AO224" s="3"/>
      <c r="AP224">
        <v>0</v>
      </c>
      <c r="AQ224" t="s">
        <v>6381</v>
      </c>
      <c r="AR224" t="s">
        <v>6380</v>
      </c>
      <c r="AS224" t="s">
        <v>6379</v>
      </c>
      <c r="AT224" s="2" t="s">
        <v>5</v>
      </c>
      <c r="AU224" s="1">
        <f t="shared" si="29"/>
        <v>2.6527901242459393</v>
      </c>
      <c r="AV224" s="1">
        <f t="shared" si="30"/>
        <v>1.9796664461874631</v>
      </c>
      <c r="AW224" s="1">
        <f t="shared" si="31"/>
        <v>1.3065427681289867</v>
      </c>
    </row>
    <row r="225" spans="1:49" x14ac:dyDescent="0.2">
      <c r="A225">
        <v>223</v>
      </c>
      <c r="B225" t="s">
        <v>6378</v>
      </c>
      <c r="C225" t="s">
        <v>6377</v>
      </c>
      <c r="D225" t="s">
        <v>6376</v>
      </c>
      <c r="F225" t="s">
        <v>6375</v>
      </c>
      <c r="G225" t="s">
        <v>4</v>
      </c>
      <c r="H225" t="s">
        <v>3</v>
      </c>
      <c r="I225" t="s">
        <v>6374</v>
      </c>
      <c r="J225">
        <v>60014551</v>
      </c>
      <c r="K225" t="s">
        <v>6373</v>
      </c>
      <c r="L225" t="s">
        <v>381</v>
      </c>
      <c r="M225" t="s">
        <v>8</v>
      </c>
      <c r="N225">
        <v>1</v>
      </c>
      <c r="O225" t="s">
        <v>6372</v>
      </c>
      <c r="P225">
        <v>6602498730</v>
      </c>
      <c r="Q225">
        <v>60014551</v>
      </c>
      <c r="R225" s="8">
        <v>35765</v>
      </c>
      <c r="S225" s="9">
        <f t="shared" si="24"/>
        <v>1997</v>
      </c>
      <c r="T225" s="9">
        <v>1997</v>
      </c>
      <c r="U225" s="9">
        <f t="shared" si="25"/>
        <v>25</v>
      </c>
      <c r="V225" s="8">
        <v>1997</v>
      </c>
      <c r="W225" t="s">
        <v>448</v>
      </c>
      <c r="X225" s="2">
        <v>1.3720000000000001</v>
      </c>
      <c r="Y225" s="7">
        <f t="shared" si="26"/>
        <v>3.662475641333654E-2</v>
      </c>
      <c r="AA225">
        <v>189480</v>
      </c>
      <c r="AB225">
        <v>17366</v>
      </c>
      <c r="AD225" t="s">
        <v>1</v>
      </c>
      <c r="AE225">
        <v>45</v>
      </c>
      <c r="AF225" t="s">
        <v>6258</v>
      </c>
      <c r="AH225" t="s">
        <v>6371</v>
      </c>
      <c r="AI225" t="s">
        <v>6370</v>
      </c>
      <c r="AJ225" t="s">
        <v>6369</v>
      </c>
      <c r="AK225" t="s">
        <v>6368</v>
      </c>
      <c r="AL225">
        <v>71</v>
      </c>
      <c r="AM225" s="5">
        <f t="shared" si="27"/>
        <v>2.84</v>
      </c>
      <c r="AN225" s="4">
        <f t="shared" si="28"/>
        <v>4.3014009844755769E-3</v>
      </c>
      <c r="AO225" s="3"/>
      <c r="AP225">
        <v>0</v>
      </c>
      <c r="AQ225" t="s">
        <v>443</v>
      </c>
      <c r="AR225" t="s">
        <v>0</v>
      </c>
      <c r="AS225" t="s">
        <v>442</v>
      </c>
      <c r="AT225" s="2" t="s">
        <v>5</v>
      </c>
      <c r="AU225" s="1">
        <f t="shared" si="29"/>
        <v>2.692774978467825</v>
      </c>
      <c r="AV225" s="1">
        <f t="shared" si="30"/>
        <v>2.0463078698906059</v>
      </c>
      <c r="AW225" s="1">
        <f t="shared" si="31"/>
        <v>1.3998407613133865</v>
      </c>
    </row>
    <row r="226" spans="1:49" x14ac:dyDescent="0.2">
      <c r="A226">
        <v>224</v>
      </c>
      <c r="B226" t="s">
        <v>6367</v>
      </c>
      <c r="C226" t="s">
        <v>6366</v>
      </c>
      <c r="D226" t="s">
        <v>6365</v>
      </c>
      <c r="F226" t="s">
        <v>6364</v>
      </c>
      <c r="G226" t="s">
        <v>4</v>
      </c>
      <c r="H226" t="s">
        <v>3</v>
      </c>
      <c r="I226" t="s">
        <v>6363</v>
      </c>
      <c r="J226" t="s">
        <v>6362</v>
      </c>
      <c r="K226" t="s">
        <v>6361</v>
      </c>
      <c r="L226" t="s">
        <v>6360</v>
      </c>
      <c r="M226" t="s">
        <v>6359</v>
      </c>
      <c r="N226">
        <v>4</v>
      </c>
      <c r="O226" t="s">
        <v>6358</v>
      </c>
      <c r="P226" t="s">
        <v>6357</v>
      </c>
      <c r="Q226" t="s">
        <v>6356</v>
      </c>
      <c r="R226" s="8">
        <v>35765</v>
      </c>
      <c r="S226" s="9">
        <f t="shared" si="24"/>
        <v>1997</v>
      </c>
      <c r="T226" s="9">
        <v>1997</v>
      </c>
      <c r="U226" s="9">
        <f t="shared" si="25"/>
        <v>25</v>
      </c>
      <c r="V226" s="8">
        <v>1997</v>
      </c>
      <c r="W226" t="s">
        <v>392</v>
      </c>
      <c r="X226" s="2">
        <v>1.6519999999999999</v>
      </c>
      <c r="Y226" s="7">
        <f t="shared" si="26"/>
        <v>4.409919649769093E-2</v>
      </c>
      <c r="AA226" t="s">
        <v>391</v>
      </c>
      <c r="AB226">
        <v>17337</v>
      </c>
      <c r="AD226" t="s">
        <v>1</v>
      </c>
      <c r="AE226">
        <v>45</v>
      </c>
      <c r="AF226">
        <v>8</v>
      </c>
      <c r="AH226" t="s">
        <v>6355</v>
      </c>
      <c r="AI226" t="s">
        <v>6354</v>
      </c>
      <c r="AJ226" t="s">
        <v>4886</v>
      </c>
      <c r="AK226" t="s">
        <v>6353</v>
      </c>
      <c r="AL226">
        <v>17</v>
      </c>
      <c r="AM226" s="5">
        <f t="shared" si="27"/>
        <v>0.68</v>
      </c>
      <c r="AN226" s="4">
        <f t="shared" si="28"/>
        <v>1.0299129117758426E-3</v>
      </c>
      <c r="AO226" s="3"/>
      <c r="AP226">
        <v>0</v>
      </c>
      <c r="AR226" t="s">
        <v>0</v>
      </c>
      <c r="AT226" s="2" t="s">
        <v>5</v>
      </c>
      <c r="AU226" s="1">
        <f t="shared" si="29"/>
        <v>3.1178411421916405</v>
      </c>
      <c r="AV226" s="1">
        <f t="shared" si="30"/>
        <v>2.2564554704733388</v>
      </c>
      <c r="AW226" s="1">
        <f t="shared" si="31"/>
        <v>1.3950697987550367</v>
      </c>
    </row>
    <row r="227" spans="1:49" x14ac:dyDescent="0.2">
      <c r="A227">
        <v>225</v>
      </c>
      <c r="B227" t="s">
        <v>6352</v>
      </c>
      <c r="C227" t="s">
        <v>6351</v>
      </c>
      <c r="D227" t="s">
        <v>6350</v>
      </c>
      <c r="F227" t="s">
        <v>6349</v>
      </c>
      <c r="G227" t="s">
        <v>4</v>
      </c>
      <c r="H227" t="s">
        <v>3</v>
      </c>
      <c r="I227" t="s">
        <v>6348</v>
      </c>
      <c r="J227" t="s">
        <v>6347</v>
      </c>
      <c r="K227" t="s">
        <v>6346</v>
      </c>
      <c r="L227" t="s">
        <v>4153</v>
      </c>
      <c r="M227" t="s">
        <v>64</v>
      </c>
      <c r="N227">
        <v>5</v>
      </c>
      <c r="O227" t="s">
        <v>6345</v>
      </c>
      <c r="P227" t="s">
        <v>6344</v>
      </c>
      <c r="Q227" t="s">
        <v>6343</v>
      </c>
      <c r="R227" s="8">
        <v>35765</v>
      </c>
      <c r="S227" s="9">
        <f t="shared" si="24"/>
        <v>1997</v>
      </c>
      <c r="T227" s="9">
        <v>1997</v>
      </c>
      <c r="U227" s="9">
        <f t="shared" si="25"/>
        <v>25</v>
      </c>
      <c r="V227" s="8">
        <v>1997</v>
      </c>
      <c r="W227" t="s">
        <v>4138</v>
      </c>
      <c r="X227" s="2">
        <v>0.9</v>
      </c>
      <c r="Y227" s="7">
        <f t="shared" si="26"/>
        <v>2.4024985985424845E-2</v>
      </c>
      <c r="AA227">
        <v>9630252</v>
      </c>
      <c r="AB227">
        <v>29614</v>
      </c>
      <c r="AD227" t="s">
        <v>1</v>
      </c>
      <c r="AE227">
        <v>6</v>
      </c>
      <c r="AF227">
        <v>3</v>
      </c>
      <c r="AH227" t="s">
        <v>1051</v>
      </c>
      <c r="AI227" t="s">
        <v>6342</v>
      </c>
      <c r="AK227" t="s">
        <v>6341</v>
      </c>
      <c r="AL227">
        <v>62</v>
      </c>
      <c r="AM227" s="5">
        <f t="shared" si="27"/>
        <v>2.48</v>
      </c>
      <c r="AN227" s="4">
        <f t="shared" si="28"/>
        <v>3.7561529723589551E-3</v>
      </c>
      <c r="AO227" s="3"/>
      <c r="AP227">
        <v>0</v>
      </c>
      <c r="AR227" t="s">
        <v>0</v>
      </c>
      <c r="AT227" s="2" t="s">
        <v>5</v>
      </c>
      <c r="AU227" s="1">
        <f t="shared" si="29"/>
        <v>1.7944336081505079</v>
      </c>
      <c r="AV227" s="1">
        <f t="shared" si="30"/>
        <v>1.3890569478891901</v>
      </c>
      <c r="AW227" s="1">
        <f t="shared" si="31"/>
        <v>0.98368028762787219</v>
      </c>
    </row>
    <row r="228" spans="1:49" x14ac:dyDescent="0.2">
      <c r="A228">
        <v>226</v>
      </c>
      <c r="B228" t="s">
        <v>6340</v>
      </c>
      <c r="C228" t="s">
        <v>6339</v>
      </c>
      <c r="D228" t="s">
        <v>6338</v>
      </c>
      <c r="F228" t="s">
        <v>6337</v>
      </c>
      <c r="G228" t="s">
        <v>4</v>
      </c>
      <c r="H228" t="s">
        <v>3</v>
      </c>
      <c r="I228" t="s">
        <v>714</v>
      </c>
      <c r="J228">
        <v>60000481</v>
      </c>
      <c r="K228" t="s">
        <v>5181</v>
      </c>
      <c r="L228" t="s">
        <v>5180</v>
      </c>
      <c r="M228" t="s">
        <v>116</v>
      </c>
      <c r="N228">
        <v>2</v>
      </c>
      <c r="O228" t="s">
        <v>6336</v>
      </c>
      <c r="P228" t="s">
        <v>6335</v>
      </c>
      <c r="Q228" t="s">
        <v>5177</v>
      </c>
      <c r="R228" s="8">
        <v>35765</v>
      </c>
      <c r="S228" s="9">
        <f t="shared" si="24"/>
        <v>1997</v>
      </c>
      <c r="T228" s="9">
        <v>1997</v>
      </c>
      <c r="U228" s="9">
        <f t="shared" si="25"/>
        <v>25</v>
      </c>
      <c r="V228" s="8">
        <v>1997</v>
      </c>
      <c r="W228" t="s">
        <v>4294</v>
      </c>
      <c r="X228" s="2">
        <v>1.468</v>
      </c>
      <c r="Y228" s="7">
        <f t="shared" si="26"/>
        <v>3.9187421585115186E-2</v>
      </c>
      <c r="AA228">
        <v>906778</v>
      </c>
      <c r="AB228">
        <v>18931</v>
      </c>
      <c r="AD228" t="s">
        <v>1</v>
      </c>
      <c r="AE228">
        <v>45</v>
      </c>
      <c r="AF228">
        <v>8</v>
      </c>
      <c r="AH228" t="s">
        <v>6334</v>
      </c>
      <c r="AI228" t="s">
        <v>6333</v>
      </c>
      <c r="AJ228" t="s">
        <v>6332</v>
      </c>
      <c r="AK228" t="s">
        <v>6331</v>
      </c>
      <c r="AL228">
        <v>0</v>
      </c>
      <c r="AM228" s="5">
        <f t="shared" si="27"/>
        <v>0</v>
      </c>
      <c r="AN228" s="4">
        <f t="shared" si="28"/>
        <v>0</v>
      </c>
      <c r="AO228" s="3"/>
      <c r="AP228">
        <v>0</v>
      </c>
      <c r="AR228" t="s">
        <v>0</v>
      </c>
      <c r="AT228" s="2">
        <v>5.0830000000000002</v>
      </c>
      <c r="AU228" s="1">
        <f t="shared" si="29"/>
        <v>2.7431195109580626</v>
      </c>
      <c r="AV228" s="1">
        <f t="shared" si="30"/>
        <v>1.9593710792557593</v>
      </c>
      <c r="AW228" s="1">
        <f t="shared" si="31"/>
        <v>1.1756226475534557</v>
      </c>
    </row>
    <row r="229" spans="1:49" x14ac:dyDescent="0.2">
      <c r="A229">
        <v>227</v>
      </c>
      <c r="B229" t="s">
        <v>6330</v>
      </c>
      <c r="C229" t="s">
        <v>6329</v>
      </c>
      <c r="D229" t="s">
        <v>6328</v>
      </c>
      <c r="F229" t="s">
        <v>6327</v>
      </c>
      <c r="G229" t="s">
        <v>4</v>
      </c>
      <c r="H229" t="s">
        <v>3</v>
      </c>
      <c r="I229" t="s">
        <v>3421</v>
      </c>
      <c r="J229">
        <v>60022195</v>
      </c>
      <c r="K229" t="s">
        <v>55</v>
      </c>
      <c r="L229" t="s">
        <v>54</v>
      </c>
      <c r="M229" t="s">
        <v>2</v>
      </c>
      <c r="N229">
        <v>1</v>
      </c>
      <c r="O229" t="s">
        <v>6326</v>
      </c>
      <c r="P229">
        <v>7007152447</v>
      </c>
      <c r="Q229">
        <v>60022195</v>
      </c>
      <c r="R229" s="8">
        <v>35765</v>
      </c>
      <c r="S229" s="9">
        <f t="shared" si="24"/>
        <v>1997</v>
      </c>
      <c r="T229" s="9">
        <v>1997</v>
      </c>
      <c r="U229" s="9">
        <f t="shared" si="25"/>
        <v>25</v>
      </c>
      <c r="V229" s="8">
        <v>1997</v>
      </c>
      <c r="W229" t="s">
        <v>448</v>
      </c>
      <c r="X229" s="2">
        <v>1.3720000000000001</v>
      </c>
      <c r="Y229" s="7">
        <f t="shared" si="26"/>
        <v>3.662475641333654E-2</v>
      </c>
      <c r="AA229">
        <v>189480</v>
      </c>
      <c r="AB229">
        <v>17366</v>
      </c>
      <c r="AD229" t="s">
        <v>1</v>
      </c>
      <c r="AE229">
        <v>45</v>
      </c>
      <c r="AF229" t="s">
        <v>6258</v>
      </c>
      <c r="AH229" t="s">
        <v>6325</v>
      </c>
      <c r="AI229" t="s">
        <v>6324</v>
      </c>
      <c r="AJ229" t="s">
        <v>6323</v>
      </c>
      <c r="AK229" t="s">
        <v>6322</v>
      </c>
      <c r="AL229">
        <v>179</v>
      </c>
      <c r="AM229" s="5">
        <f t="shared" si="27"/>
        <v>7.16</v>
      </c>
      <c r="AN229" s="4">
        <f t="shared" si="28"/>
        <v>1.0844377129875047E-2</v>
      </c>
      <c r="AO229" s="3"/>
      <c r="AP229">
        <v>0</v>
      </c>
      <c r="AQ229" t="s">
        <v>312</v>
      </c>
      <c r="AR229" t="s">
        <v>0</v>
      </c>
      <c r="AS229" t="s">
        <v>311</v>
      </c>
      <c r="AT229" s="2" t="s">
        <v>5</v>
      </c>
      <c r="AU229" s="1">
        <f t="shared" si="29"/>
        <v>2.8890642628298089</v>
      </c>
      <c r="AV229" s="1">
        <f t="shared" si="30"/>
        <v>2.3734566771605792</v>
      </c>
      <c r="AW229" s="1">
        <f t="shared" si="31"/>
        <v>1.8578490914913495</v>
      </c>
    </row>
    <row r="230" spans="1:49" x14ac:dyDescent="0.2">
      <c r="A230">
        <v>228</v>
      </c>
      <c r="B230" t="s">
        <v>6321</v>
      </c>
      <c r="C230" t="s">
        <v>6320</v>
      </c>
      <c r="D230" t="s">
        <v>6319</v>
      </c>
      <c r="F230" t="s">
        <v>6318</v>
      </c>
      <c r="G230" t="s">
        <v>4</v>
      </c>
      <c r="H230" t="s">
        <v>3</v>
      </c>
      <c r="I230" t="s">
        <v>3237</v>
      </c>
      <c r="J230">
        <v>60011476</v>
      </c>
      <c r="K230" t="s">
        <v>574</v>
      </c>
      <c r="L230" t="s">
        <v>317</v>
      </c>
      <c r="M230" t="s">
        <v>39</v>
      </c>
      <c r="N230">
        <v>1</v>
      </c>
      <c r="O230" t="s">
        <v>6317</v>
      </c>
      <c r="P230">
        <v>7102958075</v>
      </c>
      <c r="Q230">
        <v>60011476</v>
      </c>
      <c r="R230" s="8">
        <v>35765</v>
      </c>
      <c r="S230" s="9">
        <f t="shared" si="24"/>
        <v>1997</v>
      </c>
      <c r="T230" s="9">
        <v>1997</v>
      </c>
      <c r="U230" s="9">
        <f t="shared" si="25"/>
        <v>25</v>
      </c>
      <c r="V230" s="8">
        <v>1997</v>
      </c>
      <c r="W230" t="s">
        <v>448</v>
      </c>
      <c r="X230" s="2">
        <v>1.3720000000000001</v>
      </c>
      <c r="Y230" s="7">
        <f t="shared" si="26"/>
        <v>3.662475641333654E-2</v>
      </c>
      <c r="AA230">
        <v>189480</v>
      </c>
      <c r="AB230">
        <v>17366</v>
      </c>
      <c r="AD230" t="s">
        <v>1</v>
      </c>
      <c r="AE230">
        <v>45</v>
      </c>
      <c r="AF230" t="s">
        <v>6258</v>
      </c>
      <c r="AH230" t="s">
        <v>6316</v>
      </c>
      <c r="AI230" t="s">
        <v>6315</v>
      </c>
      <c r="AJ230" t="s">
        <v>6314</v>
      </c>
      <c r="AK230" t="s">
        <v>6313</v>
      </c>
      <c r="AL230">
        <v>109</v>
      </c>
      <c r="AM230" s="5">
        <f t="shared" si="27"/>
        <v>4.3600000000000003</v>
      </c>
      <c r="AN230" s="4">
        <f t="shared" si="28"/>
        <v>6.6035592578568732E-3</v>
      </c>
      <c r="AO230" s="3"/>
      <c r="AP230">
        <v>0</v>
      </c>
      <c r="AQ230" t="s">
        <v>1404</v>
      </c>
      <c r="AR230" t="s">
        <v>6312</v>
      </c>
      <c r="AS230" t="s">
        <v>1402</v>
      </c>
      <c r="AT230" s="2" t="s">
        <v>5</v>
      </c>
      <c r="AU230" s="1">
        <f t="shared" si="29"/>
        <v>2.7618397266692636</v>
      </c>
      <c r="AV230" s="1">
        <f t="shared" si="30"/>
        <v>2.1614157835596703</v>
      </c>
      <c r="AW230" s="1">
        <f t="shared" si="31"/>
        <v>1.5609918404500773</v>
      </c>
    </row>
    <row r="231" spans="1:49" x14ac:dyDescent="0.2">
      <c r="A231">
        <v>229</v>
      </c>
      <c r="B231" t="s">
        <v>6311</v>
      </c>
      <c r="C231" t="s">
        <v>6310</v>
      </c>
      <c r="F231" t="s">
        <v>6309</v>
      </c>
      <c r="G231" t="s">
        <v>4</v>
      </c>
      <c r="H231" t="s">
        <v>3</v>
      </c>
      <c r="I231" t="s">
        <v>6308</v>
      </c>
      <c r="J231">
        <v>60003122</v>
      </c>
      <c r="K231" t="s">
        <v>274</v>
      </c>
      <c r="L231" t="s">
        <v>273</v>
      </c>
      <c r="M231" t="s">
        <v>29</v>
      </c>
      <c r="N231">
        <v>3</v>
      </c>
      <c r="O231" t="s">
        <v>6307</v>
      </c>
      <c r="P231" t="s">
        <v>6306</v>
      </c>
      <c r="Q231" t="s">
        <v>6305</v>
      </c>
      <c r="R231" s="8">
        <v>35765</v>
      </c>
      <c r="S231" s="9">
        <f t="shared" si="24"/>
        <v>1997</v>
      </c>
      <c r="T231" s="9">
        <v>1997</v>
      </c>
      <c r="U231" s="9">
        <f t="shared" si="25"/>
        <v>25</v>
      </c>
      <c r="V231" s="8">
        <v>1997</v>
      </c>
      <c r="W231" t="s">
        <v>4348</v>
      </c>
      <c r="X231" s="2">
        <v>0.81499999999999995</v>
      </c>
      <c r="Y231" s="7">
        <f t="shared" si="26"/>
        <v>2.1755959531245827E-2</v>
      </c>
      <c r="AA231">
        <v>10709908</v>
      </c>
      <c r="AB231">
        <v>17316</v>
      </c>
      <c r="AD231" t="s">
        <v>1</v>
      </c>
      <c r="AE231">
        <v>4</v>
      </c>
      <c r="AF231">
        <v>8</v>
      </c>
      <c r="AH231" t="s">
        <v>6304</v>
      </c>
      <c r="AI231" t="s">
        <v>6303</v>
      </c>
      <c r="AJ231" t="s">
        <v>6302</v>
      </c>
      <c r="AK231" t="s">
        <v>6301</v>
      </c>
      <c r="AL231">
        <v>0</v>
      </c>
      <c r="AM231" s="5">
        <f t="shared" si="27"/>
        <v>0</v>
      </c>
      <c r="AN231" s="4">
        <f t="shared" si="28"/>
        <v>0</v>
      </c>
      <c r="AO231" s="3"/>
      <c r="AP231">
        <v>0</v>
      </c>
      <c r="AR231" t="s">
        <v>0</v>
      </c>
      <c r="AT231" s="2">
        <v>3.109</v>
      </c>
      <c r="AU231" s="1">
        <f t="shared" si="29"/>
        <v>1.5229171671872079</v>
      </c>
      <c r="AV231" s="1">
        <f t="shared" si="30"/>
        <v>1.0877979765622914</v>
      </c>
      <c r="AW231" s="1">
        <f t="shared" si="31"/>
        <v>0.65267878593737472</v>
      </c>
    </row>
    <row r="232" spans="1:49" x14ac:dyDescent="0.2">
      <c r="A232">
        <v>230</v>
      </c>
      <c r="B232" t="s">
        <v>6300</v>
      </c>
      <c r="C232" t="s">
        <v>6299</v>
      </c>
      <c r="D232" t="s">
        <v>6298</v>
      </c>
      <c r="F232" t="s">
        <v>6297</v>
      </c>
      <c r="G232" t="s">
        <v>4</v>
      </c>
      <c r="H232" t="s">
        <v>3</v>
      </c>
      <c r="I232" t="s">
        <v>6296</v>
      </c>
      <c r="J232">
        <v>60002162</v>
      </c>
      <c r="K232" t="s">
        <v>6295</v>
      </c>
      <c r="L232" t="s">
        <v>6294</v>
      </c>
      <c r="M232" t="s">
        <v>2</v>
      </c>
      <c r="N232">
        <v>3</v>
      </c>
      <c r="O232" t="s">
        <v>6293</v>
      </c>
      <c r="P232" t="s">
        <v>6292</v>
      </c>
      <c r="Q232" t="s">
        <v>6291</v>
      </c>
      <c r="R232" s="8">
        <v>35765</v>
      </c>
      <c r="S232" s="9">
        <f t="shared" si="24"/>
        <v>1997</v>
      </c>
      <c r="T232" s="9">
        <v>1997</v>
      </c>
      <c r="U232" s="9">
        <f t="shared" si="25"/>
        <v>25</v>
      </c>
      <c r="V232" s="8">
        <v>1997</v>
      </c>
      <c r="W232" t="s">
        <v>4294</v>
      </c>
      <c r="X232" s="2">
        <v>1.468</v>
      </c>
      <c r="Y232" s="7">
        <f t="shared" si="26"/>
        <v>3.9187421585115186E-2</v>
      </c>
      <c r="AA232">
        <v>906778</v>
      </c>
      <c r="AB232">
        <v>18931</v>
      </c>
      <c r="AD232" t="s">
        <v>1</v>
      </c>
      <c r="AE232">
        <v>45</v>
      </c>
      <c r="AF232">
        <v>8</v>
      </c>
      <c r="AH232" t="s">
        <v>6290</v>
      </c>
      <c r="AI232" t="s">
        <v>6289</v>
      </c>
      <c r="AJ232" t="s">
        <v>6288</v>
      </c>
      <c r="AK232" t="s">
        <v>6287</v>
      </c>
      <c r="AL232">
        <v>6</v>
      </c>
      <c r="AM232" s="5">
        <f t="shared" si="27"/>
        <v>0.24</v>
      </c>
      <c r="AN232" s="4">
        <f t="shared" si="28"/>
        <v>3.6349867474441499E-4</v>
      </c>
      <c r="AO232" s="3"/>
      <c r="AP232">
        <v>0</v>
      </c>
      <c r="AQ232" t="s">
        <v>312</v>
      </c>
      <c r="AR232" t="s">
        <v>6286</v>
      </c>
      <c r="AS232" t="s">
        <v>311</v>
      </c>
      <c r="AT232" s="2">
        <v>5.0830000000000002</v>
      </c>
      <c r="AU232" s="1">
        <f t="shared" si="29"/>
        <v>2.754024471200395</v>
      </c>
      <c r="AV232" s="1">
        <f t="shared" si="30"/>
        <v>1.9775460129929801</v>
      </c>
      <c r="AW232" s="1">
        <f t="shared" si="31"/>
        <v>1.2010675547855647</v>
      </c>
    </row>
    <row r="233" spans="1:49" x14ac:dyDescent="0.2">
      <c r="A233">
        <v>231</v>
      </c>
      <c r="B233" t="s">
        <v>6285</v>
      </c>
      <c r="C233" t="s">
        <v>6284</v>
      </c>
      <c r="D233" t="s">
        <v>6283</v>
      </c>
      <c r="F233" t="s">
        <v>6282</v>
      </c>
      <c r="G233" t="s">
        <v>4</v>
      </c>
      <c r="H233" t="s">
        <v>3</v>
      </c>
      <c r="I233" t="s">
        <v>6281</v>
      </c>
      <c r="J233">
        <v>60014174</v>
      </c>
      <c r="K233" t="s">
        <v>584</v>
      </c>
      <c r="L233" t="s">
        <v>583</v>
      </c>
      <c r="M233" t="s">
        <v>8</v>
      </c>
      <c r="N233">
        <v>1</v>
      </c>
      <c r="O233" t="s">
        <v>6280</v>
      </c>
      <c r="P233">
        <v>54679916600</v>
      </c>
      <c r="Q233">
        <v>60014174</v>
      </c>
      <c r="R233" s="8">
        <v>35765</v>
      </c>
      <c r="S233" s="9">
        <f t="shared" si="24"/>
        <v>1997</v>
      </c>
      <c r="T233" s="9">
        <v>1997</v>
      </c>
      <c r="U233" s="9">
        <f t="shared" si="25"/>
        <v>25</v>
      </c>
      <c r="V233" s="8">
        <v>1997</v>
      </c>
      <c r="W233" t="s">
        <v>448</v>
      </c>
      <c r="X233" s="2">
        <v>1.3720000000000001</v>
      </c>
      <c r="Y233" s="7">
        <f t="shared" si="26"/>
        <v>3.662475641333654E-2</v>
      </c>
      <c r="AA233">
        <v>189480</v>
      </c>
      <c r="AB233">
        <v>17366</v>
      </c>
      <c r="AD233" t="s">
        <v>1</v>
      </c>
      <c r="AE233">
        <v>45</v>
      </c>
      <c r="AF233" t="s">
        <v>6258</v>
      </c>
      <c r="AH233" t="s">
        <v>6279</v>
      </c>
      <c r="AI233" t="s">
        <v>6278</v>
      </c>
      <c r="AJ233" t="s">
        <v>6277</v>
      </c>
      <c r="AK233" t="s">
        <v>6276</v>
      </c>
      <c r="AL233">
        <v>188</v>
      </c>
      <c r="AM233" s="5">
        <f t="shared" si="27"/>
        <v>7.52</v>
      </c>
      <c r="AN233" s="4">
        <f t="shared" si="28"/>
        <v>1.1389625141991669E-2</v>
      </c>
      <c r="AO233" s="3"/>
      <c r="AP233">
        <v>0</v>
      </c>
      <c r="AR233" t="s">
        <v>0</v>
      </c>
      <c r="AT233" s="2" t="s">
        <v>5</v>
      </c>
      <c r="AU233" s="1">
        <f t="shared" si="29"/>
        <v>2.9054217031933076</v>
      </c>
      <c r="AV233" s="1">
        <f t="shared" si="30"/>
        <v>2.4007190777664102</v>
      </c>
      <c r="AW233" s="1">
        <f t="shared" si="31"/>
        <v>1.8960164523395131</v>
      </c>
    </row>
    <row r="234" spans="1:49" x14ac:dyDescent="0.2">
      <c r="A234">
        <v>232</v>
      </c>
      <c r="B234" t="s">
        <v>6275</v>
      </c>
      <c r="C234" t="s">
        <v>6274</v>
      </c>
      <c r="D234" t="s">
        <v>6273</v>
      </c>
      <c r="F234" t="s">
        <v>6272</v>
      </c>
      <c r="G234" t="s">
        <v>4</v>
      </c>
      <c r="H234" t="s">
        <v>3</v>
      </c>
      <c r="I234" t="s">
        <v>6271</v>
      </c>
      <c r="J234">
        <v>60012708</v>
      </c>
      <c r="K234" t="s">
        <v>452</v>
      </c>
      <c r="L234" t="s">
        <v>451</v>
      </c>
      <c r="M234" t="s">
        <v>2</v>
      </c>
      <c r="N234">
        <v>1</v>
      </c>
      <c r="O234" t="s">
        <v>6270</v>
      </c>
      <c r="P234">
        <v>7402795038</v>
      </c>
      <c r="Q234">
        <v>60012708</v>
      </c>
      <c r="R234" s="8">
        <v>35765</v>
      </c>
      <c r="S234" s="9">
        <f t="shared" si="24"/>
        <v>1997</v>
      </c>
      <c r="T234" s="9">
        <v>1997</v>
      </c>
      <c r="U234" s="9">
        <f t="shared" si="25"/>
        <v>25</v>
      </c>
      <c r="V234" s="8">
        <v>1997</v>
      </c>
      <c r="W234" t="s">
        <v>448</v>
      </c>
      <c r="X234" s="2">
        <v>1.3720000000000001</v>
      </c>
      <c r="Y234" s="7">
        <f t="shared" si="26"/>
        <v>3.662475641333654E-2</v>
      </c>
      <c r="AA234">
        <v>189480</v>
      </c>
      <c r="AB234">
        <v>17366</v>
      </c>
      <c r="AD234" t="s">
        <v>1</v>
      </c>
      <c r="AE234">
        <v>45</v>
      </c>
      <c r="AF234" t="s">
        <v>6258</v>
      </c>
      <c r="AH234" t="s">
        <v>6269</v>
      </c>
      <c r="AI234" t="s">
        <v>6268</v>
      </c>
      <c r="AJ234" t="s">
        <v>6267</v>
      </c>
      <c r="AK234" t="s">
        <v>6266</v>
      </c>
      <c r="AL234">
        <v>70</v>
      </c>
      <c r="AM234" s="5">
        <f t="shared" si="27"/>
        <v>2.8</v>
      </c>
      <c r="AN234" s="4">
        <f t="shared" si="28"/>
        <v>4.2408178720181747E-3</v>
      </c>
      <c r="AO234" s="3"/>
      <c r="AP234">
        <v>0</v>
      </c>
      <c r="AR234" t="s">
        <v>0</v>
      </c>
      <c r="AT234" s="2" t="s">
        <v>5</v>
      </c>
      <c r="AU234" s="1">
        <f t="shared" si="29"/>
        <v>2.6909574850941027</v>
      </c>
      <c r="AV234" s="1">
        <f t="shared" si="30"/>
        <v>2.0432787142677356</v>
      </c>
      <c r="AW234" s="1">
        <f t="shared" si="31"/>
        <v>1.3955999434413684</v>
      </c>
    </row>
    <row r="235" spans="1:49" x14ac:dyDescent="0.2">
      <c r="A235">
        <v>233</v>
      </c>
      <c r="B235" t="s">
        <v>6265</v>
      </c>
      <c r="C235" t="s">
        <v>6264</v>
      </c>
      <c r="D235" t="s">
        <v>6263</v>
      </c>
      <c r="F235" t="s">
        <v>6262</v>
      </c>
      <c r="G235" t="s">
        <v>4</v>
      </c>
      <c r="H235" t="s">
        <v>3</v>
      </c>
      <c r="I235" t="s">
        <v>6261</v>
      </c>
      <c r="J235">
        <v>60090755</v>
      </c>
      <c r="K235" t="s">
        <v>6260</v>
      </c>
      <c r="L235" t="s">
        <v>51</v>
      </c>
      <c r="M235" t="s">
        <v>50</v>
      </c>
      <c r="N235">
        <v>1</v>
      </c>
      <c r="O235" t="s">
        <v>6259</v>
      </c>
      <c r="P235">
        <v>56034273300</v>
      </c>
      <c r="Q235">
        <v>60090755</v>
      </c>
      <c r="R235" s="8">
        <v>35765</v>
      </c>
      <c r="S235" s="9">
        <f t="shared" si="24"/>
        <v>1997</v>
      </c>
      <c r="T235" s="9">
        <v>1997</v>
      </c>
      <c r="U235" s="9">
        <f t="shared" si="25"/>
        <v>25</v>
      </c>
      <c r="V235" s="8">
        <v>1997</v>
      </c>
      <c r="W235" t="s">
        <v>448</v>
      </c>
      <c r="X235" s="2">
        <v>1.3720000000000001</v>
      </c>
      <c r="Y235" s="7">
        <f t="shared" si="26"/>
        <v>3.662475641333654E-2</v>
      </c>
      <c r="AA235">
        <v>189480</v>
      </c>
      <c r="AB235">
        <v>17366</v>
      </c>
      <c r="AD235" t="s">
        <v>1</v>
      </c>
      <c r="AE235">
        <v>45</v>
      </c>
      <c r="AF235" t="s">
        <v>6258</v>
      </c>
      <c r="AH235" t="s">
        <v>6257</v>
      </c>
      <c r="AI235" t="s">
        <v>6256</v>
      </c>
      <c r="AJ235" t="s">
        <v>6255</v>
      </c>
      <c r="AK235" t="s">
        <v>6254</v>
      </c>
      <c r="AL235">
        <v>55</v>
      </c>
      <c r="AM235" s="5">
        <f t="shared" si="27"/>
        <v>2.2000000000000002</v>
      </c>
      <c r="AN235" s="4">
        <f t="shared" si="28"/>
        <v>3.3320711851571377E-3</v>
      </c>
      <c r="AO235" s="3"/>
      <c r="AP235">
        <v>0</v>
      </c>
      <c r="AQ235" t="s">
        <v>2306</v>
      </c>
      <c r="AR235" t="s">
        <v>0</v>
      </c>
      <c r="AS235" t="s">
        <v>6253</v>
      </c>
      <c r="AT235" s="2" t="s">
        <v>5</v>
      </c>
      <c r="AU235" s="1">
        <f t="shared" si="29"/>
        <v>2.6636950844882721</v>
      </c>
      <c r="AV235" s="1">
        <f t="shared" si="30"/>
        <v>1.9978413799246839</v>
      </c>
      <c r="AW235" s="1">
        <f t="shared" si="31"/>
        <v>1.3319876753610957</v>
      </c>
    </row>
    <row r="236" spans="1:49" x14ac:dyDescent="0.2">
      <c r="A236">
        <v>234</v>
      </c>
      <c r="B236" t="s">
        <v>6252</v>
      </c>
      <c r="C236" t="s">
        <v>6251</v>
      </c>
      <c r="D236" t="s">
        <v>6250</v>
      </c>
      <c r="F236" t="s">
        <v>6249</v>
      </c>
      <c r="G236" t="s">
        <v>4</v>
      </c>
      <c r="H236" t="s">
        <v>3</v>
      </c>
      <c r="I236" t="s">
        <v>376</v>
      </c>
      <c r="J236" t="s">
        <v>6248</v>
      </c>
      <c r="K236" t="s">
        <v>6247</v>
      </c>
      <c r="L236" t="s">
        <v>6246</v>
      </c>
      <c r="M236" t="s">
        <v>18</v>
      </c>
      <c r="N236">
        <v>3</v>
      </c>
      <c r="O236" t="s">
        <v>6245</v>
      </c>
      <c r="P236" t="s">
        <v>6244</v>
      </c>
      <c r="Q236" t="s">
        <v>6243</v>
      </c>
      <c r="R236" s="8">
        <v>35765</v>
      </c>
      <c r="S236" s="9">
        <f t="shared" si="24"/>
        <v>1997</v>
      </c>
      <c r="T236" s="9">
        <v>1997</v>
      </c>
      <c r="U236" s="9">
        <f t="shared" si="25"/>
        <v>25</v>
      </c>
      <c r="V236" s="8">
        <v>1997</v>
      </c>
      <c r="W236" t="s">
        <v>392</v>
      </c>
      <c r="X236" s="2">
        <v>1.6519999999999999</v>
      </c>
      <c r="Y236" s="7">
        <f t="shared" si="26"/>
        <v>4.409919649769093E-2</v>
      </c>
      <c r="AA236" t="s">
        <v>391</v>
      </c>
      <c r="AB236">
        <v>17337</v>
      </c>
      <c r="AD236" t="s">
        <v>1</v>
      </c>
      <c r="AE236">
        <v>45</v>
      </c>
      <c r="AF236">
        <v>8</v>
      </c>
      <c r="AH236" t="s">
        <v>6242</v>
      </c>
      <c r="AI236" t="s">
        <v>6241</v>
      </c>
      <c r="AJ236" t="s">
        <v>6240</v>
      </c>
      <c r="AK236" t="s">
        <v>6239</v>
      </c>
      <c r="AL236">
        <v>23</v>
      </c>
      <c r="AM236" s="5">
        <f t="shared" si="27"/>
        <v>0.92</v>
      </c>
      <c r="AN236" s="4">
        <f t="shared" si="28"/>
        <v>1.3934115865202575E-3</v>
      </c>
      <c r="AO236" s="3"/>
      <c r="AP236">
        <v>0</v>
      </c>
      <c r="AQ236" t="s">
        <v>598</v>
      </c>
      <c r="AR236" t="s">
        <v>6238</v>
      </c>
      <c r="AS236" t="s">
        <v>597</v>
      </c>
      <c r="AT236" s="2" t="s">
        <v>5</v>
      </c>
      <c r="AU236" s="1">
        <f t="shared" si="29"/>
        <v>3.1287461024339729</v>
      </c>
      <c r="AV236" s="1">
        <f t="shared" si="30"/>
        <v>2.2746304042105594</v>
      </c>
      <c r="AW236" s="1">
        <f t="shared" si="31"/>
        <v>1.4205147059871459</v>
      </c>
    </row>
    <row r="237" spans="1:49" x14ac:dyDescent="0.2">
      <c r="A237">
        <v>235</v>
      </c>
      <c r="B237" t="s">
        <v>6237</v>
      </c>
      <c r="C237" t="s">
        <v>6236</v>
      </c>
      <c r="D237" t="s">
        <v>6235</v>
      </c>
      <c r="F237" t="s">
        <v>6234</v>
      </c>
      <c r="G237" t="s">
        <v>4</v>
      </c>
      <c r="H237" t="s">
        <v>3</v>
      </c>
      <c r="I237" t="s">
        <v>6233</v>
      </c>
      <c r="J237">
        <v>60026777</v>
      </c>
      <c r="K237" t="s">
        <v>6232</v>
      </c>
      <c r="L237" t="s">
        <v>5862</v>
      </c>
      <c r="M237" t="s">
        <v>116</v>
      </c>
      <c r="N237">
        <v>2</v>
      </c>
      <c r="O237" t="s">
        <v>6231</v>
      </c>
      <c r="P237" t="s">
        <v>6230</v>
      </c>
      <c r="Q237" t="s">
        <v>6229</v>
      </c>
      <c r="R237" s="8">
        <v>35765</v>
      </c>
      <c r="S237" s="9">
        <f t="shared" si="24"/>
        <v>1997</v>
      </c>
      <c r="T237" s="9">
        <v>1997</v>
      </c>
      <c r="U237" s="9">
        <f t="shared" si="25"/>
        <v>25</v>
      </c>
      <c r="V237" s="8">
        <v>1997</v>
      </c>
      <c r="W237" t="s">
        <v>392</v>
      </c>
      <c r="X237" s="2">
        <v>1.6519999999999999</v>
      </c>
      <c r="Y237" s="7">
        <f t="shared" si="26"/>
        <v>4.409919649769093E-2</v>
      </c>
      <c r="AA237" t="s">
        <v>391</v>
      </c>
      <c r="AB237">
        <v>17337</v>
      </c>
      <c r="AD237" t="s">
        <v>1</v>
      </c>
      <c r="AE237">
        <v>45</v>
      </c>
      <c r="AF237">
        <v>8</v>
      </c>
      <c r="AH237" t="s">
        <v>6228</v>
      </c>
      <c r="AI237" t="s">
        <v>6227</v>
      </c>
      <c r="AJ237" t="s">
        <v>3996</v>
      </c>
      <c r="AK237" t="s">
        <v>6226</v>
      </c>
      <c r="AL237">
        <v>5</v>
      </c>
      <c r="AM237" s="5">
        <f t="shared" si="27"/>
        <v>0.2</v>
      </c>
      <c r="AN237" s="4">
        <f t="shared" si="28"/>
        <v>3.0291556228701253E-4</v>
      </c>
      <c r="AO237" s="3"/>
      <c r="AP237">
        <v>0</v>
      </c>
      <c r="AQ237" t="s">
        <v>6225</v>
      </c>
      <c r="AR237" t="s">
        <v>0</v>
      </c>
      <c r="AS237" t="s">
        <v>6224</v>
      </c>
      <c r="AT237" s="2" t="s">
        <v>5</v>
      </c>
      <c r="AU237" s="1">
        <f t="shared" si="29"/>
        <v>3.0960312217069754</v>
      </c>
      <c r="AV237" s="1">
        <f t="shared" si="30"/>
        <v>2.2201056029988968</v>
      </c>
      <c r="AW237" s="1">
        <f t="shared" si="31"/>
        <v>1.3441799842908186</v>
      </c>
    </row>
    <row r="238" spans="1:49" x14ac:dyDescent="0.2">
      <c r="A238">
        <v>236</v>
      </c>
      <c r="B238" t="s">
        <v>6223</v>
      </c>
      <c r="C238" t="s">
        <v>6222</v>
      </c>
      <c r="D238" t="s">
        <v>6221</v>
      </c>
      <c r="F238" t="s">
        <v>6220</v>
      </c>
      <c r="G238" t="s">
        <v>4</v>
      </c>
      <c r="H238" t="s">
        <v>3</v>
      </c>
      <c r="I238" t="s">
        <v>6219</v>
      </c>
      <c r="J238" t="s">
        <v>740</v>
      </c>
      <c r="K238" t="s">
        <v>739</v>
      </c>
      <c r="L238" t="s">
        <v>661</v>
      </c>
      <c r="M238" t="s">
        <v>660</v>
      </c>
      <c r="N238">
        <v>4</v>
      </c>
      <c r="O238" t="s">
        <v>6218</v>
      </c>
      <c r="P238" t="s">
        <v>6217</v>
      </c>
      <c r="Q238" t="s">
        <v>6216</v>
      </c>
      <c r="R238" s="8">
        <v>35765</v>
      </c>
      <c r="S238" s="9">
        <f t="shared" si="24"/>
        <v>1997</v>
      </c>
      <c r="T238" s="9">
        <v>1997</v>
      </c>
      <c r="U238" s="9">
        <f t="shared" si="25"/>
        <v>25</v>
      </c>
      <c r="V238" s="8">
        <v>1997</v>
      </c>
      <c r="W238" t="s">
        <v>392</v>
      </c>
      <c r="X238" s="2">
        <v>1.6519999999999999</v>
      </c>
      <c r="Y238" s="7">
        <f t="shared" si="26"/>
        <v>4.409919649769093E-2</v>
      </c>
      <c r="AA238" t="s">
        <v>391</v>
      </c>
      <c r="AB238">
        <v>17337</v>
      </c>
      <c r="AD238" t="s">
        <v>1</v>
      </c>
      <c r="AE238">
        <v>45</v>
      </c>
      <c r="AF238">
        <v>8</v>
      </c>
      <c r="AH238" t="s">
        <v>6215</v>
      </c>
      <c r="AI238" t="s">
        <v>6214</v>
      </c>
      <c r="AJ238" t="s">
        <v>6213</v>
      </c>
      <c r="AK238" t="s">
        <v>6212</v>
      </c>
      <c r="AL238">
        <v>81</v>
      </c>
      <c r="AM238" s="5">
        <f t="shared" si="27"/>
        <v>3.24</v>
      </c>
      <c r="AN238" s="4">
        <f t="shared" si="28"/>
        <v>4.9072321090496028E-3</v>
      </c>
      <c r="AO238" s="3"/>
      <c r="AP238">
        <v>0</v>
      </c>
      <c r="AR238" t="s">
        <v>0</v>
      </c>
      <c r="AT238" s="2" t="s">
        <v>5</v>
      </c>
      <c r="AU238" s="1">
        <f t="shared" si="29"/>
        <v>3.2341607181098535</v>
      </c>
      <c r="AV238" s="1">
        <f t="shared" si="30"/>
        <v>2.4503214303370267</v>
      </c>
      <c r="AW238" s="1">
        <f t="shared" si="31"/>
        <v>1.6664821425642</v>
      </c>
    </row>
    <row r="239" spans="1:49" x14ac:dyDescent="0.2">
      <c r="A239">
        <v>237</v>
      </c>
      <c r="B239" t="s">
        <v>6211</v>
      </c>
      <c r="C239" t="s">
        <v>6210</v>
      </c>
      <c r="D239" t="s">
        <v>6209</v>
      </c>
      <c r="F239" t="s">
        <v>6208</v>
      </c>
      <c r="G239" t="s">
        <v>4</v>
      </c>
      <c r="H239" t="s">
        <v>3</v>
      </c>
      <c r="I239" t="s">
        <v>6207</v>
      </c>
      <c r="J239" t="s">
        <v>6206</v>
      </c>
      <c r="K239" t="s">
        <v>6205</v>
      </c>
      <c r="L239" t="s">
        <v>6204</v>
      </c>
      <c r="M239" t="s">
        <v>5280</v>
      </c>
      <c r="N239">
        <v>4</v>
      </c>
      <c r="O239" t="s">
        <v>6203</v>
      </c>
      <c r="P239" t="s">
        <v>6202</v>
      </c>
      <c r="Q239" t="s">
        <v>6201</v>
      </c>
      <c r="R239" s="8">
        <v>35765</v>
      </c>
      <c r="S239" s="9">
        <f t="shared" si="24"/>
        <v>1997</v>
      </c>
      <c r="T239" s="9">
        <v>1997</v>
      </c>
      <c r="U239" s="9">
        <f t="shared" si="25"/>
        <v>25</v>
      </c>
      <c r="V239" s="8">
        <v>1997</v>
      </c>
      <c r="W239" t="s">
        <v>392</v>
      </c>
      <c r="X239" s="2">
        <v>1.6519999999999999</v>
      </c>
      <c r="Y239" s="7">
        <f t="shared" si="26"/>
        <v>4.409919649769093E-2</v>
      </c>
      <c r="AA239" t="s">
        <v>391</v>
      </c>
      <c r="AB239">
        <v>17337</v>
      </c>
      <c r="AD239" t="s">
        <v>1</v>
      </c>
      <c r="AE239">
        <v>45</v>
      </c>
      <c r="AF239">
        <v>8</v>
      </c>
      <c r="AH239" t="s">
        <v>6200</v>
      </c>
      <c r="AI239" t="s">
        <v>6199</v>
      </c>
      <c r="AJ239" t="s">
        <v>6198</v>
      </c>
      <c r="AK239" t="s">
        <v>6197</v>
      </c>
      <c r="AL239">
        <v>11</v>
      </c>
      <c r="AM239" s="5">
        <f t="shared" si="27"/>
        <v>0.44</v>
      </c>
      <c r="AN239" s="4">
        <f t="shared" si="28"/>
        <v>6.6641423703142752E-4</v>
      </c>
      <c r="AO239" s="3"/>
      <c r="AP239">
        <v>0</v>
      </c>
      <c r="AR239" t="s">
        <v>0</v>
      </c>
      <c r="AT239" s="2" t="s">
        <v>5</v>
      </c>
      <c r="AU239" s="1">
        <f t="shared" si="29"/>
        <v>3.1069361819493078</v>
      </c>
      <c r="AV239" s="1">
        <f t="shared" si="30"/>
        <v>2.2382805367361178</v>
      </c>
      <c r="AW239" s="1">
        <f t="shared" si="31"/>
        <v>1.3696248915229277</v>
      </c>
    </row>
    <row r="240" spans="1:49" x14ac:dyDescent="0.2">
      <c r="A240">
        <v>238</v>
      </c>
      <c r="B240" t="s">
        <v>6196</v>
      </c>
      <c r="C240" t="s">
        <v>6195</v>
      </c>
      <c r="D240" t="s">
        <v>6194</v>
      </c>
      <c r="F240" t="s">
        <v>6193</v>
      </c>
      <c r="G240" t="s">
        <v>4</v>
      </c>
      <c r="H240" t="s">
        <v>3</v>
      </c>
      <c r="I240" t="s">
        <v>3533</v>
      </c>
      <c r="J240">
        <v>60028419</v>
      </c>
      <c r="K240" t="s">
        <v>611</v>
      </c>
      <c r="L240" t="s">
        <v>610</v>
      </c>
      <c r="M240" t="s">
        <v>39</v>
      </c>
      <c r="N240">
        <v>3</v>
      </c>
      <c r="O240" t="s">
        <v>6192</v>
      </c>
      <c r="P240" t="s">
        <v>6191</v>
      </c>
      <c r="Q240" t="s">
        <v>6190</v>
      </c>
      <c r="R240" s="8">
        <v>35765</v>
      </c>
      <c r="S240" s="9">
        <f t="shared" si="24"/>
        <v>1997</v>
      </c>
      <c r="T240" s="9">
        <v>1997</v>
      </c>
      <c r="U240" s="9">
        <f t="shared" si="25"/>
        <v>25</v>
      </c>
      <c r="V240" s="8">
        <v>1997</v>
      </c>
      <c r="W240" t="s">
        <v>392</v>
      </c>
      <c r="X240" s="2">
        <v>1.6519999999999999</v>
      </c>
      <c r="Y240" s="7">
        <f t="shared" si="26"/>
        <v>4.409919649769093E-2</v>
      </c>
      <c r="AA240" t="s">
        <v>391</v>
      </c>
      <c r="AB240">
        <v>17337</v>
      </c>
      <c r="AD240" t="s">
        <v>1</v>
      </c>
      <c r="AE240">
        <v>45</v>
      </c>
      <c r="AF240">
        <v>8</v>
      </c>
      <c r="AH240" t="s">
        <v>6189</v>
      </c>
      <c r="AI240" t="s">
        <v>6188</v>
      </c>
      <c r="AJ240" t="s">
        <v>494</v>
      </c>
      <c r="AK240" t="s">
        <v>6187</v>
      </c>
      <c r="AL240">
        <v>11</v>
      </c>
      <c r="AM240" s="5">
        <f t="shared" si="27"/>
        <v>0.44</v>
      </c>
      <c r="AN240" s="4">
        <f t="shared" si="28"/>
        <v>6.6641423703142752E-4</v>
      </c>
      <c r="AO240" s="3"/>
      <c r="AP240">
        <v>0</v>
      </c>
      <c r="AR240" t="s">
        <v>6186</v>
      </c>
      <c r="AS240" t="s">
        <v>5439</v>
      </c>
      <c r="AT240" s="2" t="s">
        <v>5</v>
      </c>
      <c r="AU240" s="1">
        <f t="shared" si="29"/>
        <v>3.1069361819493078</v>
      </c>
      <c r="AV240" s="1">
        <f t="shared" si="30"/>
        <v>2.2382805367361178</v>
      </c>
      <c r="AW240" s="1">
        <f t="shared" si="31"/>
        <v>1.3696248915229277</v>
      </c>
    </row>
    <row r="241" spans="1:49" x14ac:dyDescent="0.2">
      <c r="A241">
        <v>239</v>
      </c>
      <c r="B241" t="s">
        <v>6185</v>
      </c>
      <c r="C241" t="s">
        <v>6184</v>
      </c>
      <c r="F241" t="s">
        <v>6183</v>
      </c>
      <c r="G241" t="s">
        <v>4</v>
      </c>
      <c r="H241" t="s">
        <v>3</v>
      </c>
      <c r="I241" t="s">
        <v>6182</v>
      </c>
      <c r="J241">
        <v>60005322</v>
      </c>
      <c r="K241" t="s">
        <v>699</v>
      </c>
      <c r="L241" t="s">
        <v>698</v>
      </c>
      <c r="M241" t="s">
        <v>7</v>
      </c>
      <c r="N241">
        <v>2</v>
      </c>
      <c r="O241" t="s">
        <v>6181</v>
      </c>
      <c r="P241" t="s">
        <v>6180</v>
      </c>
      <c r="Q241" t="s">
        <v>6179</v>
      </c>
      <c r="R241" s="8">
        <v>35765</v>
      </c>
      <c r="S241" s="9">
        <f t="shared" si="24"/>
        <v>1997</v>
      </c>
      <c r="T241" s="9">
        <v>1997</v>
      </c>
      <c r="U241" s="9">
        <f t="shared" si="25"/>
        <v>25</v>
      </c>
      <c r="V241" s="8">
        <v>1997</v>
      </c>
      <c r="W241" t="s">
        <v>4348</v>
      </c>
      <c r="X241" s="2">
        <v>0.81499999999999995</v>
      </c>
      <c r="Y241" s="7">
        <f t="shared" si="26"/>
        <v>2.1755959531245827E-2</v>
      </c>
      <c r="AA241">
        <v>10709908</v>
      </c>
      <c r="AB241">
        <v>17316</v>
      </c>
      <c r="AD241" t="s">
        <v>1</v>
      </c>
      <c r="AE241">
        <v>4</v>
      </c>
      <c r="AF241">
        <v>8</v>
      </c>
      <c r="AH241" t="s">
        <v>6178</v>
      </c>
      <c r="AI241" t="s">
        <v>6177</v>
      </c>
      <c r="AJ241" t="s">
        <v>6176</v>
      </c>
      <c r="AK241" t="s">
        <v>6175</v>
      </c>
      <c r="AL241">
        <v>62</v>
      </c>
      <c r="AM241" s="5">
        <f t="shared" si="27"/>
        <v>2.48</v>
      </c>
      <c r="AN241" s="4">
        <f t="shared" si="28"/>
        <v>3.7561529723589551E-3</v>
      </c>
      <c r="AO241" s="3"/>
      <c r="AP241">
        <v>0</v>
      </c>
      <c r="AQ241" t="s">
        <v>124</v>
      </c>
      <c r="AR241" t="s">
        <v>6174</v>
      </c>
      <c r="AS241" t="s">
        <v>180</v>
      </c>
      <c r="AT241" s="2">
        <v>3.109</v>
      </c>
      <c r="AU241" s="1">
        <f t="shared" si="29"/>
        <v>1.6356017563579766</v>
      </c>
      <c r="AV241" s="1">
        <f t="shared" si="30"/>
        <v>1.2756056251802392</v>
      </c>
      <c r="AW241" s="1">
        <f t="shared" si="31"/>
        <v>0.91560949400250158</v>
      </c>
    </row>
    <row r="242" spans="1:49" x14ac:dyDescent="0.2">
      <c r="A242">
        <v>240</v>
      </c>
      <c r="B242" t="s">
        <v>6173</v>
      </c>
      <c r="C242" t="s">
        <v>6172</v>
      </c>
      <c r="D242" t="s">
        <v>6171</v>
      </c>
      <c r="F242" t="s">
        <v>6170</v>
      </c>
      <c r="G242" t="s">
        <v>4</v>
      </c>
      <c r="H242" t="s">
        <v>3</v>
      </c>
      <c r="I242" t="s">
        <v>6169</v>
      </c>
      <c r="J242" t="s">
        <v>6168</v>
      </c>
      <c r="K242" t="s">
        <v>6167</v>
      </c>
      <c r="L242" t="s">
        <v>6166</v>
      </c>
      <c r="M242" t="s">
        <v>18</v>
      </c>
      <c r="N242">
        <v>4</v>
      </c>
      <c r="O242" t="s">
        <v>6165</v>
      </c>
      <c r="P242" t="s">
        <v>6164</v>
      </c>
      <c r="Q242" t="s">
        <v>6163</v>
      </c>
      <c r="R242" s="8">
        <v>35765</v>
      </c>
      <c r="S242" s="9">
        <f t="shared" si="24"/>
        <v>1997</v>
      </c>
      <c r="T242" s="9">
        <v>1997</v>
      </c>
      <c r="U242" s="9">
        <f t="shared" si="25"/>
        <v>25</v>
      </c>
      <c r="V242" s="8">
        <v>1997</v>
      </c>
      <c r="W242" t="s">
        <v>1379</v>
      </c>
      <c r="X242" s="2">
        <v>0.65500000000000003</v>
      </c>
      <c r="Y242" s="7">
        <f t="shared" si="26"/>
        <v>1.7484850911614749E-2</v>
      </c>
      <c r="AA242">
        <v>189375</v>
      </c>
      <c r="AB242">
        <v>26051</v>
      </c>
      <c r="AD242" t="s">
        <v>1</v>
      </c>
      <c r="AE242">
        <v>39</v>
      </c>
      <c r="AF242">
        <v>3</v>
      </c>
      <c r="AH242" t="s">
        <v>6162</v>
      </c>
      <c r="AI242" t="s">
        <v>6161</v>
      </c>
      <c r="AJ242" t="s">
        <v>6160</v>
      </c>
      <c r="AK242" t="s">
        <v>6159</v>
      </c>
      <c r="AL242">
        <v>13</v>
      </c>
      <c r="AM242" s="5">
        <f t="shared" si="27"/>
        <v>0.52</v>
      </c>
      <c r="AN242" s="4">
        <f t="shared" si="28"/>
        <v>7.8758046194623253E-4</v>
      </c>
      <c r="AO242" s="3"/>
      <c r="AP242">
        <v>0</v>
      </c>
      <c r="AR242" t="s">
        <v>0</v>
      </c>
      <c r="AT242" s="2" t="s">
        <v>5</v>
      </c>
      <c r="AU242" s="1">
        <f t="shared" si="29"/>
        <v>1.2475669776714193</v>
      </c>
      <c r="AV242" s="1">
        <f t="shared" si="30"/>
        <v>0.913621568678049</v>
      </c>
      <c r="AW242" s="1">
        <f t="shared" si="31"/>
        <v>0.57967615968467878</v>
      </c>
    </row>
    <row r="243" spans="1:49" x14ac:dyDescent="0.2">
      <c r="A243">
        <v>241</v>
      </c>
      <c r="B243" t="s">
        <v>6158</v>
      </c>
      <c r="C243" t="s">
        <v>6157</v>
      </c>
      <c r="D243" t="s">
        <v>6156</v>
      </c>
      <c r="F243" t="s">
        <v>6155</v>
      </c>
      <c r="G243" t="s">
        <v>4</v>
      </c>
      <c r="H243" t="s">
        <v>3</v>
      </c>
      <c r="I243" t="s">
        <v>6154</v>
      </c>
      <c r="J243" t="s">
        <v>6153</v>
      </c>
      <c r="K243" t="s">
        <v>6152</v>
      </c>
      <c r="L243" t="s">
        <v>6151</v>
      </c>
      <c r="M243" t="s">
        <v>118</v>
      </c>
      <c r="N243">
        <v>4</v>
      </c>
      <c r="O243" t="s">
        <v>6150</v>
      </c>
      <c r="P243" t="s">
        <v>6149</v>
      </c>
      <c r="Q243" t="s">
        <v>6148</v>
      </c>
      <c r="R243" s="8">
        <v>35765</v>
      </c>
      <c r="S243" s="9">
        <f t="shared" si="24"/>
        <v>1997</v>
      </c>
      <c r="T243" s="9">
        <v>1997</v>
      </c>
      <c r="U243" s="9">
        <f t="shared" si="25"/>
        <v>25</v>
      </c>
      <c r="V243" s="8">
        <v>1997</v>
      </c>
      <c r="W243" t="s">
        <v>4179</v>
      </c>
      <c r="X243" s="2">
        <v>0.82</v>
      </c>
      <c r="Y243" s="7">
        <f t="shared" si="26"/>
        <v>2.1889431675609299E-2</v>
      </c>
      <c r="AA243">
        <v>189456</v>
      </c>
      <c r="AB243">
        <v>15361</v>
      </c>
      <c r="AD243" t="s">
        <v>1</v>
      </c>
      <c r="AE243">
        <v>46</v>
      </c>
      <c r="AF243">
        <v>4</v>
      </c>
      <c r="AH243" t="s">
        <v>6147</v>
      </c>
      <c r="AI243" t="s">
        <v>6146</v>
      </c>
      <c r="AJ243" t="s">
        <v>6145</v>
      </c>
      <c r="AK243" t="s">
        <v>6144</v>
      </c>
      <c r="AL243">
        <v>13</v>
      </c>
      <c r="AM243" s="5">
        <f t="shared" si="27"/>
        <v>0.52</v>
      </c>
      <c r="AN243" s="4">
        <f t="shared" si="28"/>
        <v>7.8758046194623253E-4</v>
      </c>
      <c r="AO243" s="3"/>
      <c r="AP243">
        <v>0</v>
      </c>
      <c r="AR243" t="s">
        <v>0</v>
      </c>
      <c r="AT243" s="2" t="s">
        <v>5</v>
      </c>
      <c r="AU243" s="1">
        <f t="shared" si="29"/>
        <v>1.5558876311510377</v>
      </c>
      <c r="AV243" s="1">
        <f t="shared" si="30"/>
        <v>1.1338506068777767</v>
      </c>
      <c r="AW243" s="1">
        <f t="shared" si="31"/>
        <v>0.71181358260451522</v>
      </c>
    </row>
    <row r="244" spans="1:49" x14ac:dyDescent="0.2">
      <c r="A244">
        <v>242</v>
      </c>
      <c r="B244" t="s">
        <v>6143</v>
      </c>
      <c r="C244" t="s">
        <v>6142</v>
      </c>
      <c r="D244" t="s">
        <v>6141</v>
      </c>
      <c r="F244" t="s">
        <v>6140</v>
      </c>
      <c r="G244" t="s">
        <v>4</v>
      </c>
      <c r="H244" t="s">
        <v>3</v>
      </c>
      <c r="I244" t="s">
        <v>6139</v>
      </c>
      <c r="J244" t="s">
        <v>6138</v>
      </c>
      <c r="K244" t="s">
        <v>6137</v>
      </c>
      <c r="L244" t="s">
        <v>6136</v>
      </c>
      <c r="M244" t="s">
        <v>6135</v>
      </c>
      <c r="N244">
        <v>1</v>
      </c>
      <c r="O244" t="s">
        <v>6134</v>
      </c>
      <c r="P244">
        <v>7404141260</v>
      </c>
      <c r="Q244" t="s">
        <v>6133</v>
      </c>
      <c r="R244" s="8">
        <v>35765</v>
      </c>
      <c r="S244" s="9">
        <f t="shared" si="24"/>
        <v>1997</v>
      </c>
      <c r="T244" s="9">
        <v>1997</v>
      </c>
      <c r="U244" s="9">
        <f t="shared" si="25"/>
        <v>25</v>
      </c>
      <c r="V244" s="8">
        <v>1997</v>
      </c>
      <c r="W244" t="s">
        <v>6132</v>
      </c>
      <c r="X244" s="2">
        <v>0.91600000000000004</v>
      </c>
      <c r="Y244" s="7">
        <f t="shared" si="26"/>
        <v>2.4452096847387951E-2</v>
      </c>
      <c r="AA244">
        <v>189359</v>
      </c>
      <c r="AB244">
        <v>17344</v>
      </c>
      <c r="AD244" t="s">
        <v>1</v>
      </c>
      <c r="AE244">
        <v>40</v>
      </c>
      <c r="AF244">
        <v>3</v>
      </c>
      <c r="AH244" t="s">
        <v>6131</v>
      </c>
      <c r="AI244" t="s">
        <v>6130</v>
      </c>
      <c r="AJ244" t="s">
        <v>6129</v>
      </c>
      <c r="AK244" t="s">
        <v>6128</v>
      </c>
      <c r="AL244">
        <v>6</v>
      </c>
      <c r="AM244" s="5">
        <f t="shared" si="27"/>
        <v>0.24</v>
      </c>
      <c r="AN244" s="4">
        <f t="shared" si="28"/>
        <v>3.6349867474441499E-4</v>
      </c>
      <c r="AO244" s="3"/>
      <c r="AP244">
        <v>0</v>
      </c>
      <c r="AR244" t="s">
        <v>0</v>
      </c>
      <c r="AT244" s="2">
        <v>2.1160000000000001</v>
      </c>
      <c r="AU244" s="1">
        <f t="shared" si="29"/>
        <v>1.7225517395594885</v>
      </c>
      <c r="AV244" s="1">
        <f t="shared" si="30"/>
        <v>1.2407797761066182</v>
      </c>
      <c r="AW244" s="1">
        <f t="shared" si="31"/>
        <v>0.7590078126537475</v>
      </c>
    </row>
    <row r="245" spans="1:49" x14ac:dyDescent="0.2">
      <c r="A245">
        <v>243</v>
      </c>
      <c r="B245" t="s">
        <v>6127</v>
      </c>
      <c r="C245" t="s">
        <v>6126</v>
      </c>
      <c r="D245" t="s">
        <v>6125</v>
      </c>
      <c r="F245" t="s">
        <v>6124</v>
      </c>
      <c r="G245" t="s">
        <v>4</v>
      </c>
      <c r="H245" t="s">
        <v>3</v>
      </c>
      <c r="I245" t="s">
        <v>6123</v>
      </c>
      <c r="J245" t="s">
        <v>6122</v>
      </c>
      <c r="K245" t="s">
        <v>6121</v>
      </c>
      <c r="L245" t="s">
        <v>6120</v>
      </c>
      <c r="M245" t="s">
        <v>89</v>
      </c>
      <c r="N245">
        <v>3</v>
      </c>
      <c r="O245" t="s">
        <v>6119</v>
      </c>
      <c r="P245" t="s">
        <v>6118</v>
      </c>
      <c r="Q245" t="s">
        <v>6117</v>
      </c>
      <c r="R245" s="8">
        <v>35765</v>
      </c>
      <c r="S245" s="9">
        <f t="shared" si="24"/>
        <v>1997</v>
      </c>
      <c r="T245" s="9">
        <v>1997</v>
      </c>
      <c r="U245" s="9">
        <f t="shared" si="25"/>
        <v>25</v>
      </c>
      <c r="V245" s="8">
        <v>1997</v>
      </c>
      <c r="W245" t="s">
        <v>1803</v>
      </c>
      <c r="X245" s="2">
        <v>1.6379999999999999</v>
      </c>
      <c r="Y245" s="7">
        <f t="shared" si="26"/>
        <v>4.3725474493473214E-2</v>
      </c>
      <c r="AA245" t="s">
        <v>1802</v>
      </c>
      <c r="AB245">
        <v>17391</v>
      </c>
      <c r="AD245" t="s">
        <v>1</v>
      </c>
      <c r="AE245">
        <v>45</v>
      </c>
      <c r="AF245">
        <v>7</v>
      </c>
      <c r="AH245" t="s">
        <v>6116</v>
      </c>
      <c r="AI245" t="s">
        <v>6115</v>
      </c>
      <c r="AK245" t="s">
        <v>6114</v>
      </c>
      <c r="AL245">
        <v>78</v>
      </c>
      <c r="AM245" s="5">
        <f t="shared" si="27"/>
        <v>3.12</v>
      </c>
      <c r="AN245" s="4">
        <f t="shared" si="28"/>
        <v>4.7254827716773952E-3</v>
      </c>
      <c r="AO245" s="3"/>
      <c r="AP245">
        <v>0</v>
      </c>
      <c r="AR245" t="s">
        <v>0</v>
      </c>
      <c r="AT245" s="2">
        <v>4.931</v>
      </c>
      <c r="AU245" s="1">
        <f t="shared" si="29"/>
        <v>3.2025476976934466</v>
      </c>
      <c r="AV245" s="1">
        <f t="shared" si="30"/>
        <v>2.4225478632575306</v>
      </c>
      <c r="AW245" s="1">
        <f t="shared" si="31"/>
        <v>1.6425480288216141</v>
      </c>
    </row>
    <row r="246" spans="1:49" x14ac:dyDescent="0.2">
      <c r="A246">
        <v>244</v>
      </c>
      <c r="B246" t="s">
        <v>6113</v>
      </c>
      <c r="C246" t="s">
        <v>6112</v>
      </c>
      <c r="D246" t="s">
        <v>6111</v>
      </c>
      <c r="F246" t="s">
        <v>6110</v>
      </c>
      <c r="G246" t="s">
        <v>4</v>
      </c>
      <c r="H246" t="s">
        <v>3</v>
      </c>
      <c r="I246" t="s">
        <v>6109</v>
      </c>
      <c r="J246">
        <v>60005510</v>
      </c>
      <c r="K246" t="s">
        <v>933</v>
      </c>
      <c r="L246" t="s">
        <v>513</v>
      </c>
      <c r="M246" t="s">
        <v>512</v>
      </c>
      <c r="N246">
        <v>2</v>
      </c>
      <c r="O246" t="s">
        <v>6108</v>
      </c>
      <c r="P246" t="s">
        <v>6107</v>
      </c>
      <c r="Q246" t="s">
        <v>930</v>
      </c>
      <c r="R246" s="8">
        <v>35765</v>
      </c>
      <c r="S246" s="9">
        <f t="shared" si="24"/>
        <v>1997</v>
      </c>
      <c r="T246" s="9">
        <v>1997</v>
      </c>
      <c r="U246" s="9">
        <f t="shared" si="25"/>
        <v>25</v>
      </c>
      <c r="V246" s="8">
        <v>1997</v>
      </c>
      <c r="W246" t="s">
        <v>392</v>
      </c>
      <c r="X246" s="2">
        <v>1.6519999999999999</v>
      </c>
      <c r="Y246" s="7">
        <f t="shared" si="26"/>
        <v>4.409919649769093E-2</v>
      </c>
      <c r="AA246" t="s">
        <v>391</v>
      </c>
      <c r="AB246">
        <v>17337</v>
      </c>
      <c r="AD246" t="s">
        <v>1</v>
      </c>
      <c r="AE246">
        <v>45</v>
      </c>
      <c r="AF246">
        <v>7</v>
      </c>
      <c r="AH246" t="s">
        <v>6106</v>
      </c>
      <c r="AI246" t="s">
        <v>6105</v>
      </c>
      <c r="AJ246" t="s">
        <v>6104</v>
      </c>
      <c r="AK246" t="s">
        <v>6103</v>
      </c>
      <c r="AL246">
        <v>394</v>
      </c>
      <c r="AM246" s="5">
        <f t="shared" si="27"/>
        <v>15.76</v>
      </c>
      <c r="AN246" s="4">
        <f t="shared" si="28"/>
        <v>2.3869746308216585E-2</v>
      </c>
      <c r="AO246" s="3"/>
      <c r="AP246">
        <v>0</v>
      </c>
      <c r="AR246" t="s">
        <v>0</v>
      </c>
      <c r="AT246" s="2" t="s">
        <v>5</v>
      </c>
      <c r="AU246" s="1">
        <f t="shared" si="29"/>
        <v>3.8030361440848628</v>
      </c>
      <c r="AV246" s="1">
        <f t="shared" si="30"/>
        <v>3.3984471402953758</v>
      </c>
      <c r="AW246" s="1">
        <f t="shared" si="31"/>
        <v>2.9938581365058883</v>
      </c>
    </row>
    <row r="247" spans="1:49" x14ac:dyDescent="0.2">
      <c r="A247">
        <v>245</v>
      </c>
      <c r="B247" t="s">
        <v>6102</v>
      </c>
      <c r="C247" t="s">
        <v>6101</v>
      </c>
      <c r="F247" t="s">
        <v>6100</v>
      </c>
      <c r="G247" t="s">
        <v>4</v>
      </c>
      <c r="H247" t="s">
        <v>3</v>
      </c>
      <c r="I247" t="s">
        <v>6099</v>
      </c>
      <c r="J247">
        <v>60022904</v>
      </c>
      <c r="K247" t="s">
        <v>6098</v>
      </c>
      <c r="L247" t="s">
        <v>6097</v>
      </c>
      <c r="M247" t="s">
        <v>2</v>
      </c>
      <c r="N247">
        <v>1</v>
      </c>
      <c r="O247" t="s">
        <v>6096</v>
      </c>
      <c r="P247">
        <v>7005000103</v>
      </c>
      <c r="Q247">
        <v>60022904</v>
      </c>
      <c r="R247" s="8">
        <v>35765</v>
      </c>
      <c r="S247" s="9">
        <f t="shared" si="24"/>
        <v>1997</v>
      </c>
      <c r="T247" s="9">
        <v>1997</v>
      </c>
      <c r="U247" s="9">
        <f t="shared" si="25"/>
        <v>25</v>
      </c>
      <c r="V247" s="8">
        <v>1997</v>
      </c>
      <c r="W247" t="s">
        <v>3745</v>
      </c>
      <c r="X247" s="2">
        <v>1.137</v>
      </c>
      <c r="Y247" s="7">
        <f t="shared" si="26"/>
        <v>3.0351565628253384E-2</v>
      </c>
      <c r="AA247">
        <v>189251</v>
      </c>
      <c r="AB247">
        <v>17336</v>
      </c>
      <c r="AD247" t="s">
        <v>1</v>
      </c>
      <c r="AE247">
        <v>33</v>
      </c>
      <c r="AF247">
        <v>3</v>
      </c>
      <c r="AH247" t="s">
        <v>6095</v>
      </c>
      <c r="AI247" t="s">
        <v>6094</v>
      </c>
      <c r="AK247" t="s">
        <v>6093</v>
      </c>
      <c r="AL247">
        <v>49</v>
      </c>
      <c r="AM247" s="5">
        <f t="shared" si="27"/>
        <v>1.96</v>
      </c>
      <c r="AN247" s="4">
        <f t="shared" si="28"/>
        <v>2.9685725104127226E-3</v>
      </c>
      <c r="AO247" s="3"/>
      <c r="AP247">
        <v>0</v>
      </c>
      <c r="AQ247" t="s">
        <v>6092</v>
      </c>
      <c r="AR247" t="s">
        <v>6091</v>
      </c>
      <c r="AS247" t="s">
        <v>3921</v>
      </c>
      <c r="AT247" s="2" t="s">
        <v>5</v>
      </c>
      <c r="AU247" s="1">
        <f t="shared" si="29"/>
        <v>2.2136667692901182</v>
      </c>
      <c r="AV247" s="1">
        <f t="shared" si="30"/>
        <v>1.6660069069333052</v>
      </c>
      <c r="AW247" s="1">
        <f t="shared" si="31"/>
        <v>1.118347044576492</v>
      </c>
    </row>
    <row r="248" spans="1:49" x14ac:dyDescent="0.2">
      <c r="A248">
        <v>246</v>
      </c>
      <c r="B248" t="s">
        <v>6090</v>
      </c>
      <c r="C248" t="s">
        <v>6089</v>
      </c>
      <c r="D248" t="s">
        <v>6088</v>
      </c>
      <c r="F248" t="s">
        <v>6087</v>
      </c>
      <c r="G248" t="s">
        <v>4</v>
      </c>
      <c r="H248" t="s">
        <v>3</v>
      </c>
      <c r="I248" t="s">
        <v>6086</v>
      </c>
      <c r="J248">
        <v>60033191</v>
      </c>
      <c r="K248" t="s">
        <v>6085</v>
      </c>
      <c r="L248" t="s">
        <v>6084</v>
      </c>
      <c r="M248" t="s">
        <v>179</v>
      </c>
      <c r="N248">
        <v>1</v>
      </c>
      <c r="O248" t="s">
        <v>6083</v>
      </c>
      <c r="P248">
        <v>6602972521</v>
      </c>
      <c r="Q248">
        <v>60033191</v>
      </c>
      <c r="R248" s="8">
        <v>35765</v>
      </c>
      <c r="S248" s="9">
        <f t="shared" si="24"/>
        <v>1997</v>
      </c>
      <c r="T248" s="9">
        <v>1997</v>
      </c>
      <c r="U248" s="9">
        <f t="shared" si="25"/>
        <v>25</v>
      </c>
      <c r="V248" s="8">
        <v>1997</v>
      </c>
      <c r="W248" t="s">
        <v>392</v>
      </c>
      <c r="X248" s="2">
        <v>1.6519999999999999</v>
      </c>
      <c r="Y248" s="7">
        <f t="shared" si="26"/>
        <v>4.409919649769093E-2</v>
      </c>
      <c r="AA248" t="s">
        <v>391</v>
      </c>
      <c r="AB248">
        <v>17337</v>
      </c>
      <c r="AD248" t="s">
        <v>1</v>
      </c>
      <c r="AE248">
        <v>45</v>
      </c>
      <c r="AF248">
        <v>7</v>
      </c>
      <c r="AH248" t="s">
        <v>6082</v>
      </c>
      <c r="AI248" t="s">
        <v>6081</v>
      </c>
      <c r="AJ248" t="s">
        <v>6080</v>
      </c>
      <c r="AK248" t="s">
        <v>6079</v>
      </c>
      <c r="AL248">
        <v>110</v>
      </c>
      <c r="AM248" s="5">
        <f t="shared" si="27"/>
        <v>4.4000000000000004</v>
      </c>
      <c r="AN248" s="4">
        <f t="shared" si="28"/>
        <v>6.6641423703142754E-3</v>
      </c>
      <c r="AO248" s="3"/>
      <c r="AP248">
        <v>0</v>
      </c>
      <c r="AR248" t="s">
        <v>0</v>
      </c>
      <c r="AT248" s="2" t="s">
        <v>5</v>
      </c>
      <c r="AU248" s="1">
        <f t="shared" si="29"/>
        <v>3.2868680259477938</v>
      </c>
      <c r="AV248" s="1">
        <f t="shared" si="30"/>
        <v>2.5381669434002605</v>
      </c>
      <c r="AW248" s="1">
        <f t="shared" si="31"/>
        <v>1.7894658608527272</v>
      </c>
    </row>
    <row r="249" spans="1:49" x14ac:dyDescent="0.2">
      <c r="A249">
        <v>247</v>
      </c>
      <c r="B249" t="s">
        <v>6078</v>
      </c>
      <c r="C249" t="s">
        <v>6077</v>
      </c>
      <c r="D249" t="s">
        <v>6076</v>
      </c>
      <c r="F249" t="s">
        <v>6075</v>
      </c>
      <c r="G249" t="s">
        <v>4</v>
      </c>
      <c r="H249" t="s">
        <v>3</v>
      </c>
      <c r="I249" t="s">
        <v>6074</v>
      </c>
      <c r="J249">
        <v>60000745</v>
      </c>
      <c r="K249" t="s">
        <v>415</v>
      </c>
      <c r="L249" t="s">
        <v>414</v>
      </c>
      <c r="M249" t="s">
        <v>2</v>
      </c>
      <c r="N249">
        <v>1</v>
      </c>
      <c r="O249" t="s">
        <v>6073</v>
      </c>
      <c r="P249">
        <v>57205299676</v>
      </c>
      <c r="Q249">
        <v>60000745</v>
      </c>
      <c r="R249" s="8">
        <v>35765</v>
      </c>
      <c r="S249" s="9">
        <f t="shared" si="24"/>
        <v>1997</v>
      </c>
      <c r="T249" s="9">
        <v>1997</v>
      </c>
      <c r="U249" s="9">
        <f t="shared" si="25"/>
        <v>25</v>
      </c>
      <c r="V249" s="8">
        <v>1997</v>
      </c>
      <c r="W249" t="s">
        <v>392</v>
      </c>
      <c r="X249" s="2">
        <v>1.6519999999999999</v>
      </c>
      <c r="Y249" s="7">
        <f t="shared" si="26"/>
        <v>4.409919649769093E-2</v>
      </c>
      <c r="AA249" t="s">
        <v>391</v>
      </c>
      <c r="AB249">
        <v>17337</v>
      </c>
      <c r="AD249" t="s">
        <v>1</v>
      </c>
      <c r="AE249">
        <v>45</v>
      </c>
      <c r="AF249">
        <v>7</v>
      </c>
      <c r="AH249" t="s">
        <v>6072</v>
      </c>
      <c r="AI249" t="s">
        <v>6071</v>
      </c>
      <c r="AJ249" t="s">
        <v>6070</v>
      </c>
      <c r="AK249" t="s">
        <v>6069</v>
      </c>
      <c r="AL249">
        <v>45</v>
      </c>
      <c r="AM249" s="5">
        <f t="shared" si="27"/>
        <v>1.8</v>
      </c>
      <c r="AN249" s="4">
        <f t="shared" si="28"/>
        <v>2.7262400605831123E-3</v>
      </c>
      <c r="AO249" s="3"/>
      <c r="AP249">
        <v>0</v>
      </c>
      <c r="AQ249" t="s">
        <v>53</v>
      </c>
      <c r="AR249" t="s">
        <v>6068</v>
      </c>
      <c r="AS249" t="s">
        <v>52</v>
      </c>
      <c r="AT249" s="2" t="s">
        <v>5</v>
      </c>
      <c r="AU249" s="1">
        <f t="shared" si="29"/>
        <v>3.1687309566558581</v>
      </c>
      <c r="AV249" s="1">
        <f t="shared" si="30"/>
        <v>2.3412718279137024</v>
      </c>
      <c r="AW249" s="1">
        <f t="shared" si="31"/>
        <v>1.5138126991715457</v>
      </c>
    </row>
    <row r="250" spans="1:49" x14ac:dyDescent="0.2">
      <c r="A250">
        <v>248</v>
      </c>
      <c r="B250" t="s">
        <v>6067</v>
      </c>
      <c r="C250" t="s">
        <v>6066</v>
      </c>
      <c r="D250" t="s">
        <v>6065</v>
      </c>
      <c r="F250" t="s">
        <v>6064</v>
      </c>
      <c r="G250" t="s">
        <v>4</v>
      </c>
      <c r="H250" t="s">
        <v>3</v>
      </c>
      <c r="I250" t="s">
        <v>238</v>
      </c>
      <c r="J250">
        <v>60030526</v>
      </c>
      <c r="K250" t="s">
        <v>237</v>
      </c>
      <c r="L250" t="s">
        <v>112</v>
      </c>
      <c r="M250" t="s">
        <v>111</v>
      </c>
      <c r="N250">
        <v>1</v>
      </c>
      <c r="O250" t="s">
        <v>6063</v>
      </c>
      <c r="P250">
        <v>55633340100</v>
      </c>
      <c r="Q250">
        <v>60030526</v>
      </c>
      <c r="R250" s="8">
        <v>35765</v>
      </c>
      <c r="S250" s="9">
        <f t="shared" si="24"/>
        <v>1997</v>
      </c>
      <c r="T250" s="9">
        <v>1997</v>
      </c>
      <c r="U250" s="9">
        <f t="shared" si="25"/>
        <v>25</v>
      </c>
      <c r="V250" s="8">
        <v>1997</v>
      </c>
      <c r="W250" t="s">
        <v>392</v>
      </c>
      <c r="X250" s="2">
        <v>1.6519999999999999</v>
      </c>
      <c r="Y250" s="7">
        <f t="shared" si="26"/>
        <v>4.409919649769093E-2</v>
      </c>
      <c r="AA250" t="s">
        <v>391</v>
      </c>
      <c r="AB250">
        <v>17337</v>
      </c>
      <c r="AD250" t="s">
        <v>1</v>
      </c>
      <c r="AE250">
        <v>45</v>
      </c>
      <c r="AF250">
        <v>7</v>
      </c>
      <c r="AH250" t="s">
        <v>6062</v>
      </c>
      <c r="AI250" t="s">
        <v>6061</v>
      </c>
      <c r="AJ250" t="s">
        <v>6060</v>
      </c>
      <c r="AK250" t="s">
        <v>6059</v>
      </c>
      <c r="AL250">
        <v>15</v>
      </c>
      <c r="AM250" s="5">
        <f t="shared" si="27"/>
        <v>0.6</v>
      </c>
      <c r="AN250" s="4">
        <f t="shared" si="28"/>
        <v>9.0874668686103744E-4</v>
      </c>
      <c r="AO250" s="3"/>
      <c r="AP250">
        <v>0</v>
      </c>
      <c r="AR250" t="s">
        <v>0</v>
      </c>
      <c r="AT250" s="2" t="s">
        <v>5</v>
      </c>
      <c r="AU250" s="1">
        <f t="shared" si="29"/>
        <v>3.1142061554441964</v>
      </c>
      <c r="AV250" s="1">
        <f t="shared" si="30"/>
        <v>2.2503971592275982</v>
      </c>
      <c r="AW250" s="1">
        <f t="shared" si="31"/>
        <v>1.3865881630110004</v>
      </c>
    </row>
    <row r="251" spans="1:49" x14ac:dyDescent="0.2">
      <c r="A251">
        <v>249</v>
      </c>
      <c r="B251" t="s">
        <v>6058</v>
      </c>
      <c r="C251" t="s">
        <v>6057</v>
      </c>
      <c r="D251" t="s">
        <v>6056</v>
      </c>
      <c r="F251" t="s">
        <v>6055</v>
      </c>
      <c r="G251" t="s">
        <v>4</v>
      </c>
      <c r="H251" t="s">
        <v>3</v>
      </c>
      <c r="I251" t="s">
        <v>6054</v>
      </c>
      <c r="J251">
        <v>60000990</v>
      </c>
      <c r="K251" t="s">
        <v>6053</v>
      </c>
      <c r="L251" t="s">
        <v>6052</v>
      </c>
      <c r="M251" t="s">
        <v>701</v>
      </c>
      <c r="N251">
        <v>1</v>
      </c>
      <c r="O251" t="s">
        <v>6051</v>
      </c>
      <c r="P251">
        <v>7101988263</v>
      </c>
      <c r="Q251">
        <v>60000990</v>
      </c>
      <c r="R251" s="8">
        <v>35765</v>
      </c>
      <c r="S251" s="9">
        <f t="shared" si="24"/>
        <v>1997</v>
      </c>
      <c r="T251" s="9">
        <v>1997</v>
      </c>
      <c r="U251" s="9">
        <f t="shared" si="25"/>
        <v>25</v>
      </c>
      <c r="V251" s="8">
        <v>1997</v>
      </c>
      <c r="W251" t="s">
        <v>392</v>
      </c>
      <c r="X251" s="2">
        <v>1.6519999999999999</v>
      </c>
      <c r="Y251" s="7">
        <f t="shared" si="26"/>
        <v>4.409919649769093E-2</v>
      </c>
      <c r="AA251" t="s">
        <v>391</v>
      </c>
      <c r="AB251">
        <v>17337</v>
      </c>
      <c r="AD251" t="s">
        <v>1</v>
      </c>
      <c r="AE251">
        <v>45</v>
      </c>
      <c r="AF251">
        <v>7</v>
      </c>
      <c r="AH251" t="s">
        <v>6050</v>
      </c>
      <c r="AI251" t="s">
        <v>6049</v>
      </c>
      <c r="AJ251" t="s">
        <v>3996</v>
      </c>
      <c r="AK251" t="s">
        <v>6048</v>
      </c>
      <c r="AL251">
        <v>16</v>
      </c>
      <c r="AM251" s="5">
        <f t="shared" si="27"/>
        <v>0.64</v>
      </c>
      <c r="AN251" s="4">
        <f t="shared" si="28"/>
        <v>9.6932979931844E-4</v>
      </c>
      <c r="AO251" s="3"/>
      <c r="AP251">
        <v>0</v>
      </c>
      <c r="AR251" t="s">
        <v>0</v>
      </c>
      <c r="AT251" s="2" t="s">
        <v>5</v>
      </c>
      <c r="AU251" s="1">
        <f t="shared" si="29"/>
        <v>3.1160236488179183</v>
      </c>
      <c r="AV251" s="1">
        <f t="shared" si="30"/>
        <v>2.2534263148504685</v>
      </c>
      <c r="AW251" s="1">
        <f t="shared" si="31"/>
        <v>1.3908289808830185</v>
      </c>
    </row>
    <row r="252" spans="1:49" x14ac:dyDescent="0.2">
      <c r="A252">
        <v>250</v>
      </c>
      <c r="B252" t="s">
        <v>6047</v>
      </c>
      <c r="C252" t="s">
        <v>6046</v>
      </c>
      <c r="D252" t="s">
        <v>6045</v>
      </c>
      <c r="F252" t="s">
        <v>6044</v>
      </c>
      <c r="G252" t="s">
        <v>4</v>
      </c>
      <c r="H252" t="s">
        <v>3</v>
      </c>
      <c r="I252" t="s">
        <v>6043</v>
      </c>
      <c r="J252">
        <v>60005429</v>
      </c>
      <c r="K252" t="s">
        <v>3760</v>
      </c>
      <c r="L252" t="s">
        <v>348</v>
      </c>
      <c r="M252" t="s">
        <v>250</v>
      </c>
      <c r="N252">
        <v>1</v>
      </c>
      <c r="O252" t="s">
        <v>6042</v>
      </c>
      <c r="P252">
        <v>56948222300</v>
      </c>
      <c r="Q252">
        <v>60005429</v>
      </c>
      <c r="R252" s="8">
        <v>35765</v>
      </c>
      <c r="S252" s="9">
        <f t="shared" si="24"/>
        <v>1997</v>
      </c>
      <c r="T252" s="9">
        <v>1997</v>
      </c>
      <c r="U252" s="9">
        <f t="shared" si="25"/>
        <v>25</v>
      </c>
      <c r="V252" s="8">
        <v>1997</v>
      </c>
      <c r="W252" t="s">
        <v>392</v>
      </c>
      <c r="X252" s="2">
        <v>1.6519999999999999</v>
      </c>
      <c r="Y252" s="7">
        <f t="shared" si="26"/>
        <v>4.409919649769093E-2</v>
      </c>
      <c r="AA252" t="s">
        <v>391</v>
      </c>
      <c r="AB252">
        <v>17337</v>
      </c>
      <c r="AD252" t="s">
        <v>1</v>
      </c>
      <c r="AE252">
        <v>45</v>
      </c>
      <c r="AF252">
        <v>7</v>
      </c>
      <c r="AH252" t="s">
        <v>6041</v>
      </c>
      <c r="AI252" t="s">
        <v>6040</v>
      </c>
      <c r="AJ252" t="s">
        <v>6039</v>
      </c>
      <c r="AK252" t="s">
        <v>6038</v>
      </c>
      <c r="AL252">
        <v>7</v>
      </c>
      <c r="AM252" s="5">
        <f t="shared" si="27"/>
        <v>0.28000000000000003</v>
      </c>
      <c r="AN252" s="4">
        <f t="shared" si="28"/>
        <v>4.2408178720181755E-4</v>
      </c>
      <c r="AO252" s="3"/>
      <c r="AP252">
        <v>0</v>
      </c>
      <c r="AQ252" t="s">
        <v>362</v>
      </c>
      <c r="AR252" t="s">
        <v>6037</v>
      </c>
      <c r="AS252" t="s">
        <v>361</v>
      </c>
      <c r="AT252" s="2" t="s">
        <v>5</v>
      </c>
      <c r="AU252" s="1">
        <f t="shared" si="29"/>
        <v>3.0996662084544195</v>
      </c>
      <c r="AV252" s="1">
        <f t="shared" si="30"/>
        <v>2.2261639142446374</v>
      </c>
      <c r="AW252" s="1">
        <f t="shared" si="31"/>
        <v>1.3526616200348551</v>
      </c>
    </row>
    <row r="253" spans="1:49" x14ac:dyDescent="0.2">
      <c r="A253">
        <v>251</v>
      </c>
      <c r="B253" t="s">
        <v>6036</v>
      </c>
      <c r="C253" t="s">
        <v>6035</v>
      </c>
      <c r="D253" t="s">
        <v>6034</v>
      </c>
      <c r="F253" t="s">
        <v>6033</v>
      </c>
      <c r="G253" t="s">
        <v>4</v>
      </c>
      <c r="H253" t="s">
        <v>3</v>
      </c>
      <c r="I253" t="s">
        <v>6032</v>
      </c>
      <c r="J253">
        <v>60005681</v>
      </c>
      <c r="K253" t="s">
        <v>176</v>
      </c>
      <c r="L253" t="s">
        <v>175</v>
      </c>
      <c r="M253" t="s">
        <v>174</v>
      </c>
      <c r="N253">
        <v>1</v>
      </c>
      <c r="O253" t="s">
        <v>6031</v>
      </c>
      <c r="P253">
        <v>6602716591</v>
      </c>
      <c r="Q253">
        <v>60005681</v>
      </c>
      <c r="R253" s="8">
        <v>35765</v>
      </c>
      <c r="S253" s="9">
        <f t="shared" si="24"/>
        <v>1997</v>
      </c>
      <c r="T253" s="9">
        <v>1997</v>
      </c>
      <c r="U253" s="9">
        <f t="shared" si="25"/>
        <v>25</v>
      </c>
      <c r="V253" s="8">
        <v>1997</v>
      </c>
      <c r="W253" t="s">
        <v>392</v>
      </c>
      <c r="X253" s="2">
        <v>1.6519999999999999</v>
      </c>
      <c r="Y253" s="7">
        <f t="shared" si="26"/>
        <v>4.409919649769093E-2</v>
      </c>
      <c r="AA253" t="s">
        <v>391</v>
      </c>
      <c r="AB253">
        <v>17337</v>
      </c>
      <c r="AD253" t="s">
        <v>1</v>
      </c>
      <c r="AE253">
        <v>45</v>
      </c>
      <c r="AF253">
        <v>7</v>
      </c>
      <c r="AH253" t="s">
        <v>6030</v>
      </c>
      <c r="AI253" t="s">
        <v>6029</v>
      </c>
      <c r="AJ253" t="s">
        <v>6028</v>
      </c>
      <c r="AK253" t="s">
        <v>6027</v>
      </c>
      <c r="AL253">
        <v>223</v>
      </c>
      <c r="AM253" s="5">
        <f t="shared" si="27"/>
        <v>8.92</v>
      </c>
      <c r="AN253" s="4">
        <f t="shared" si="28"/>
        <v>1.3510034078000758E-2</v>
      </c>
      <c r="AO253" s="3"/>
      <c r="AP253">
        <v>0</v>
      </c>
      <c r="AR253" t="s">
        <v>0</v>
      </c>
      <c r="AT253" s="2" t="s">
        <v>5</v>
      </c>
      <c r="AU253" s="1">
        <f t="shared" si="29"/>
        <v>3.4922447771783873</v>
      </c>
      <c r="AV253" s="1">
        <f t="shared" si="30"/>
        <v>2.8804615287845845</v>
      </c>
      <c r="AW253" s="1">
        <f t="shared" si="31"/>
        <v>2.2686782803907808</v>
      </c>
    </row>
    <row r="254" spans="1:49" x14ac:dyDescent="0.2">
      <c r="A254">
        <v>252</v>
      </c>
      <c r="B254" t="s">
        <v>6026</v>
      </c>
      <c r="C254" t="s">
        <v>6025</v>
      </c>
      <c r="D254" t="s">
        <v>6024</v>
      </c>
      <c r="F254" t="s">
        <v>6023</v>
      </c>
      <c r="G254" t="s">
        <v>4</v>
      </c>
      <c r="H254" t="s">
        <v>3</v>
      </c>
      <c r="I254" t="s">
        <v>6022</v>
      </c>
      <c r="J254">
        <v>60031004</v>
      </c>
      <c r="K254" t="s">
        <v>201</v>
      </c>
      <c r="L254" t="s">
        <v>200</v>
      </c>
      <c r="M254" t="s">
        <v>50</v>
      </c>
      <c r="N254">
        <v>1</v>
      </c>
      <c r="O254" t="s">
        <v>6021</v>
      </c>
      <c r="P254">
        <v>57199048291</v>
      </c>
      <c r="Q254">
        <v>60031004</v>
      </c>
      <c r="R254" s="8">
        <v>35765</v>
      </c>
      <c r="S254" s="9">
        <f t="shared" si="24"/>
        <v>1997</v>
      </c>
      <c r="T254" s="9">
        <v>1997</v>
      </c>
      <c r="U254" s="9">
        <f t="shared" si="25"/>
        <v>25</v>
      </c>
      <c r="V254" s="8">
        <v>1997</v>
      </c>
      <c r="W254" t="s">
        <v>392</v>
      </c>
      <c r="X254" s="2">
        <v>1.6519999999999999</v>
      </c>
      <c r="Y254" s="7">
        <f t="shared" si="26"/>
        <v>4.409919649769093E-2</v>
      </c>
      <c r="AA254" t="s">
        <v>391</v>
      </c>
      <c r="AB254">
        <v>17337</v>
      </c>
      <c r="AD254" t="s">
        <v>1</v>
      </c>
      <c r="AE254">
        <v>45</v>
      </c>
      <c r="AF254">
        <v>7</v>
      </c>
      <c r="AH254" t="s">
        <v>6020</v>
      </c>
      <c r="AI254" t="s">
        <v>6019</v>
      </c>
      <c r="AJ254" t="s">
        <v>6018</v>
      </c>
      <c r="AK254" t="s">
        <v>6017</v>
      </c>
      <c r="AL254">
        <v>68</v>
      </c>
      <c r="AM254" s="5">
        <f t="shared" si="27"/>
        <v>2.72</v>
      </c>
      <c r="AN254" s="4">
        <f t="shared" si="28"/>
        <v>4.1196516471033702E-3</v>
      </c>
      <c r="AO254" s="3"/>
      <c r="AP254">
        <v>0</v>
      </c>
      <c r="AQ254" t="s">
        <v>6016</v>
      </c>
      <c r="AR254" t="s">
        <v>0</v>
      </c>
      <c r="AS254" t="s">
        <v>6015</v>
      </c>
      <c r="AT254" s="2" t="s">
        <v>5</v>
      </c>
      <c r="AU254" s="1">
        <f t="shared" si="29"/>
        <v>3.2105333042514657</v>
      </c>
      <c r="AV254" s="1">
        <f t="shared" si="30"/>
        <v>2.4109424072397152</v>
      </c>
      <c r="AW254" s="1">
        <f t="shared" si="31"/>
        <v>1.6113515102279639</v>
      </c>
    </row>
    <row r="255" spans="1:49" x14ac:dyDescent="0.2">
      <c r="A255">
        <v>253</v>
      </c>
      <c r="B255" t="s">
        <v>6014</v>
      </c>
      <c r="C255" t="s">
        <v>6013</v>
      </c>
      <c r="F255" t="s">
        <v>6012</v>
      </c>
      <c r="G255" t="s">
        <v>4</v>
      </c>
      <c r="H255" t="s">
        <v>3</v>
      </c>
      <c r="I255" t="s">
        <v>6011</v>
      </c>
      <c r="J255">
        <v>60033252</v>
      </c>
      <c r="K255" t="s">
        <v>6010</v>
      </c>
      <c r="L255" t="s">
        <v>6009</v>
      </c>
      <c r="M255" t="s">
        <v>2</v>
      </c>
      <c r="N255">
        <v>2</v>
      </c>
      <c r="O255" t="s">
        <v>6008</v>
      </c>
      <c r="P255" t="s">
        <v>6007</v>
      </c>
      <c r="Q255" t="s">
        <v>6006</v>
      </c>
      <c r="R255" s="8">
        <v>35765</v>
      </c>
      <c r="S255" s="9">
        <f t="shared" si="24"/>
        <v>1997</v>
      </c>
      <c r="T255" s="9">
        <v>1997</v>
      </c>
      <c r="U255" s="9">
        <f t="shared" si="25"/>
        <v>25</v>
      </c>
      <c r="V255" s="8">
        <v>1997</v>
      </c>
      <c r="W255" t="s">
        <v>6005</v>
      </c>
      <c r="X255" s="2">
        <v>1.159</v>
      </c>
      <c r="Y255" s="7">
        <f t="shared" si="26"/>
        <v>3.093884306345266E-2</v>
      </c>
      <c r="AA255">
        <v>8853010</v>
      </c>
      <c r="AB255">
        <v>12998</v>
      </c>
      <c r="AD255" t="s">
        <v>1</v>
      </c>
      <c r="AE255">
        <v>44</v>
      </c>
      <c r="AF255">
        <v>4</v>
      </c>
      <c r="AH255" t="s">
        <v>6004</v>
      </c>
      <c r="AI255" t="s">
        <v>6003</v>
      </c>
      <c r="AK255" t="s">
        <v>6002</v>
      </c>
      <c r="AL255">
        <v>172</v>
      </c>
      <c r="AM255" s="5">
        <f t="shared" si="27"/>
        <v>6.88</v>
      </c>
      <c r="AN255" s="4">
        <f t="shared" si="28"/>
        <v>1.042029534267323E-2</v>
      </c>
      <c r="AO255" s="3"/>
      <c r="AP255">
        <v>0</v>
      </c>
      <c r="AR255" t="s">
        <v>0</v>
      </c>
      <c r="AT255" s="2" t="s">
        <v>5</v>
      </c>
      <c r="AU255" s="1">
        <f t="shared" si="29"/>
        <v>2.4783278747218827</v>
      </c>
      <c r="AV255" s="1">
        <f t="shared" si="30"/>
        <v>2.0679569203062944</v>
      </c>
      <c r="AW255" s="1">
        <f t="shared" si="31"/>
        <v>1.6575859658907059</v>
      </c>
    </row>
    <row r="256" spans="1:49" x14ac:dyDescent="0.2">
      <c r="A256">
        <v>254</v>
      </c>
      <c r="B256" t="s">
        <v>6001</v>
      </c>
      <c r="C256" t="s">
        <v>6000</v>
      </c>
      <c r="D256" t="s">
        <v>5999</v>
      </c>
      <c r="F256" t="s">
        <v>5998</v>
      </c>
      <c r="G256" t="s">
        <v>4</v>
      </c>
      <c r="H256" t="s">
        <v>3</v>
      </c>
      <c r="I256" t="s">
        <v>5997</v>
      </c>
      <c r="J256">
        <v>60011373</v>
      </c>
      <c r="K256" t="s">
        <v>323</v>
      </c>
      <c r="L256" t="s">
        <v>322</v>
      </c>
      <c r="M256" t="s">
        <v>106</v>
      </c>
      <c r="N256">
        <v>1</v>
      </c>
      <c r="O256" t="s">
        <v>5996</v>
      </c>
      <c r="P256">
        <v>7003928581</v>
      </c>
      <c r="Q256">
        <v>60011373</v>
      </c>
      <c r="R256" s="8">
        <v>35765</v>
      </c>
      <c r="S256" s="9">
        <f t="shared" si="24"/>
        <v>1997</v>
      </c>
      <c r="T256" s="9">
        <v>1997</v>
      </c>
      <c r="U256" s="9">
        <f t="shared" si="25"/>
        <v>25</v>
      </c>
      <c r="V256" s="8">
        <v>1997</v>
      </c>
      <c r="W256" t="s">
        <v>1791</v>
      </c>
      <c r="X256" s="2">
        <v>2.141</v>
      </c>
      <c r="Y256" s="7">
        <f t="shared" si="26"/>
        <v>5.7152772216438434E-2</v>
      </c>
      <c r="AA256">
        <v>1962892</v>
      </c>
      <c r="AB256">
        <v>17360</v>
      </c>
      <c r="AD256" t="s">
        <v>1</v>
      </c>
      <c r="AE256">
        <v>35</v>
      </c>
      <c r="AF256">
        <v>4</v>
      </c>
      <c r="AH256" t="s">
        <v>5995</v>
      </c>
      <c r="AI256" t="s">
        <v>5994</v>
      </c>
      <c r="AJ256" t="s">
        <v>5993</v>
      </c>
      <c r="AK256" t="s">
        <v>5992</v>
      </c>
      <c r="AL256">
        <v>9</v>
      </c>
      <c r="AM256" s="5">
        <f t="shared" si="27"/>
        <v>0.36</v>
      </c>
      <c r="AN256" s="4">
        <f t="shared" si="28"/>
        <v>5.4524801211662251E-4</v>
      </c>
      <c r="AO256" s="3"/>
      <c r="AP256">
        <v>0</v>
      </c>
      <c r="AQ256" t="s">
        <v>3776</v>
      </c>
      <c r="AR256" t="s">
        <v>0</v>
      </c>
      <c r="AS256" t="s">
        <v>3775</v>
      </c>
      <c r="AT256" s="2" t="s">
        <v>5</v>
      </c>
      <c r="AU256" s="1">
        <f t="shared" si="29"/>
        <v>4.0170514955141883</v>
      </c>
      <c r="AV256" s="1">
        <f t="shared" si="30"/>
        <v>2.8849010114277531</v>
      </c>
      <c r="AW256" s="1">
        <f t="shared" si="31"/>
        <v>1.7527505273413166</v>
      </c>
    </row>
    <row r="257" spans="1:49" x14ac:dyDescent="0.2">
      <c r="A257">
        <v>255</v>
      </c>
      <c r="B257" t="s">
        <v>5991</v>
      </c>
      <c r="C257" t="s">
        <v>5990</v>
      </c>
      <c r="D257" t="s">
        <v>5989</v>
      </c>
      <c r="F257" t="s">
        <v>5988</v>
      </c>
      <c r="G257" t="s">
        <v>4</v>
      </c>
      <c r="H257" t="s">
        <v>3</v>
      </c>
      <c r="I257" t="s">
        <v>615</v>
      </c>
      <c r="J257">
        <v>60027161</v>
      </c>
      <c r="K257" t="s">
        <v>399</v>
      </c>
      <c r="L257" t="s">
        <v>398</v>
      </c>
      <c r="M257" t="s">
        <v>174</v>
      </c>
      <c r="N257">
        <v>1</v>
      </c>
      <c r="O257" t="s">
        <v>614</v>
      </c>
      <c r="P257">
        <v>7004045654</v>
      </c>
      <c r="Q257">
        <v>60027161</v>
      </c>
      <c r="R257" s="8">
        <v>35765</v>
      </c>
      <c r="S257" s="9">
        <f t="shared" si="24"/>
        <v>1997</v>
      </c>
      <c r="T257" s="9">
        <v>1997</v>
      </c>
      <c r="U257" s="9">
        <f t="shared" si="25"/>
        <v>25</v>
      </c>
      <c r="V257" s="8">
        <v>1997</v>
      </c>
      <c r="W257" t="s">
        <v>392</v>
      </c>
      <c r="X257" s="2">
        <v>1.6519999999999999</v>
      </c>
      <c r="Y257" s="7">
        <f t="shared" si="26"/>
        <v>4.409919649769093E-2</v>
      </c>
      <c r="AA257" t="s">
        <v>391</v>
      </c>
      <c r="AB257">
        <v>17337</v>
      </c>
      <c r="AD257" t="s">
        <v>1</v>
      </c>
      <c r="AE257">
        <v>45</v>
      </c>
      <c r="AF257">
        <v>7</v>
      </c>
      <c r="AH257" t="s">
        <v>5987</v>
      </c>
      <c r="AI257" t="s">
        <v>5986</v>
      </c>
      <c r="AJ257" t="s">
        <v>272</v>
      </c>
      <c r="AK257" t="s">
        <v>5985</v>
      </c>
      <c r="AL257">
        <v>17</v>
      </c>
      <c r="AM257" s="5">
        <f t="shared" si="27"/>
        <v>0.68</v>
      </c>
      <c r="AN257" s="4">
        <f t="shared" si="28"/>
        <v>1.0299129117758426E-3</v>
      </c>
      <c r="AO257" s="3"/>
      <c r="AP257">
        <v>0</v>
      </c>
      <c r="AR257" t="s">
        <v>0</v>
      </c>
      <c r="AT257" s="2" t="s">
        <v>5</v>
      </c>
      <c r="AU257" s="1">
        <f t="shared" si="29"/>
        <v>3.1178411421916405</v>
      </c>
      <c r="AV257" s="1">
        <f t="shared" si="30"/>
        <v>2.2564554704733388</v>
      </c>
      <c r="AW257" s="1">
        <f t="shared" si="31"/>
        <v>1.3950697987550367</v>
      </c>
    </row>
    <row r="258" spans="1:49" x14ac:dyDescent="0.2">
      <c r="A258">
        <v>256</v>
      </c>
      <c r="B258" t="s">
        <v>5984</v>
      </c>
      <c r="C258" t="s">
        <v>5983</v>
      </c>
      <c r="F258" t="s">
        <v>5982</v>
      </c>
      <c r="G258" t="s">
        <v>4</v>
      </c>
      <c r="H258" t="s">
        <v>3</v>
      </c>
      <c r="R258" s="8">
        <v>35765</v>
      </c>
      <c r="S258" s="9">
        <f t="shared" ref="S258:S321" si="32">YEAR(R258)</f>
        <v>1997</v>
      </c>
      <c r="T258" s="9">
        <v>1997</v>
      </c>
      <c r="U258" s="9">
        <f t="shared" ref="U258:U321" si="33">2022-T258</f>
        <v>25</v>
      </c>
      <c r="V258" s="8">
        <v>1997</v>
      </c>
      <c r="W258" t="s">
        <v>3745</v>
      </c>
      <c r="X258" s="2">
        <v>1.137</v>
      </c>
      <c r="Y258" s="7">
        <f t="shared" ref="Y258:Y321" si="34">(X258-$Z$3)/($Z$2-$Z$3)</f>
        <v>3.0351565628253384E-2</v>
      </c>
      <c r="AA258">
        <v>189251</v>
      </c>
      <c r="AB258">
        <v>17336</v>
      </c>
      <c r="AD258" t="s">
        <v>1</v>
      </c>
      <c r="AE258">
        <v>33</v>
      </c>
      <c r="AF258">
        <v>3</v>
      </c>
      <c r="AH258" t="s">
        <v>5981</v>
      </c>
      <c r="AI258" t="s">
        <v>5980</v>
      </c>
      <c r="AK258" t="s">
        <v>5979</v>
      </c>
      <c r="AL258">
        <v>23</v>
      </c>
      <c r="AM258" s="5">
        <f t="shared" ref="AM258:AM321" si="35">AL258/U258</f>
        <v>0.92</v>
      </c>
      <c r="AN258" s="4">
        <f t="shared" ref="AN258:AN321" si="36">(AM258-$AO$3)/($AO$2-$AO$3)</f>
        <v>1.3934115865202575E-3</v>
      </c>
      <c r="AO258" s="3"/>
      <c r="AP258">
        <v>0</v>
      </c>
      <c r="AQ258" t="s">
        <v>362</v>
      </c>
      <c r="AR258" t="s">
        <v>5978</v>
      </c>
      <c r="AS258" t="s">
        <v>361</v>
      </c>
      <c r="AT258" s="2" t="s">
        <v>5</v>
      </c>
      <c r="AU258" s="1">
        <f t="shared" ref="AU258:AU321" si="37">(Y258*0.7+AN258*0.3)*100</f>
        <v>2.1664119415733443</v>
      </c>
      <c r="AV258" s="1">
        <f t="shared" ref="AV258:AV321" si="38">(Y258*0.5+AN258*0.5)*100</f>
        <v>1.5872488607386821</v>
      </c>
      <c r="AW258" s="1">
        <f t="shared" ref="AW258:AW321" si="39">(Y258*0.3+AN258*0.7)*100</f>
        <v>1.0080857799040195</v>
      </c>
    </row>
    <row r="259" spans="1:49" x14ac:dyDescent="0.2">
      <c r="A259">
        <v>257</v>
      </c>
      <c r="B259" t="s">
        <v>5977</v>
      </c>
      <c r="F259" t="s">
        <v>5976</v>
      </c>
      <c r="G259" t="s">
        <v>4</v>
      </c>
      <c r="H259" t="s">
        <v>3</v>
      </c>
      <c r="I259" t="s">
        <v>5975</v>
      </c>
      <c r="N259">
        <v>1</v>
      </c>
      <c r="O259" t="s">
        <v>5974</v>
      </c>
      <c r="P259">
        <v>8052947500</v>
      </c>
      <c r="R259" s="8">
        <v>35765</v>
      </c>
      <c r="S259" s="9">
        <f t="shared" si="32"/>
        <v>1997</v>
      </c>
      <c r="T259" s="9">
        <v>1997</v>
      </c>
      <c r="U259" s="9">
        <f t="shared" si="33"/>
        <v>25</v>
      </c>
      <c r="V259" s="8">
        <v>1997</v>
      </c>
      <c r="W259" t="s">
        <v>641</v>
      </c>
      <c r="X259" s="2" t="s">
        <v>5</v>
      </c>
      <c r="Y259" s="7" t="e">
        <f t="shared" si="34"/>
        <v>#VALUE!</v>
      </c>
      <c r="AA259">
        <v>1477439</v>
      </c>
      <c r="AB259">
        <v>53559</v>
      </c>
      <c r="AD259" t="s">
        <v>1</v>
      </c>
      <c r="AE259">
        <v>21</v>
      </c>
      <c r="AF259">
        <v>7</v>
      </c>
      <c r="AH259">
        <v>41</v>
      </c>
      <c r="AL259">
        <v>0</v>
      </c>
      <c r="AM259" s="5">
        <f t="shared" si="35"/>
        <v>0</v>
      </c>
      <c r="AN259" s="4">
        <f t="shared" si="36"/>
        <v>0</v>
      </c>
      <c r="AO259" s="3"/>
      <c r="AP259">
        <v>0</v>
      </c>
      <c r="AR259" t="s">
        <v>0</v>
      </c>
      <c r="AT259" s="2" t="s">
        <v>5</v>
      </c>
      <c r="AU259" s="1" t="e">
        <f t="shared" si="37"/>
        <v>#VALUE!</v>
      </c>
      <c r="AV259" s="1" t="e">
        <f t="shared" si="38"/>
        <v>#VALUE!</v>
      </c>
      <c r="AW259" s="1" t="e">
        <f t="shared" si="39"/>
        <v>#VALUE!</v>
      </c>
    </row>
    <row r="260" spans="1:49" x14ac:dyDescent="0.2">
      <c r="A260">
        <v>258</v>
      </c>
      <c r="B260" t="s">
        <v>5973</v>
      </c>
      <c r="C260" t="s">
        <v>5972</v>
      </c>
      <c r="D260" t="s">
        <v>5971</v>
      </c>
      <c r="F260" t="s">
        <v>5970</v>
      </c>
      <c r="G260" t="s">
        <v>4</v>
      </c>
      <c r="H260" t="s">
        <v>3</v>
      </c>
      <c r="I260" t="s">
        <v>5969</v>
      </c>
      <c r="J260">
        <v>100593957</v>
      </c>
      <c r="K260" t="s">
        <v>5968</v>
      </c>
      <c r="L260" t="s">
        <v>1807</v>
      </c>
      <c r="M260" t="s">
        <v>2</v>
      </c>
      <c r="N260">
        <v>1</v>
      </c>
      <c r="O260" t="s">
        <v>5967</v>
      </c>
      <c r="P260">
        <v>7501961597</v>
      </c>
      <c r="Q260">
        <v>100593957</v>
      </c>
      <c r="R260" s="8">
        <v>35765</v>
      </c>
      <c r="S260" s="9">
        <f t="shared" si="32"/>
        <v>1997</v>
      </c>
      <c r="T260" s="9">
        <v>1997</v>
      </c>
      <c r="U260" s="9">
        <f t="shared" si="33"/>
        <v>25</v>
      </c>
      <c r="V260" s="8">
        <v>1997</v>
      </c>
      <c r="W260" t="s">
        <v>392</v>
      </c>
      <c r="X260" s="2">
        <v>1.6519999999999999</v>
      </c>
      <c r="Y260" s="7">
        <f t="shared" si="34"/>
        <v>4.409919649769093E-2</v>
      </c>
      <c r="AA260" t="s">
        <v>391</v>
      </c>
      <c r="AB260">
        <v>17337</v>
      </c>
      <c r="AD260" t="s">
        <v>1</v>
      </c>
      <c r="AE260">
        <v>45</v>
      </c>
      <c r="AF260">
        <v>7</v>
      </c>
      <c r="AH260" t="s">
        <v>5966</v>
      </c>
      <c r="AI260" t="s">
        <v>5965</v>
      </c>
      <c r="AJ260" t="s">
        <v>3886</v>
      </c>
      <c r="AK260" t="s">
        <v>5964</v>
      </c>
      <c r="AL260">
        <v>31</v>
      </c>
      <c r="AM260" s="5">
        <f t="shared" si="35"/>
        <v>1.24</v>
      </c>
      <c r="AN260" s="4">
        <f t="shared" si="36"/>
        <v>1.8780764861794775E-3</v>
      </c>
      <c r="AO260" s="3"/>
      <c r="AP260">
        <v>0</v>
      </c>
      <c r="AR260" t="s">
        <v>4671</v>
      </c>
      <c r="AS260" t="s">
        <v>5963</v>
      </c>
      <c r="AT260" s="2" t="s">
        <v>5</v>
      </c>
      <c r="AU260" s="1">
        <f t="shared" si="37"/>
        <v>3.1432860494237493</v>
      </c>
      <c r="AV260" s="1">
        <f t="shared" si="38"/>
        <v>2.2988636491935206</v>
      </c>
      <c r="AW260" s="1">
        <f t="shared" si="39"/>
        <v>1.4544412489632912</v>
      </c>
    </row>
    <row r="261" spans="1:49" x14ac:dyDescent="0.2">
      <c r="A261">
        <v>259</v>
      </c>
      <c r="B261" t="s">
        <v>5962</v>
      </c>
      <c r="C261" t="s">
        <v>5961</v>
      </c>
      <c r="D261" t="s">
        <v>5960</v>
      </c>
      <c r="F261" t="s">
        <v>5959</v>
      </c>
      <c r="G261" t="s">
        <v>4</v>
      </c>
      <c r="H261" t="s">
        <v>3</v>
      </c>
      <c r="I261" t="s">
        <v>5958</v>
      </c>
      <c r="J261" t="s">
        <v>5957</v>
      </c>
      <c r="K261" t="s">
        <v>5956</v>
      </c>
      <c r="L261" t="s">
        <v>5955</v>
      </c>
      <c r="M261" t="s">
        <v>735</v>
      </c>
      <c r="N261">
        <v>2</v>
      </c>
      <c r="O261" t="s">
        <v>5954</v>
      </c>
      <c r="P261" t="s">
        <v>5953</v>
      </c>
      <c r="Q261" t="s">
        <v>5952</v>
      </c>
      <c r="R261" s="8">
        <v>35765</v>
      </c>
      <c r="S261" s="9">
        <f t="shared" si="32"/>
        <v>1997</v>
      </c>
      <c r="T261" s="9">
        <v>1997</v>
      </c>
      <c r="U261" s="9">
        <f t="shared" si="33"/>
        <v>25</v>
      </c>
      <c r="V261" s="8">
        <v>1997</v>
      </c>
      <c r="W261" t="s">
        <v>1803</v>
      </c>
      <c r="X261" s="2">
        <v>1.6379999999999999</v>
      </c>
      <c r="Y261" s="7">
        <f t="shared" si="34"/>
        <v>4.3725474493473214E-2</v>
      </c>
      <c r="AA261" t="s">
        <v>1802</v>
      </c>
      <c r="AB261">
        <v>17391</v>
      </c>
      <c r="AD261" t="s">
        <v>1</v>
      </c>
      <c r="AE261">
        <v>45</v>
      </c>
      <c r="AF261">
        <v>7</v>
      </c>
      <c r="AH261" t="s">
        <v>5951</v>
      </c>
      <c r="AI261" t="s">
        <v>5950</v>
      </c>
      <c r="AK261" t="s">
        <v>5949</v>
      </c>
      <c r="AL261">
        <v>18</v>
      </c>
      <c r="AM261" s="5">
        <f t="shared" si="35"/>
        <v>0.72</v>
      </c>
      <c r="AN261" s="4">
        <f t="shared" si="36"/>
        <v>1.090496024233245E-3</v>
      </c>
      <c r="AO261" s="3"/>
      <c r="AP261">
        <v>0</v>
      </c>
      <c r="AR261" t="s">
        <v>0</v>
      </c>
      <c r="AT261" s="2">
        <v>4.931</v>
      </c>
      <c r="AU261" s="1">
        <f t="shared" si="37"/>
        <v>3.0934980952701219</v>
      </c>
      <c r="AV261" s="1">
        <f t="shared" si="38"/>
        <v>2.2407985258853227</v>
      </c>
      <c r="AW261" s="1">
        <f t="shared" si="39"/>
        <v>1.3880989565005235</v>
      </c>
    </row>
    <row r="262" spans="1:49" x14ac:dyDescent="0.2">
      <c r="A262">
        <v>260</v>
      </c>
      <c r="B262" t="s">
        <v>5948</v>
      </c>
      <c r="C262" t="s">
        <v>5947</v>
      </c>
      <c r="D262" t="s">
        <v>5946</v>
      </c>
      <c r="F262" t="s">
        <v>5945</v>
      </c>
      <c r="G262" t="s">
        <v>4</v>
      </c>
      <c r="H262" t="s">
        <v>3</v>
      </c>
      <c r="I262" t="s">
        <v>193</v>
      </c>
      <c r="J262">
        <v>60005244</v>
      </c>
      <c r="K262" t="s">
        <v>192</v>
      </c>
      <c r="L262" t="s">
        <v>191</v>
      </c>
      <c r="M262" t="s">
        <v>190</v>
      </c>
      <c r="N262">
        <v>1</v>
      </c>
      <c r="O262" t="s">
        <v>5944</v>
      </c>
      <c r="P262">
        <v>57203810277</v>
      </c>
      <c r="Q262">
        <v>60005244</v>
      </c>
      <c r="R262" s="8">
        <v>35765</v>
      </c>
      <c r="S262" s="9">
        <f t="shared" si="32"/>
        <v>1997</v>
      </c>
      <c r="T262" s="9">
        <v>1997</v>
      </c>
      <c r="U262" s="9">
        <f t="shared" si="33"/>
        <v>25</v>
      </c>
      <c r="V262" s="8">
        <v>1997</v>
      </c>
      <c r="W262" t="s">
        <v>392</v>
      </c>
      <c r="X262" s="2">
        <v>1.6519999999999999</v>
      </c>
      <c r="Y262" s="7">
        <f t="shared" si="34"/>
        <v>4.409919649769093E-2</v>
      </c>
      <c r="AA262" t="s">
        <v>391</v>
      </c>
      <c r="AB262">
        <v>17337</v>
      </c>
      <c r="AD262" t="s">
        <v>1</v>
      </c>
      <c r="AE262">
        <v>45</v>
      </c>
      <c r="AF262">
        <v>7</v>
      </c>
      <c r="AH262" t="s">
        <v>5943</v>
      </c>
      <c r="AI262" t="s">
        <v>5942</v>
      </c>
      <c r="AJ262" t="s">
        <v>224</v>
      </c>
      <c r="AK262" t="s">
        <v>5941</v>
      </c>
      <c r="AL262">
        <v>5</v>
      </c>
      <c r="AM262" s="5">
        <f t="shared" si="35"/>
        <v>0.2</v>
      </c>
      <c r="AN262" s="4">
        <f t="shared" si="36"/>
        <v>3.0291556228701253E-4</v>
      </c>
      <c r="AO262" s="3"/>
      <c r="AP262">
        <v>0</v>
      </c>
      <c r="AR262" t="s">
        <v>0</v>
      </c>
      <c r="AT262" s="2" t="s">
        <v>5</v>
      </c>
      <c r="AU262" s="1">
        <f t="shared" si="37"/>
        <v>3.0960312217069754</v>
      </c>
      <c r="AV262" s="1">
        <f t="shared" si="38"/>
        <v>2.2201056029988968</v>
      </c>
      <c r="AW262" s="1">
        <f t="shared" si="39"/>
        <v>1.3441799842908186</v>
      </c>
    </row>
    <row r="263" spans="1:49" x14ac:dyDescent="0.2">
      <c r="A263">
        <v>261</v>
      </c>
      <c r="B263" t="s">
        <v>5940</v>
      </c>
      <c r="C263" t="s">
        <v>5939</v>
      </c>
      <c r="F263" t="s">
        <v>5938</v>
      </c>
      <c r="G263" t="s">
        <v>4</v>
      </c>
      <c r="H263" t="s">
        <v>3</v>
      </c>
      <c r="I263" t="s">
        <v>5937</v>
      </c>
      <c r="J263" t="s">
        <v>5936</v>
      </c>
      <c r="K263" t="s">
        <v>5935</v>
      </c>
      <c r="L263" t="s">
        <v>5934</v>
      </c>
      <c r="M263" t="s">
        <v>5933</v>
      </c>
      <c r="N263">
        <v>3</v>
      </c>
      <c r="O263" t="s">
        <v>5932</v>
      </c>
      <c r="P263" t="s">
        <v>5931</v>
      </c>
      <c r="Q263" t="s">
        <v>5930</v>
      </c>
      <c r="R263" s="8">
        <v>35765</v>
      </c>
      <c r="S263" s="9">
        <f t="shared" si="32"/>
        <v>1997</v>
      </c>
      <c r="T263" s="9">
        <v>1997</v>
      </c>
      <c r="U263" s="9">
        <f t="shared" si="33"/>
        <v>25</v>
      </c>
      <c r="V263" s="8">
        <v>1997</v>
      </c>
      <c r="W263" t="s">
        <v>3745</v>
      </c>
      <c r="X263" s="2">
        <v>1.137</v>
      </c>
      <c r="Y263" s="7">
        <f t="shared" si="34"/>
        <v>3.0351565628253384E-2</v>
      </c>
      <c r="AA263">
        <v>189251</v>
      </c>
      <c r="AB263">
        <v>17336</v>
      </c>
      <c r="AD263" t="s">
        <v>1</v>
      </c>
      <c r="AE263">
        <v>33</v>
      </c>
      <c r="AF263">
        <v>3</v>
      </c>
      <c r="AH263" t="s">
        <v>5929</v>
      </c>
      <c r="AI263" t="s">
        <v>5928</v>
      </c>
      <c r="AK263" t="s">
        <v>5927</v>
      </c>
      <c r="AL263">
        <v>4</v>
      </c>
      <c r="AM263" s="5">
        <f t="shared" si="35"/>
        <v>0.16</v>
      </c>
      <c r="AN263" s="4">
        <f t="shared" si="36"/>
        <v>2.4233244982961E-4</v>
      </c>
      <c r="AO263" s="3"/>
      <c r="AP263">
        <v>0</v>
      </c>
      <c r="AR263" t="s">
        <v>5926</v>
      </c>
      <c r="AT263" s="2" t="s">
        <v>5</v>
      </c>
      <c r="AU263" s="1">
        <f t="shared" si="37"/>
        <v>2.131879567472625</v>
      </c>
      <c r="AV263" s="1">
        <f t="shared" si="38"/>
        <v>1.5296949039041496</v>
      </c>
      <c r="AW263" s="1">
        <f t="shared" si="39"/>
        <v>0.9275102403356742</v>
      </c>
    </row>
    <row r="264" spans="1:49" x14ac:dyDescent="0.2">
      <c r="A264">
        <v>262</v>
      </c>
      <c r="B264" t="s">
        <v>5925</v>
      </c>
      <c r="C264" t="s">
        <v>5924</v>
      </c>
      <c r="F264" t="s">
        <v>5923</v>
      </c>
      <c r="G264" t="s">
        <v>4</v>
      </c>
      <c r="H264" t="s">
        <v>3</v>
      </c>
      <c r="I264" t="s">
        <v>5922</v>
      </c>
      <c r="J264">
        <v>60027271</v>
      </c>
      <c r="K264" t="s">
        <v>321</v>
      </c>
      <c r="L264" t="s">
        <v>94</v>
      </c>
      <c r="M264" t="s">
        <v>2</v>
      </c>
      <c r="N264">
        <v>2</v>
      </c>
      <c r="O264" t="s">
        <v>5921</v>
      </c>
      <c r="P264" t="s">
        <v>5920</v>
      </c>
      <c r="Q264" t="s">
        <v>5919</v>
      </c>
      <c r="R264" s="8">
        <v>35765</v>
      </c>
      <c r="S264" s="9">
        <f t="shared" si="32"/>
        <v>1997</v>
      </c>
      <c r="T264" s="9">
        <v>1997</v>
      </c>
      <c r="U264" s="9">
        <f t="shared" si="33"/>
        <v>25</v>
      </c>
      <c r="V264" s="8">
        <v>1997</v>
      </c>
      <c r="W264" t="s">
        <v>3745</v>
      </c>
      <c r="X264" s="2">
        <v>1.137</v>
      </c>
      <c r="Y264" s="7">
        <f t="shared" si="34"/>
        <v>3.0351565628253384E-2</v>
      </c>
      <c r="AA264">
        <v>189251</v>
      </c>
      <c r="AB264">
        <v>17336</v>
      </c>
      <c r="AD264" t="s">
        <v>1</v>
      </c>
      <c r="AE264">
        <v>33</v>
      </c>
      <c r="AF264">
        <v>3</v>
      </c>
      <c r="AH264" t="s">
        <v>5918</v>
      </c>
      <c r="AI264" t="s">
        <v>5917</v>
      </c>
      <c r="AK264" t="s">
        <v>5916</v>
      </c>
      <c r="AL264">
        <v>7</v>
      </c>
      <c r="AM264" s="5">
        <f t="shared" si="35"/>
        <v>0.28000000000000003</v>
      </c>
      <c r="AN264" s="4">
        <f t="shared" si="36"/>
        <v>4.2408178720181755E-4</v>
      </c>
      <c r="AO264" s="3"/>
      <c r="AP264">
        <v>0</v>
      </c>
      <c r="AR264" t="s">
        <v>0</v>
      </c>
      <c r="AT264" s="2" t="s">
        <v>5</v>
      </c>
      <c r="AU264" s="1">
        <f t="shared" si="37"/>
        <v>2.1373320475937914</v>
      </c>
      <c r="AV264" s="1">
        <f t="shared" si="38"/>
        <v>1.5387823707727601</v>
      </c>
      <c r="AW264" s="1">
        <f t="shared" si="39"/>
        <v>0.94023269395172882</v>
      </c>
    </row>
    <row r="265" spans="1:49" x14ac:dyDescent="0.2">
      <c r="A265">
        <v>263</v>
      </c>
      <c r="B265" t="s">
        <v>5915</v>
      </c>
      <c r="F265" t="s">
        <v>5914</v>
      </c>
      <c r="G265" t="s">
        <v>4</v>
      </c>
      <c r="H265" t="s">
        <v>3</v>
      </c>
      <c r="I265" t="s">
        <v>5913</v>
      </c>
      <c r="J265">
        <v>60020661</v>
      </c>
      <c r="K265" t="s">
        <v>5912</v>
      </c>
      <c r="L265" t="s">
        <v>5911</v>
      </c>
      <c r="M265" t="s">
        <v>8</v>
      </c>
      <c r="N265">
        <v>5</v>
      </c>
      <c r="O265" t="s">
        <v>5910</v>
      </c>
      <c r="P265" t="s">
        <v>5909</v>
      </c>
      <c r="Q265" t="s">
        <v>5908</v>
      </c>
      <c r="R265" s="8">
        <v>35765</v>
      </c>
      <c r="S265" s="9">
        <f t="shared" si="32"/>
        <v>1997</v>
      </c>
      <c r="T265" s="9">
        <v>1997</v>
      </c>
      <c r="U265" s="9">
        <f t="shared" si="33"/>
        <v>25</v>
      </c>
      <c r="V265" s="8">
        <v>1997</v>
      </c>
      <c r="W265" t="s">
        <v>5907</v>
      </c>
      <c r="X265" s="2">
        <v>0.251</v>
      </c>
      <c r="Y265" s="7">
        <f t="shared" si="34"/>
        <v>6.7003016470462617E-3</v>
      </c>
      <c r="AA265">
        <v>13542575</v>
      </c>
      <c r="AB265">
        <v>21069</v>
      </c>
      <c r="AD265" t="s">
        <v>1</v>
      </c>
      <c r="AE265">
        <v>39</v>
      </c>
      <c r="AF265">
        <v>7</v>
      </c>
      <c r="AH265" t="s">
        <v>5906</v>
      </c>
      <c r="AI265" t="s">
        <v>5905</v>
      </c>
      <c r="AK265" t="s">
        <v>5904</v>
      </c>
      <c r="AL265">
        <v>10</v>
      </c>
      <c r="AM265" s="5">
        <f t="shared" si="35"/>
        <v>0.4</v>
      </c>
      <c r="AN265" s="4">
        <f t="shared" si="36"/>
        <v>6.0583112457402507E-4</v>
      </c>
      <c r="AO265" s="3"/>
      <c r="AP265">
        <v>0</v>
      </c>
      <c r="AR265" t="s">
        <v>0</v>
      </c>
      <c r="AT265" s="2" t="s">
        <v>5</v>
      </c>
      <c r="AU265" s="1">
        <f t="shared" si="37"/>
        <v>0.48719604903045899</v>
      </c>
      <c r="AV265" s="1">
        <f t="shared" si="38"/>
        <v>0.36530663858101431</v>
      </c>
      <c r="AW265" s="1">
        <f t="shared" si="39"/>
        <v>0.24341722813156957</v>
      </c>
    </row>
    <row r="266" spans="1:49" x14ac:dyDescent="0.2">
      <c r="A266">
        <v>264</v>
      </c>
      <c r="B266" t="s">
        <v>5903</v>
      </c>
      <c r="C266" t="s">
        <v>5902</v>
      </c>
      <c r="D266" t="s">
        <v>5901</v>
      </c>
      <c r="F266" t="s">
        <v>5900</v>
      </c>
      <c r="G266" t="s">
        <v>4</v>
      </c>
      <c r="H266" t="s">
        <v>3</v>
      </c>
      <c r="I266" t="s">
        <v>5899</v>
      </c>
      <c r="J266">
        <v>60025778</v>
      </c>
      <c r="K266" t="s">
        <v>636</v>
      </c>
      <c r="L266" t="s">
        <v>635</v>
      </c>
      <c r="M266" t="s">
        <v>2</v>
      </c>
      <c r="N266">
        <v>1</v>
      </c>
      <c r="O266" t="s">
        <v>5898</v>
      </c>
      <c r="P266">
        <v>57216599376</v>
      </c>
      <c r="Q266">
        <v>60025778</v>
      </c>
      <c r="R266" s="8">
        <v>35765</v>
      </c>
      <c r="S266" s="9">
        <f t="shared" si="32"/>
        <v>1997</v>
      </c>
      <c r="T266" s="9">
        <v>1997</v>
      </c>
      <c r="U266" s="9">
        <f t="shared" si="33"/>
        <v>25</v>
      </c>
      <c r="V266" s="8">
        <v>1997</v>
      </c>
      <c r="W266" t="s">
        <v>5897</v>
      </c>
      <c r="X266" s="2">
        <v>0.82799999999999996</v>
      </c>
      <c r="Y266" s="7">
        <f t="shared" si="34"/>
        <v>2.2102987106590855E-2</v>
      </c>
      <c r="AA266">
        <v>189383</v>
      </c>
      <c r="AB266">
        <v>26052</v>
      </c>
      <c r="AD266" t="s">
        <v>1</v>
      </c>
      <c r="AE266">
        <v>44</v>
      </c>
      <c r="AF266">
        <v>7</v>
      </c>
      <c r="AH266" t="s">
        <v>5896</v>
      </c>
      <c r="AI266" t="s">
        <v>5895</v>
      </c>
      <c r="AK266" t="s">
        <v>5894</v>
      </c>
      <c r="AL266">
        <v>16</v>
      </c>
      <c r="AM266" s="5">
        <f t="shared" si="35"/>
        <v>0.64</v>
      </c>
      <c r="AN266" s="4">
        <f t="shared" si="36"/>
        <v>9.6932979931844E-4</v>
      </c>
      <c r="AO266" s="3"/>
      <c r="AP266">
        <v>0</v>
      </c>
      <c r="AQ266" t="s">
        <v>312</v>
      </c>
      <c r="AR266" t="s">
        <v>5893</v>
      </c>
      <c r="AS266" t="s">
        <v>311</v>
      </c>
      <c r="AT266" s="2">
        <v>2.9169999999999998</v>
      </c>
      <c r="AU266" s="1">
        <f t="shared" si="37"/>
        <v>1.5762889914409131</v>
      </c>
      <c r="AV266" s="1">
        <f t="shared" si="38"/>
        <v>1.1536158452954648</v>
      </c>
      <c r="AW266" s="1">
        <f t="shared" si="39"/>
        <v>0.73094269915001642</v>
      </c>
    </row>
    <row r="267" spans="1:49" x14ac:dyDescent="0.2">
      <c r="A267">
        <v>265</v>
      </c>
      <c r="B267" t="s">
        <v>5892</v>
      </c>
      <c r="F267" t="s">
        <v>5891</v>
      </c>
      <c r="G267" t="s">
        <v>4</v>
      </c>
      <c r="H267" t="s">
        <v>3</v>
      </c>
      <c r="I267" t="s">
        <v>5890</v>
      </c>
      <c r="J267" t="s">
        <v>5889</v>
      </c>
      <c r="K267" t="s">
        <v>5888</v>
      </c>
      <c r="L267" t="s">
        <v>5887</v>
      </c>
      <c r="M267" t="s">
        <v>309</v>
      </c>
      <c r="N267">
        <v>10</v>
      </c>
      <c r="O267" t="s">
        <v>5886</v>
      </c>
      <c r="P267" t="s">
        <v>5885</v>
      </c>
      <c r="Q267" t="s">
        <v>5884</v>
      </c>
      <c r="R267" s="8">
        <v>35765</v>
      </c>
      <c r="S267" s="9">
        <f t="shared" si="32"/>
        <v>1997</v>
      </c>
      <c r="T267" s="9">
        <v>1997</v>
      </c>
      <c r="U267" s="9">
        <f t="shared" si="33"/>
        <v>25</v>
      </c>
      <c r="V267" s="8">
        <v>1997</v>
      </c>
      <c r="W267" t="s">
        <v>5883</v>
      </c>
      <c r="X267" s="2">
        <v>0.52600000000000002</v>
      </c>
      <c r="Y267" s="7">
        <f t="shared" si="34"/>
        <v>1.4041269587037187E-2</v>
      </c>
      <c r="AA267">
        <v>10010521</v>
      </c>
      <c r="AB267">
        <v>27919</v>
      </c>
      <c r="AD267" t="s">
        <v>1</v>
      </c>
      <c r="AE267">
        <v>16</v>
      </c>
      <c r="AF267">
        <v>3</v>
      </c>
      <c r="AH267" t="s">
        <v>5882</v>
      </c>
      <c r="AI267" t="s">
        <v>5881</v>
      </c>
      <c r="AJ267" t="s">
        <v>5880</v>
      </c>
      <c r="AK267" t="s">
        <v>5879</v>
      </c>
      <c r="AL267">
        <v>0</v>
      </c>
      <c r="AM267" s="5">
        <f t="shared" si="35"/>
        <v>0</v>
      </c>
      <c r="AN267" s="4">
        <f t="shared" si="36"/>
        <v>0</v>
      </c>
      <c r="AO267" s="3"/>
      <c r="AP267">
        <v>0</v>
      </c>
      <c r="AR267" t="s">
        <v>0</v>
      </c>
      <c r="AT267" s="2">
        <v>4.0030000000000001</v>
      </c>
      <c r="AU267" s="1">
        <f t="shared" si="37"/>
        <v>0.98288887109260303</v>
      </c>
      <c r="AV267" s="1">
        <f t="shared" si="38"/>
        <v>0.70206347935185931</v>
      </c>
      <c r="AW267" s="1">
        <f t="shared" si="39"/>
        <v>0.42123808761111559</v>
      </c>
    </row>
    <row r="268" spans="1:49" x14ac:dyDescent="0.2">
      <c r="A268">
        <v>266</v>
      </c>
      <c r="B268" t="s">
        <v>5878</v>
      </c>
      <c r="C268" t="s">
        <v>5877</v>
      </c>
      <c r="D268" t="s">
        <v>5876</v>
      </c>
      <c r="F268" t="s">
        <v>5875</v>
      </c>
      <c r="G268" t="s">
        <v>4</v>
      </c>
      <c r="H268" t="s">
        <v>3</v>
      </c>
      <c r="I268" t="s">
        <v>371</v>
      </c>
      <c r="J268">
        <v>60001881</v>
      </c>
      <c r="K268" t="s">
        <v>23</v>
      </c>
      <c r="L268" t="s">
        <v>22</v>
      </c>
      <c r="M268" t="s">
        <v>8</v>
      </c>
      <c r="N268">
        <v>2</v>
      </c>
      <c r="O268" t="s">
        <v>5874</v>
      </c>
      <c r="P268" t="s">
        <v>5873</v>
      </c>
      <c r="Q268" t="s">
        <v>19</v>
      </c>
      <c r="R268" s="8">
        <v>35765</v>
      </c>
      <c r="S268" s="9">
        <f t="shared" si="32"/>
        <v>1997</v>
      </c>
      <c r="T268" s="9">
        <v>1997</v>
      </c>
      <c r="U268" s="9">
        <f t="shared" si="33"/>
        <v>25</v>
      </c>
      <c r="V268" s="8">
        <v>1997</v>
      </c>
      <c r="W268" t="s">
        <v>392</v>
      </c>
      <c r="X268" s="2">
        <v>1.6519999999999999</v>
      </c>
      <c r="Y268" s="7">
        <f t="shared" si="34"/>
        <v>4.409919649769093E-2</v>
      </c>
      <c r="AA268" t="s">
        <v>391</v>
      </c>
      <c r="AB268">
        <v>17337</v>
      </c>
      <c r="AD268" t="s">
        <v>1</v>
      </c>
      <c r="AE268">
        <v>45</v>
      </c>
      <c r="AF268">
        <v>6</v>
      </c>
      <c r="AH268" t="s">
        <v>5872</v>
      </c>
      <c r="AI268" t="s">
        <v>5871</v>
      </c>
      <c r="AJ268" t="s">
        <v>5870</v>
      </c>
      <c r="AK268" t="s">
        <v>5869</v>
      </c>
      <c r="AL268">
        <v>28</v>
      </c>
      <c r="AM268" s="5">
        <f t="shared" si="35"/>
        <v>1.1200000000000001</v>
      </c>
      <c r="AN268" s="4">
        <f t="shared" si="36"/>
        <v>1.6963271488072702E-3</v>
      </c>
      <c r="AO268" s="3"/>
      <c r="AP268">
        <v>0</v>
      </c>
      <c r="AR268" t="s">
        <v>0</v>
      </c>
      <c r="AT268" s="2" t="s">
        <v>5</v>
      </c>
      <c r="AU268" s="1">
        <f t="shared" si="37"/>
        <v>3.1378335693025829</v>
      </c>
      <c r="AV268" s="1">
        <f t="shared" si="38"/>
        <v>2.2897761823249101</v>
      </c>
      <c r="AW268" s="1">
        <f t="shared" si="39"/>
        <v>1.4417187953472366</v>
      </c>
    </row>
    <row r="269" spans="1:49" x14ac:dyDescent="0.2">
      <c r="A269">
        <v>267</v>
      </c>
      <c r="B269" t="s">
        <v>5868</v>
      </c>
      <c r="C269" t="s">
        <v>5867</v>
      </c>
      <c r="D269" t="s">
        <v>5866</v>
      </c>
      <c r="F269" t="s">
        <v>5865</v>
      </c>
      <c r="G269" t="s">
        <v>4</v>
      </c>
      <c r="H269" t="s">
        <v>3</v>
      </c>
      <c r="I269" t="s">
        <v>5864</v>
      </c>
      <c r="J269">
        <v>60017293</v>
      </c>
      <c r="K269" t="s">
        <v>5863</v>
      </c>
      <c r="L269" t="s">
        <v>5862</v>
      </c>
      <c r="M269" t="s">
        <v>116</v>
      </c>
      <c r="N269">
        <v>3</v>
      </c>
      <c r="O269" t="s">
        <v>5861</v>
      </c>
      <c r="P269" t="s">
        <v>5860</v>
      </c>
      <c r="Q269" t="s">
        <v>5859</v>
      </c>
      <c r="R269" s="8">
        <v>35765</v>
      </c>
      <c r="S269" s="9">
        <f t="shared" si="32"/>
        <v>1997</v>
      </c>
      <c r="T269" s="9">
        <v>1997</v>
      </c>
      <c r="U269" s="9">
        <f t="shared" si="33"/>
        <v>25</v>
      </c>
      <c r="V269" s="8">
        <v>1997</v>
      </c>
      <c r="W269" t="s">
        <v>392</v>
      </c>
      <c r="X269" s="2">
        <v>1.6519999999999999</v>
      </c>
      <c r="Y269" s="7">
        <f t="shared" si="34"/>
        <v>4.409919649769093E-2</v>
      </c>
      <c r="AA269" t="s">
        <v>391</v>
      </c>
      <c r="AB269">
        <v>17337</v>
      </c>
      <c r="AD269" t="s">
        <v>1</v>
      </c>
      <c r="AE269">
        <v>45</v>
      </c>
      <c r="AF269">
        <v>6</v>
      </c>
      <c r="AH269" t="s">
        <v>5858</v>
      </c>
      <c r="AI269" t="s">
        <v>5857</v>
      </c>
      <c r="AJ269" t="s">
        <v>5856</v>
      </c>
      <c r="AK269" t="s">
        <v>5855</v>
      </c>
      <c r="AL269">
        <v>14</v>
      </c>
      <c r="AM269" s="5">
        <f t="shared" si="35"/>
        <v>0.56000000000000005</v>
      </c>
      <c r="AN269" s="4">
        <f t="shared" si="36"/>
        <v>8.4816357440363509E-4</v>
      </c>
      <c r="AO269" s="3"/>
      <c r="AP269">
        <v>0</v>
      </c>
      <c r="AR269" t="s">
        <v>0</v>
      </c>
      <c r="AT269" s="2" t="s">
        <v>5</v>
      </c>
      <c r="AU269" s="1">
        <f t="shared" si="37"/>
        <v>3.1123886620704742</v>
      </c>
      <c r="AV269" s="1">
        <f t="shared" si="38"/>
        <v>2.2473680036047283</v>
      </c>
      <c r="AW269" s="1">
        <f t="shared" si="39"/>
        <v>1.3823473451389823</v>
      </c>
    </row>
    <row r="270" spans="1:49" x14ac:dyDescent="0.2">
      <c r="A270">
        <v>268</v>
      </c>
      <c r="B270" t="s">
        <v>5854</v>
      </c>
      <c r="C270" t="s">
        <v>5853</v>
      </c>
      <c r="D270" t="s">
        <v>5852</v>
      </c>
      <c r="F270" t="s">
        <v>5851</v>
      </c>
      <c r="G270" t="s">
        <v>4</v>
      </c>
      <c r="H270" t="s">
        <v>3</v>
      </c>
      <c r="I270" t="s">
        <v>5850</v>
      </c>
      <c r="J270">
        <v>60108318</v>
      </c>
      <c r="K270" t="s">
        <v>832</v>
      </c>
      <c r="L270" t="s">
        <v>458</v>
      </c>
      <c r="M270" t="s">
        <v>2</v>
      </c>
      <c r="N270">
        <v>2</v>
      </c>
      <c r="O270" t="s">
        <v>5849</v>
      </c>
      <c r="P270" t="s">
        <v>5848</v>
      </c>
      <c r="Q270" t="s">
        <v>5729</v>
      </c>
      <c r="R270" s="8">
        <v>35765</v>
      </c>
      <c r="S270" s="9">
        <f t="shared" si="32"/>
        <v>1997</v>
      </c>
      <c r="T270" s="9">
        <v>1997</v>
      </c>
      <c r="U270" s="9">
        <f t="shared" si="33"/>
        <v>25</v>
      </c>
      <c r="V270" s="8">
        <v>1997</v>
      </c>
      <c r="W270" t="s">
        <v>392</v>
      </c>
      <c r="X270" s="2">
        <v>1.6519999999999999</v>
      </c>
      <c r="Y270" s="7">
        <f t="shared" si="34"/>
        <v>4.409919649769093E-2</v>
      </c>
      <c r="AA270" t="s">
        <v>391</v>
      </c>
      <c r="AB270">
        <v>17337</v>
      </c>
      <c r="AD270" t="s">
        <v>1</v>
      </c>
      <c r="AE270">
        <v>45</v>
      </c>
      <c r="AF270">
        <v>6</v>
      </c>
      <c r="AH270" t="s">
        <v>5847</v>
      </c>
      <c r="AI270" t="s">
        <v>5846</v>
      </c>
      <c r="AJ270" t="s">
        <v>5726</v>
      </c>
      <c r="AK270" t="s">
        <v>5845</v>
      </c>
      <c r="AL270">
        <v>2</v>
      </c>
      <c r="AM270" s="5">
        <f t="shared" si="35"/>
        <v>0.08</v>
      </c>
      <c r="AN270" s="4">
        <f t="shared" si="36"/>
        <v>1.21166224914805E-4</v>
      </c>
      <c r="AO270" s="3"/>
      <c r="AP270">
        <v>0</v>
      </c>
      <c r="AQ270" t="s">
        <v>598</v>
      </c>
      <c r="AR270" t="s">
        <v>5724</v>
      </c>
      <c r="AS270" t="s">
        <v>597</v>
      </c>
      <c r="AT270" s="2" t="s">
        <v>5</v>
      </c>
      <c r="AU270" s="1">
        <f t="shared" si="37"/>
        <v>3.090578741585809</v>
      </c>
      <c r="AV270" s="1">
        <f t="shared" si="38"/>
        <v>2.2110181361302867</v>
      </c>
      <c r="AW270" s="1">
        <f t="shared" si="39"/>
        <v>1.3314575306747642</v>
      </c>
    </row>
    <row r="271" spans="1:49" x14ac:dyDescent="0.2">
      <c r="A271">
        <v>269</v>
      </c>
      <c r="B271" t="s">
        <v>5844</v>
      </c>
      <c r="C271" t="s">
        <v>5843</v>
      </c>
      <c r="D271" t="s">
        <v>5842</v>
      </c>
      <c r="F271" t="s">
        <v>5841</v>
      </c>
      <c r="G271" t="s">
        <v>4</v>
      </c>
      <c r="H271" t="s">
        <v>3</v>
      </c>
      <c r="I271" t="s">
        <v>4061</v>
      </c>
      <c r="J271">
        <v>60014982</v>
      </c>
      <c r="K271" t="s">
        <v>717</v>
      </c>
      <c r="L271" t="s">
        <v>716</v>
      </c>
      <c r="M271" t="s">
        <v>250</v>
      </c>
      <c r="N271">
        <v>2</v>
      </c>
      <c r="O271" t="s">
        <v>5840</v>
      </c>
      <c r="P271" t="s">
        <v>5839</v>
      </c>
      <c r="Q271" t="s">
        <v>715</v>
      </c>
      <c r="R271" s="8">
        <v>35765</v>
      </c>
      <c r="S271" s="9">
        <f t="shared" si="32"/>
        <v>1997</v>
      </c>
      <c r="T271" s="9">
        <v>1997</v>
      </c>
      <c r="U271" s="9">
        <f t="shared" si="33"/>
        <v>25</v>
      </c>
      <c r="V271" s="8">
        <v>1997</v>
      </c>
      <c r="W271" t="s">
        <v>4702</v>
      </c>
      <c r="X271" s="2">
        <v>0.78200000000000003</v>
      </c>
      <c r="Y271" s="7">
        <f t="shared" si="34"/>
        <v>2.0875043378446919E-2</v>
      </c>
      <c r="AA271">
        <v>189316</v>
      </c>
      <c r="AB271">
        <v>19901</v>
      </c>
      <c r="AD271" t="s">
        <v>1</v>
      </c>
      <c r="AE271">
        <v>43</v>
      </c>
      <c r="AF271">
        <v>2</v>
      </c>
      <c r="AH271" t="s">
        <v>5838</v>
      </c>
      <c r="AI271" t="s">
        <v>5837</v>
      </c>
      <c r="AK271" t="s">
        <v>5836</v>
      </c>
      <c r="AL271">
        <v>1</v>
      </c>
      <c r="AM271" s="5">
        <f t="shared" si="35"/>
        <v>0.04</v>
      </c>
      <c r="AN271" s="4">
        <f t="shared" si="36"/>
        <v>6.05831124574025E-5</v>
      </c>
      <c r="AO271" s="3"/>
      <c r="AP271">
        <v>0</v>
      </c>
      <c r="AQ271" t="s">
        <v>362</v>
      </c>
      <c r="AR271" t="s">
        <v>5835</v>
      </c>
      <c r="AS271" t="s">
        <v>361</v>
      </c>
      <c r="AT271" s="2">
        <v>3.863</v>
      </c>
      <c r="AU271" s="1">
        <f t="shared" si="37"/>
        <v>1.4630705298650062</v>
      </c>
      <c r="AV271" s="1">
        <f t="shared" si="38"/>
        <v>1.0467813245452162</v>
      </c>
      <c r="AW271" s="1">
        <f t="shared" si="39"/>
        <v>0.6304921192254257</v>
      </c>
    </row>
    <row r="272" spans="1:49" x14ac:dyDescent="0.2">
      <c r="A272">
        <v>270</v>
      </c>
      <c r="B272" t="s">
        <v>5834</v>
      </c>
      <c r="C272" t="s">
        <v>5833</v>
      </c>
      <c r="D272" t="s">
        <v>5832</v>
      </c>
      <c r="F272" t="s">
        <v>5831</v>
      </c>
      <c r="G272" t="s">
        <v>4</v>
      </c>
      <c r="H272" t="s">
        <v>3</v>
      </c>
      <c r="I272" t="s">
        <v>5830</v>
      </c>
      <c r="J272">
        <v>60022225</v>
      </c>
      <c r="K272" t="s">
        <v>5829</v>
      </c>
      <c r="L272" t="s">
        <v>5828</v>
      </c>
      <c r="M272" t="s">
        <v>2</v>
      </c>
      <c r="N272">
        <v>1</v>
      </c>
      <c r="O272" t="s">
        <v>5827</v>
      </c>
      <c r="P272">
        <v>7102186231</v>
      </c>
      <c r="Q272">
        <v>60022225</v>
      </c>
      <c r="R272" s="8">
        <v>35765</v>
      </c>
      <c r="S272" s="9">
        <f t="shared" si="32"/>
        <v>1997</v>
      </c>
      <c r="T272" s="9">
        <v>1997</v>
      </c>
      <c r="U272" s="9">
        <f t="shared" si="33"/>
        <v>25</v>
      </c>
      <c r="V272" s="8">
        <v>1997</v>
      </c>
      <c r="W272" t="s">
        <v>392</v>
      </c>
      <c r="X272" s="2">
        <v>1.6519999999999999</v>
      </c>
      <c r="Y272" s="7">
        <f t="shared" si="34"/>
        <v>4.409919649769093E-2</v>
      </c>
      <c r="AA272" t="s">
        <v>391</v>
      </c>
      <c r="AB272">
        <v>17337</v>
      </c>
      <c r="AD272" t="s">
        <v>1</v>
      </c>
      <c r="AE272">
        <v>45</v>
      </c>
      <c r="AF272">
        <v>6</v>
      </c>
      <c r="AH272" t="s">
        <v>5826</v>
      </c>
      <c r="AI272" t="s">
        <v>5825</v>
      </c>
      <c r="AJ272" t="s">
        <v>5824</v>
      </c>
      <c r="AK272" t="s">
        <v>5823</v>
      </c>
      <c r="AL272">
        <v>312</v>
      </c>
      <c r="AM272" s="5">
        <f t="shared" si="35"/>
        <v>12.48</v>
      </c>
      <c r="AN272" s="4">
        <f t="shared" si="36"/>
        <v>1.8901931086709581E-2</v>
      </c>
      <c r="AO272" s="3"/>
      <c r="AP272">
        <v>0</v>
      </c>
      <c r="AR272" t="s">
        <v>0</v>
      </c>
      <c r="AT272" s="2" t="s">
        <v>5</v>
      </c>
      <c r="AU272" s="1">
        <f t="shared" si="37"/>
        <v>3.6540016874396524</v>
      </c>
      <c r="AV272" s="1">
        <f t="shared" si="38"/>
        <v>3.1500563792200258</v>
      </c>
      <c r="AW272" s="1">
        <f t="shared" si="39"/>
        <v>2.6461110710003983</v>
      </c>
    </row>
    <row r="273" spans="1:49" x14ac:dyDescent="0.2">
      <c r="A273">
        <v>271</v>
      </c>
      <c r="B273" t="s">
        <v>5822</v>
      </c>
      <c r="C273" t="s">
        <v>5821</v>
      </c>
      <c r="F273" t="s">
        <v>5820</v>
      </c>
      <c r="G273" t="s">
        <v>4</v>
      </c>
      <c r="H273" t="s">
        <v>3</v>
      </c>
      <c r="I273" t="s">
        <v>5819</v>
      </c>
      <c r="J273">
        <v>60027271</v>
      </c>
      <c r="K273" t="s">
        <v>321</v>
      </c>
      <c r="L273" t="s">
        <v>94</v>
      </c>
      <c r="M273" t="s">
        <v>2</v>
      </c>
      <c r="N273">
        <v>3</v>
      </c>
      <c r="O273" t="s">
        <v>5818</v>
      </c>
      <c r="P273" t="s">
        <v>5817</v>
      </c>
      <c r="Q273" t="s">
        <v>320</v>
      </c>
      <c r="R273" s="8">
        <v>35765</v>
      </c>
      <c r="S273" s="9">
        <f t="shared" si="32"/>
        <v>1997</v>
      </c>
      <c r="T273" s="9">
        <v>1997</v>
      </c>
      <c r="U273" s="9">
        <f t="shared" si="33"/>
        <v>25</v>
      </c>
      <c r="V273" s="8">
        <v>1997</v>
      </c>
      <c r="W273" t="s">
        <v>637</v>
      </c>
      <c r="X273" s="2">
        <v>0.39600000000000002</v>
      </c>
      <c r="Y273" s="7">
        <f t="shared" si="34"/>
        <v>1.0570993833586931E-2</v>
      </c>
      <c r="AA273">
        <v>8858985</v>
      </c>
      <c r="AB273">
        <v>25993</v>
      </c>
      <c r="AD273" t="s">
        <v>1</v>
      </c>
      <c r="AE273">
        <v>12</v>
      </c>
      <c r="AF273">
        <v>6</v>
      </c>
      <c r="AH273" t="s">
        <v>5816</v>
      </c>
      <c r="AI273" t="s">
        <v>5815</v>
      </c>
      <c r="AK273" t="s">
        <v>5814</v>
      </c>
      <c r="AL273">
        <v>17</v>
      </c>
      <c r="AM273" s="5">
        <f t="shared" si="35"/>
        <v>0.68</v>
      </c>
      <c r="AN273" s="4">
        <f t="shared" si="36"/>
        <v>1.0299129117758426E-3</v>
      </c>
      <c r="AO273" s="3"/>
      <c r="AP273">
        <v>0</v>
      </c>
      <c r="AQ273" t="s">
        <v>157</v>
      </c>
      <c r="AR273" t="s">
        <v>0</v>
      </c>
      <c r="AS273" t="s">
        <v>156</v>
      </c>
      <c r="AT273" s="2" t="s">
        <v>5</v>
      </c>
      <c r="AU273" s="1">
        <f t="shared" si="37"/>
        <v>0.77086695570436048</v>
      </c>
      <c r="AV273" s="1">
        <f t="shared" si="38"/>
        <v>0.58004533726813867</v>
      </c>
      <c r="AW273" s="1">
        <f t="shared" si="39"/>
        <v>0.38922371883191692</v>
      </c>
    </row>
    <row r="274" spans="1:49" x14ac:dyDescent="0.2">
      <c r="A274">
        <v>272</v>
      </c>
      <c r="B274" t="s">
        <v>5813</v>
      </c>
      <c r="C274" t="s">
        <v>5812</v>
      </c>
      <c r="D274" t="s">
        <v>5811</v>
      </c>
      <c r="F274" t="s">
        <v>5810</v>
      </c>
      <c r="G274" t="s">
        <v>4</v>
      </c>
      <c r="H274" t="s">
        <v>3</v>
      </c>
      <c r="I274" t="s">
        <v>5692</v>
      </c>
      <c r="J274" t="s">
        <v>228</v>
      </c>
      <c r="K274" t="s">
        <v>227</v>
      </c>
      <c r="L274" t="s">
        <v>226</v>
      </c>
      <c r="M274" t="s">
        <v>225</v>
      </c>
      <c r="N274">
        <v>3</v>
      </c>
      <c r="O274" t="s">
        <v>5809</v>
      </c>
      <c r="P274" t="s">
        <v>5808</v>
      </c>
      <c r="Q274" t="s">
        <v>5807</v>
      </c>
      <c r="R274" s="8">
        <v>35765</v>
      </c>
      <c r="S274" s="9">
        <f t="shared" si="32"/>
        <v>1997</v>
      </c>
      <c r="T274" s="9">
        <v>1997</v>
      </c>
      <c r="U274" s="9">
        <f t="shared" si="33"/>
        <v>25</v>
      </c>
      <c r="V274" s="8">
        <v>1997</v>
      </c>
      <c r="W274" t="s">
        <v>392</v>
      </c>
      <c r="X274" s="2">
        <v>1.6519999999999999</v>
      </c>
      <c r="Y274" s="7">
        <f t="shared" si="34"/>
        <v>4.409919649769093E-2</v>
      </c>
      <c r="AA274" t="s">
        <v>391</v>
      </c>
      <c r="AB274">
        <v>17337</v>
      </c>
      <c r="AD274" t="s">
        <v>1</v>
      </c>
      <c r="AE274">
        <v>45</v>
      </c>
      <c r="AF274">
        <v>6</v>
      </c>
      <c r="AH274" t="s">
        <v>5806</v>
      </c>
      <c r="AI274" t="s">
        <v>5805</v>
      </c>
      <c r="AJ274" t="s">
        <v>5686</v>
      </c>
      <c r="AK274" t="s">
        <v>5804</v>
      </c>
      <c r="AL274">
        <v>11</v>
      </c>
      <c r="AM274" s="5">
        <f t="shared" si="35"/>
        <v>0.44</v>
      </c>
      <c r="AN274" s="4">
        <f t="shared" si="36"/>
        <v>6.6641423703142752E-4</v>
      </c>
      <c r="AO274" s="3"/>
      <c r="AP274">
        <v>0</v>
      </c>
      <c r="AR274" t="s">
        <v>0</v>
      </c>
      <c r="AS274" t="s">
        <v>506</v>
      </c>
      <c r="AT274" s="2" t="s">
        <v>5</v>
      </c>
      <c r="AU274" s="1">
        <f t="shared" si="37"/>
        <v>3.1069361819493078</v>
      </c>
      <c r="AV274" s="1">
        <f t="shared" si="38"/>
        <v>2.2382805367361178</v>
      </c>
      <c r="AW274" s="1">
        <f t="shared" si="39"/>
        <v>1.3696248915229277</v>
      </c>
    </row>
    <row r="275" spans="1:49" x14ac:dyDescent="0.2">
      <c r="A275">
        <v>273</v>
      </c>
      <c r="B275" t="s">
        <v>5803</v>
      </c>
      <c r="C275" t="s">
        <v>5802</v>
      </c>
      <c r="D275" t="s">
        <v>5801</v>
      </c>
      <c r="F275" t="s">
        <v>5800</v>
      </c>
      <c r="G275" t="s">
        <v>4</v>
      </c>
      <c r="H275" t="s">
        <v>3</v>
      </c>
      <c r="I275" t="s">
        <v>365</v>
      </c>
      <c r="J275">
        <v>60101699</v>
      </c>
      <c r="K275" t="s">
        <v>338</v>
      </c>
      <c r="L275" t="s">
        <v>112</v>
      </c>
      <c r="M275" t="s">
        <v>111</v>
      </c>
      <c r="N275">
        <v>3</v>
      </c>
      <c r="O275" t="s">
        <v>5799</v>
      </c>
      <c r="P275" t="s">
        <v>5798</v>
      </c>
      <c r="Q275" t="s">
        <v>364</v>
      </c>
      <c r="R275" s="8">
        <v>35765</v>
      </c>
      <c r="S275" s="9">
        <f t="shared" si="32"/>
        <v>1997</v>
      </c>
      <c r="T275" s="9">
        <v>1997</v>
      </c>
      <c r="U275" s="9">
        <f t="shared" si="33"/>
        <v>25</v>
      </c>
      <c r="V275" s="8">
        <v>1997</v>
      </c>
      <c r="W275" t="s">
        <v>392</v>
      </c>
      <c r="X275" s="2">
        <v>1.6519999999999999</v>
      </c>
      <c r="Y275" s="7">
        <f t="shared" si="34"/>
        <v>4.409919649769093E-2</v>
      </c>
      <c r="AA275" t="s">
        <v>391</v>
      </c>
      <c r="AB275">
        <v>17337</v>
      </c>
      <c r="AD275" t="s">
        <v>1</v>
      </c>
      <c r="AE275">
        <v>45</v>
      </c>
      <c r="AF275">
        <v>6</v>
      </c>
      <c r="AH275" t="s">
        <v>5797</v>
      </c>
      <c r="AI275" t="s">
        <v>5796</v>
      </c>
      <c r="AJ275" t="s">
        <v>272</v>
      </c>
      <c r="AK275" t="s">
        <v>5795</v>
      </c>
      <c r="AL275">
        <v>33</v>
      </c>
      <c r="AM275" s="5">
        <f t="shared" si="35"/>
        <v>1.32</v>
      </c>
      <c r="AN275" s="4">
        <f t="shared" si="36"/>
        <v>1.9992427110942824E-3</v>
      </c>
      <c r="AO275" s="3"/>
      <c r="AP275">
        <v>0</v>
      </c>
      <c r="AR275" t="s">
        <v>0</v>
      </c>
      <c r="AT275" s="2" t="s">
        <v>5</v>
      </c>
      <c r="AU275" s="1">
        <f t="shared" si="37"/>
        <v>3.1469210361711935</v>
      </c>
      <c r="AV275" s="1">
        <f t="shared" si="38"/>
        <v>2.3049219604392608</v>
      </c>
      <c r="AW275" s="1">
        <f t="shared" si="39"/>
        <v>1.4629228847073275</v>
      </c>
    </row>
    <row r="276" spans="1:49" x14ac:dyDescent="0.2">
      <c r="A276">
        <v>274</v>
      </c>
      <c r="B276" t="s">
        <v>5794</v>
      </c>
      <c r="C276" t="s">
        <v>5793</v>
      </c>
      <c r="D276" t="s">
        <v>5792</v>
      </c>
      <c r="F276" t="s">
        <v>5791</v>
      </c>
      <c r="G276" t="s">
        <v>4</v>
      </c>
      <c r="H276" t="s">
        <v>3</v>
      </c>
      <c r="I276" t="s">
        <v>5790</v>
      </c>
      <c r="J276">
        <v>60015272</v>
      </c>
      <c r="K276" t="s">
        <v>5789</v>
      </c>
      <c r="L276" t="s">
        <v>5788</v>
      </c>
      <c r="M276" t="s">
        <v>2</v>
      </c>
      <c r="N276">
        <v>3</v>
      </c>
      <c r="O276" t="s">
        <v>5787</v>
      </c>
      <c r="P276" t="s">
        <v>5786</v>
      </c>
      <c r="Q276" t="s">
        <v>5785</v>
      </c>
      <c r="R276" s="8">
        <v>35765</v>
      </c>
      <c r="S276" s="9">
        <f t="shared" si="32"/>
        <v>1997</v>
      </c>
      <c r="T276" s="9">
        <v>1997</v>
      </c>
      <c r="U276" s="9">
        <f t="shared" si="33"/>
        <v>25</v>
      </c>
      <c r="V276" s="8">
        <v>1997</v>
      </c>
      <c r="W276" t="s">
        <v>448</v>
      </c>
      <c r="X276" s="2">
        <v>1.3720000000000001</v>
      </c>
      <c r="Y276" s="7">
        <f t="shared" si="34"/>
        <v>3.662475641333654E-2</v>
      </c>
      <c r="AA276">
        <v>189480</v>
      </c>
      <c r="AB276">
        <v>17366</v>
      </c>
      <c r="AD276" t="s">
        <v>1</v>
      </c>
      <c r="AE276">
        <v>45</v>
      </c>
      <c r="AF276">
        <v>6</v>
      </c>
      <c r="AH276" t="s">
        <v>5405</v>
      </c>
      <c r="AI276" t="s">
        <v>5784</v>
      </c>
      <c r="AJ276" t="s">
        <v>5783</v>
      </c>
      <c r="AK276" t="s">
        <v>5782</v>
      </c>
      <c r="AL276">
        <v>4</v>
      </c>
      <c r="AM276" s="5">
        <f t="shared" si="35"/>
        <v>0.16</v>
      </c>
      <c r="AN276" s="4">
        <f t="shared" si="36"/>
        <v>2.4233244982961E-4</v>
      </c>
      <c r="AO276" s="3"/>
      <c r="AP276">
        <v>0</v>
      </c>
      <c r="AR276" t="s">
        <v>0</v>
      </c>
      <c r="AT276" s="2" t="s">
        <v>5</v>
      </c>
      <c r="AU276" s="1">
        <f t="shared" si="37"/>
        <v>2.5710029224284456</v>
      </c>
      <c r="AV276" s="1">
        <f t="shared" si="38"/>
        <v>1.8433544431583075</v>
      </c>
      <c r="AW276" s="1">
        <f t="shared" si="39"/>
        <v>1.115705963888169</v>
      </c>
    </row>
    <row r="277" spans="1:49" x14ac:dyDescent="0.2">
      <c r="A277">
        <v>275</v>
      </c>
      <c r="B277" t="s">
        <v>5781</v>
      </c>
      <c r="C277" t="s">
        <v>5780</v>
      </c>
      <c r="D277" t="s">
        <v>5779</v>
      </c>
      <c r="F277" t="s">
        <v>5778</v>
      </c>
      <c r="G277" t="s">
        <v>4</v>
      </c>
      <c r="H277" t="s">
        <v>3</v>
      </c>
      <c r="I277" t="s">
        <v>5777</v>
      </c>
      <c r="J277">
        <v>60025038</v>
      </c>
      <c r="K277" t="s">
        <v>2012</v>
      </c>
      <c r="L277" t="s">
        <v>283</v>
      </c>
      <c r="M277" t="s">
        <v>2</v>
      </c>
      <c r="N277">
        <v>3</v>
      </c>
      <c r="O277" t="s">
        <v>5776</v>
      </c>
      <c r="P277" t="s">
        <v>5775</v>
      </c>
      <c r="Q277" t="s">
        <v>5774</v>
      </c>
      <c r="R277" s="8">
        <v>35765</v>
      </c>
      <c r="S277" s="9">
        <f t="shared" si="32"/>
        <v>1997</v>
      </c>
      <c r="T277" s="9">
        <v>1997</v>
      </c>
      <c r="U277" s="9">
        <f t="shared" si="33"/>
        <v>25</v>
      </c>
      <c r="V277" s="8">
        <v>1997</v>
      </c>
      <c r="W277" t="s">
        <v>448</v>
      </c>
      <c r="X277" s="2">
        <v>1.3720000000000001</v>
      </c>
      <c r="Y277" s="7">
        <f t="shared" si="34"/>
        <v>3.662475641333654E-2</v>
      </c>
      <c r="AA277">
        <v>189480</v>
      </c>
      <c r="AB277">
        <v>17366</v>
      </c>
      <c r="AD277" t="s">
        <v>1</v>
      </c>
      <c r="AE277">
        <v>45</v>
      </c>
      <c r="AF277">
        <v>6</v>
      </c>
      <c r="AH277" t="s">
        <v>5773</v>
      </c>
      <c r="AI277" t="s">
        <v>5772</v>
      </c>
      <c r="AK277" t="s">
        <v>5771</v>
      </c>
      <c r="AL277">
        <v>13</v>
      </c>
      <c r="AM277" s="5">
        <f t="shared" si="35"/>
        <v>0.52</v>
      </c>
      <c r="AN277" s="4">
        <f t="shared" si="36"/>
        <v>7.8758046194623253E-4</v>
      </c>
      <c r="AO277" s="3"/>
      <c r="AP277">
        <v>0</v>
      </c>
      <c r="AQ277" t="s">
        <v>5770</v>
      </c>
      <c r="AR277" t="s">
        <v>5769</v>
      </c>
      <c r="AS277" t="s">
        <v>245</v>
      </c>
      <c r="AT277" s="2" t="s">
        <v>5</v>
      </c>
      <c r="AU277" s="1">
        <f t="shared" si="37"/>
        <v>2.5873603627919444</v>
      </c>
      <c r="AV277" s="1">
        <f t="shared" si="38"/>
        <v>1.8706168437641386</v>
      </c>
      <c r="AW277" s="1">
        <f t="shared" si="39"/>
        <v>1.1538733247363324</v>
      </c>
    </row>
    <row r="278" spans="1:49" x14ac:dyDescent="0.2">
      <c r="A278">
        <v>276</v>
      </c>
      <c r="B278" t="s">
        <v>5768</v>
      </c>
      <c r="C278" t="s">
        <v>5767</v>
      </c>
      <c r="D278" t="s">
        <v>5766</v>
      </c>
      <c r="F278" t="s">
        <v>5765</v>
      </c>
      <c r="G278" t="s">
        <v>4</v>
      </c>
      <c r="H278" t="s">
        <v>3</v>
      </c>
      <c r="I278" t="s">
        <v>5764</v>
      </c>
      <c r="J278">
        <v>60015179</v>
      </c>
      <c r="K278" t="s">
        <v>386</v>
      </c>
      <c r="L278" t="s">
        <v>385</v>
      </c>
      <c r="M278" t="s">
        <v>39</v>
      </c>
      <c r="N278">
        <v>5</v>
      </c>
      <c r="O278" t="s">
        <v>5763</v>
      </c>
      <c r="P278" t="s">
        <v>5762</v>
      </c>
      <c r="Q278" t="s">
        <v>5761</v>
      </c>
      <c r="R278" s="8">
        <v>35765</v>
      </c>
      <c r="S278" s="9">
        <f t="shared" si="32"/>
        <v>1997</v>
      </c>
      <c r="T278" s="9">
        <v>1997</v>
      </c>
      <c r="U278" s="9">
        <f t="shared" si="33"/>
        <v>25</v>
      </c>
      <c r="V278" s="8">
        <v>1997</v>
      </c>
      <c r="W278" t="s">
        <v>392</v>
      </c>
      <c r="X278" s="2">
        <v>1.6519999999999999</v>
      </c>
      <c r="Y278" s="7">
        <f t="shared" si="34"/>
        <v>4.409919649769093E-2</v>
      </c>
      <c r="AA278" t="s">
        <v>391</v>
      </c>
      <c r="AB278">
        <v>17337</v>
      </c>
      <c r="AD278" t="s">
        <v>1</v>
      </c>
      <c r="AE278">
        <v>45</v>
      </c>
      <c r="AF278">
        <v>6</v>
      </c>
      <c r="AH278" t="s">
        <v>5760</v>
      </c>
      <c r="AI278" t="s">
        <v>5759</v>
      </c>
      <c r="AJ278" t="s">
        <v>5758</v>
      </c>
      <c r="AK278" t="s">
        <v>5757</v>
      </c>
      <c r="AL278">
        <v>43</v>
      </c>
      <c r="AM278" s="5">
        <f t="shared" si="35"/>
        <v>1.72</v>
      </c>
      <c r="AN278" s="4">
        <f t="shared" si="36"/>
        <v>2.6050738356683074E-3</v>
      </c>
      <c r="AO278" s="3"/>
      <c r="AP278">
        <v>0</v>
      </c>
      <c r="AQ278" t="s">
        <v>5756</v>
      </c>
      <c r="AR278" t="s">
        <v>5755</v>
      </c>
      <c r="AS278" t="s">
        <v>5754</v>
      </c>
      <c r="AT278" s="2" t="s">
        <v>5</v>
      </c>
      <c r="AU278" s="1">
        <f t="shared" si="37"/>
        <v>3.1650959699084145</v>
      </c>
      <c r="AV278" s="1">
        <f t="shared" si="38"/>
        <v>2.3352135166679617</v>
      </c>
      <c r="AW278" s="1">
        <f t="shared" si="39"/>
        <v>1.5053310634275092</v>
      </c>
    </row>
    <row r="279" spans="1:49" x14ac:dyDescent="0.2">
      <c r="A279">
        <v>277</v>
      </c>
      <c r="B279" t="s">
        <v>5753</v>
      </c>
      <c r="C279" t="s">
        <v>5752</v>
      </c>
      <c r="D279" t="s">
        <v>5751</v>
      </c>
      <c r="F279" t="s">
        <v>5750</v>
      </c>
      <c r="G279" t="s">
        <v>4</v>
      </c>
      <c r="H279" t="s">
        <v>3</v>
      </c>
      <c r="I279" t="s">
        <v>155</v>
      </c>
      <c r="J279">
        <v>60016536</v>
      </c>
      <c r="K279" t="s">
        <v>154</v>
      </c>
      <c r="L279" t="s">
        <v>153</v>
      </c>
      <c r="M279" t="s">
        <v>2</v>
      </c>
      <c r="N279">
        <v>2</v>
      </c>
      <c r="O279" t="s">
        <v>152</v>
      </c>
      <c r="P279" t="s">
        <v>151</v>
      </c>
      <c r="Q279" t="s">
        <v>150</v>
      </c>
      <c r="R279" s="8">
        <v>35765</v>
      </c>
      <c r="S279" s="9">
        <f t="shared" si="32"/>
        <v>1997</v>
      </c>
      <c r="T279" s="9">
        <v>1997</v>
      </c>
      <c r="U279" s="9">
        <f t="shared" si="33"/>
        <v>25</v>
      </c>
      <c r="V279" s="8">
        <v>1997</v>
      </c>
      <c r="W279" t="s">
        <v>392</v>
      </c>
      <c r="X279" s="2">
        <v>1.6519999999999999</v>
      </c>
      <c r="Y279" s="7">
        <f t="shared" si="34"/>
        <v>4.409919649769093E-2</v>
      </c>
      <c r="AA279" t="s">
        <v>391</v>
      </c>
      <c r="AB279">
        <v>17337</v>
      </c>
      <c r="AD279" t="s">
        <v>1</v>
      </c>
      <c r="AE279">
        <v>45</v>
      </c>
      <c r="AF279">
        <v>6</v>
      </c>
      <c r="AH279" t="s">
        <v>5749</v>
      </c>
      <c r="AI279" t="s">
        <v>5748</v>
      </c>
      <c r="AJ279" t="s">
        <v>5747</v>
      </c>
      <c r="AK279" t="s">
        <v>5746</v>
      </c>
      <c r="AL279">
        <v>30</v>
      </c>
      <c r="AM279" s="5">
        <f t="shared" si="35"/>
        <v>1.2</v>
      </c>
      <c r="AN279" s="4">
        <f t="shared" si="36"/>
        <v>1.8174933737220749E-3</v>
      </c>
      <c r="AO279" s="3"/>
      <c r="AP279">
        <v>0</v>
      </c>
      <c r="AR279" t="s">
        <v>0</v>
      </c>
      <c r="AT279" s="2" t="s">
        <v>5</v>
      </c>
      <c r="AU279" s="1">
        <f t="shared" si="37"/>
        <v>3.1414685560500275</v>
      </c>
      <c r="AV279" s="1">
        <f t="shared" si="38"/>
        <v>2.2958344935706503</v>
      </c>
      <c r="AW279" s="1">
        <f t="shared" si="39"/>
        <v>1.4502004310912731</v>
      </c>
    </row>
    <row r="280" spans="1:49" x14ac:dyDescent="0.2">
      <c r="A280">
        <v>278</v>
      </c>
      <c r="B280" t="s">
        <v>5745</v>
      </c>
      <c r="C280" t="s">
        <v>5744</v>
      </c>
      <c r="F280" t="s">
        <v>5743</v>
      </c>
      <c r="G280" t="s">
        <v>4</v>
      </c>
      <c r="H280" t="s">
        <v>3</v>
      </c>
      <c r="I280" t="s">
        <v>5742</v>
      </c>
      <c r="J280">
        <v>60012708</v>
      </c>
      <c r="K280" t="s">
        <v>452</v>
      </c>
      <c r="L280" t="s">
        <v>451</v>
      </c>
      <c r="M280" t="s">
        <v>2</v>
      </c>
      <c r="N280">
        <v>2</v>
      </c>
      <c r="O280" t="s">
        <v>5741</v>
      </c>
      <c r="P280" t="s">
        <v>5740</v>
      </c>
      <c r="Q280" t="s">
        <v>450</v>
      </c>
      <c r="R280" s="8">
        <v>35765</v>
      </c>
      <c r="S280" s="9">
        <f t="shared" si="32"/>
        <v>1997</v>
      </c>
      <c r="T280" s="9">
        <v>1997</v>
      </c>
      <c r="U280" s="9">
        <f t="shared" si="33"/>
        <v>25</v>
      </c>
      <c r="V280" s="8">
        <v>1997</v>
      </c>
      <c r="W280" t="s">
        <v>4348</v>
      </c>
      <c r="X280" s="2">
        <v>0.81499999999999995</v>
      </c>
      <c r="Y280" s="7">
        <f t="shared" si="34"/>
        <v>2.1755959531245827E-2</v>
      </c>
      <c r="AA280">
        <v>10709908</v>
      </c>
      <c r="AB280">
        <v>17316</v>
      </c>
      <c r="AD280" t="s">
        <v>1</v>
      </c>
      <c r="AE280">
        <v>4</v>
      </c>
      <c r="AF280">
        <v>6</v>
      </c>
      <c r="AH280" t="s">
        <v>5739</v>
      </c>
      <c r="AI280" t="s">
        <v>5738</v>
      </c>
      <c r="AK280" t="s">
        <v>5737</v>
      </c>
      <c r="AL280">
        <v>157</v>
      </c>
      <c r="AM280" s="5">
        <f t="shared" si="35"/>
        <v>6.28</v>
      </c>
      <c r="AN280" s="4">
        <f t="shared" si="36"/>
        <v>9.5115486558121926E-3</v>
      </c>
      <c r="AO280" s="3"/>
      <c r="AP280">
        <v>0</v>
      </c>
      <c r="AQ280" t="s">
        <v>598</v>
      </c>
      <c r="AR280" t="s">
        <v>4498</v>
      </c>
      <c r="AS280" t="s">
        <v>597</v>
      </c>
      <c r="AT280" s="2">
        <v>3.109</v>
      </c>
      <c r="AU280" s="1">
        <f t="shared" si="37"/>
        <v>1.8082636268615737</v>
      </c>
      <c r="AV280" s="1">
        <f t="shared" si="38"/>
        <v>1.5633754093529011</v>
      </c>
      <c r="AW280" s="1">
        <f t="shared" si="39"/>
        <v>1.3184871918442282</v>
      </c>
    </row>
    <row r="281" spans="1:49" x14ac:dyDescent="0.2">
      <c r="A281">
        <v>279</v>
      </c>
      <c r="B281" t="s">
        <v>5736</v>
      </c>
      <c r="C281" t="s">
        <v>5735</v>
      </c>
      <c r="D281" t="s">
        <v>5734</v>
      </c>
      <c r="F281" t="s">
        <v>5733</v>
      </c>
      <c r="G281" t="s">
        <v>4</v>
      </c>
      <c r="H281" t="s">
        <v>3</v>
      </c>
      <c r="I281" t="s">
        <v>5732</v>
      </c>
      <c r="J281">
        <v>60108318</v>
      </c>
      <c r="K281" t="s">
        <v>832</v>
      </c>
      <c r="L281" t="s">
        <v>458</v>
      </c>
      <c r="M281" t="s">
        <v>2</v>
      </c>
      <c r="N281">
        <v>2</v>
      </c>
      <c r="O281" t="s">
        <v>5731</v>
      </c>
      <c r="P281" t="s">
        <v>5730</v>
      </c>
      <c r="Q281" t="s">
        <v>5729</v>
      </c>
      <c r="R281" s="8">
        <v>35765</v>
      </c>
      <c r="S281" s="9">
        <f t="shared" si="32"/>
        <v>1997</v>
      </c>
      <c r="T281" s="9">
        <v>1997</v>
      </c>
      <c r="U281" s="9">
        <f t="shared" si="33"/>
        <v>25</v>
      </c>
      <c r="V281" s="8">
        <v>1997</v>
      </c>
      <c r="W281" t="s">
        <v>392</v>
      </c>
      <c r="X281" s="2">
        <v>1.6519999999999999</v>
      </c>
      <c r="Y281" s="7">
        <f t="shared" si="34"/>
        <v>4.409919649769093E-2</v>
      </c>
      <c r="AA281" t="s">
        <v>391</v>
      </c>
      <c r="AB281">
        <v>17337</v>
      </c>
      <c r="AD281" t="s">
        <v>1</v>
      </c>
      <c r="AE281">
        <v>45</v>
      </c>
      <c r="AF281">
        <v>6</v>
      </c>
      <c r="AH281" t="s">
        <v>5728</v>
      </c>
      <c r="AI281" t="s">
        <v>5727</v>
      </c>
      <c r="AJ281" t="s">
        <v>5726</v>
      </c>
      <c r="AK281" t="s">
        <v>5725</v>
      </c>
      <c r="AL281">
        <v>8</v>
      </c>
      <c r="AM281" s="5">
        <f t="shared" si="35"/>
        <v>0.32</v>
      </c>
      <c r="AN281" s="4">
        <f t="shared" si="36"/>
        <v>4.8466489965922E-4</v>
      </c>
      <c r="AO281" s="3"/>
      <c r="AP281">
        <v>0</v>
      </c>
      <c r="AQ281" t="s">
        <v>598</v>
      </c>
      <c r="AR281" t="s">
        <v>5724</v>
      </c>
      <c r="AS281" t="s">
        <v>597</v>
      </c>
      <c r="AT281" s="2" t="s">
        <v>5</v>
      </c>
      <c r="AU281" s="1">
        <f t="shared" si="37"/>
        <v>3.1014837018281418</v>
      </c>
      <c r="AV281" s="1">
        <f t="shared" si="38"/>
        <v>2.2291930698675073</v>
      </c>
      <c r="AW281" s="1">
        <f t="shared" si="39"/>
        <v>1.3569024379068733</v>
      </c>
    </row>
    <row r="282" spans="1:49" x14ac:dyDescent="0.2">
      <c r="A282">
        <v>280</v>
      </c>
      <c r="B282" t="s">
        <v>5723</v>
      </c>
      <c r="C282" t="s">
        <v>5722</v>
      </c>
      <c r="D282" t="s">
        <v>5721</v>
      </c>
      <c r="F282" t="s">
        <v>5720</v>
      </c>
      <c r="G282" t="s">
        <v>4</v>
      </c>
      <c r="H282" t="s">
        <v>3</v>
      </c>
      <c r="I282" t="s">
        <v>5719</v>
      </c>
      <c r="J282">
        <v>60030933</v>
      </c>
      <c r="K282" t="s">
        <v>5718</v>
      </c>
      <c r="L282" t="s">
        <v>5717</v>
      </c>
      <c r="M282" t="s">
        <v>111</v>
      </c>
      <c r="N282">
        <v>1</v>
      </c>
      <c r="O282" t="s">
        <v>5716</v>
      </c>
      <c r="P282">
        <v>7003971341</v>
      </c>
      <c r="Q282">
        <v>60030933</v>
      </c>
      <c r="R282" s="8">
        <v>35765</v>
      </c>
      <c r="S282" s="9">
        <f t="shared" si="32"/>
        <v>1997</v>
      </c>
      <c r="T282" s="9">
        <v>1997</v>
      </c>
      <c r="U282" s="9">
        <f t="shared" si="33"/>
        <v>25</v>
      </c>
      <c r="V282" s="8">
        <v>1997</v>
      </c>
      <c r="W282" t="s">
        <v>4702</v>
      </c>
      <c r="X282" s="2">
        <v>0.78200000000000003</v>
      </c>
      <c r="Y282" s="7">
        <f t="shared" si="34"/>
        <v>2.0875043378446919E-2</v>
      </c>
      <c r="AA282">
        <v>189316</v>
      </c>
      <c r="AB282">
        <v>19901</v>
      </c>
      <c r="AD282" t="s">
        <v>1</v>
      </c>
      <c r="AE282">
        <v>43</v>
      </c>
      <c r="AF282">
        <v>2</v>
      </c>
      <c r="AH282" t="s">
        <v>5715</v>
      </c>
      <c r="AI282" t="s">
        <v>5714</v>
      </c>
      <c r="AK282" t="s">
        <v>5713</v>
      </c>
      <c r="AL282">
        <v>13</v>
      </c>
      <c r="AM282" s="5">
        <f t="shared" si="35"/>
        <v>0.52</v>
      </c>
      <c r="AN282" s="4">
        <f t="shared" si="36"/>
        <v>7.8758046194623253E-4</v>
      </c>
      <c r="AO282" s="3"/>
      <c r="AP282">
        <v>0</v>
      </c>
      <c r="AR282" t="s">
        <v>0</v>
      </c>
      <c r="AT282" s="2">
        <v>3.863</v>
      </c>
      <c r="AU282" s="1">
        <f t="shared" si="37"/>
        <v>1.4848804503496711</v>
      </c>
      <c r="AV282" s="1">
        <f t="shared" si="38"/>
        <v>1.0831311920196576</v>
      </c>
      <c r="AW282" s="1">
        <f t="shared" si="39"/>
        <v>0.68138193368964384</v>
      </c>
    </row>
    <row r="283" spans="1:49" x14ac:dyDescent="0.2">
      <c r="A283">
        <v>281</v>
      </c>
      <c r="B283" t="s">
        <v>5712</v>
      </c>
      <c r="C283" t="s">
        <v>5711</v>
      </c>
      <c r="D283" t="s">
        <v>5710</v>
      </c>
      <c r="F283" t="s">
        <v>5709</v>
      </c>
      <c r="G283" t="s">
        <v>4</v>
      </c>
      <c r="H283" t="s">
        <v>3</v>
      </c>
      <c r="I283" t="s">
        <v>5708</v>
      </c>
      <c r="J283" t="s">
        <v>5707</v>
      </c>
      <c r="K283" t="s">
        <v>5706</v>
      </c>
      <c r="L283" t="s">
        <v>5705</v>
      </c>
      <c r="M283" t="s">
        <v>251</v>
      </c>
      <c r="N283">
        <v>2</v>
      </c>
      <c r="O283" t="s">
        <v>5704</v>
      </c>
      <c r="P283" t="s">
        <v>5703</v>
      </c>
      <c r="Q283" t="s">
        <v>5702</v>
      </c>
      <c r="R283" s="8">
        <v>35765</v>
      </c>
      <c r="S283" s="9">
        <f t="shared" si="32"/>
        <v>1997</v>
      </c>
      <c r="T283" s="9">
        <v>1997</v>
      </c>
      <c r="U283" s="9">
        <f t="shared" si="33"/>
        <v>25</v>
      </c>
      <c r="V283" s="8">
        <v>1997</v>
      </c>
      <c r="W283" t="s">
        <v>5701</v>
      </c>
      <c r="X283" s="2">
        <v>1.022</v>
      </c>
      <c r="Y283" s="7">
        <f t="shared" si="34"/>
        <v>2.7281706307893543E-2</v>
      </c>
      <c r="AA283">
        <v>10636692</v>
      </c>
      <c r="AB283">
        <v>27237</v>
      </c>
      <c r="AD283" t="s">
        <v>1</v>
      </c>
      <c r="AE283">
        <v>5</v>
      </c>
      <c r="AF283">
        <v>3</v>
      </c>
      <c r="AH283" t="s">
        <v>5700</v>
      </c>
      <c r="AI283" t="s">
        <v>5699</v>
      </c>
      <c r="AJ283" t="s">
        <v>5698</v>
      </c>
      <c r="AK283" t="s">
        <v>5697</v>
      </c>
      <c r="AL283">
        <v>48</v>
      </c>
      <c r="AM283" s="5">
        <f t="shared" si="35"/>
        <v>1.92</v>
      </c>
      <c r="AN283" s="4">
        <f t="shared" si="36"/>
        <v>2.9079893979553199E-3</v>
      </c>
      <c r="AO283" s="3"/>
      <c r="AP283">
        <v>0</v>
      </c>
      <c r="AQ283" t="s">
        <v>388</v>
      </c>
      <c r="AR283" t="s">
        <v>0</v>
      </c>
      <c r="AS283" t="s">
        <v>387</v>
      </c>
      <c r="AT283" s="2" t="s">
        <v>5</v>
      </c>
      <c r="AU283" s="1">
        <f t="shared" si="37"/>
        <v>1.9969591234912074</v>
      </c>
      <c r="AV283" s="1">
        <f t="shared" si="38"/>
        <v>1.5094847852924431</v>
      </c>
      <c r="AW283" s="1">
        <f t="shared" si="39"/>
        <v>1.0220104470936786</v>
      </c>
    </row>
    <row r="284" spans="1:49" x14ac:dyDescent="0.2">
      <c r="A284">
        <v>282</v>
      </c>
      <c r="B284" t="s">
        <v>5696</v>
      </c>
      <c r="C284" t="s">
        <v>5695</v>
      </c>
      <c r="D284" t="s">
        <v>5694</v>
      </c>
      <c r="F284" t="s">
        <v>5693</v>
      </c>
      <c r="G284" t="s">
        <v>4</v>
      </c>
      <c r="H284" t="s">
        <v>3</v>
      </c>
      <c r="I284" t="s">
        <v>5692</v>
      </c>
      <c r="J284" t="s">
        <v>228</v>
      </c>
      <c r="K284" t="s">
        <v>227</v>
      </c>
      <c r="L284" t="s">
        <v>226</v>
      </c>
      <c r="M284" t="s">
        <v>225</v>
      </c>
      <c r="N284">
        <v>2</v>
      </c>
      <c r="O284" t="s">
        <v>5691</v>
      </c>
      <c r="P284" t="s">
        <v>5690</v>
      </c>
      <c r="Q284" t="s">
        <v>5689</v>
      </c>
      <c r="R284" s="8">
        <v>35765</v>
      </c>
      <c r="S284" s="9">
        <f t="shared" si="32"/>
        <v>1997</v>
      </c>
      <c r="T284" s="9">
        <v>1997</v>
      </c>
      <c r="U284" s="9">
        <f t="shared" si="33"/>
        <v>25</v>
      </c>
      <c r="V284" s="8">
        <v>1997</v>
      </c>
      <c r="W284" t="s">
        <v>392</v>
      </c>
      <c r="X284" s="2">
        <v>1.6519999999999999</v>
      </c>
      <c r="Y284" s="7">
        <f t="shared" si="34"/>
        <v>4.409919649769093E-2</v>
      </c>
      <c r="AA284" t="s">
        <v>391</v>
      </c>
      <c r="AB284">
        <v>17337</v>
      </c>
      <c r="AD284" t="s">
        <v>1</v>
      </c>
      <c r="AE284">
        <v>45</v>
      </c>
      <c r="AF284">
        <v>6</v>
      </c>
      <c r="AH284" t="s">
        <v>5688</v>
      </c>
      <c r="AI284" t="s">
        <v>5687</v>
      </c>
      <c r="AJ284" t="s">
        <v>5686</v>
      </c>
      <c r="AK284" t="s">
        <v>5685</v>
      </c>
      <c r="AL284">
        <v>24</v>
      </c>
      <c r="AM284" s="5">
        <f t="shared" si="35"/>
        <v>0.96</v>
      </c>
      <c r="AN284" s="4">
        <f t="shared" si="36"/>
        <v>1.4539946989776599E-3</v>
      </c>
      <c r="AO284" s="3"/>
      <c r="AP284">
        <v>0</v>
      </c>
      <c r="AR284" t="s">
        <v>0</v>
      </c>
      <c r="AS284" t="s">
        <v>5684</v>
      </c>
      <c r="AT284" s="2" t="s">
        <v>5</v>
      </c>
      <c r="AU284" s="1">
        <f t="shared" si="37"/>
        <v>3.1305635958076952</v>
      </c>
      <c r="AV284" s="1">
        <f t="shared" si="38"/>
        <v>2.2776595598334297</v>
      </c>
      <c r="AW284" s="1">
        <f t="shared" si="39"/>
        <v>1.424755523859164</v>
      </c>
    </row>
    <row r="285" spans="1:49" x14ac:dyDescent="0.2">
      <c r="A285">
        <v>283</v>
      </c>
      <c r="B285" t="s">
        <v>5683</v>
      </c>
      <c r="C285" t="s">
        <v>5682</v>
      </c>
      <c r="D285" t="s">
        <v>5681</v>
      </c>
      <c r="F285" t="s">
        <v>5680</v>
      </c>
      <c r="G285" t="s">
        <v>4</v>
      </c>
      <c r="H285" t="s">
        <v>3</v>
      </c>
      <c r="I285" t="s">
        <v>5679</v>
      </c>
      <c r="J285" t="s">
        <v>5674</v>
      </c>
      <c r="K285" t="s">
        <v>5678</v>
      </c>
      <c r="L285" t="s">
        <v>5677</v>
      </c>
      <c r="M285" t="s">
        <v>18</v>
      </c>
      <c r="N285">
        <v>2</v>
      </c>
      <c r="O285" t="s">
        <v>5676</v>
      </c>
      <c r="P285" t="s">
        <v>5675</v>
      </c>
      <c r="Q285" t="s">
        <v>5674</v>
      </c>
      <c r="R285" s="8">
        <v>35765</v>
      </c>
      <c r="S285" s="9">
        <f t="shared" si="32"/>
        <v>1997</v>
      </c>
      <c r="T285" s="9">
        <v>1997</v>
      </c>
      <c r="U285" s="9">
        <f t="shared" si="33"/>
        <v>25</v>
      </c>
      <c r="V285" s="8">
        <v>1997</v>
      </c>
      <c r="W285" t="s">
        <v>4294</v>
      </c>
      <c r="X285" s="2">
        <v>1.468</v>
      </c>
      <c r="Y285" s="7">
        <f t="shared" si="34"/>
        <v>3.9187421585115186E-2</v>
      </c>
      <c r="AA285">
        <v>906778</v>
      </c>
      <c r="AB285">
        <v>18931</v>
      </c>
      <c r="AD285" t="s">
        <v>1</v>
      </c>
      <c r="AE285">
        <v>45</v>
      </c>
      <c r="AF285">
        <v>6</v>
      </c>
      <c r="AH285" t="s">
        <v>5673</v>
      </c>
      <c r="AI285" t="s">
        <v>5672</v>
      </c>
      <c r="AJ285" t="s">
        <v>5671</v>
      </c>
      <c r="AK285" t="s">
        <v>5670</v>
      </c>
      <c r="AL285">
        <v>35</v>
      </c>
      <c r="AM285" s="5">
        <f t="shared" si="35"/>
        <v>1.4</v>
      </c>
      <c r="AN285" s="4">
        <f t="shared" si="36"/>
        <v>2.1204089360090874E-3</v>
      </c>
      <c r="AO285" s="3"/>
      <c r="AP285">
        <v>0</v>
      </c>
      <c r="AR285" t="s">
        <v>0</v>
      </c>
      <c r="AT285" s="2">
        <v>5.0830000000000002</v>
      </c>
      <c r="AU285" s="1">
        <f t="shared" si="37"/>
        <v>2.8067317790383353</v>
      </c>
      <c r="AV285" s="1">
        <f t="shared" si="38"/>
        <v>2.0653915260562137</v>
      </c>
      <c r="AW285" s="1">
        <f t="shared" si="39"/>
        <v>1.3240512730740917</v>
      </c>
    </row>
    <row r="286" spans="1:49" x14ac:dyDescent="0.2">
      <c r="A286">
        <v>284</v>
      </c>
      <c r="B286" t="s">
        <v>5669</v>
      </c>
      <c r="C286" t="s">
        <v>5668</v>
      </c>
      <c r="D286" t="s">
        <v>5667</v>
      </c>
      <c r="F286" t="s">
        <v>5666</v>
      </c>
      <c r="G286" t="s">
        <v>4</v>
      </c>
      <c r="H286" t="s">
        <v>3</v>
      </c>
      <c r="I286" t="s">
        <v>711</v>
      </c>
      <c r="J286">
        <v>60025209</v>
      </c>
      <c r="K286" t="s">
        <v>256</v>
      </c>
      <c r="L286" t="s">
        <v>72</v>
      </c>
      <c r="M286" t="s">
        <v>2</v>
      </c>
      <c r="N286">
        <v>4</v>
      </c>
      <c r="O286" t="s">
        <v>5665</v>
      </c>
      <c r="P286" t="s">
        <v>5664</v>
      </c>
      <c r="Q286" t="s">
        <v>5663</v>
      </c>
      <c r="R286" s="8">
        <v>35765</v>
      </c>
      <c r="S286" s="9">
        <f t="shared" si="32"/>
        <v>1997</v>
      </c>
      <c r="T286" s="9">
        <v>1997</v>
      </c>
      <c r="U286" s="9">
        <f t="shared" si="33"/>
        <v>25</v>
      </c>
      <c r="V286" s="8">
        <v>1997</v>
      </c>
      <c r="W286" t="s">
        <v>392</v>
      </c>
      <c r="X286" s="2">
        <v>1.6519999999999999</v>
      </c>
      <c r="Y286" s="7">
        <f t="shared" si="34"/>
        <v>4.409919649769093E-2</v>
      </c>
      <c r="AA286" t="s">
        <v>391</v>
      </c>
      <c r="AB286">
        <v>17337</v>
      </c>
      <c r="AD286" t="s">
        <v>1</v>
      </c>
      <c r="AE286">
        <v>45</v>
      </c>
      <c r="AF286">
        <v>6</v>
      </c>
      <c r="AH286" t="s">
        <v>5662</v>
      </c>
      <c r="AI286" t="s">
        <v>5661</v>
      </c>
      <c r="AJ286" t="s">
        <v>5660</v>
      </c>
      <c r="AK286" t="s">
        <v>5659</v>
      </c>
      <c r="AL286">
        <v>0</v>
      </c>
      <c r="AM286" s="5">
        <f t="shared" si="35"/>
        <v>0</v>
      </c>
      <c r="AN286" s="4">
        <f t="shared" si="36"/>
        <v>0</v>
      </c>
      <c r="AO286" s="3"/>
      <c r="AP286">
        <v>0</v>
      </c>
      <c r="AR286" t="s">
        <v>0</v>
      </c>
      <c r="AT286" s="2" t="s">
        <v>5</v>
      </c>
      <c r="AU286" s="1">
        <f t="shared" si="37"/>
        <v>3.0869437548383649</v>
      </c>
      <c r="AV286" s="1">
        <f t="shared" si="38"/>
        <v>2.2049598248845466</v>
      </c>
      <c r="AW286" s="1">
        <f t="shared" si="39"/>
        <v>1.3229758949307278</v>
      </c>
    </row>
    <row r="287" spans="1:49" x14ac:dyDescent="0.2">
      <c r="A287">
        <v>285</v>
      </c>
      <c r="B287" t="s">
        <v>5658</v>
      </c>
      <c r="F287" t="s">
        <v>5657</v>
      </c>
      <c r="G287" t="s">
        <v>4</v>
      </c>
      <c r="H287" t="s">
        <v>3</v>
      </c>
      <c r="I287" t="s">
        <v>5656</v>
      </c>
      <c r="J287" t="s">
        <v>5655</v>
      </c>
      <c r="K287" t="s">
        <v>5654</v>
      </c>
      <c r="L287" t="s">
        <v>5653</v>
      </c>
      <c r="M287" t="s">
        <v>5652</v>
      </c>
      <c r="N287">
        <v>8</v>
      </c>
      <c r="O287" t="s">
        <v>5651</v>
      </c>
      <c r="P287" t="s">
        <v>5650</v>
      </c>
      <c r="Q287" t="s">
        <v>5649</v>
      </c>
      <c r="R287" s="8">
        <v>35765</v>
      </c>
      <c r="S287" s="9">
        <f t="shared" si="32"/>
        <v>1997</v>
      </c>
      <c r="T287" s="9">
        <v>1997</v>
      </c>
      <c r="U287" s="9">
        <f t="shared" si="33"/>
        <v>25</v>
      </c>
      <c r="V287" s="8">
        <v>1997</v>
      </c>
      <c r="W287" t="s">
        <v>105</v>
      </c>
      <c r="X287" s="2">
        <v>0.1</v>
      </c>
      <c r="Y287" s="7">
        <f t="shared" si="34"/>
        <v>2.6694428872694269E-3</v>
      </c>
      <c r="AA287">
        <v>9633308</v>
      </c>
      <c r="AB287">
        <v>17917</v>
      </c>
      <c r="AD287" t="s">
        <v>1</v>
      </c>
      <c r="AF287">
        <v>131</v>
      </c>
      <c r="AL287">
        <v>0</v>
      </c>
      <c r="AM287" s="5">
        <f t="shared" si="35"/>
        <v>0</v>
      </c>
      <c r="AN287" s="4">
        <f t="shared" si="36"/>
        <v>0</v>
      </c>
      <c r="AO287" s="3"/>
      <c r="AP287">
        <v>0</v>
      </c>
      <c r="AR287" t="s">
        <v>0</v>
      </c>
      <c r="AT287" s="2" t="s">
        <v>5</v>
      </c>
      <c r="AU287" s="1">
        <f t="shared" si="37"/>
        <v>0.18686100210885986</v>
      </c>
      <c r="AV287" s="1">
        <f t="shared" si="38"/>
        <v>0.13347214436347135</v>
      </c>
      <c r="AW287" s="1">
        <f t="shared" si="39"/>
        <v>8.0083286618082811E-2</v>
      </c>
    </row>
    <row r="288" spans="1:49" x14ac:dyDescent="0.2">
      <c r="A288">
        <v>286</v>
      </c>
      <c r="B288" t="s">
        <v>5648</v>
      </c>
      <c r="F288" t="s">
        <v>5647</v>
      </c>
      <c r="G288" t="s">
        <v>4</v>
      </c>
      <c r="H288" t="s">
        <v>3</v>
      </c>
      <c r="I288" t="s">
        <v>5646</v>
      </c>
      <c r="J288">
        <v>60022046</v>
      </c>
      <c r="K288" t="s">
        <v>5645</v>
      </c>
      <c r="L288" t="s">
        <v>126</v>
      </c>
      <c r="M288" t="s">
        <v>8</v>
      </c>
      <c r="N288">
        <v>2</v>
      </c>
      <c r="O288" t="s">
        <v>5644</v>
      </c>
      <c r="P288" t="s">
        <v>5643</v>
      </c>
      <c r="Q288" t="s">
        <v>5642</v>
      </c>
      <c r="R288" s="8">
        <v>35765</v>
      </c>
      <c r="S288" s="9">
        <f t="shared" si="32"/>
        <v>1997</v>
      </c>
      <c r="T288" s="9">
        <v>1997</v>
      </c>
      <c r="U288" s="9">
        <f t="shared" si="33"/>
        <v>25</v>
      </c>
      <c r="V288" s="8">
        <v>1997</v>
      </c>
      <c r="W288" t="s">
        <v>105</v>
      </c>
      <c r="X288" s="2">
        <v>0.1</v>
      </c>
      <c r="Y288" s="7">
        <f t="shared" si="34"/>
        <v>2.6694428872694269E-3</v>
      </c>
      <c r="AA288">
        <v>9633308</v>
      </c>
      <c r="AB288">
        <v>17917</v>
      </c>
      <c r="AD288" t="s">
        <v>1</v>
      </c>
      <c r="AF288">
        <v>131</v>
      </c>
      <c r="AI288" t="s">
        <v>5641</v>
      </c>
      <c r="AK288" t="s">
        <v>5640</v>
      </c>
      <c r="AL288">
        <v>0</v>
      </c>
      <c r="AM288" s="5">
        <f t="shared" si="35"/>
        <v>0</v>
      </c>
      <c r="AN288" s="4">
        <f t="shared" si="36"/>
        <v>0</v>
      </c>
      <c r="AO288" s="3"/>
      <c r="AP288">
        <v>0</v>
      </c>
      <c r="AR288" t="s">
        <v>0</v>
      </c>
      <c r="AT288" s="2" t="s">
        <v>5</v>
      </c>
      <c r="AU288" s="1">
        <f t="shared" si="37"/>
        <v>0.18686100210885986</v>
      </c>
      <c r="AV288" s="1">
        <f t="shared" si="38"/>
        <v>0.13347214436347135</v>
      </c>
      <c r="AW288" s="1">
        <f t="shared" si="39"/>
        <v>8.0083286618082811E-2</v>
      </c>
    </row>
    <row r="289" spans="1:49" x14ac:dyDescent="0.2">
      <c r="A289">
        <v>287</v>
      </c>
      <c r="B289" t="s">
        <v>5639</v>
      </c>
      <c r="F289" t="s">
        <v>5638</v>
      </c>
      <c r="G289" t="s">
        <v>4</v>
      </c>
      <c r="H289" t="s">
        <v>3</v>
      </c>
      <c r="I289" t="s">
        <v>5637</v>
      </c>
      <c r="J289">
        <v>60014174</v>
      </c>
      <c r="K289" t="s">
        <v>584</v>
      </c>
      <c r="L289" t="s">
        <v>583</v>
      </c>
      <c r="M289" t="s">
        <v>8</v>
      </c>
      <c r="N289">
        <v>2</v>
      </c>
      <c r="O289" t="s">
        <v>5636</v>
      </c>
      <c r="P289" t="s">
        <v>5635</v>
      </c>
      <c r="Q289" t="s">
        <v>5634</v>
      </c>
      <c r="R289" s="8">
        <v>35765</v>
      </c>
      <c r="S289" s="9">
        <f t="shared" si="32"/>
        <v>1997</v>
      </c>
      <c r="T289" s="9">
        <v>1997</v>
      </c>
      <c r="U289" s="9">
        <f t="shared" si="33"/>
        <v>25</v>
      </c>
      <c r="V289" s="8">
        <v>1997</v>
      </c>
      <c r="W289" t="s">
        <v>105</v>
      </c>
      <c r="X289" s="2">
        <v>0.1</v>
      </c>
      <c r="Y289" s="7">
        <f t="shared" si="34"/>
        <v>2.6694428872694269E-3</v>
      </c>
      <c r="AA289">
        <v>9633308</v>
      </c>
      <c r="AB289">
        <v>17917</v>
      </c>
      <c r="AD289" t="s">
        <v>1</v>
      </c>
      <c r="AF289">
        <v>131</v>
      </c>
      <c r="AI289" t="s">
        <v>5633</v>
      </c>
      <c r="AK289" t="s">
        <v>5632</v>
      </c>
      <c r="AL289">
        <v>1</v>
      </c>
      <c r="AM289" s="5">
        <f t="shared" si="35"/>
        <v>0.04</v>
      </c>
      <c r="AN289" s="4">
        <f t="shared" si="36"/>
        <v>6.05831124574025E-5</v>
      </c>
      <c r="AO289" s="3"/>
      <c r="AP289">
        <v>0</v>
      </c>
      <c r="AR289" t="s">
        <v>0</v>
      </c>
      <c r="AT289" s="2" t="s">
        <v>5</v>
      </c>
      <c r="AU289" s="1">
        <f t="shared" si="37"/>
        <v>0.18867849548258195</v>
      </c>
      <c r="AV289" s="1">
        <f t="shared" si="38"/>
        <v>0.13650129998634147</v>
      </c>
      <c r="AW289" s="1">
        <f t="shared" si="39"/>
        <v>8.4324104490100971E-2</v>
      </c>
    </row>
    <row r="290" spans="1:49" x14ac:dyDescent="0.2">
      <c r="A290">
        <v>288</v>
      </c>
      <c r="B290" t="s">
        <v>5631</v>
      </c>
      <c r="F290" t="s">
        <v>5630</v>
      </c>
      <c r="G290" t="s">
        <v>4</v>
      </c>
      <c r="H290" t="s">
        <v>3</v>
      </c>
      <c r="I290" t="s">
        <v>5629</v>
      </c>
      <c r="J290" t="s">
        <v>5628</v>
      </c>
      <c r="K290" t="s">
        <v>5627</v>
      </c>
      <c r="L290" t="s">
        <v>5626</v>
      </c>
      <c r="M290" t="s">
        <v>122</v>
      </c>
      <c r="N290">
        <v>4</v>
      </c>
      <c r="O290" t="s">
        <v>5625</v>
      </c>
      <c r="P290" t="s">
        <v>5624</v>
      </c>
      <c r="Q290" t="s">
        <v>5623</v>
      </c>
      <c r="R290" s="8">
        <v>35765</v>
      </c>
      <c r="S290" s="9">
        <f t="shared" si="32"/>
        <v>1997</v>
      </c>
      <c r="T290" s="9">
        <v>1997</v>
      </c>
      <c r="U290" s="9">
        <f t="shared" si="33"/>
        <v>25</v>
      </c>
      <c r="V290" s="8">
        <v>1997</v>
      </c>
      <c r="W290" t="s">
        <v>105</v>
      </c>
      <c r="X290" s="2">
        <v>0.1</v>
      </c>
      <c r="Y290" s="7">
        <f t="shared" si="34"/>
        <v>2.6694428872694269E-3</v>
      </c>
      <c r="AA290">
        <v>9633308</v>
      </c>
      <c r="AB290">
        <v>17917</v>
      </c>
      <c r="AD290" t="s">
        <v>1</v>
      </c>
      <c r="AF290">
        <v>131</v>
      </c>
      <c r="AL290">
        <v>1</v>
      </c>
      <c r="AM290" s="5">
        <f t="shared" si="35"/>
        <v>0.04</v>
      </c>
      <c r="AN290" s="4">
        <f t="shared" si="36"/>
        <v>6.05831124574025E-5</v>
      </c>
      <c r="AO290" s="3"/>
      <c r="AP290">
        <v>0</v>
      </c>
      <c r="AR290" t="s">
        <v>0</v>
      </c>
      <c r="AT290" s="2" t="s">
        <v>5</v>
      </c>
      <c r="AU290" s="1">
        <f t="shared" si="37"/>
        <v>0.18867849548258195</v>
      </c>
      <c r="AV290" s="1">
        <f t="shared" si="38"/>
        <v>0.13650129998634147</v>
      </c>
      <c r="AW290" s="1">
        <f t="shared" si="39"/>
        <v>8.4324104490100971E-2</v>
      </c>
    </row>
    <row r="291" spans="1:49" x14ac:dyDescent="0.2">
      <c r="A291">
        <v>289</v>
      </c>
      <c r="B291" t="s">
        <v>5622</v>
      </c>
      <c r="C291" t="s">
        <v>5621</v>
      </c>
      <c r="D291" t="s">
        <v>5620</v>
      </c>
      <c r="F291" t="s">
        <v>5619</v>
      </c>
      <c r="G291" t="s">
        <v>4</v>
      </c>
      <c r="H291" t="s">
        <v>3</v>
      </c>
      <c r="I291" t="s">
        <v>5618</v>
      </c>
      <c r="J291" t="s">
        <v>5617</v>
      </c>
      <c r="K291" t="s">
        <v>5616</v>
      </c>
      <c r="L291" t="s">
        <v>5615</v>
      </c>
      <c r="M291" t="s">
        <v>18</v>
      </c>
      <c r="N291">
        <v>5</v>
      </c>
      <c r="O291" t="s">
        <v>5614</v>
      </c>
      <c r="P291" t="s">
        <v>5613</v>
      </c>
      <c r="Q291" t="s">
        <v>5612</v>
      </c>
      <c r="R291" s="8">
        <v>35765</v>
      </c>
      <c r="S291" s="9">
        <f t="shared" si="32"/>
        <v>1997</v>
      </c>
      <c r="T291" s="9">
        <v>1997</v>
      </c>
      <c r="U291" s="9">
        <f t="shared" si="33"/>
        <v>25</v>
      </c>
      <c r="V291" s="8">
        <v>1997</v>
      </c>
      <c r="W291" t="s">
        <v>1379</v>
      </c>
      <c r="X291" s="2">
        <v>0.65500000000000003</v>
      </c>
      <c r="Y291" s="7">
        <f t="shared" si="34"/>
        <v>1.7484850911614749E-2</v>
      </c>
      <c r="AA291">
        <v>189375</v>
      </c>
      <c r="AB291">
        <v>26051</v>
      </c>
      <c r="AD291" t="s">
        <v>1</v>
      </c>
      <c r="AE291">
        <v>39</v>
      </c>
      <c r="AF291">
        <v>2</v>
      </c>
      <c r="AH291" t="s">
        <v>5611</v>
      </c>
      <c r="AI291" t="s">
        <v>5610</v>
      </c>
      <c r="AK291" t="s">
        <v>5609</v>
      </c>
      <c r="AL291">
        <v>9</v>
      </c>
      <c r="AM291" s="5">
        <f t="shared" si="35"/>
        <v>0.36</v>
      </c>
      <c r="AN291" s="4">
        <f t="shared" si="36"/>
        <v>5.4524801211662251E-4</v>
      </c>
      <c r="AO291" s="3"/>
      <c r="AP291">
        <v>0</v>
      </c>
      <c r="AQ291" t="s">
        <v>312</v>
      </c>
      <c r="AR291" t="s">
        <v>5608</v>
      </c>
      <c r="AS291" t="s">
        <v>311</v>
      </c>
      <c r="AT291" s="2" t="s">
        <v>5</v>
      </c>
      <c r="AU291" s="1">
        <f t="shared" si="37"/>
        <v>1.2402970041765309</v>
      </c>
      <c r="AV291" s="1">
        <f t="shared" si="38"/>
        <v>0.90150494618656851</v>
      </c>
      <c r="AW291" s="1">
        <f t="shared" si="39"/>
        <v>0.56271288819660603</v>
      </c>
    </row>
    <row r="292" spans="1:49" x14ac:dyDescent="0.2">
      <c r="A292">
        <v>290</v>
      </c>
      <c r="B292" t="s">
        <v>5607</v>
      </c>
      <c r="C292" t="s">
        <v>5606</v>
      </c>
      <c r="D292" t="s">
        <v>5605</v>
      </c>
      <c r="F292" t="s">
        <v>5604</v>
      </c>
      <c r="G292" t="s">
        <v>4</v>
      </c>
      <c r="H292" t="s">
        <v>3</v>
      </c>
      <c r="I292" t="s">
        <v>5603</v>
      </c>
      <c r="J292" t="s">
        <v>5598</v>
      </c>
      <c r="K292" t="s">
        <v>5602</v>
      </c>
      <c r="L292" t="s">
        <v>5601</v>
      </c>
      <c r="M292" t="s">
        <v>18</v>
      </c>
      <c r="N292">
        <v>2</v>
      </c>
      <c r="O292" t="s">
        <v>5600</v>
      </c>
      <c r="P292" t="s">
        <v>5599</v>
      </c>
      <c r="Q292" t="s">
        <v>5598</v>
      </c>
      <c r="R292" s="8">
        <v>35765</v>
      </c>
      <c r="S292" s="9">
        <f t="shared" si="32"/>
        <v>1997</v>
      </c>
      <c r="T292" s="9">
        <v>1997</v>
      </c>
      <c r="U292" s="9">
        <f t="shared" si="33"/>
        <v>25</v>
      </c>
      <c r="V292" s="8">
        <v>1997</v>
      </c>
      <c r="W292" t="s">
        <v>1803</v>
      </c>
      <c r="X292" s="2">
        <v>1.6379999999999999</v>
      </c>
      <c r="Y292" s="7">
        <f t="shared" si="34"/>
        <v>4.3725474493473214E-2</v>
      </c>
      <c r="AA292" t="s">
        <v>1802</v>
      </c>
      <c r="AB292">
        <v>17391</v>
      </c>
      <c r="AD292" t="s">
        <v>1</v>
      </c>
      <c r="AE292">
        <v>45</v>
      </c>
      <c r="AF292">
        <v>5</v>
      </c>
      <c r="AH292" t="s">
        <v>5597</v>
      </c>
      <c r="AI292" t="s">
        <v>5596</v>
      </c>
      <c r="AK292" t="s">
        <v>5595</v>
      </c>
      <c r="AL292">
        <v>104</v>
      </c>
      <c r="AM292" s="5">
        <f t="shared" si="35"/>
        <v>4.16</v>
      </c>
      <c r="AN292" s="4">
        <f t="shared" si="36"/>
        <v>6.3006436955698603E-3</v>
      </c>
      <c r="AO292" s="3"/>
      <c r="AP292">
        <v>0</v>
      </c>
      <c r="AQ292" t="s">
        <v>53</v>
      </c>
      <c r="AR292" t="s">
        <v>5594</v>
      </c>
      <c r="AS292" t="s">
        <v>52</v>
      </c>
      <c r="AT292" s="2">
        <v>4.931</v>
      </c>
      <c r="AU292" s="1">
        <f t="shared" si="37"/>
        <v>3.2498025254102205</v>
      </c>
      <c r="AV292" s="1">
        <f t="shared" si="38"/>
        <v>2.5013059094521539</v>
      </c>
      <c r="AW292" s="1">
        <f t="shared" si="39"/>
        <v>1.7528092934940867</v>
      </c>
    </row>
    <row r="293" spans="1:49" x14ac:dyDescent="0.2">
      <c r="A293">
        <v>291</v>
      </c>
      <c r="B293" t="s">
        <v>5593</v>
      </c>
      <c r="C293" t="s">
        <v>5592</v>
      </c>
      <c r="D293" t="s">
        <v>5591</v>
      </c>
      <c r="F293" t="s">
        <v>5590</v>
      </c>
      <c r="G293" t="s">
        <v>4</v>
      </c>
      <c r="H293" t="s">
        <v>3</v>
      </c>
      <c r="I293" t="s">
        <v>3574</v>
      </c>
      <c r="J293" t="s">
        <v>3573</v>
      </c>
      <c r="K293" t="s">
        <v>3572</v>
      </c>
      <c r="L293" t="s">
        <v>3571</v>
      </c>
      <c r="M293" t="s">
        <v>431</v>
      </c>
      <c r="N293">
        <v>3</v>
      </c>
      <c r="O293" t="s">
        <v>5589</v>
      </c>
      <c r="P293" t="s">
        <v>5588</v>
      </c>
      <c r="Q293" t="s">
        <v>5587</v>
      </c>
      <c r="R293" s="8">
        <v>35765</v>
      </c>
      <c r="S293" s="9">
        <f t="shared" si="32"/>
        <v>1997</v>
      </c>
      <c r="T293" s="9">
        <v>1997</v>
      </c>
      <c r="U293" s="9">
        <f t="shared" si="33"/>
        <v>25</v>
      </c>
      <c r="V293" s="8">
        <v>1997</v>
      </c>
      <c r="W293" t="s">
        <v>392</v>
      </c>
      <c r="X293" s="2">
        <v>1.6519999999999999</v>
      </c>
      <c r="Y293" s="7">
        <f t="shared" si="34"/>
        <v>4.409919649769093E-2</v>
      </c>
      <c r="AA293" t="s">
        <v>391</v>
      </c>
      <c r="AB293">
        <v>17337</v>
      </c>
      <c r="AD293" t="s">
        <v>1</v>
      </c>
      <c r="AE293">
        <v>45</v>
      </c>
      <c r="AF293">
        <v>5</v>
      </c>
      <c r="AH293" t="s">
        <v>5586</v>
      </c>
      <c r="AI293" t="s">
        <v>5585</v>
      </c>
      <c r="AJ293" t="s">
        <v>272</v>
      </c>
      <c r="AK293" t="s">
        <v>5584</v>
      </c>
      <c r="AL293">
        <v>27</v>
      </c>
      <c r="AM293" s="5">
        <f t="shared" si="35"/>
        <v>1.08</v>
      </c>
      <c r="AN293" s="4">
        <f t="shared" si="36"/>
        <v>1.6357440363498675E-3</v>
      </c>
      <c r="AO293" s="3"/>
      <c r="AP293">
        <v>0</v>
      </c>
      <c r="AR293" t="s">
        <v>0</v>
      </c>
      <c r="AT293" s="2" t="s">
        <v>5</v>
      </c>
      <c r="AU293" s="1">
        <f t="shared" si="37"/>
        <v>3.1360160759288611</v>
      </c>
      <c r="AV293" s="1">
        <f t="shared" si="38"/>
        <v>2.2867470267020398</v>
      </c>
      <c r="AW293" s="1">
        <f t="shared" si="39"/>
        <v>1.4374779774752184</v>
      </c>
    </row>
    <row r="294" spans="1:49" x14ac:dyDescent="0.2">
      <c r="A294">
        <v>292</v>
      </c>
      <c r="B294" t="s">
        <v>5583</v>
      </c>
      <c r="C294" t="s">
        <v>5582</v>
      </c>
      <c r="D294" t="s">
        <v>5581</v>
      </c>
      <c r="F294" t="s">
        <v>5580</v>
      </c>
      <c r="G294" t="s">
        <v>4</v>
      </c>
      <c r="H294" t="s">
        <v>3</v>
      </c>
      <c r="I294" t="s">
        <v>5579</v>
      </c>
      <c r="J294" t="s">
        <v>5578</v>
      </c>
      <c r="K294" t="s">
        <v>5577</v>
      </c>
      <c r="L294" t="s">
        <v>5576</v>
      </c>
      <c r="M294" t="s">
        <v>18</v>
      </c>
      <c r="N294">
        <v>4</v>
      </c>
      <c r="O294" t="s">
        <v>5575</v>
      </c>
      <c r="P294" t="s">
        <v>5574</v>
      </c>
      <c r="Q294" t="s">
        <v>5573</v>
      </c>
      <c r="R294" s="8">
        <v>35765</v>
      </c>
      <c r="S294" s="9">
        <f t="shared" si="32"/>
        <v>1997</v>
      </c>
      <c r="T294" s="9">
        <v>1997</v>
      </c>
      <c r="U294" s="9">
        <f t="shared" si="33"/>
        <v>25</v>
      </c>
      <c r="V294" s="8">
        <v>1997</v>
      </c>
      <c r="W294" t="s">
        <v>392</v>
      </c>
      <c r="X294" s="2">
        <v>1.6519999999999999</v>
      </c>
      <c r="Y294" s="7">
        <f t="shared" si="34"/>
        <v>4.409919649769093E-2</v>
      </c>
      <c r="AA294" t="s">
        <v>391</v>
      </c>
      <c r="AB294">
        <v>17337</v>
      </c>
      <c r="AD294" t="s">
        <v>1</v>
      </c>
      <c r="AE294">
        <v>45</v>
      </c>
      <c r="AF294">
        <v>5</v>
      </c>
      <c r="AH294" t="s">
        <v>5572</v>
      </c>
      <c r="AI294" t="s">
        <v>5571</v>
      </c>
      <c r="AJ294" t="s">
        <v>5570</v>
      </c>
      <c r="AK294" t="s">
        <v>5569</v>
      </c>
      <c r="AL294">
        <v>189</v>
      </c>
      <c r="AM294" s="5">
        <f t="shared" si="35"/>
        <v>7.56</v>
      </c>
      <c r="AN294" s="4">
        <f t="shared" si="36"/>
        <v>1.1450208254449071E-2</v>
      </c>
      <c r="AO294" s="3"/>
      <c r="AP294">
        <v>0</v>
      </c>
      <c r="AQ294" t="s">
        <v>5568</v>
      </c>
      <c r="AR294" t="s">
        <v>0</v>
      </c>
      <c r="AS294" t="s">
        <v>5567</v>
      </c>
      <c r="AT294" s="2" t="s">
        <v>5</v>
      </c>
      <c r="AU294" s="1">
        <f t="shared" si="37"/>
        <v>3.4304500024718374</v>
      </c>
      <c r="AV294" s="1">
        <f t="shared" si="38"/>
        <v>2.777470237607</v>
      </c>
      <c r="AW294" s="1">
        <f t="shared" si="39"/>
        <v>2.1244904727421625</v>
      </c>
    </row>
    <row r="295" spans="1:49" x14ac:dyDescent="0.2">
      <c r="A295">
        <v>293</v>
      </c>
      <c r="B295" t="s">
        <v>5566</v>
      </c>
      <c r="C295" t="s">
        <v>5565</v>
      </c>
      <c r="D295" t="s">
        <v>5564</v>
      </c>
      <c r="F295" t="s">
        <v>5563</v>
      </c>
      <c r="G295" t="s">
        <v>4</v>
      </c>
      <c r="H295" t="s">
        <v>3</v>
      </c>
      <c r="I295" t="s">
        <v>5562</v>
      </c>
      <c r="J295">
        <v>112494566</v>
      </c>
      <c r="K295" t="s">
        <v>5561</v>
      </c>
      <c r="L295" t="s">
        <v>6</v>
      </c>
      <c r="M295" t="s">
        <v>2</v>
      </c>
      <c r="N295">
        <v>1</v>
      </c>
      <c r="O295" t="s">
        <v>5560</v>
      </c>
      <c r="P295">
        <v>7006829953</v>
      </c>
      <c r="Q295">
        <v>112494566</v>
      </c>
      <c r="R295" s="8">
        <v>35765</v>
      </c>
      <c r="S295" s="9">
        <f t="shared" si="32"/>
        <v>1997</v>
      </c>
      <c r="T295" s="9">
        <v>1997</v>
      </c>
      <c r="U295" s="9">
        <f t="shared" si="33"/>
        <v>25</v>
      </c>
      <c r="V295" s="8">
        <v>1997</v>
      </c>
      <c r="W295" t="s">
        <v>4294</v>
      </c>
      <c r="X295" s="2">
        <v>1.468</v>
      </c>
      <c r="Y295" s="7">
        <f t="shared" si="34"/>
        <v>3.9187421585115186E-2</v>
      </c>
      <c r="AA295">
        <v>906778</v>
      </c>
      <c r="AB295">
        <v>18931</v>
      </c>
      <c r="AD295" t="s">
        <v>1</v>
      </c>
      <c r="AE295">
        <v>45</v>
      </c>
      <c r="AF295">
        <v>5</v>
      </c>
      <c r="AH295" t="s">
        <v>5559</v>
      </c>
      <c r="AI295" t="s">
        <v>5558</v>
      </c>
      <c r="AK295" t="s">
        <v>5557</v>
      </c>
      <c r="AL295">
        <v>1</v>
      </c>
      <c r="AM295" s="5">
        <f t="shared" si="35"/>
        <v>0.04</v>
      </c>
      <c r="AN295" s="4">
        <f t="shared" si="36"/>
        <v>6.05831124574025E-5</v>
      </c>
      <c r="AO295" s="3"/>
      <c r="AP295">
        <v>0</v>
      </c>
      <c r="AR295" t="s">
        <v>0</v>
      </c>
      <c r="AT295" s="2">
        <v>5.0830000000000002</v>
      </c>
      <c r="AU295" s="1">
        <f t="shared" si="37"/>
        <v>2.7449370043317849</v>
      </c>
      <c r="AV295" s="1">
        <f t="shared" si="38"/>
        <v>1.9624002348786294</v>
      </c>
      <c r="AW295" s="1">
        <f t="shared" si="39"/>
        <v>1.1798634654254738</v>
      </c>
    </row>
    <row r="296" spans="1:49" x14ac:dyDescent="0.2">
      <c r="A296">
        <v>294</v>
      </c>
      <c r="B296" t="s">
        <v>5556</v>
      </c>
      <c r="C296" t="s">
        <v>5555</v>
      </c>
      <c r="D296" t="s">
        <v>5554</v>
      </c>
      <c r="F296" t="s">
        <v>5553</v>
      </c>
      <c r="G296" t="s">
        <v>4</v>
      </c>
      <c r="H296" t="s">
        <v>3</v>
      </c>
      <c r="I296" t="s">
        <v>351</v>
      </c>
      <c r="J296" t="s">
        <v>5552</v>
      </c>
      <c r="K296" t="s">
        <v>5551</v>
      </c>
      <c r="L296" t="s">
        <v>5550</v>
      </c>
      <c r="M296" t="s">
        <v>18</v>
      </c>
      <c r="N296">
        <v>3</v>
      </c>
      <c r="O296" t="s">
        <v>5549</v>
      </c>
      <c r="P296" t="s">
        <v>5548</v>
      </c>
      <c r="Q296" t="s">
        <v>5547</v>
      </c>
      <c r="R296" s="8">
        <v>35765</v>
      </c>
      <c r="S296" s="9">
        <f t="shared" si="32"/>
        <v>1997</v>
      </c>
      <c r="T296" s="9">
        <v>1997</v>
      </c>
      <c r="U296" s="9">
        <f t="shared" si="33"/>
        <v>25</v>
      </c>
      <c r="V296" s="8">
        <v>1997</v>
      </c>
      <c r="W296" t="s">
        <v>392</v>
      </c>
      <c r="X296" s="2">
        <v>1.6519999999999999</v>
      </c>
      <c r="Y296" s="7">
        <f t="shared" si="34"/>
        <v>4.409919649769093E-2</v>
      </c>
      <c r="AA296" t="s">
        <v>391</v>
      </c>
      <c r="AB296">
        <v>17337</v>
      </c>
      <c r="AD296" t="s">
        <v>1</v>
      </c>
      <c r="AE296">
        <v>45</v>
      </c>
      <c r="AF296">
        <v>5</v>
      </c>
      <c r="AH296" t="s">
        <v>5546</v>
      </c>
      <c r="AI296" t="s">
        <v>5545</v>
      </c>
      <c r="AJ296" t="s">
        <v>5544</v>
      </c>
      <c r="AK296" t="s">
        <v>5543</v>
      </c>
      <c r="AL296">
        <v>39</v>
      </c>
      <c r="AM296" s="5">
        <f t="shared" si="35"/>
        <v>1.56</v>
      </c>
      <c r="AN296" s="4">
        <f t="shared" si="36"/>
        <v>2.3627413858386976E-3</v>
      </c>
      <c r="AO296" s="3"/>
      <c r="AP296">
        <v>0</v>
      </c>
      <c r="AR296" t="s">
        <v>5542</v>
      </c>
      <c r="AT296" s="2" t="s">
        <v>5</v>
      </c>
      <c r="AU296" s="1">
        <f t="shared" si="37"/>
        <v>3.1578259964135262</v>
      </c>
      <c r="AV296" s="1">
        <f t="shared" si="38"/>
        <v>2.3230968941764814</v>
      </c>
      <c r="AW296" s="1">
        <f t="shared" si="39"/>
        <v>1.4883677919394367</v>
      </c>
    </row>
    <row r="297" spans="1:49" x14ac:dyDescent="0.2">
      <c r="A297">
        <v>295</v>
      </c>
      <c r="B297" t="s">
        <v>5541</v>
      </c>
      <c r="C297" t="s">
        <v>5540</v>
      </c>
      <c r="D297" t="s">
        <v>5539</v>
      </c>
      <c r="F297" t="s">
        <v>5538</v>
      </c>
      <c r="G297" t="s">
        <v>4</v>
      </c>
      <c r="H297" t="s">
        <v>3</v>
      </c>
      <c r="I297" t="s">
        <v>5537</v>
      </c>
      <c r="J297">
        <v>60009037</v>
      </c>
      <c r="K297" t="s">
        <v>314</v>
      </c>
      <c r="L297" t="s">
        <v>313</v>
      </c>
      <c r="M297" t="s">
        <v>2</v>
      </c>
      <c r="N297">
        <v>1</v>
      </c>
      <c r="O297" t="s">
        <v>5536</v>
      </c>
      <c r="P297">
        <v>7401913687</v>
      </c>
      <c r="Q297">
        <v>60009037</v>
      </c>
      <c r="R297" s="8">
        <v>35765</v>
      </c>
      <c r="S297" s="9">
        <f t="shared" si="32"/>
        <v>1997</v>
      </c>
      <c r="T297" s="9">
        <v>1997</v>
      </c>
      <c r="U297" s="9">
        <f t="shared" si="33"/>
        <v>25</v>
      </c>
      <c r="V297" s="8">
        <v>1997</v>
      </c>
      <c r="W297" t="s">
        <v>1379</v>
      </c>
      <c r="X297" s="2">
        <v>0.65500000000000003</v>
      </c>
      <c r="Y297" s="7">
        <f t="shared" si="34"/>
        <v>1.7484850911614749E-2</v>
      </c>
      <c r="AA297">
        <v>189375</v>
      </c>
      <c r="AB297">
        <v>26051</v>
      </c>
      <c r="AD297" t="s">
        <v>1</v>
      </c>
      <c r="AE297">
        <v>39</v>
      </c>
      <c r="AF297">
        <v>2</v>
      </c>
      <c r="AH297" t="s">
        <v>596</v>
      </c>
      <c r="AI297" t="s">
        <v>5535</v>
      </c>
      <c r="AK297" t="s">
        <v>5534</v>
      </c>
      <c r="AL297">
        <v>0</v>
      </c>
      <c r="AM297" s="5">
        <f t="shared" si="35"/>
        <v>0</v>
      </c>
      <c r="AN297" s="4">
        <f t="shared" si="36"/>
        <v>0</v>
      </c>
      <c r="AO297" s="3"/>
      <c r="AP297">
        <v>0</v>
      </c>
      <c r="AR297" t="s">
        <v>0</v>
      </c>
      <c r="AT297" s="2" t="s">
        <v>5</v>
      </c>
      <c r="AU297" s="1">
        <f t="shared" si="37"/>
        <v>1.2239395638130324</v>
      </c>
      <c r="AV297" s="1">
        <f t="shared" si="38"/>
        <v>0.87424254558073744</v>
      </c>
      <c r="AW297" s="1">
        <f t="shared" si="39"/>
        <v>0.52454552734844251</v>
      </c>
    </row>
    <row r="298" spans="1:49" x14ac:dyDescent="0.2">
      <c r="A298">
        <v>296</v>
      </c>
      <c r="B298" t="s">
        <v>5533</v>
      </c>
      <c r="C298" t="s">
        <v>5532</v>
      </c>
      <c r="D298" t="s">
        <v>5531</v>
      </c>
      <c r="F298" t="s">
        <v>5530</v>
      </c>
      <c r="G298" t="s">
        <v>4</v>
      </c>
      <c r="H298" t="s">
        <v>3</v>
      </c>
      <c r="I298" t="s">
        <v>5529</v>
      </c>
      <c r="J298">
        <v>60025778</v>
      </c>
      <c r="K298" t="s">
        <v>636</v>
      </c>
      <c r="L298" t="s">
        <v>635</v>
      </c>
      <c r="M298" t="s">
        <v>2</v>
      </c>
      <c r="N298">
        <v>2</v>
      </c>
      <c r="O298" t="s">
        <v>5528</v>
      </c>
      <c r="P298" t="s">
        <v>5527</v>
      </c>
      <c r="Q298" t="s">
        <v>634</v>
      </c>
      <c r="R298" s="8">
        <v>35765</v>
      </c>
      <c r="S298" s="9">
        <f t="shared" si="32"/>
        <v>1997</v>
      </c>
      <c r="T298" s="9">
        <v>1997</v>
      </c>
      <c r="U298" s="9">
        <f t="shared" si="33"/>
        <v>25</v>
      </c>
      <c r="V298" s="8">
        <v>1997</v>
      </c>
      <c r="W298" t="s">
        <v>392</v>
      </c>
      <c r="X298" s="2">
        <v>1.6519999999999999</v>
      </c>
      <c r="Y298" s="7">
        <f t="shared" si="34"/>
        <v>4.409919649769093E-2</v>
      </c>
      <c r="AA298" t="s">
        <v>391</v>
      </c>
      <c r="AB298">
        <v>17337</v>
      </c>
      <c r="AD298" t="s">
        <v>1</v>
      </c>
      <c r="AE298">
        <v>45</v>
      </c>
      <c r="AF298">
        <v>5</v>
      </c>
      <c r="AH298" t="s">
        <v>5526</v>
      </c>
      <c r="AI298" t="s">
        <v>5525</v>
      </c>
      <c r="AJ298" t="s">
        <v>5524</v>
      </c>
      <c r="AK298" t="s">
        <v>5523</v>
      </c>
      <c r="AL298">
        <v>53</v>
      </c>
      <c r="AM298" s="5">
        <f t="shared" si="35"/>
        <v>2.12</v>
      </c>
      <c r="AN298" s="4">
        <f t="shared" si="36"/>
        <v>3.2109049602423328E-3</v>
      </c>
      <c r="AO298" s="3"/>
      <c r="AP298">
        <v>0</v>
      </c>
      <c r="AQ298" t="s">
        <v>5522</v>
      </c>
      <c r="AR298" t="s">
        <v>0</v>
      </c>
      <c r="AS298" t="s">
        <v>5521</v>
      </c>
      <c r="AT298" s="2" t="s">
        <v>5</v>
      </c>
      <c r="AU298" s="1">
        <f t="shared" si="37"/>
        <v>3.183270903645635</v>
      </c>
      <c r="AV298" s="1">
        <f t="shared" si="38"/>
        <v>2.3655050728966631</v>
      </c>
      <c r="AW298" s="1">
        <f t="shared" si="39"/>
        <v>1.5477392421476912</v>
      </c>
    </row>
    <row r="299" spans="1:49" x14ac:dyDescent="0.2">
      <c r="A299">
        <v>297</v>
      </c>
      <c r="B299" t="s">
        <v>5520</v>
      </c>
      <c r="C299" t="s">
        <v>5519</v>
      </c>
      <c r="D299" t="s">
        <v>5518</v>
      </c>
      <c r="F299" t="s">
        <v>5517</v>
      </c>
      <c r="G299" t="s">
        <v>4</v>
      </c>
      <c r="H299" t="s">
        <v>3</v>
      </c>
      <c r="I299" t="s">
        <v>5516</v>
      </c>
      <c r="J299">
        <v>60000221</v>
      </c>
      <c r="K299" t="s">
        <v>142</v>
      </c>
      <c r="L299" t="s">
        <v>141</v>
      </c>
      <c r="M299" t="s">
        <v>2</v>
      </c>
      <c r="N299">
        <v>4</v>
      </c>
      <c r="O299" t="s">
        <v>5515</v>
      </c>
      <c r="P299" t="s">
        <v>5514</v>
      </c>
      <c r="Q299" t="s">
        <v>5513</v>
      </c>
      <c r="R299" s="8">
        <v>35765</v>
      </c>
      <c r="S299" s="9">
        <f t="shared" si="32"/>
        <v>1997</v>
      </c>
      <c r="T299" s="9">
        <v>1997</v>
      </c>
      <c r="U299" s="9">
        <f t="shared" si="33"/>
        <v>25</v>
      </c>
      <c r="V299" s="8">
        <v>1997</v>
      </c>
      <c r="W299" t="s">
        <v>1791</v>
      </c>
      <c r="X299" s="2">
        <v>2.141</v>
      </c>
      <c r="Y299" s="7">
        <f t="shared" si="34"/>
        <v>5.7152772216438434E-2</v>
      </c>
      <c r="AA299">
        <v>1962892</v>
      </c>
      <c r="AB299">
        <v>17360</v>
      </c>
      <c r="AD299" t="s">
        <v>1</v>
      </c>
      <c r="AE299">
        <v>35</v>
      </c>
      <c r="AF299">
        <v>3</v>
      </c>
      <c r="AH299" t="s">
        <v>5512</v>
      </c>
      <c r="AI299" t="s">
        <v>5511</v>
      </c>
      <c r="AK299" t="s">
        <v>5510</v>
      </c>
      <c r="AL299">
        <v>10</v>
      </c>
      <c r="AM299" s="5">
        <f t="shared" si="35"/>
        <v>0.4</v>
      </c>
      <c r="AN299" s="4">
        <f t="shared" si="36"/>
        <v>6.0583112457402507E-4</v>
      </c>
      <c r="AO299" s="3"/>
      <c r="AP299">
        <v>0</v>
      </c>
      <c r="AQ299" t="s">
        <v>53</v>
      </c>
      <c r="AR299" t="s">
        <v>5509</v>
      </c>
      <c r="AS299" t="s">
        <v>52</v>
      </c>
      <c r="AT299" s="2" t="s">
        <v>5</v>
      </c>
      <c r="AU299" s="1">
        <f t="shared" si="37"/>
        <v>4.0188689888879106</v>
      </c>
      <c r="AV299" s="1">
        <f t="shared" si="38"/>
        <v>2.887930167050623</v>
      </c>
      <c r="AW299" s="1">
        <f t="shared" si="39"/>
        <v>1.7569913452133348</v>
      </c>
    </row>
    <row r="300" spans="1:49" x14ac:dyDescent="0.2">
      <c r="A300">
        <v>298</v>
      </c>
      <c r="B300" t="s">
        <v>5508</v>
      </c>
      <c r="C300" t="s">
        <v>5507</v>
      </c>
      <c r="D300" t="s">
        <v>5506</v>
      </c>
      <c r="F300" t="s">
        <v>5505</v>
      </c>
      <c r="G300" t="s">
        <v>4</v>
      </c>
      <c r="H300" t="s">
        <v>3</v>
      </c>
      <c r="I300" t="s">
        <v>5504</v>
      </c>
      <c r="J300">
        <v>60104134</v>
      </c>
      <c r="K300" t="s">
        <v>5503</v>
      </c>
      <c r="L300" t="s">
        <v>5502</v>
      </c>
      <c r="M300" t="s">
        <v>5501</v>
      </c>
      <c r="N300">
        <v>2</v>
      </c>
      <c r="O300" t="s">
        <v>5500</v>
      </c>
      <c r="P300" t="s">
        <v>5499</v>
      </c>
      <c r="Q300" t="s">
        <v>5498</v>
      </c>
      <c r="R300" s="8">
        <v>35765</v>
      </c>
      <c r="S300" s="9">
        <f t="shared" si="32"/>
        <v>1997</v>
      </c>
      <c r="T300" s="9">
        <v>1997</v>
      </c>
      <c r="U300" s="9">
        <f t="shared" si="33"/>
        <v>25</v>
      </c>
      <c r="V300" s="8">
        <v>1997</v>
      </c>
      <c r="W300" t="s">
        <v>5497</v>
      </c>
      <c r="X300" s="2" t="s">
        <v>5</v>
      </c>
      <c r="Y300" s="7" t="e">
        <f t="shared" si="34"/>
        <v>#VALUE!</v>
      </c>
      <c r="AA300">
        <v>10577130</v>
      </c>
      <c r="AB300">
        <v>34461</v>
      </c>
      <c r="AD300" t="s">
        <v>1</v>
      </c>
      <c r="AE300">
        <v>44</v>
      </c>
      <c r="AF300">
        <v>5</v>
      </c>
      <c r="AH300" t="s">
        <v>239</v>
      </c>
      <c r="AI300" t="s">
        <v>5496</v>
      </c>
      <c r="AK300" t="s">
        <v>5495</v>
      </c>
      <c r="AL300">
        <v>12</v>
      </c>
      <c r="AM300" s="5">
        <f t="shared" si="35"/>
        <v>0.48</v>
      </c>
      <c r="AN300" s="4">
        <f t="shared" si="36"/>
        <v>7.2699734948882997E-4</v>
      </c>
      <c r="AO300" s="3"/>
      <c r="AP300">
        <v>0</v>
      </c>
      <c r="AR300" t="s">
        <v>0</v>
      </c>
      <c r="AT300" s="2" t="s">
        <v>5</v>
      </c>
      <c r="AU300" s="1" t="e">
        <f t="shared" si="37"/>
        <v>#VALUE!</v>
      </c>
      <c r="AV300" s="1" t="e">
        <f t="shared" si="38"/>
        <v>#VALUE!</v>
      </c>
      <c r="AW300" s="1" t="e">
        <f t="shared" si="39"/>
        <v>#VALUE!</v>
      </c>
    </row>
    <row r="301" spans="1:49" x14ac:dyDescent="0.2">
      <c r="A301">
        <v>299</v>
      </c>
      <c r="B301" t="s">
        <v>5494</v>
      </c>
      <c r="C301" t="s">
        <v>5493</v>
      </c>
      <c r="D301" t="s">
        <v>5492</v>
      </c>
      <c r="F301" t="s">
        <v>5491</v>
      </c>
      <c r="G301" t="s">
        <v>4</v>
      </c>
      <c r="H301" t="s">
        <v>3</v>
      </c>
      <c r="I301" t="s">
        <v>5490</v>
      </c>
      <c r="J301" t="s">
        <v>5489</v>
      </c>
      <c r="K301" t="s">
        <v>5488</v>
      </c>
      <c r="L301" t="s">
        <v>298</v>
      </c>
      <c r="M301" t="s">
        <v>128</v>
      </c>
      <c r="N301">
        <v>4</v>
      </c>
      <c r="O301" t="s">
        <v>5487</v>
      </c>
      <c r="P301" t="s">
        <v>5486</v>
      </c>
      <c r="Q301" t="s">
        <v>5485</v>
      </c>
      <c r="R301" s="8">
        <v>35765</v>
      </c>
      <c r="S301" s="9">
        <f t="shared" si="32"/>
        <v>1997</v>
      </c>
      <c r="T301" s="9">
        <v>1997</v>
      </c>
      <c r="U301" s="9">
        <f t="shared" si="33"/>
        <v>25</v>
      </c>
      <c r="V301" s="8">
        <v>1997</v>
      </c>
      <c r="W301" t="s">
        <v>4138</v>
      </c>
      <c r="X301" s="2">
        <v>0.9</v>
      </c>
      <c r="Y301" s="7">
        <f t="shared" si="34"/>
        <v>2.4024985985424845E-2</v>
      </c>
      <c r="AA301">
        <v>9630252</v>
      </c>
      <c r="AB301">
        <v>29614</v>
      </c>
      <c r="AD301" t="s">
        <v>1</v>
      </c>
      <c r="AE301">
        <v>6</v>
      </c>
      <c r="AF301">
        <v>2</v>
      </c>
      <c r="AH301" t="s">
        <v>5484</v>
      </c>
      <c r="AI301" t="s">
        <v>5483</v>
      </c>
      <c r="AK301" t="s">
        <v>5482</v>
      </c>
      <c r="AL301">
        <v>21</v>
      </c>
      <c r="AM301" s="5">
        <f t="shared" si="35"/>
        <v>0.84</v>
      </c>
      <c r="AN301" s="4">
        <f t="shared" si="36"/>
        <v>1.2722453616054524E-3</v>
      </c>
      <c r="AO301" s="3"/>
      <c r="AP301">
        <v>0</v>
      </c>
      <c r="AR301" t="s">
        <v>0</v>
      </c>
      <c r="AT301" s="2" t="s">
        <v>5</v>
      </c>
      <c r="AU301" s="1">
        <f t="shared" si="37"/>
        <v>1.7199163798279027</v>
      </c>
      <c r="AV301" s="1">
        <f t="shared" si="38"/>
        <v>1.2648615673515149</v>
      </c>
      <c r="AW301" s="1">
        <f t="shared" si="39"/>
        <v>0.8098067548751271</v>
      </c>
    </row>
    <row r="302" spans="1:49" x14ac:dyDescent="0.2">
      <c r="A302">
        <v>300</v>
      </c>
      <c r="B302" t="s">
        <v>5481</v>
      </c>
      <c r="C302" t="s">
        <v>5480</v>
      </c>
      <c r="D302" t="s">
        <v>5479</v>
      </c>
      <c r="F302" t="s">
        <v>5478</v>
      </c>
      <c r="G302" t="s">
        <v>4</v>
      </c>
      <c r="H302" t="s">
        <v>3</v>
      </c>
      <c r="I302" t="s">
        <v>5477</v>
      </c>
      <c r="J302">
        <v>60001439</v>
      </c>
      <c r="K302" t="s">
        <v>286</v>
      </c>
      <c r="L302" t="s">
        <v>285</v>
      </c>
      <c r="M302" t="s">
        <v>2</v>
      </c>
      <c r="N302">
        <v>4</v>
      </c>
      <c r="O302" t="s">
        <v>5476</v>
      </c>
      <c r="P302" t="s">
        <v>5475</v>
      </c>
      <c r="Q302" t="s">
        <v>5474</v>
      </c>
      <c r="R302" s="8">
        <v>35765</v>
      </c>
      <c r="S302" s="9">
        <f t="shared" si="32"/>
        <v>1997</v>
      </c>
      <c r="T302" s="9">
        <v>1997</v>
      </c>
      <c r="U302" s="9">
        <f t="shared" si="33"/>
        <v>25</v>
      </c>
      <c r="V302" s="8">
        <v>1997</v>
      </c>
      <c r="W302" t="s">
        <v>392</v>
      </c>
      <c r="X302" s="2">
        <v>1.6519999999999999</v>
      </c>
      <c r="Y302" s="7">
        <f t="shared" si="34"/>
        <v>4.409919649769093E-2</v>
      </c>
      <c r="AA302" t="s">
        <v>391</v>
      </c>
      <c r="AB302">
        <v>17337</v>
      </c>
      <c r="AD302" t="s">
        <v>1</v>
      </c>
      <c r="AE302">
        <v>45</v>
      </c>
      <c r="AF302">
        <v>5</v>
      </c>
      <c r="AH302" t="s">
        <v>5473</v>
      </c>
      <c r="AI302" t="s">
        <v>5472</v>
      </c>
      <c r="AJ302" t="s">
        <v>272</v>
      </c>
      <c r="AK302" t="s">
        <v>5471</v>
      </c>
      <c r="AL302">
        <v>4</v>
      </c>
      <c r="AM302" s="5">
        <f t="shared" si="35"/>
        <v>0.16</v>
      </c>
      <c r="AN302" s="4">
        <f t="shared" si="36"/>
        <v>2.4233244982961E-4</v>
      </c>
      <c r="AO302" s="3"/>
      <c r="AP302">
        <v>0</v>
      </c>
      <c r="AR302" t="s">
        <v>0</v>
      </c>
      <c r="AT302" s="2" t="s">
        <v>5</v>
      </c>
      <c r="AU302" s="1">
        <f t="shared" si="37"/>
        <v>3.0942137283332531</v>
      </c>
      <c r="AV302" s="1">
        <f t="shared" si="38"/>
        <v>2.2170764473760269</v>
      </c>
      <c r="AW302" s="1">
        <f t="shared" si="39"/>
        <v>1.3399391664188005</v>
      </c>
    </row>
    <row r="303" spans="1:49" x14ac:dyDescent="0.2">
      <c r="A303">
        <v>301</v>
      </c>
      <c r="B303" t="s">
        <v>5470</v>
      </c>
      <c r="C303" t="s">
        <v>5469</v>
      </c>
      <c r="D303" t="s">
        <v>5468</v>
      </c>
      <c r="F303" t="s">
        <v>5467</v>
      </c>
      <c r="G303" t="s">
        <v>4</v>
      </c>
      <c r="H303" t="s">
        <v>3</v>
      </c>
      <c r="I303" t="s">
        <v>5466</v>
      </c>
      <c r="J303">
        <v>60028229</v>
      </c>
      <c r="K303" t="s">
        <v>5465</v>
      </c>
      <c r="L303" t="s">
        <v>5464</v>
      </c>
      <c r="M303" t="s">
        <v>7</v>
      </c>
      <c r="N303">
        <v>3</v>
      </c>
      <c r="O303" t="s">
        <v>5463</v>
      </c>
      <c r="P303" t="s">
        <v>5462</v>
      </c>
      <c r="Q303" t="s">
        <v>5461</v>
      </c>
      <c r="R303" s="8">
        <v>35765</v>
      </c>
      <c r="S303" s="9">
        <f t="shared" si="32"/>
        <v>1997</v>
      </c>
      <c r="T303" s="9">
        <v>1997</v>
      </c>
      <c r="U303" s="9">
        <f t="shared" si="33"/>
        <v>25</v>
      </c>
      <c r="V303" s="8">
        <v>1997</v>
      </c>
      <c r="W303" t="s">
        <v>1791</v>
      </c>
      <c r="X303" s="2">
        <v>2.141</v>
      </c>
      <c r="Y303" s="7">
        <f t="shared" si="34"/>
        <v>5.7152772216438434E-2</v>
      </c>
      <c r="AA303">
        <v>1962892</v>
      </c>
      <c r="AB303">
        <v>17360</v>
      </c>
      <c r="AD303" t="s">
        <v>1</v>
      </c>
      <c r="AE303">
        <v>35</v>
      </c>
      <c r="AF303">
        <v>3</v>
      </c>
      <c r="AH303" t="s">
        <v>5460</v>
      </c>
      <c r="AI303" t="s">
        <v>5459</v>
      </c>
      <c r="AK303" t="s">
        <v>5458</v>
      </c>
      <c r="AL303">
        <v>47</v>
      </c>
      <c r="AM303" s="5">
        <f t="shared" si="35"/>
        <v>1.88</v>
      </c>
      <c r="AN303" s="4">
        <f t="shared" si="36"/>
        <v>2.8474062854979172E-3</v>
      </c>
      <c r="AO303" s="3"/>
      <c r="AP303">
        <v>0</v>
      </c>
      <c r="AQ303" t="s">
        <v>5457</v>
      </c>
      <c r="AR303" t="s">
        <v>5456</v>
      </c>
      <c r="AS303" t="s">
        <v>5455</v>
      </c>
      <c r="AT303" s="2" t="s">
        <v>5</v>
      </c>
      <c r="AU303" s="1">
        <f t="shared" si="37"/>
        <v>4.0861162437156278</v>
      </c>
      <c r="AV303" s="1">
        <f t="shared" si="38"/>
        <v>3.0000089250968176</v>
      </c>
      <c r="AW303" s="1">
        <f t="shared" si="39"/>
        <v>1.9139016064780072</v>
      </c>
    </row>
    <row r="304" spans="1:49" x14ac:dyDescent="0.2">
      <c r="A304">
        <v>302</v>
      </c>
      <c r="B304" t="s">
        <v>5454</v>
      </c>
      <c r="C304" t="s">
        <v>5453</v>
      </c>
      <c r="D304" t="s">
        <v>5452</v>
      </c>
      <c r="F304" t="s">
        <v>5451</v>
      </c>
      <c r="G304" t="s">
        <v>4</v>
      </c>
      <c r="H304" t="s">
        <v>3</v>
      </c>
      <c r="I304" t="s">
        <v>5450</v>
      </c>
      <c r="J304">
        <v>60023610</v>
      </c>
      <c r="K304" t="s">
        <v>5449</v>
      </c>
      <c r="L304" t="s">
        <v>5448</v>
      </c>
      <c r="M304" t="s">
        <v>39</v>
      </c>
      <c r="N304">
        <v>3</v>
      </c>
      <c r="O304" t="s">
        <v>5447</v>
      </c>
      <c r="P304" t="s">
        <v>5446</v>
      </c>
      <c r="Q304" t="s">
        <v>5445</v>
      </c>
      <c r="R304" s="8">
        <v>35765</v>
      </c>
      <c r="S304" s="9">
        <f t="shared" si="32"/>
        <v>1997</v>
      </c>
      <c r="T304" s="9">
        <v>1997</v>
      </c>
      <c r="U304" s="9">
        <f t="shared" si="33"/>
        <v>25</v>
      </c>
      <c r="V304" s="8">
        <v>1997</v>
      </c>
      <c r="W304" t="s">
        <v>1803</v>
      </c>
      <c r="X304" s="2">
        <v>1.6379999999999999</v>
      </c>
      <c r="Y304" s="7">
        <f t="shared" si="34"/>
        <v>4.3725474493473214E-2</v>
      </c>
      <c r="AA304" t="s">
        <v>1802</v>
      </c>
      <c r="AB304">
        <v>17391</v>
      </c>
      <c r="AD304" t="s">
        <v>1</v>
      </c>
      <c r="AE304">
        <v>45</v>
      </c>
      <c r="AF304">
        <v>5</v>
      </c>
      <c r="AH304" t="s">
        <v>5444</v>
      </c>
      <c r="AI304" t="s">
        <v>5443</v>
      </c>
      <c r="AJ304" t="s">
        <v>5442</v>
      </c>
      <c r="AK304" t="s">
        <v>5441</v>
      </c>
      <c r="AL304">
        <v>73</v>
      </c>
      <c r="AM304" s="5">
        <f t="shared" si="35"/>
        <v>2.92</v>
      </c>
      <c r="AN304" s="4">
        <f t="shared" si="36"/>
        <v>4.4225672093903823E-3</v>
      </c>
      <c r="AO304" s="3"/>
      <c r="AP304">
        <v>0</v>
      </c>
      <c r="AR304" t="s">
        <v>5440</v>
      </c>
      <c r="AS304" t="s">
        <v>5439</v>
      </c>
      <c r="AT304" s="2">
        <v>4.931</v>
      </c>
      <c r="AU304" s="1">
        <f t="shared" si="37"/>
        <v>3.1934602308248365</v>
      </c>
      <c r="AV304" s="1">
        <f t="shared" si="38"/>
        <v>2.4074020851431799</v>
      </c>
      <c r="AW304" s="1">
        <f t="shared" si="39"/>
        <v>1.6213439394615232</v>
      </c>
    </row>
    <row r="305" spans="1:49" x14ac:dyDescent="0.2">
      <c r="A305">
        <v>303</v>
      </c>
      <c r="B305" t="s">
        <v>5438</v>
      </c>
      <c r="C305" t="s">
        <v>5437</v>
      </c>
      <c r="D305" t="s">
        <v>5436</v>
      </c>
      <c r="F305" t="s">
        <v>5435</v>
      </c>
      <c r="G305" t="s">
        <v>4</v>
      </c>
      <c r="H305" t="s">
        <v>3</v>
      </c>
      <c r="I305" t="s">
        <v>5434</v>
      </c>
      <c r="J305">
        <v>60033012</v>
      </c>
      <c r="K305" t="s">
        <v>32</v>
      </c>
      <c r="L305" t="s">
        <v>31</v>
      </c>
      <c r="M305" t="s">
        <v>2</v>
      </c>
      <c r="N305">
        <v>1</v>
      </c>
      <c r="O305" t="s">
        <v>5433</v>
      </c>
      <c r="P305">
        <v>7201910962</v>
      </c>
      <c r="Q305">
        <v>60033012</v>
      </c>
      <c r="R305" s="8">
        <v>35765</v>
      </c>
      <c r="S305" s="9">
        <f t="shared" si="32"/>
        <v>1997</v>
      </c>
      <c r="T305" s="9">
        <v>1997</v>
      </c>
      <c r="U305" s="9">
        <f t="shared" si="33"/>
        <v>25</v>
      </c>
      <c r="V305" s="8">
        <v>1997</v>
      </c>
      <c r="W305" t="s">
        <v>1379</v>
      </c>
      <c r="X305" s="2">
        <v>0.65500000000000003</v>
      </c>
      <c r="Y305" s="7">
        <f t="shared" si="34"/>
        <v>1.7484850911614749E-2</v>
      </c>
      <c r="AA305">
        <v>189375</v>
      </c>
      <c r="AB305">
        <v>26051</v>
      </c>
      <c r="AD305" t="s">
        <v>1</v>
      </c>
      <c r="AE305">
        <v>39</v>
      </c>
      <c r="AF305">
        <v>2</v>
      </c>
      <c r="AH305" t="s">
        <v>5432</v>
      </c>
      <c r="AI305" t="s">
        <v>5431</v>
      </c>
      <c r="AK305" t="s">
        <v>5430</v>
      </c>
      <c r="AL305">
        <v>19</v>
      </c>
      <c r="AM305" s="5">
        <f t="shared" si="35"/>
        <v>0.76</v>
      </c>
      <c r="AN305" s="4">
        <f t="shared" si="36"/>
        <v>1.1510791366906475E-3</v>
      </c>
      <c r="AO305" s="3"/>
      <c r="AP305">
        <v>0</v>
      </c>
      <c r="AQ305" t="s">
        <v>157</v>
      </c>
      <c r="AR305" t="s">
        <v>0</v>
      </c>
      <c r="AS305" t="s">
        <v>156</v>
      </c>
      <c r="AT305" s="2" t="s">
        <v>5</v>
      </c>
      <c r="AU305" s="1">
        <f t="shared" si="37"/>
        <v>1.2584719379137517</v>
      </c>
      <c r="AV305" s="1">
        <f t="shared" si="38"/>
        <v>0.93179650241526979</v>
      </c>
      <c r="AW305" s="1">
        <f t="shared" si="39"/>
        <v>0.6051210669167878</v>
      </c>
    </row>
    <row r="306" spans="1:49" x14ac:dyDescent="0.2">
      <c r="A306">
        <v>304</v>
      </c>
      <c r="B306" t="s">
        <v>5429</v>
      </c>
      <c r="C306" t="s">
        <v>5428</v>
      </c>
      <c r="D306" t="s">
        <v>5427</v>
      </c>
      <c r="F306" t="s">
        <v>5426</v>
      </c>
      <c r="G306" t="s">
        <v>4</v>
      </c>
      <c r="H306" t="s">
        <v>3</v>
      </c>
      <c r="I306" t="s">
        <v>5425</v>
      </c>
      <c r="J306">
        <v>100735953</v>
      </c>
      <c r="K306" t="s">
        <v>5424</v>
      </c>
      <c r="L306" t="s">
        <v>480</v>
      </c>
      <c r="M306" t="s">
        <v>29</v>
      </c>
      <c r="N306">
        <v>2</v>
      </c>
      <c r="O306" t="s">
        <v>5423</v>
      </c>
      <c r="P306" t="s">
        <v>5422</v>
      </c>
      <c r="Q306" t="s">
        <v>5421</v>
      </c>
      <c r="R306" s="8">
        <v>35765</v>
      </c>
      <c r="S306" s="9">
        <f t="shared" si="32"/>
        <v>1997</v>
      </c>
      <c r="T306" s="9">
        <v>1997</v>
      </c>
      <c r="U306" s="9">
        <f t="shared" si="33"/>
        <v>25</v>
      </c>
      <c r="V306" s="8">
        <v>1997</v>
      </c>
      <c r="W306" t="s">
        <v>1791</v>
      </c>
      <c r="X306" s="2">
        <v>2.141</v>
      </c>
      <c r="Y306" s="7">
        <f t="shared" si="34"/>
        <v>5.7152772216438434E-2</v>
      </c>
      <c r="AA306">
        <v>1962892</v>
      </c>
      <c r="AB306">
        <v>17360</v>
      </c>
      <c r="AD306" t="s">
        <v>1</v>
      </c>
      <c r="AE306">
        <v>35</v>
      </c>
      <c r="AF306">
        <v>3</v>
      </c>
      <c r="AH306" t="s">
        <v>5420</v>
      </c>
      <c r="AI306" t="s">
        <v>5419</v>
      </c>
      <c r="AK306" t="s">
        <v>5418</v>
      </c>
      <c r="AL306">
        <v>98</v>
      </c>
      <c r="AM306" s="5">
        <f t="shared" si="35"/>
        <v>3.92</v>
      </c>
      <c r="AN306" s="4">
        <f t="shared" si="36"/>
        <v>5.9371450208254451E-3</v>
      </c>
      <c r="AO306" s="3"/>
      <c r="AP306">
        <v>0</v>
      </c>
      <c r="AQ306" t="s">
        <v>195</v>
      </c>
      <c r="AR306" t="s">
        <v>0</v>
      </c>
      <c r="AS306" t="s">
        <v>194</v>
      </c>
      <c r="AT306" s="2" t="s">
        <v>5</v>
      </c>
      <c r="AU306" s="1">
        <f t="shared" si="37"/>
        <v>4.1788084057754533</v>
      </c>
      <c r="AV306" s="1">
        <f t="shared" si="38"/>
        <v>3.1544958618631944</v>
      </c>
      <c r="AW306" s="1">
        <f t="shared" si="39"/>
        <v>2.1301833179509342</v>
      </c>
    </row>
    <row r="307" spans="1:49" x14ac:dyDescent="0.2">
      <c r="A307">
        <v>305</v>
      </c>
      <c r="B307" t="s">
        <v>5417</v>
      </c>
      <c r="C307" t="s">
        <v>5416</v>
      </c>
      <c r="D307" t="s">
        <v>5415</v>
      </c>
      <c r="F307" t="s">
        <v>5414</v>
      </c>
      <c r="G307" t="s">
        <v>4</v>
      </c>
      <c r="H307" t="s">
        <v>3</v>
      </c>
      <c r="I307" t="s">
        <v>5413</v>
      </c>
      <c r="J307" t="s">
        <v>5412</v>
      </c>
      <c r="K307" t="s">
        <v>5411</v>
      </c>
      <c r="L307" t="s">
        <v>5410</v>
      </c>
      <c r="M307" t="s">
        <v>456</v>
      </c>
      <c r="N307">
        <v>2</v>
      </c>
      <c r="O307" t="s">
        <v>5409</v>
      </c>
      <c r="P307" t="s">
        <v>5408</v>
      </c>
      <c r="Q307" t="s">
        <v>5407</v>
      </c>
      <c r="R307" s="8">
        <v>35765</v>
      </c>
      <c r="S307" s="9">
        <f t="shared" si="32"/>
        <v>1997</v>
      </c>
      <c r="T307" s="9">
        <v>1997</v>
      </c>
      <c r="U307" s="9">
        <f t="shared" si="33"/>
        <v>25</v>
      </c>
      <c r="V307" s="8">
        <v>1997</v>
      </c>
      <c r="W307" t="s">
        <v>5406</v>
      </c>
      <c r="X307" s="2">
        <v>1.218</v>
      </c>
      <c r="Y307" s="7">
        <f t="shared" si="34"/>
        <v>3.2513814366941618E-2</v>
      </c>
      <c r="AA307">
        <v>189448</v>
      </c>
      <c r="AB307">
        <v>15107</v>
      </c>
      <c r="AD307" t="s">
        <v>1</v>
      </c>
      <c r="AE307">
        <v>43</v>
      </c>
      <c r="AF307">
        <v>3</v>
      </c>
      <c r="AH307" t="s">
        <v>5405</v>
      </c>
      <c r="AI307" t="s">
        <v>5404</v>
      </c>
      <c r="AJ307" t="s">
        <v>5403</v>
      </c>
      <c r="AK307" t="s">
        <v>5402</v>
      </c>
      <c r="AL307">
        <v>4</v>
      </c>
      <c r="AM307" s="5">
        <f t="shared" si="35"/>
        <v>0.16</v>
      </c>
      <c r="AN307" s="4">
        <f t="shared" si="36"/>
        <v>2.4233244982961E-4</v>
      </c>
      <c r="AO307" s="3"/>
      <c r="AP307">
        <v>0</v>
      </c>
      <c r="AQ307" t="s">
        <v>53</v>
      </c>
      <c r="AR307" t="s">
        <v>0</v>
      </c>
      <c r="AS307" t="s">
        <v>52</v>
      </c>
      <c r="AT307" s="2" t="s">
        <v>5</v>
      </c>
      <c r="AU307" s="1">
        <f t="shared" si="37"/>
        <v>2.2832369791808014</v>
      </c>
      <c r="AV307" s="1">
        <f t="shared" si="38"/>
        <v>1.6378073408385614</v>
      </c>
      <c r="AW307" s="1">
        <f t="shared" si="39"/>
        <v>0.99237770249632118</v>
      </c>
    </row>
    <row r="308" spans="1:49" x14ac:dyDescent="0.2">
      <c r="A308">
        <v>306</v>
      </c>
      <c r="B308" t="s">
        <v>5401</v>
      </c>
      <c r="C308" t="s">
        <v>5400</v>
      </c>
      <c r="D308" t="s">
        <v>5399</v>
      </c>
      <c r="F308" t="s">
        <v>5398</v>
      </c>
      <c r="G308" t="s">
        <v>4</v>
      </c>
      <c r="H308" t="s">
        <v>3</v>
      </c>
      <c r="I308" t="s">
        <v>5397</v>
      </c>
      <c r="J308" t="s">
        <v>5396</v>
      </c>
      <c r="K308" t="s">
        <v>5395</v>
      </c>
      <c r="L308" t="s">
        <v>5394</v>
      </c>
      <c r="M308" t="s">
        <v>626</v>
      </c>
      <c r="N308">
        <v>2</v>
      </c>
      <c r="O308" t="s">
        <v>5393</v>
      </c>
      <c r="P308" t="s">
        <v>5392</v>
      </c>
      <c r="Q308" t="s">
        <v>5391</v>
      </c>
      <c r="R308" s="8">
        <v>35765</v>
      </c>
      <c r="S308" s="9">
        <f t="shared" si="32"/>
        <v>1997</v>
      </c>
      <c r="T308" s="9">
        <v>1997</v>
      </c>
      <c r="U308" s="9">
        <f t="shared" si="33"/>
        <v>25</v>
      </c>
      <c r="V308" s="8">
        <v>1997</v>
      </c>
      <c r="W308" t="s">
        <v>1803</v>
      </c>
      <c r="X308" s="2">
        <v>1.6379999999999999</v>
      </c>
      <c r="Y308" s="7">
        <f t="shared" si="34"/>
        <v>4.3725474493473214E-2</v>
      </c>
      <c r="AA308" t="s">
        <v>1802</v>
      </c>
      <c r="AB308">
        <v>17391</v>
      </c>
      <c r="AD308" t="s">
        <v>1</v>
      </c>
      <c r="AE308">
        <v>45</v>
      </c>
      <c r="AF308">
        <v>5</v>
      </c>
      <c r="AH308" t="s">
        <v>5390</v>
      </c>
      <c r="AI308" t="s">
        <v>5389</v>
      </c>
      <c r="AK308" t="s">
        <v>5388</v>
      </c>
      <c r="AL308">
        <v>11</v>
      </c>
      <c r="AM308" s="5">
        <f t="shared" si="35"/>
        <v>0.44</v>
      </c>
      <c r="AN308" s="4">
        <f t="shared" si="36"/>
        <v>6.6641423703142752E-4</v>
      </c>
      <c r="AO308" s="3"/>
      <c r="AP308">
        <v>0</v>
      </c>
      <c r="AR308" t="s">
        <v>5387</v>
      </c>
      <c r="AT308" s="2">
        <v>4.931</v>
      </c>
      <c r="AU308" s="1">
        <f t="shared" si="37"/>
        <v>3.0807756416540677</v>
      </c>
      <c r="AV308" s="1">
        <f t="shared" si="38"/>
        <v>2.2195944365252318</v>
      </c>
      <c r="AW308" s="1">
        <f t="shared" si="39"/>
        <v>1.3584132313963964</v>
      </c>
    </row>
    <row r="309" spans="1:49" x14ac:dyDescent="0.2">
      <c r="A309">
        <v>307</v>
      </c>
      <c r="B309" t="s">
        <v>5386</v>
      </c>
      <c r="C309" t="s">
        <v>5385</v>
      </c>
      <c r="D309" t="s">
        <v>5384</v>
      </c>
      <c r="F309" t="s">
        <v>5383</v>
      </c>
      <c r="G309" t="s">
        <v>4</v>
      </c>
      <c r="H309" t="s">
        <v>3</v>
      </c>
      <c r="I309" t="s">
        <v>5382</v>
      </c>
      <c r="J309">
        <v>60003003</v>
      </c>
      <c r="K309" t="s">
        <v>5381</v>
      </c>
      <c r="L309" t="s">
        <v>5380</v>
      </c>
      <c r="M309" t="s">
        <v>116</v>
      </c>
      <c r="N309">
        <v>1</v>
      </c>
      <c r="O309" t="s">
        <v>5379</v>
      </c>
      <c r="P309">
        <v>7005171615</v>
      </c>
      <c r="Q309">
        <v>60003003</v>
      </c>
      <c r="R309" s="8">
        <v>35765</v>
      </c>
      <c r="S309" s="9">
        <f t="shared" si="32"/>
        <v>1997</v>
      </c>
      <c r="T309" s="9">
        <v>1997</v>
      </c>
      <c r="U309" s="9">
        <f t="shared" si="33"/>
        <v>25</v>
      </c>
      <c r="V309" s="8">
        <v>1997</v>
      </c>
      <c r="W309" t="s">
        <v>448</v>
      </c>
      <c r="X309" s="2">
        <v>1.3720000000000001</v>
      </c>
      <c r="Y309" s="7">
        <f t="shared" si="34"/>
        <v>3.662475641333654E-2</v>
      </c>
      <c r="AA309">
        <v>189480</v>
      </c>
      <c r="AB309">
        <v>17366</v>
      </c>
      <c r="AD309" t="s">
        <v>1</v>
      </c>
      <c r="AE309">
        <v>45</v>
      </c>
      <c r="AF309" t="s">
        <v>5378</v>
      </c>
      <c r="AH309" t="s">
        <v>5377</v>
      </c>
      <c r="AI309" t="s">
        <v>5376</v>
      </c>
      <c r="AJ309" t="s">
        <v>5375</v>
      </c>
      <c r="AK309" t="s">
        <v>5374</v>
      </c>
      <c r="AL309">
        <v>24</v>
      </c>
      <c r="AM309" s="5">
        <f t="shared" si="35"/>
        <v>0.96</v>
      </c>
      <c r="AN309" s="4">
        <f t="shared" si="36"/>
        <v>1.4539946989776599E-3</v>
      </c>
      <c r="AO309" s="3"/>
      <c r="AP309">
        <v>0</v>
      </c>
      <c r="AR309" t="s">
        <v>0</v>
      </c>
      <c r="AT309" s="2" t="s">
        <v>5</v>
      </c>
      <c r="AU309" s="1">
        <f t="shared" si="37"/>
        <v>2.6073527899028877</v>
      </c>
      <c r="AV309" s="1">
        <f t="shared" si="38"/>
        <v>1.9039375556157101</v>
      </c>
      <c r="AW309" s="1">
        <f t="shared" si="39"/>
        <v>1.2005223213285323</v>
      </c>
    </row>
    <row r="310" spans="1:49" x14ac:dyDescent="0.2">
      <c r="A310">
        <v>308</v>
      </c>
      <c r="B310" t="s">
        <v>5373</v>
      </c>
      <c r="C310" t="s">
        <v>5372</v>
      </c>
      <c r="D310" t="s">
        <v>5371</v>
      </c>
      <c r="F310" t="s">
        <v>5370</v>
      </c>
      <c r="G310" t="s">
        <v>4</v>
      </c>
      <c r="H310" t="s">
        <v>3</v>
      </c>
      <c r="I310" t="s">
        <v>5369</v>
      </c>
      <c r="J310">
        <v>60031838</v>
      </c>
      <c r="K310" t="s">
        <v>5368</v>
      </c>
      <c r="L310" t="s">
        <v>5367</v>
      </c>
      <c r="M310" t="s">
        <v>111</v>
      </c>
      <c r="N310">
        <v>2</v>
      </c>
      <c r="O310" t="s">
        <v>5366</v>
      </c>
      <c r="P310" t="s">
        <v>5365</v>
      </c>
      <c r="Q310" t="s">
        <v>5364</v>
      </c>
      <c r="R310" s="8">
        <v>35765</v>
      </c>
      <c r="S310" s="9">
        <f t="shared" si="32"/>
        <v>1997</v>
      </c>
      <c r="T310" s="9">
        <v>1997</v>
      </c>
      <c r="U310" s="9">
        <f t="shared" si="33"/>
        <v>25</v>
      </c>
      <c r="V310" s="8">
        <v>1997</v>
      </c>
      <c r="W310" t="s">
        <v>4163</v>
      </c>
      <c r="X310" s="2">
        <v>1.365</v>
      </c>
      <c r="Y310" s="7">
        <f t="shared" si="34"/>
        <v>3.6437895411227675E-2</v>
      </c>
      <c r="AA310">
        <v>189545</v>
      </c>
      <c r="AB310">
        <v>17393</v>
      </c>
      <c r="AD310" t="s">
        <v>1</v>
      </c>
      <c r="AE310">
        <v>46</v>
      </c>
      <c r="AF310">
        <v>2</v>
      </c>
      <c r="AH310" t="s">
        <v>5363</v>
      </c>
      <c r="AI310" t="s">
        <v>5362</v>
      </c>
      <c r="AJ310" t="s">
        <v>5361</v>
      </c>
      <c r="AK310" t="s">
        <v>5360</v>
      </c>
      <c r="AL310">
        <v>9</v>
      </c>
      <c r="AM310" s="5">
        <f t="shared" si="35"/>
        <v>0.36</v>
      </c>
      <c r="AN310" s="4">
        <f t="shared" si="36"/>
        <v>5.4524801211662251E-4</v>
      </c>
      <c r="AO310" s="3"/>
      <c r="AP310">
        <v>0</v>
      </c>
      <c r="AR310" t="s">
        <v>0</v>
      </c>
      <c r="AT310" s="2" t="s">
        <v>5</v>
      </c>
      <c r="AU310" s="1">
        <f t="shared" si="37"/>
        <v>2.5670101191494354</v>
      </c>
      <c r="AV310" s="1">
        <f t="shared" si="38"/>
        <v>1.849157171167215</v>
      </c>
      <c r="AW310" s="1">
        <f t="shared" si="39"/>
        <v>1.1313042231849937</v>
      </c>
    </row>
    <row r="311" spans="1:49" x14ac:dyDescent="0.2">
      <c r="A311">
        <v>309</v>
      </c>
      <c r="B311" t="s">
        <v>5359</v>
      </c>
      <c r="C311" t="s">
        <v>5358</v>
      </c>
      <c r="D311" t="s">
        <v>5357</v>
      </c>
      <c r="F311" t="s">
        <v>5356</v>
      </c>
      <c r="G311" t="s">
        <v>4</v>
      </c>
      <c r="H311" t="s">
        <v>3</v>
      </c>
      <c r="I311" t="s">
        <v>5355</v>
      </c>
      <c r="J311">
        <v>60014300</v>
      </c>
      <c r="K311" t="s">
        <v>5354</v>
      </c>
      <c r="L311" t="s">
        <v>5353</v>
      </c>
      <c r="M311" t="s">
        <v>2</v>
      </c>
      <c r="N311">
        <v>3</v>
      </c>
      <c r="O311" t="s">
        <v>5352</v>
      </c>
      <c r="P311" t="s">
        <v>5351</v>
      </c>
      <c r="Q311" t="s">
        <v>5350</v>
      </c>
      <c r="R311" s="8">
        <v>35765</v>
      </c>
      <c r="S311" s="9">
        <f t="shared" si="32"/>
        <v>1997</v>
      </c>
      <c r="T311" s="9">
        <v>1997</v>
      </c>
      <c r="U311" s="9">
        <f t="shared" si="33"/>
        <v>25</v>
      </c>
      <c r="V311" s="8">
        <v>1997</v>
      </c>
      <c r="W311" t="s">
        <v>4163</v>
      </c>
      <c r="X311" s="2">
        <v>1.365</v>
      </c>
      <c r="Y311" s="7">
        <f t="shared" si="34"/>
        <v>3.6437895411227675E-2</v>
      </c>
      <c r="AA311">
        <v>189545</v>
      </c>
      <c r="AB311">
        <v>17393</v>
      </c>
      <c r="AD311" t="s">
        <v>1</v>
      </c>
      <c r="AE311">
        <v>46</v>
      </c>
      <c r="AF311">
        <v>2</v>
      </c>
      <c r="AH311" t="s">
        <v>5349</v>
      </c>
      <c r="AI311" t="s">
        <v>5348</v>
      </c>
      <c r="AJ311" t="s">
        <v>5347</v>
      </c>
      <c r="AK311" t="s">
        <v>5346</v>
      </c>
      <c r="AL311">
        <v>28</v>
      </c>
      <c r="AM311" s="5">
        <f t="shared" si="35"/>
        <v>1.1200000000000001</v>
      </c>
      <c r="AN311" s="4">
        <f t="shared" si="36"/>
        <v>1.6963271488072702E-3</v>
      </c>
      <c r="AO311" s="3"/>
      <c r="AP311">
        <v>0</v>
      </c>
      <c r="AR311" t="s">
        <v>0</v>
      </c>
      <c r="AT311" s="2" t="s">
        <v>5</v>
      </c>
      <c r="AU311" s="1">
        <f t="shared" si="37"/>
        <v>2.6015424932501552</v>
      </c>
      <c r="AV311" s="1">
        <f t="shared" si="38"/>
        <v>1.9067111280017472</v>
      </c>
      <c r="AW311" s="1">
        <f t="shared" si="39"/>
        <v>1.2118797627533391</v>
      </c>
    </row>
    <row r="312" spans="1:49" x14ac:dyDescent="0.2">
      <c r="A312">
        <v>310</v>
      </c>
      <c r="B312" t="s">
        <v>5345</v>
      </c>
      <c r="C312" t="s">
        <v>5344</v>
      </c>
      <c r="D312" t="s">
        <v>5343</v>
      </c>
      <c r="F312" t="s">
        <v>5342</v>
      </c>
      <c r="G312" t="s">
        <v>4</v>
      </c>
      <c r="H312" t="s">
        <v>3</v>
      </c>
      <c r="I312" t="s">
        <v>5341</v>
      </c>
      <c r="J312" t="s">
        <v>5340</v>
      </c>
      <c r="K312" t="s">
        <v>5339</v>
      </c>
      <c r="L312" t="s">
        <v>5338</v>
      </c>
      <c r="M312" t="s">
        <v>18</v>
      </c>
      <c r="N312">
        <v>3</v>
      </c>
      <c r="O312" t="s">
        <v>5337</v>
      </c>
      <c r="P312" t="s">
        <v>5336</v>
      </c>
      <c r="Q312" t="s">
        <v>5335</v>
      </c>
      <c r="R312" s="8">
        <v>35765</v>
      </c>
      <c r="S312" s="9">
        <f t="shared" si="32"/>
        <v>1997</v>
      </c>
      <c r="T312" s="9">
        <v>1997</v>
      </c>
      <c r="U312" s="9">
        <f t="shared" si="33"/>
        <v>25</v>
      </c>
      <c r="V312" s="8">
        <v>1997</v>
      </c>
      <c r="W312" t="s">
        <v>392</v>
      </c>
      <c r="X312" s="2">
        <v>1.6519999999999999</v>
      </c>
      <c r="Y312" s="7">
        <f t="shared" si="34"/>
        <v>4.409919649769093E-2</v>
      </c>
      <c r="AA312" t="s">
        <v>391</v>
      </c>
      <c r="AB312">
        <v>17337</v>
      </c>
      <c r="AD312" t="s">
        <v>1</v>
      </c>
      <c r="AE312">
        <v>45</v>
      </c>
      <c r="AF312">
        <v>5</v>
      </c>
      <c r="AH312" t="s">
        <v>5334</v>
      </c>
      <c r="AI312" t="s">
        <v>5333</v>
      </c>
      <c r="AJ312" t="s">
        <v>5332</v>
      </c>
      <c r="AK312" t="s">
        <v>5331</v>
      </c>
      <c r="AL312">
        <v>17</v>
      </c>
      <c r="AM312" s="5">
        <f t="shared" si="35"/>
        <v>0.68</v>
      </c>
      <c r="AN312" s="4">
        <f t="shared" si="36"/>
        <v>1.0299129117758426E-3</v>
      </c>
      <c r="AO312" s="3"/>
      <c r="AP312">
        <v>0</v>
      </c>
      <c r="AQ312" t="s">
        <v>639</v>
      </c>
      <c r="AR312" t="s">
        <v>0</v>
      </c>
      <c r="AS312" t="s">
        <v>638</v>
      </c>
      <c r="AT312" s="2" t="s">
        <v>5</v>
      </c>
      <c r="AU312" s="1">
        <f t="shared" si="37"/>
        <v>3.1178411421916405</v>
      </c>
      <c r="AV312" s="1">
        <f t="shared" si="38"/>
        <v>2.2564554704733388</v>
      </c>
      <c r="AW312" s="1">
        <f t="shared" si="39"/>
        <v>1.3950697987550367</v>
      </c>
    </row>
    <row r="313" spans="1:49" x14ac:dyDescent="0.2">
      <c r="A313">
        <v>311</v>
      </c>
      <c r="B313" t="s">
        <v>5330</v>
      </c>
      <c r="C313" t="s">
        <v>5329</v>
      </c>
      <c r="D313" t="s">
        <v>5328</v>
      </c>
      <c r="F313" t="s">
        <v>5327</v>
      </c>
      <c r="G313" t="s">
        <v>4</v>
      </c>
      <c r="H313" t="s">
        <v>3</v>
      </c>
      <c r="I313" t="s">
        <v>5326</v>
      </c>
      <c r="J313" t="s">
        <v>5325</v>
      </c>
      <c r="K313" t="s">
        <v>5324</v>
      </c>
      <c r="L313" t="s">
        <v>5323</v>
      </c>
      <c r="M313" t="s">
        <v>77</v>
      </c>
      <c r="N313">
        <v>5</v>
      </c>
      <c r="O313" t="s">
        <v>5322</v>
      </c>
      <c r="P313" t="s">
        <v>5321</v>
      </c>
      <c r="Q313" t="s">
        <v>5320</v>
      </c>
      <c r="R313" s="8">
        <v>35765</v>
      </c>
      <c r="S313" s="9">
        <f t="shared" si="32"/>
        <v>1997</v>
      </c>
      <c r="T313" s="9">
        <v>1997</v>
      </c>
      <c r="U313" s="9">
        <f t="shared" si="33"/>
        <v>25</v>
      </c>
      <c r="V313" s="8">
        <v>1997</v>
      </c>
      <c r="W313" t="s">
        <v>392</v>
      </c>
      <c r="X313" s="2">
        <v>1.6519999999999999</v>
      </c>
      <c r="Y313" s="7">
        <f t="shared" si="34"/>
        <v>4.409919649769093E-2</v>
      </c>
      <c r="AA313" t="s">
        <v>391</v>
      </c>
      <c r="AB313">
        <v>17337</v>
      </c>
      <c r="AD313" t="s">
        <v>1</v>
      </c>
      <c r="AE313">
        <v>45</v>
      </c>
      <c r="AF313">
        <v>5</v>
      </c>
      <c r="AH313" t="s">
        <v>5319</v>
      </c>
      <c r="AI313" t="s">
        <v>5318</v>
      </c>
      <c r="AK313" t="s">
        <v>5317</v>
      </c>
      <c r="AL313">
        <v>31</v>
      </c>
      <c r="AM313" s="5">
        <f t="shared" si="35"/>
        <v>1.24</v>
      </c>
      <c r="AN313" s="4">
        <f t="shared" si="36"/>
        <v>1.8780764861794775E-3</v>
      </c>
      <c r="AO313" s="3"/>
      <c r="AP313">
        <v>0</v>
      </c>
      <c r="AQ313" t="s">
        <v>5316</v>
      </c>
      <c r="AR313" t="s">
        <v>0</v>
      </c>
      <c r="AS313" t="s">
        <v>5315</v>
      </c>
      <c r="AT313" s="2" t="s">
        <v>5</v>
      </c>
      <c r="AU313" s="1">
        <f t="shared" si="37"/>
        <v>3.1432860494237493</v>
      </c>
      <c r="AV313" s="1">
        <f t="shared" si="38"/>
        <v>2.2988636491935206</v>
      </c>
      <c r="AW313" s="1">
        <f t="shared" si="39"/>
        <v>1.4544412489632912</v>
      </c>
    </row>
    <row r="314" spans="1:49" x14ac:dyDescent="0.2">
      <c r="A314">
        <v>312</v>
      </c>
      <c r="B314" t="s">
        <v>5314</v>
      </c>
      <c r="C314" t="s">
        <v>5313</v>
      </c>
      <c r="D314" t="s">
        <v>5312</v>
      </c>
      <c r="F314" t="s">
        <v>5311</v>
      </c>
      <c r="G314" t="s">
        <v>4</v>
      </c>
      <c r="H314" t="s">
        <v>3</v>
      </c>
      <c r="I314" t="s">
        <v>5310</v>
      </c>
      <c r="J314" t="s">
        <v>5309</v>
      </c>
      <c r="K314" t="s">
        <v>5308</v>
      </c>
      <c r="L314" t="s">
        <v>5307</v>
      </c>
      <c r="M314" t="s">
        <v>5306</v>
      </c>
      <c r="N314">
        <v>2</v>
      </c>
      <c r="O314" t="s">
        <v>5305</v>
      </c>
      <c r="P314" t="s">
        <v>5304</v>
      </c>
      <c r="Q314" t="s">
        <v>5303</v>
      </c>
      <c r="R314" s="8">
        <v>35765</v>
      </c>
      <c r="S314" s="9">
        <f t="shared" si="32"/>
        <v>1997</v>
      </c>
      <c r="T314" s="9">
        <v>1997</v>
      </c>
      <c r="U314" s="9">
        <f t="shared" si="33"/>
        <v>25</v>
      </c>
      <c r="V314" s="8">
        <v>1997</v>
      </c>
      <c r="W314" t="s">
        <v>448</v>
      </c>
      <c r="X314" s="2">
        <v>1.3720000000000001</v>
      </c>
      <c r="Y314" s="7">
        <f t="shared" si="34"/>
        <v>3.662475641333654E-2</v>
      </c>
      <c r="AA314">
        <v>189480</v>
      </c>
      <c r="AB314">
        <v>17366</v>
      </c>
      <c r="AD314" t="s">
        <v>1</v>
      </c>
      <c r="AE314">
        <v>45</v>
      </c>
      <c r="AF314" t="s">
        <v>5302</v>
      </c>
      <c r="AH314" t="s">
        <v>5301</v>
      </c>
      <c r="AI314" t="s">
        <v>5300</v>
      </c>
      <c r="AK314" t="s">
        <v>5299</v>
      </c>
      <c r="AL314">
        <v>5</v>
      </c>
      <c r="AM314" s="5">
        <f t="shared" si="35"/>
        <v>0.2</v>
      </c>
      <c r="AN314" s="4">
        <f t="shared" si="36"/>
        <v>3.0291556228701253E-4</v>
      </c>
      <c r="AO314" s="3"/>
      <c r="AP314">
        <v>0</v>
      </c>
      <c r="AR314" t="s">
        <v>0</v>
      </c>
      <c r="AT314" s="2" t="s">
        <v>5</v>
      </c>
      <c r="AU314" s="1">
        <f t="shared" si="37"/>
        <v>2.5728204158021679</v>
      </c>
      <c r="AV314" s="1">
        <f t="shared" si="38"/>
        <v>1.8463835987811774</v>
      </c>
      <c r="AW314" s="1">
        <f t="shared" si="39"/>
        <v>1.1199467817601871</v>
      </c>
    </row>
    <row r="315" spans="1:49" x14ac:dyDescent="0.2">
      <c r="A315">
        <v>313</v>
      </c>
      <c r="B315" t="s">
        <v>5298</v>
      </c>
      <c r="C315" t="s">
        <v>5297</v>
      </c>
      <c r="D315" t="s">
        <v>5296</v>
      </c>
      <c r="F315" t="s">
        <v>5295</v>
      </c>
      <c r="G315" t="s">
        <v>4</v>
      </c>
      <c r="H315" t="s">
        <v>3</v>
      </c>
      <c r="I315" t="s">
        <v>3796</v>
      </c>
      <c r="J315">
        <v>60021032</v>
      </c>
      <c r="K315" t="s">
        <v>171</v>
      </c>
      <c r="L315" t="s">
        <v>170</v>
      </c>
      <c r="M315" t="s">
        <v>2</v>
      </c>
      <c r="N315">
        <v>2</v>
      </c>
      <c r="O315" t="s">
        <v>5294</v>
      </c>
      <c r="P315" t="s">
        <v>5293</v>
      </c>
      <c r="Q315" t="s">
        <v>5292</v>
      </c>
      <c r="R315" s="8">
        <v>35765</v>
      </c>
      <c r="S315" s="9">
        <f t="shared" si="32"/>
        <v>1997</v>
      </c>
      <c r="T315" s="9">
        <v>1997</v>
      </c>
      <c r="U315" s="9">
        <f t="shared" si="33"/>
        <v>25</v>
      </c>
      <c r="V315" s="8">
        <v>1997</v>
      </c>
      <c r="W315" t="s">
        <v>392</v>
      </c>
      <c r="X315" s="2">
        <v>1.6519999999999999</v>
      </c>
      <c r="Y315" s="7">
        <f t="shared" si="34"/>
        <v>4.409919649769093E-2</v>
      </c>
      <c r="AA315" t="s">
        <v>391</v>
      </c>
      <c r="AB315">
        <v>17337</v>
      </c>
      <c r="AD315" t="s">
        <v>1</v>
      </c>
      <c r="AE315">
        <v>45</v>
      </c>
      <c r="AF315">
        <v>5</v>
      </c>
      <c r="AH315" t="s">
        <v>5291</v>
      </c>
      <c r="AI315" t="s">
        <v>5290</v>
      </c>
      <c r="AJ315" t="s">
        <v>3754</v>
      </c>
      <c r="AK315" t="s">
        <v>5289</v>
      </c>
      <c r="AL315">
        <v>14</v>
      </c>
      <c r="AM315" s="5">
        <f t="shared" si="35"/>
        <v>0.56000000000000005</v>
      </c>
      <c r="AN315" s="4">
        <f t="shared" si="36"/>
        <v>8.4816357440363509E-4</v>
      </c>
      <c r="AO315" s="3"/>
      <c r="AP315">
        <v>0</v>
      </c>
      <c r="AR315" t="s">
        <v>5288</v>
      </c>
      <c r="AT315" s="2" t="s">
        <v>5</v>
      </c>
      <c r="AU315" s="1">
        <f t="shared" si="37"/>
        <v>3.1123886620704742</v>
      </c>
      <c r="AV315" s="1">
        <f t="shared" si="38"/>
        <v>2.2473680036047283</v>
      </c>
      <c r="AW315" s="1">
        <f t="shared" si="39"/>
        <v>1.3823473451389823</v>
      </c>
    </row>
    <row r="316" spans="1:49" x14ac:dyDescent="0.2">
      <c r="A316">
        <v>314</v>
      </c>
      <c r="B316" t="s">
        <v>5287</v>
      </c>
      <c r="C316" t="s">
        <v>5286</v>
      </c>
      <c r="F316" t="s">
        <v>5285</v>
      </c>
      <c r="G316" t="s">
        <v>4</v>
      </c>
      <c r="H316" t="s">
        <v>3</v>
      </c>
      <c r="I316" t="s">
        <v>5284</v>
      </c>
      <c r="J316" t="s">
        <v>5283</v>
      </c>
      <c r="K316" t="s">
        <v>5282</v>
      </c>
      <c r="L316" t="s">
        <v>5281</v>
      </c>
      <c r="M316" t="s">
        <v>5280</v>
      </c>
      <c r="N316">
        <v>3</v>
      </c>
      <c r="O316" t="s">
        <v>5279</v>
      </c>
      <c r="P316" t="s">
        <v>5278</v>
      </c>
      <c r="Q316" t="s">
        <v>5277</v>
      </c>
      <c r="R316" s="8">
        <v>35765</v>
      </c>
      <c r="S316" s="9">
        <f t="shared" si="32"/>
        <v>1997</v>
      </c>
      <c r="T316" s="9">
        <v>1997</v>
      </c>
      <c r="U316" s="9">
        <f t="shared" si="33"/>
        <v>25</v>
      </c>
      <c r="V316" s="8">
        <v>1997</v>
      </c>
      <c r="W316" t="s">
        <v>5267</v>
      </c>
      <c r="X316" s="2">
        <v>0.76700000000000002</v>
      </c>
      <c r="Y316" s="7">
        <f t="shared" si="34"/>
        <v>2.0474626945356504E-2</v>
      </c>
      <c r="AA316">
        <v>983063</v>
      </c>
      <c r="AB316">
        <v>26048</v>
      </c>
      <c r="AD316" t="s">
        <v>1</v>
      </c>
      <c r="AE316">
        <v>43</v>
      </c>
      <c r="AF316">
        <v>2</v>
      </c>
      <c r="AH316" t="s">
        <v>5276</v>
      </c>
      <c r="AI316" t="s">
        <v>5275</v>
      </c>
      <c r="AK316" t="s">
        <v>5274</v>
      </c>
      <c r="AL316">
        <v>2</v>
      </c>
      <c r="AM316" s="5">
        <f t="shared" si="35"/>
        <v>0.08</v>
      </c>
      <c r="AN316" s="4">
        <f t="shared" si="36"/>
        <v>1.21166224914805E-4</v>
      </c>
      <c r="AO316" s="3"/>
      <c r="AP316">
        <v>0</v>
      </c>
      <c r="AR316" t="s">
        <v>0</v>
      </c>
      <c r="AT316" s="2" t="s">
        <v>5</v>
      </c>
      <c r="AU316" s="1">
        <f t="shared" si="37"/>
        <v>1.4368588729223994</v>
      </c>
      <c r="AV316" s="1">
        <f t="shared" si="38"/>
        <v>1.0297896585135655</v>
      </c>
      <c r="AW316" s="1">
        <f t="shared" si="39"/>
        <v>0.62272044410473137</v>
      </c>
    </row>
    <row r="317" spans="1:49" x14ac:dyDescent="0.2">
      <c r="A317">
        <v>315</v>
      </c>
      <c r="B317" t="s">
        <v>5273</v>
      </c>
      <c r="C317" t="s">
        <v>5272</v>
      </c>
      <c r="F317" t="s">
        <v>5271</v>
      </c>
      <c r="G317" t="s">
        <v>4</v>
      </c>
      <c r="H317" t="s">
        <v>3</v>
      </c>
      <c r="I317" t="s">
        <v>5270</v>
      </c>
      <c r="J317">
        <v>60001558</v>
      </c>
      <c r="K317" t="s">
        <v>753</v>
      </c>
      <c r="L317" t="s">
        <v>369</v>
      </c>
      <c r="M317" t="s">
        <v>303</v>
      </c>
      <c r="N317">
        <v>4</v>
      </c>
      <c r="O317" t="s">
        <v>5269</v>
      </c>
      <c r="P317" t="s">
        <v>5268</v>
      </c>
      <c r="Q317" t="s">
        <v>752</v>
      </c>
      <c r="R317" s="8">
        <v>35765</v>
      </c>
      <c r="S317" s="9">
        <f t="shared" si="32"/>
        <v>1997</v>
      </c>
      <c r="T317" s="9">
        <v>1997</v>
      </c>
      <c r="U317" s="9">
        <f t="shared" si="33"/>
        <v>25</v>
      </c>
      <c r="V317" s="8">
        <v>1997</v>
      </c>
      <c r="W317" t="s">
        <v>5267</v>
      </c>
      <c r="X317" s="2">
        <v>0.76700000000000002</v>
      </c>
      <c r="Y317" s="7">
        <f t="shared" si="34"/>
        <v>2.0474626945356504E-2</v>
      </c>
      <c r="AA317">
        <v>983063</v>
      </c>
      <c r="AB317">
        <v>26048</v>
      </c>
      <c r="AD317" t="s">
        <v>1</v>
      </c>
      <c r="AE317">
        <v>43</v>
      </c>
      <c r="AF317">
        <v>2</v>
      </c>
      <c r="AH317" t="s">
        <v>5266</v>
      </c>
      <c r="AI317" t="s">
        <v>5265</v>
      </c>
      <c r="AK317" t="s">
        <v>5264</v>
      </c>
      <c r="AL317">
        <v>6</v>
      </c>
      <c r="AM317" s="5">
        <f t="shared" si="35"/>
        <v>0.24</v>
      </c>
      <c r="AN317" s="4">
        <f t="shared" si="36"/>
        <v>3.6349867474441499E-4</v>
      </c>
      <c r="AO317" s="3"/>
      <c r="AP317">
        <v>0</v>
      </c>
      <c r="AR317" t="s">
        <v>0</v>
      </c>
      <c r="AT317" s="2" t="s">
        <v>5</v>
      </c>
      <c r="AU317" s="1">
        <f t="shared" si="37"/>
        <v>1.4441288464172877</v>
      </c>
      <c r="AV317" s="1">
        <f t="shared" si="38"/>
        <v>1.0419062810050459</v>
      </c>
      <c r="AW317" s="1">
        <f t="shared" si="39"/>
        <v>0.63968371559280413</v>
      </c>
    </row>
    <row r="318" spans="1:49" x14ac:dyDescent="0.2">
      <c r="A318">
        <v>316</v>
      </c>
      <c r="B318" t="s">
        <v>5263</v>
      </c>
      <c r="C318" t="s">
        <v>5262</v>
      </c>
      <c r="D318" t="s">
        <v>5261</v>
      </c>
      <c r="F318" t="s">
        <v>5260</v>
      </c>
      <c r="G318" t="s">
        <v>4</v>
      </c>
      <c r="H318" t="s">
        <v>3</v>
      </c>
      <c r="I318" t="s">
        <v>5259</v>
      </c>
      <c r="J318">
        <v>117648629</v>
      </c>
      <c r="K318" t="s">
        <v>5258</v>
      </c>
      <c r="M318" t="s">
        <v>2</v>
      </c>
      <c r="N318">
        <v>4</v>
      </c>
      <c r="O318" t="s">
        <v>5257</v>
      </c>
      <c r="P318" t="s">
        <v>5256</v>
      </c>
      <c r="Q318" t="s">
        <v>5255</v>
      </c>
      <c r="R318" s="8">
        <v>35765</v>
      </c>
      <c r="S318" s="9">
        <f t="shared" si="32"/>
        <v>1997</v>
      </c>
      <c r="T318" s="9">
        <v>1997</v>
      </c>
      <c r="U318" s="9">
        <f t="shared" si="33"/>
        <v>25</v>
      </c>
      <c r="V318" s="8">
        <v>1997</v>
      </c>
      <c r="W318" t="s">
        <v>1791</v>
      </c>
      <c r="X318" s="2">
        <v>2.141</v>
      </c>
      <c r="Y318" s="7">
        <f t="shared" si="34"/>
        <v>5.7152772216438434E-2</v>
      </c>
      <c r="AA318">
        <v>1962892</v>
      </c>
      <c r="AB318">
        <v>17360</v>
      </c>
      <c r="AD318" t="s">
        <v>1</v>
      </c>
      <c r="AE318">
        <v>35</v>
      </c>
      <c r="AF318">
        <v>3</v>
      </c>
      <c r="AH318" t="s">
        <v>5254</v>
      </c>
      <c r="AI318" t="s">
        <v>5253</v>
      </c>
      <c r="AK318" t="s">
        <v>5252</v>
      </c>
      <c r="AL318">
        <v>12</v>
      </c>
      <c r="AM318" s="5">
        <f t="shared" si="35"/>
        <v>0.48</v>
      </c>
      <c r="AN318" s="4">
        <f t="shared" si="36"/>
        <v>7.2699734948882997E-4</v>
      </c>
      <c r="AO318" s="3"/>
      <c r="AP318">
        <v>0</v>
      </c>
      <c r="AQ318" t="s">
        <v>5251</v>
      </c>
      <c r="AR318" t="s">
        <v>0</v>
      </c>
      <c r="AS318" t="s">
        <v>5250</v>
      </c>
      <c r="AT318" s="2" t="s">
        <v>5</v>
      </c>
      <c r="AU318" s="1">
        <f t="shared" si="37"/>
        <v>4.0225039756353542</v>
      </c>
      <c r="AV318" s="1">
        <f t="shared" si="38"/>
        <v>2.8939884782963632</v>
      </c>
      <c r="AW318" s="1">
        <f t="shared" si="39"/>
        <v>1.765472980957371</v>
      </c>
    </row>
    <row r="319" spans="1:49" x14ac:dyDescent="0.2">
      <c r="A319">
        <v>317</v>
      </c>
      <c r="B319" t="s">
        <v>5249</v>
      </c>
      <c r="C319" t="s">
        <v>5248</v>
      </c>
      <c r="D319" t="s">
        <v>5247</v>
      </c>
      <c r="F319" t="s">
        <v>5246</v>
      </c>
      <c r="G319" t="s">
        <v>4</v>
      </c>
      <c r="H319" t="s">
        <v>3</v>
      </c>
      <c r="I319" t="s">
        <v>5245</v>
      </c>
      <c r="J319">
        <v>60101699</v>
      </c>
      <c r="K319" t="s">
        <v>338</v>
      </c>
      <c r="L319" t="s">
        <v>112</v>
      </c>
      <c r="M319" t="s">
        <v>111</v>
      </c>
      <c r="N319">
        <v>5</v>
      </c>
      <c r="O319" t="s">
        <v>5244</v>
      </c>
      <c r="P319" t="s">
        <v>5243</v>
      </c>
      <c r="Q319" t="s">
        <v>5242</v>
      </c>
      <c r="R319" s="8">
        <v>35765</v>
      </c>
      <c r="S319" s="9">
        <f t="shared" si="32"/>
        <v>1997</v>
      </c>
      <c r="T319" s="9">
        <v>1997</v>
      </c>
      <c r="U319" s="9">
        <f t="shared" si="33"/>
        <v>25</v>
      </c>
      <c r="V319" s="8">
        <v>1997</v>
      </c>
      <c r="W319" t="s">
        <v>5241</v>
      </c>
      <c r="X319" s="2">
        <v>0.73199999999999998</v>
      </c>
      <c r="Y319" s="7">
        <f t="shared" si="34"/>
        <v>1.9540321934812206E-2</v>
      </c>
      <c r="AA319">
        <v>8946507</v>
      </c>
      <c r="AB319">
        <v>17388</v>
      </c>
      <c r="AD319" t="s">
        <v>1</v>
      </c>
      <c r="AE319">
        <v>10</v>
      </c>
      <c r="AF319">
        <v>2</v>
      </c>
      <c r="AH319" t="s">
        <v>5240</v>
      </c>
      <c r="AI319" t="s">
        <v>5239</v>
      </c>
      <c r="AK319" t="s">
        <v>5238</v>
      </c>
      <c r="AL319">
        <v>20</v>
      </c>
      <c r="AM319" s="5">
        <f t="shared" si="35"/>
        <v>0.8</v>
      </c>
      <c r="AN319" s="4">
        <f t="shared" si="36"/>
        <v>1.2116622491480501E-3</v>
      </c>
      <c r="AO319" s="3"/>
      <c r="AP319">
        <v>0</v>
      </c>
      <c r="AR319" t="s">
        <v>0</v>
      </c>
      <c r="AT319" s="2" t="s">
        <v>5</v>
      </c>
      <c r="AU319" s="1">
        <f t="shared" si="37"/>
        <v>1.4041724029112959</v>
      </c>
      <c r="AV319" s="1">
        <f t="shared" si="38"/>
        <v>1.0375992091980129</v>
      </c>
      <c r="AW319" s="1">
        <f t="shared" si="39"/>
        <v>0.67102601548472962</v>
      </c>
    </row>
    <row r="320" spans="1:49" x14ac:dyDescent="0.2">
      <c r="A320">
        <v>318</v>
      </c>
      <c r="B320" t="s">
        <v>5237</v>
      </c>
      <c r="C320" t="s">
        <v>5236</v>
      </c>
      <c r="D320" t="s">
        <v>5235</v>
      </c>
      <c r="F320" t="s">
        <v>5234</v>
      </c>
      <c r="G320" t="s">
        <v>4</v>
      </c>
      <c r="H320" t="s">
        <v>3</v>
      </c>
      <c r="I320" t="s">
        <v>297</v>
      </c>
      <c r="J320">
        <v>60009778</v>
      </c>
      <c r="K320" t="s">
        <v>5233</v>
      </c>
      <c r="L320" t="s">
        <v>595</v>
      </c>
      <c r="M320" t="s">
        <v>2</v>
      </c>
      <c r="N320">
        <v>1</v>
      </c>
      <c r="O320" t="s">
        <v>5232</v>
      </c>
      <c r="P320">
        <v>55658055598</v>
      </c>
      <c r="Q320">
        <v>60009778</v>
      </c>
      <c r="R320" s="8">
        <v>35765</v>
      </c>
      <c r="S320" s="9">
        <f t="shared" si="32"/>
        <v>1997</v>
      </c>
      <c r="T320" s="9">
        <v>1997</v>
      </c>
      <c r="U320" s="9">
        <f t="shared" si="33"/>
        <v>25</v>
      </c>
      <c r="V320" s="8">
        <v>1997</v>
      </c>
      <c r="W320" t="s">
        <v>392</v>
      </c>
      <c r="X320" s="2">
        <v>1.6519999999999999</v>
      </c>
      <c r="Y320" s="7">
        <f t="shared" si="34"/>
        <v>4.409919649769093E-2</v>
      </c>
      <c r="AA320" t="s">
        <v>391</v>
      </c>
      <c r="AB320">
        <v>17337</v>
      </c>
      <c r="AD320" t="s">
        <v>1</v>
      </c>
      <c r="AE320">
        <v>45</v>
      </c>
      <c r="AF320">
        <v>5</v>
      </c>
      <c r="AH320" t="s">
        <v>5231</v>
      </c>
      <c r="AI320" t="s">
        <v>5230</v>
      </c>
      <c r="AJ320" t="s">
        <v>5229</v>
      </c>
      <c r="AK320" t="s">
        <v>5228</v>
      </c>
      <c r="AL320">
        <v>25</v>
      </c>
      <c r="AM320" s="5">
        <f t="shared" si="35"/>
        <v>1</v>
      </c>
      <c r="AN320" s="4">
        <f t="shared" si="36"/>
        <v>1.5145778114350624E-3</v>
      </c>
      <c r="AO320" s="3"/>
      <c r="AP320">
        <v>0</v>
      </c>
      <c r="AR320" t="s">
        <v>0</v>
      </c>
      <c r="AT320" s="2" t="s">
        <v>5</v>
      </c>
      <c r="AU320" s="1">
        <f t="shared" si="37"/>
        <v>3.132381089181417</v>
      </c>
      <c r="AV320" s="1">
        <f t="shared" si="38"/>
        <v>2.2806887154562996</v>
      </c>
      <c r="AW320" s="1">
        <f t="shared" si="39"/>
        <v>1.4289963417311822</v>
      </c>
    </row>
    <row r="321" spans="1:49" x14ac:dyDescent="0.2">
      <c r="A321">
        <v>319</v>
      </c>
      <c r="B321" t="s">
        <v>5227</v>
      </c>
      <c r="C321" t="s">
        <v>5226</v>
      </c>
      <c r="D321" t="s">
        <v>5225</v>
      </c>
      <c r="F321" t="s">
        <v>5224</v>
      </c>
      <c r="G321" t="s">
        <v>4</v>
      </c>
      <c r="H321" t="s">
        <v>3</v>
      </c>
      <c r="I321" t="s">
        <v>4339</v>
      </c>
      <c r="J321">
        <v>60025488</v>
      </c>
      <c r="K321" t="s">
        <v>755</v>
      </c>
      <c r="L321" t="s">
        <v>754</v>
      </c>
      <c r="M321" t="s">
        <v>2</v>
      </c>
      <c r="N321">
        <v>2</v>
      </c>
      <c r="O321" t="s">
        <v>4338</v>
      </c>
      <c r="P321" t="s">
        <v>4337</v>
      </c>
      <c r="Q321" t="s">
        <v>4336</v>
      </c>
      <c r="R321" s="8">
        <v>35765</v>
      </c>
      <c r="S321" s="9">
        <f t="shared" si="32"/>
        <v>1997</v>
      </c>
      <c r="T321" s="9">
        <v>1997</v>
      </c>
      <c r="U321" s="9">
        <f t="shared" si="33"/>
        <v>25</v>
      </c>
      <c r="V321" s="8">
        <v>1997</v>
      </c>
      <c r="W321" t="s">
        <v>392</v>
      </c>
      <c r="X321" s="2">
        <v>1.6519999999999999</v>
      </c>
      <c r="Y321" s="7">
        <f t="shared" si="34"/>
        <v>4.409919649769093E-2</v>
      </c>
      <c r="AA321" t="s">
        <v>391</v>
      </c>
      <c r="AB321">
        <v>17337</v>
      </c>
      <c r="AD321" t="s">
        <v>1</v>
      </c>
      <c r="AE321">
        <v>45</v>
      </c>
      <c r="AF321">
        <v>5</v>
      </c>
      <c r="AH321" t="s">
        <v>5223</v>
      </c>
      <c r="AI321" t="s">
        <v>5222</v>
      </c>
      <c r="AJ321" t="s">
        <v>4568</v>
      </c>
      <c r="AK321" t="s">
        <v>5221</v>
      </c>
      <c r="AL321">
        <v>20</v>
      </c>
      <c r="AM321" s="5">
        <f t="shared" si="35"/>
        <v>0.8</v>
      </c>
      <c r="AN321" s="4">
        <f t="shared" si="36"/>
        <v>1.2116622491480501E-3</v>
      </c>
      <c r="AO321" s="3"/>
      <c r="AP321">
        <v>0</v>
      </c>
      <c r="AR321" t="s">
        <v>0</v>
      </c>
      <c r="AT321" s="2" t="s">
        <v>5</v>
      </c>
      <c r="AU321" s="1">
        <f t="shared" si="37"/>
        <v>3.1232936223128065</v>
      </c>
      <c r="AV321" s="1">
        <f t="shared" si="38"/>
        <v>2.2655429373419489</v>
      </c>
      <c r="AW321" s="1">
        <f t="shared" si="39"/>
        <v>1.4077922523710913</v>
      </c>
    </row>
    <row r="322" spans="1:49" x14ac:dyDescent="0.2">
      <c r="A322">
        <v>320</v>
      </c>
      <c r="B322" t="s">
        <v>5220</v>
      </c>
      <c r="C322" t="s">
        <v>5219</v>
      </c>
      <c r="D322" t="s">
        <v>5218</v>
      </c>
      <c r="F322" t="s">
        <v>5217</v>
      </c>
      <c r="G322" t="s">
        <v>4</v>
      </c>
      <c r="H322" t="s">
        <v>3</v>
      </c>
      <c r="I322" t="s">
        <v>5216</v>
      </c>
      <c r="J322" t="s">
        <v>5215</v>
      </c>
      <c r="K322" t="s">
        <v>5214</v>
      </c>
      <c r="L322" t="s">
        <v>5213</v>
      </c>
      <c r="M322" t="s">
        <v>5212</v>
      </c>
      <c r="N322">
        <v>3</v>
      </c>
      <c r="O322" t="s">
        <v>5211</v>
      </c>
      <c r="P322" t="s">
        <v>5210</v>
      </c>
      <c r="Q322" t="s">
        <v>5209</v>
      </c>
      <c r="R322" s="8">
        <v>35765</v>
      </c>
      <c r="S322" s="9">
        <f t="shared" ref="S322:S385" si="40">YEAR(R322)</f>
        <v>1997</v>
      </c>
      <c r="T322" s="9">
        <v>1997</v>
      </c>
      <c r="U322" s="9">
        <f t="shared" ref="U322:U385" si="41">2022-T322</f>
        <v>25</v>
      </c>
      <c r="V322" s="8">
        <v>1997</v>
      </c>
      <c r="W322" t="s">
        <v>1379</v>
      </c>
      <c r="X322" s="2">
        <v>0.65500000000000003</v>
      </c>
      <c r="Y322" s="7">
        <f t="shared" ref="Y322:Y385" si="42">(X322-$Z$3)/($Z$2-$Z$3)</f>
        <v>1.7484850911614749E-2</v>
      </c>
      <c r="AA322">
        <v>189375</v>
      </c>
      <c r="AB322">
        <v>26051</v>
      </c>
      <c r="AD322" t="s">
        <v>1</v>
      </c>
      <c r="AE322">
        <v>39</v>
      </c>
      <c r="AF322">
        <v>2</v>
      </c>
      <c r="AH322" t="s">
        <v>5208</v>
      </c>
      <c r="AI322" t="s">
        <v>5207</v>
      </c>
      <c r="AJ322" t="s">
        <v>5206</v>
      </c>
      <c r="AK322" t="s">
        <v>5205</v>
      </c>
      <c r="AL322">
        <v>13</v>
      </c>
      <c r="AM322" s="5">
        <f t="shared" ref="AM322:AM385" si="43">AL322/U322</f>
        <v>0.52</v>
      </c>
      <c r="AN322" s="4">
        <f t="shared" ref="AN322:AN385" si="44">(AM322-$AO$3)/($AO$2-$AO$3)</f>
        <v>7.8758046194623253E-4</v>
      </c>
      <c r="AO322" s="3"/>
      <c r="AP322">
        <v>0</v>
      </c>
      <c r="AQ322" t="s">
        <v>5204</v>
      </c>
      <c r="AR322" t="s">
        <v>5203</v>
      </c>
      <c r="AS322" t="s">
        <v>5202</v>
      </c>
      <c r="AT322" s="2" t="s">
        <v>5</v>
      </c>
      <c r="AU322" s="1">
        <f t="shared" ref="AU322:AU385" si="45">(Y322*0.7+AN322*0.3)*100</f>
        <v>1.2475669776714193</v>
      </c>
      <c r="AV322" s="1">
        <f t="shared" ref="AV322:AV385" si="46">(Y322*0.5+AN322*0.5)*100</f>
        <v>0.913621568678049</v>
      </c>
      <c r="AW322" s="1">
        <f t="shared" ref="AW322:AW385" si="47">(Y322*0.3+AN322*0.7)*100</f>
        <v>0.57967615968467878</v>
      </c>
    </row>
    <row r="323" spans="1:49" x14ac:dyDescent="0.2">
      <c r="A323">
        <v>321</v>
      </c>
      <c r="B323" t="s">
        <v>5201</v>
      </c>
      <c r="C323" t="s">
        <v>5200</v>
      </c>
      <c r="D323" t="s">
        <v>5199</v>
      </c>
      <c r="F323" t="s">
        <v>5198</v>
      </c>
      <c r="G323" t="s">
        <v>4</v>
      </c>
      <c r="H323" t="s">
        <v>3</v>
      </c>
      <c r="I323" t="s">
        <v>5197</v>
      </c>
      <c r="J323" t="s">
        <v>5196</v>
      </c>
      <c r="K323" t="s">
        <v>5195</v>
      </c>
      <c r="L323" t="s">
        <v>5194</v>
      </c>
      <c r="M323" t="s">
        <v>119</v>
      </c>
      <c r="N323">
        <v>5</v>
      </c>
      <c r="O323" t="s">
        <v>5193</v>
      </c>
      <c r="P323" t="s">
        <v>5192</v>
      </c>
      <c r="Q323" t="s">
        <v>5191</v>
      </c>
      <c r="R323" s="8">
        <v>35765</v>
      </c>
      <c r="S323" s="9">
        <f t="shared" si="40"/>
        <v>1997</v>
      </c>
      <c r="T323" s="9">
        <v>1997</v>
      </c>
      <c r="U323" s="9">
        <f t="shared" si="41"/>
        <v>25</v>
      </c>
      <c r="V323" s="8">
        <v>1997</v>
      </c>
      <c r="W323" t="s">
        <v>392</v>
      </c>
      <c r="X323" s="2">
        <v>1.6519999999999999</v>
      </c>
      <c r="Y323" s="7">
        <f t="shared" si="42"/>
        <v>4.409919649769093E-2</v>
      </c>
      <c r="AA323" t="s">
        <v>391</v>
      </c>
      <c r="AB323">
        <v>17337</v>
      </c>
      <c r="AD323" t="s">
        <v>1</v>
      </c>
      <c r="AE323">
        <v>45</v>
      </c>
      <c r="AF323">
        <v>5</v>
      </c>
      <c r="AH323" t="s">
        <v>5190</v>
      </c>
      <c r="AI323" t="s">
        <v>5189</v>
      </c>
      <c r="AJ323" t="s">
        <v>3996</v>
      </c>
      <c r="AK323" t="s">
        <v>5188</v>
      </c>
      <c r="AL323">
        <v>5</v>
      </c>
      <c r="AM323" s="5">
        <f t="shared" si="43"/>
        <v>0.2</v>
      </c>
      <c r="AN323" s="4">
        <f t="shared" si="44"/>
        <v>3.0291556228701253E-4</v>
      </c>
      <c r="AO323" s="3"/>
      <c r="AP323">
        <v>0</v>
      </c>
      <c r="AQ323" t="s">
        <v>5187</v>
      </c>
      <c r="AR323" t="s">
        <v>0</v>
      </c>
      <c r="AS323" t="s">
        <v>5186</v>
      </c>
      <c r="AT323" s="2" t="s">
        <v>5</v>
      </c>
      <c r="AU323" s="1">
        <f t="shared" si="45"/>
        <v>3.0960312217069754</v>
      </c>
      <c r="AV323" s="1">
        <f t="shared" si="46"/>
        <v>2.2201056029988968</v>
      </c>
      <c r="AW323" s="1">
        <f t="shared" si="47"/>
        <v>1.3441799842908186</v>
      </c>
    </row>
    <row r="324" spans="1:49" x14ac:dyDescent="0.2">
      <c r="A324">
        <v>322</v>
      </c>
      <c r="B324" t="s">
        <v>5185</v>
      </c>
      <c r="C324" t="s">
        <v>5184</v>
      </c>
      <c r="D324" t="s">
        <v>5183</v>
      </c>
      <c r="F324" t="s">
        <v>5182</v>
      </c>
      <c r="G324" t="s">
        <v>4</v>
      </c>
      <c r="H324" t="s">
        <v>3</v>
      </c>
      <c r="I324" t="s">
        <v>714</v>
      </c>
      <c r="J324">
        <v>60000481</v>
      </c>
      <c r="K324" t="s">
        <v>5181</v>
      </c>
      <c r="L324" t="s">
        <v>5180</v>
      </c>
      <c r="M324" t="s">
        <v>116</v>
      </c>
      <c r="N324">
        <v>2</v>
      </c>
      <c r="O324" t="s">
        <v>5179</v>
      </c>
      <c r="P324" t="s">
        <v>5178</v>
      </c>
      <c r="Q324" t="s">
        <v>5177</v>
      </c>
      <c r="R324" s="8">
        <v>35765</v>
      </c>
      <c r="S324" s="9">
        <f t="shared" si="40"/>
        <v>1997</v>
      </c>
      <c r="T324" s="9">
        <v>1997</v>
      </c>
      <c r="U324" s="9">
        <f t="shared" si="41"/>
        <v>25</v>
      </c>
      <c r="V324" s="8">
        <v>1997</v>
      </c>
      <c r="W324" t="s">
        <v>4163</v>
      </c>
      <c r="X324" s="2">
        <v>1.365</v>
      </c>
      <c r="Y324" s="7">
        <f t="shared" si="42"/>
        <v>3.6437895411227675E-2</v>
      </c>
      <c r="AA324">
        <v>189545</v>
      </c>
      <c r="AB324">
        <v>17393</v>
      </c>
      <c r="AD324" t="s">
        <v>1</v>
      </c>
      <c r="AE324">
        <v>46</v>
      </c>
      <c r="AF324">
        <v>2</v>
      </c>
      <c r="AH324" t="s">
        <v>5176</v>
      </c>
      <c r="AI324" t="s">
        <v>5175</v>
      </c>
      <c r="AJ324" t="s">
        <v>5174</v>
      </c>
      <c r="AK324" t="s">
        <v>5173</v>
      </c>
      <c r="AL324">
        <v>12</v>
      </c>
      <c r="AM324" s="5">
        <f t="shared" si="43"/>
        <v>0.48</v>
      </c>
      <c r="AN324" s="4">
        <f t="shared" si="44"/>
        <v>7.2699734948882997E-4</v>
      </c>
      <c r="AO324" s="3"/>
      <c r="AP324">
        <v>0</v>
      </c>
      <c r="AR324" t="s">
        <v>0</v>
      </c>
      <c r="AT324" s="2" t="s">
        <v>5</v>
      </c>
      <c r="AU324" s="1">
        <f t="shared" si="45"/>
        <v>2.5724625992706018</v>
      </c>
      <c r="AV324" s="1">
        <f t="shared" si="46"/>
        <v>1.8582446380358251</v>
      </c>
      <c r="AW324" s="1">
        <f t="shared" si="47"/>
        <v>1.1440266768010483</v>
      </c>
    </row>
    <row r="325" spans="1:49" x14ac:dyDescent="0.2">
      <c r="A325">
        <v>323</v>
      </c>
      <c r="B325" t="s">
        <v>5172</v>
      </c>
      <c r="C325" t="s">
        <v>5171</v>
      </c>
      <c r="F325" t="s">
        <v>5170</v>
      </c>
      <c r="G325" t="s">
        <v>4</v>
      </c>
      <c r="H325" t="s">
        <v>3</v>
      </c>
      <c r="I325" t="s">
        <v>5169</v>
      </c>
      <c r="J325" t="s">
        <v>5168</v>
      </c>
      <c r="K325" t="s">
        <v>5167</v>
      </c>
      <c r="L325" t="s">
        <v>5166</v>
      </c>
      <c r="M325" t="s">
        <v>735</v>
      </c>
      <c r="N325">
        <v>3</v>
      </c>
      <c r="O325" t="s">
        <v>5165</v>
      </c>
      <c r="P325" t="s">
        <v>5164</v>
      </c>
      <c r="Q325" t="s">
        <v>5163</v>
      </c>
      <c r="R325" s="8">
        <v>35765</v>
      </c>
      <c r="S325" s="9">
        <f t="shared" si="40"/>
        <v>1997</v>
      </c>
      <c r="T325" s="9">
        <v>1997</v>
      </c>
      <c r="U325" s="9">
        <f t="shared" si="41"/>
        <v>25</v>
      </c>
      <c r="V325" s="8">
        <v>1997</v>
      </c>
      <c r="W325" t="s">
        <v>4348</v>
      </c>
      <c r="X325" s="2">
        <v>0.81499999999999995</v>
      </c>
      <c r="Y325" s="7">
        <f t="shared" si="42"/>
        <v>2.1755959531245827E-2</v>
      </c>
      <c r="AA325">
        <v>10709908</v>
      </c>
      <c r="AB325">
        <v>17316</v>
      </c>
      <c r="AD325" t="s">
        <v>1</v>
      </c>
      <c r="AE325">
        <v>4</v>
      </c>
      <c r="AF325">
        <v>5</v>
      </c>
      <c r="AH325" t="s">
        <v>3028</v>
      </c>
      <c r="AI325" t="s">
        <v>5162</v>
      </c>
      <c r="AK325" t="s">
        <v>5161</v>
      </c>
      <c r="AL325">
        <v>11</v>
      </c>
      <c r="AM325" s="5">
        <f t="shared" si="43"/>
        <v>0.44</v>
      </c>
      <c r="AN325" s="4">
        <f t="shared" si="44"/>
        <v>6.6641423703142752E-4</v>
      </c>
      <c r="AO325" s="3"/>
      <c r="AP325">
        <v>0</v>
      </c>
      <c r="AQ325" t="s">
        <v>598</v>
      </c>
      <c r="AR325" t="s">
        <v>4498</v>
      </c>
      <c r="AS325" t="s">
        <v>597</v>
      </c>
      <c r="AT325" s="2">
        <v>3.109</v>
      </c>
      <c r="AU325" s="1">
        <f t="shared" si="45"/>
        <v>1.5429095942981508</v>
      </c>
      <c r="AV325" s="1">
        <f t="shared" si="46"/>
        <v>1.1211186884138626</v>
      </c>
      <c r="AW325" s="1">
        <f t="shared" si="47"/>
        <v>0.69932778252957462</v>
      </c>
    </row>
    <row r="326" spans="1:49" x14ac:dyDescent="0.2">
      <c r="A326">
        <v>324</v>
      </c>
      <c r="B326" t="s">
        <v>5160</v>
      </c>
      <c r="C326" t="s">
        <v>5159</v>
      </c>
      <c r="D326" t="s">
        <v>5158</v>
      </c>
      <c r="F326" t="s">
        <v>5157</v>
      </c>
      <c r="G326" t="s">
        <v>4</v>
      </c>
      <c r="H326" t="s">
        <v>3</v>
      </c>
      <c r="I326" t="s">
        <v>5156</v>
      </c>
      <c r="J326">
        <v>60008592</v>
      </c>
      <c r="K326" t="s">
        <v>3376</v>
      </c>
      <c r="L326" t="s">
        <v>243</v>
      </c>
      <c r="M326" t="s">
        <v>243</v>
      </c>
      <c r="N326">
        <v>2</v>
      </c>
      <c r="O326" t="s">
        <v>5155</v>
      </c>
      <c r="P326" t="s">
        <v>5154</v>
      </c>
      <c r="Q326" t="s">
        <v>3373</v>
      </c>
      <c r="R326" s="8">
        <v>35765</v>
      </c>
      <c r="S326" s="9">
        <f t="shared" si="40"/>
        <v>1997</v>
      </c>
      <c r="T326" s="9">
        <v>1997</v>
      </c>
      <c r="U326" s="9">
        <f t="shared" si="41"/>
        <v>25</v>
      </c>
      <c r="V326" s="8">
        <v>1997</v>
      </c>
      <c r="W326" t="s">
        <v>392</v>
      </c>
      <c r="X326" s="2">
        <v>1.6519999999999999</v>
      </c>
      <c r="Y326" s="7">
        <f t="shared" si="42"/>
        <v>4.409919649769093E-2</v>
      </c>
      <c r="AA326" t="s">
        <v>391</v>
      </c>
      <c r="AB326">
        <v>17337</v>
      </c>
      <c r="AD326" t="s">
        <v>1</v>
      </c>
      <c r="AE326">
        <v>45</v>
      </c>
      <c r="AF326">
        <v>5</v>
      </c>
      <c r="AH326" t="s">
        <v>5153</v>
      </c>
      <c r="AI326" t="s">
        <v>5152</v>
      </c>
      <c r="AJ326" t="s">
        <v>5151</v>
      </c>
      <c r="AK326" t="s">
        <v>5150</v>
      </c>
      <c r="AL326">
        <v>274</v>
      </c>
      <c r="AM326" s="5">
        <f t="shared" si="43"/>
        <v>10.96</v>
      </c>
      <c r="AN326" s="4">
        <f t="shared" si="44"/>
        <v>1.6599772813328285E-2</v>
      </c>
      <c r="AO326" s="3"/>
      <c r="AP326">
        <v>0</v>
      </c>
      <c r="AQ326" t="s">
        <v>5149</v>
      </c>
      <c r="AR326" t="s">
        <v>5148</v>
      </c>
      <c r="AS326" t="s">
        <v>5147</v>
      </c>
      <c r="AT326" s="2" t="s">
        <v>5</v>
      </c>
      <c r="AU326" s="1">
        <f t="shared" si="45"/>
        <v>3.5849369392382133</v>
      </c>
      <c r="AV326" s="1">
        <f t="shared" si="46"/>
        <v>3.0349484655509609</v>
      </c>
      <c r="AW326" s="1">
        <f t="shared" si="47"/>
        <v>2.4849599918637075</v>
      </c>
    </row>
    <row r="327" spans="1:49" x14ac:dyDescent="0.2">
      <c r="A327">
        <v>325</v>
      </c>
      <c r="B327" t="s">
        <v>5146</v>
      </c>
      <c r="C327" t="s">
        <v>5145</v>
      </c>
      <c r="D327" t="s">
        <v>5144</v>
      </c>
      <c r="F327" t="s">
        <v>5143</v>
      </c>
      <c r="G327" t="s">
        <v>4</v>
      </c>
      <c r="H327" t="s">
        <v>3</v>
      </c>
      <c r="I327" t="s">
        <v>5142</v>
      </c>
      <c r="J327" t="s">
        <v>5141</v>
      </c>
      <c r="K327" t="s">
        <v>5140</v>
      </c>
      <c r="L327" t="s">
        <v>5139</v>
      </c>
      <c r="M327" t="s">
        <v>122</v>
      </c>
      <c r="N327">
        <v>3</v>
      </c>
      <c r="O327" t="s">
        <v>5138</v>
      </c>
      <c r="P327" t="s">
        <v>5137</v>
      </c>
      <c r="Q327" t="s">
        <v>5136</v>
      </c>
      <c r="R327" s="8">
        <v>35765</v>
      </c>
      <c r="S327" s="9">
        <f t="shared" si="40"/>
        <v>1997</v>
      </c>
      <c r="T327" s="9">
        <v>1997</v>
      </c>
      <c r="U327" s="9">
        <f t="shared" si="41"/>
        <v>25</v>
      </c>
      <c r="V327" s="8">
        <v>1997</v>
      </c>
      <c r="W327" t="s">
        <v>392</v>
      </c>
      <c r="X327" s="2">
        <v>1.6519999999999999</v>
      </c>
      <c r="Y327" s="7">
        <f t="shared" si="42"/>
        <v>4.409919649769093E-2</v>
      </c>
      <c r="AA327" t="s">
        <v>391</v>
      </c>
      <c r="AB327">
        <v>17337</v>
      </c>
      <c r="AD327" t="s">
        <v>1</v>
      </c>
      <c r="AE327">
        <v>45</v>
      </c>
      <c r="AF327">
        <v>5</v>
      </c>
      <c r="AH327" t="s">
        <v>5135</v>
      </c>
      <c r="AI327" t="s">
        <v>5134</v>
      </c>
      <c r="AJ327" t="s">
        <v>5133</v>
      </c>
      <c r="AK327" t="s">
        <v>5132</v>
      </c>
      <c r="AL327">
        <v>32</v>
      </c>
      <c r="AM327" s="5">
        <f t="shared" si="43"/>
        <v>1.28</v>
      </c>
      <c r="AN327" s="4">
        <f t="shared" si="44"/>
        <v>1.93865959863688E-3</v>
      </c>
      <c r="AO327" s="3"/>
      <c r="AP327">
        <v>0</v>
      </c>
      <c r="AR327" t="s">
        <v>0</v>
      </c>
      <c r="AT327" s="2" t="s">
        <v>5</v>
      </c>
      <c r="AU327" s="1">
        <f t="shared" si="45"/>
        <v>3.1451035427974712</v>
      </c>
      <c r="AV327" s="1">
        <f t="shared" si="46"/>
        <v>2.3018928048163905</v>
      </c>
      <c r="AW327" s="1">
        <f t="shared" si="47"/>
        <v>1.4586820668353093</v>
      </c>
    </row>
    <row r="328" spans="1:49" x14ac:dyDescent="0.2">
      <c r="A328">
        <v>326</v>
      </c>
      <c r="B328" t="s">
        <v>5131</v>
      </c>
      <c r="C328" t="s">
        <v>5130</v>
      </c>
      <c r="D328" t="s">
        <v>5129</v>
      </c>
      <c r="F328" t="s">
        <v>5128</v>
      </c>
      <c r="G328" t="s">
        <v>4</v>
      </c>
      <c r="H328" t="s">
        <v>3</v>
      </c>
      <c r="I328" t="s">
        <v>5127</v>
      </c>
      <c r="J328">
        <v>60028186</v>
      </c>
      <c r="K328" t="s">
        <v>427</v>
      </c>
      <c r="L328" t="s">
        <v>426</v>
      </c>
      <c r="M328" t="s">
        <v>81</v>
      </c>
      <c r="N328">
        <v>1</v>
      </c>
      <c r="O328" t="s">
        <v>5126</v>
      </c>
      <c r="P328">
        <v>6602871619</v>
      </c>
      <c r="Q328">
        <v>60028186</v>
      </c>
      <c r="R328" s="8">
        <v>35765</v>
      </c>
      <c r="S328" s="9">
        <f t="shared" si="40"/>
        <v>1997</v>
      </c>
      <c r="T328" s="9">
        <v>1997</v>
      </c>
      <c r="U328" s="9">
        <f t="shared" si="41"/>
        <v>25</v>
      </c>
      <c r="V328" s="8">
        <v>1997</v>
      </c>
      <c r="W328" t="s">
        <v>4163</v>
      </c>
      <c r="X328" s="2">
        <v>1.365</v>
      </c>
      <c r="Y328" s="7">
        <f t="shared" si="42"/>
        <v>3.6437895411227675E-2</v>
      </c>
      <c r="AA328">
        <v>189545</v>
      </c>
      <c r="AB328">
        <v>17393</v>
      </c>
      <c r="AD328" t="s">
        <v>1</v>
      </c>
      <c r="AE328">
        <v>46</v>
      </c>
      <c r="AF328">
        <v>2</v>
      </c>
      <c r="AH328" t="s">
        <v>5125</v>
      </c>
      <c r="AI328" t="s">
        <v>5124</v>
      </c>
      <c r="AJ328" t="s">
        <v>5123</v>
      </c>
      <c r="AK328" t="s">
        <v>5122</v>
      </c>
      <c r="AL328">
        <v>162</v>
      </c>
      <c r="AM328" s="5">
        <f t="shared" si="43"/>
        <v>6.48</v>
      </c>
      <c r="AN328" s="4">
        <f t="shared" si="44"/>
        <v>9.8144642180992055E-3</v>
      </c>
      <c r="AO328" s="3"/>
      <c r="AP328">
        <v>0</v>
      </c>
      <c r="AR328" t="s">
        <v>0</v>
      </c>
      <c r="AT328" s="2" t="s">
        <v>5</v>
      </c>
      <c r="AU328" s="1">
        <f t="shared" si="45"/>
        <v>2.845086605328913</v>
      </c>
      <c r="AV328" s="1">
        <f t="shared" si="46"/>
        <v>2.3126179814663441</v>
      </c>
      <c r="AW328" s="1">
        <f t="shared" si="47"/>
        <v>1.7801493576037748</v>
      </c>
    </row>
    <row r="329" spans="1:49" x14ac:dyDescent="0.2">
      <c r="A329">
        <v>327</v>
      </c>
      <c r="B329" t="s">
        <v>5121</v>
      </c>
      <c r="F329" t="s">
        <v>5120</v>
      </c>
      <c r="G329" t="s">
        <v>4</v>
      </c>
      <c r="H329" t="s">
        <v>3</v>
      </c>
      <c r="I329" t="s">
        <v>5119</v>
      </c>
      <c r="J329">
        <v>60000891</v>
      </c>
      <c r="K329" t="s">
        <v>5118</v>
      </c>
      <c r="L329" t="s">
        <v>5117</v>
      </c>
      <c r="M329" t="s">
        <v>8</v>
      </c>
      <c r="N329">
        <v>1</v>
      </c>
      <c r="O329" t="s">
        <v>5116</v>
      </c>
      <c r="P329">
        <v>7202395240</v>
      </c>
      <c r="Q329">
        <v>60000891</v>
      </c>
      <c r="R329" s="8">
        <v>35765</v>
      </c>
      <c r="S329" s="9">
        <f t="shared" si="40"/>
        <v>1997</v>
      </c>
      <c r="T329" s="9">
        <v>1997</v>
      </c>
      <c r="U329" s="9">
        <f t="shared" si="41"/>
        <v>25</v>
      </c>
      <c r="V329" s="8">
        <v>1997</v>
      </c>
      <c r="W329" t="s">
        <v>105</v>
      </c>
      <c r="X329" s="2">
        <v>0.1</v>
      </c>
      <c r="Y329" s="7">
        <f t="shared" si="42"/>
        <v>2.6694428872694269E-3</v>
      </c>
      <c r="AA329">
        <v>9633308</v>
      </c>
      <c r="AB329">
        <v>17917</v>
      </c>
      <c r="AD329" t="s">
        <v>1</v>
      </c>
      <c r="AF329">
        <v>154</v>
      </c>
      <c r="AI329" t="s">
        <v>5115</v>
      </c>
      <c r="AK329" t="s">
        <v>5114</v>
      </c>
      <c r="AL329">
        <v>0</v>
      </c>
      <c r="AM329" s="5">
        <f t="shared" si="43"/>
        <v>0</v>
      </c>
      <c r="AN329" s="4">
        <f t="shared" si="44"/>
        <v>0</v>
      </c>
      <c r="AO329" s="3"/>
      <c r="AP329">
        <v>0</v>
      </c>
      <c r="AR329" t="s">
        <v>0</v>
      </c>
      <c r="AT329" s="2" t="s">
        <v>5</v>
      </c>
      <c r="AU329" s="1">
        <f t="shared" si="45"/>
        <v>0.18686100210885986</v>
      </c>
      <c r="AV329" s="1">
        <f t="shared" si="46"/>
        <v>0.13347214436347135</v>
      </c>
      <c r="AW329" s="1">
        <f t="shared" si="47"/>
        <v>8.0083286618082811E-2</v>
      </c>
    </row>
    <row r="330" spans="1:49" x14ac:dyDescent="0.2">
      <c r="A330">
        <v>328</v>
      </c>
      <c r="B330" t="s">
        <v>5113</v>
      </c>
      <c r="F330" t="s">
        <v>5112</v>
      </c>
      <c r="G330" t="s">
        <v>4</v>
      </c>
      <c r="H330" t="s">
        <v>3</v>
      </c>
      <c r="I330" t="s">
        <v>5111</v>
      </c>
      <c r="J330">
        <v>60009941</v>
      </c>
      <c r="K330" t="s">
        <v>353</v>
      </c>
      <c r="L330" t="s">
        <v>352</v>
      </c>
      <c r="M330" t="s">
        <v>7</v>
      </c>
      <c r="N330">
        <v>3</v>
      </c>
      <c r="O330" t="s">
        <v>5110</v>
      </c>
      <c r="P330" t="s">
        <v>5109</v>
      </c>
      <c r="Q330" t="s">
        <v>424</v>
      </c>
      <c r="R330" s="8">
        <v>35765</v>
      </c>
      <c r="S330" s="9">
        <f t="shared" si="40"/>
        <v>1997</v>
      </c>
      <c r="T330" s="9">
        <v>1997</v>
      </c>
      <c r="U330" s="9">
        <f t="shared" si="41"/>
        <v>25</v>
      </c>
      <c r="V330" s="8">
        <v>1997</v>
      </c>
      <c r="W330" t="s">
        <v>105</v>
      </c>
      <c r="X330" s="2">
        <v>0.1</v>
      </c>
      <c r="Y330" s="7">
        <f t="shared" si="42"/>
        <v>2.6694428872694269E-3</v>
      </c>
      <c r="AA330">
        <v>9633308</v>
      </c>
      <c r="AB330">
        <v>17917</v>
      </c>
      <c r="AD330" t="s">
        <v>1</v>
      </c>
      <c r="AF330">
        <v>129</v>
      </c>
      <c r="AI330" t="s">
        <v>5108</v>
      </c>
      <c r="AK330" t="s">
        <v>5107</v>
      </c>
      <c r="AL330">
        <v>1</v>
      </c>
      <c r="AM330" s="5">
        <f t="shared" si="43"/>
        <v>0.04</v>
      </c>
      <c r="AN330" s="4">
        <f t="shared" si="44"/>
        <v>6.05831124574025E-5</v>
      </c>
      <c r="AO330" s="3"/>
      <c r="AP330">
        <v>0</v>
      </c>
      <c r="AR330" t="s">
        <v>0</v>
      </c>
      <c r="AT330" s="2" t="s">
        <v>5</v>
      </c>
      <c r="AU330" s="1">
        <f t="shared" si="45"/>
        <v>0.18867849548258195</v>
      </c>
      <c r="AV330" s="1">
        <f t="shared" si="46"/>
        <v>0.13650129998634147</v>
      </c>
      <c r="AW330" s="1">
        <f t="shared" si="47"/>
        <v>8.4324104490100971E-2</v>
      </c>
    </row>
    <row r="331" spans="1:49" x14ac:dyDescent="0.2">
      <c r="A331">
        <v>329</v>
      </c>
      <c r="B331" t="s">
        <v>5106</v>
      </c>
      <c r="F331" t="s">
        <v>5105</v>
      </c>
      <c r="G331" t="s">
        <v>4</v>
      </c>
      <c r="H331" t="s">
        <v>3</v>
      </c>
      <c r="I331" t="s">
        <v>5104</v>
      </c>
      <c r="J331">
        <v>60003896</v>
      </c>
      <c r="K331" t="s">
        <v>5103</v>
      </c>
      <c r="L331" t="s">
        <v>5102</v>
      </c>
      <c r="M331" t="s">
        <v>7</v>
      </c>
      <c r="N331">
        <v>1</v>
      </c>
      <c r="O331" t="s">
        <v>5101</v>
      </c>
      <c r="P331">
        <v>7102617728</v>
      </c>
      <c r="Q331">
        <v>60003896</v>
      </c>
      <c r="R331" s="8">
        <v>35765</v>
      </c>
      <c r="S331" s="9">
        <f t="shared" si="40"/>
        <v>1997</v>
      </c>
      <c r="T331" s="9">
        <v>1997</v>
      </c>
      <c r="U331" s="9">
        <f t="shared" si="41"/>
        <v>25</v>
      </c>
      <c r="V331" s="8">
        <v>1997</v>
      </c>
      <c r="W331" t="s">
        <v>105</v>
      </c>
      <c r="X331" s="2">
        <v>0.1</v>
      </c>
      <c r="Y331" s="7">
        <f t="shared" si="42"/>
        <v>2.6694428872694269E-3</v>
      </c>
      <c r="AA331">
        <v>9633308</v>
      </c>
      <c r="AB331">
        <v>17917</v>
      </c>
      <c r="AD331" t="s">
        <v>1</v>
      </c>
      <c r="AF331">
        <v>129</v>
      </c>
      <c r="AL331">
        <v>3</v>
      </c>
      <c r="AM331" s="5">
        <f t="shared" si="43"/>
        <v>0.12</v>
      </c>
      <c r="AN331" s="4">
        <f t="shared" si="44"/>
        <v>1.8174933737220749E-4</v>
      </c>
      <c r="AO331" s="3"/>
      <c r="AP331">
        <v>0</v>
      </c>
      <c r="AR331" t="s">
        <v>0</v>
      </c>
      <c r="AT331" s="2" t="s">
        <v>5</v>
      </c>
      <c r="AU331" s="1">
        <f t="shared" si="45"/>
        <v>0.19231348223002609</v>
      </c>
      <c r="AV331" s="1">
        <f t="shared" si="46"/>
        <v>0.14255961123208172</v>
      </c>
      <c r="AW331" s="1">
        <f t="shared" si="47"/>
        <v>9.2805740234137318E-2</v>
      </c>
    </row>
    <row r="332" spans="1:49" x14ac:dyDescent="0.2">
      <c r="A332">
        <v>330</v>
      </c>
      <c r="B332" t="s">
        <v>5100</v>
      </c>
      <c r="F332" t="s">
        <v>5099</v>
      </c>
      <c r="G332" t="s">
        <v>4</v>
      </c>
      <c r="H332" t="s">
        <v>3</v>
      </c>
      <c r="I332" t="s">
        <v>5098</v>
      </c>
      <c r="J332" t="s">
        <v>5097</v>
      </c>
      <c r="K332" t="s">
        <v>5096</v>
      </c>
      <c r="L332" t="s">
        <v>5095</v>
      </c>
      <c r="M332" t="s">
        <v>5094</v>
      </c>
      <c r="N332">
        <v>3</v>
      </c>
      <c r="O332" t="s">
        <v>5093</v>
      </c>
      <c r="P332" t="s">
        <v>5092</v>
      </c>
      <c r="Q332" t="s">
        <v>5091</v>
      </c>
      <c r="R332" s="8">
        <v>35765</v>
      </c>
      <c r="S332" s="9">
        <f t="shared" si="40"/>
        <v>1997</v>
      </c>
      <c r="T332" s="9">
        <v>1997</v>
      </c>
      <c r="U332" s="9">
        <f t="shared" si="41"/>
        <v>25</v>
      </c>
      <c r="V332" s="8">
        <v>1997</v>
      </c>
      <c r="W332" t="s">
        <v>105</v>
      </c>
      <c r="X332" s="2">
        <v>0.1</v>
      </c>
      <c r="Y332" s="7">
        <f t="shared" si="42"/>
        <v>2.6694428872694269E-3</v>
      </c>
      <c r="AA332">
        <v>9633308</v>
      </c>
      <c r="AB332">
        <v>17917</v>
      </c>
      <c r="AD332" t="s">
        <v>1</v>
      </c>
      <c r="AF332">
        <v>129</v>
      </c>
      <c r="AL332">
        <v>7</v>
      </c>
      <c r="AM332" s="5">
        <f t="shared" si="43"/>
        <v>0.28000000000000003</v>
      </c>
      <c r="AN332" s="4">
        <f t="shared" si="44"/>
        <v>4.2408178720181755E-4</v>
      </c>
      <c r="AO332" s="3"/>
      <c r="AP332">
        <v>0</v>
      </c>
      <c r="AR332" t="s">
        <v>0</v>
      </c>
      <c r="AT332" s="2" t="s">
        <v>5</v>
      </c>
      <c r="AU332" s="1">
        <f t="shared" si="45"/>
        <v>0.1995834557249144</v>
      </c>
      <c r="AV332" s="1">
        <f t="shared" si="46"/>
        <v>0.15467623372356221</v>
      </c>
      <c r="AW332" s="1">
        <f t="shared" si="47"/>
        <v>0.10976901172221001</v>
      </c>
    </row>
    <row r="333" spans="1:49" x14ac:dyDescent="0.2">
      <c r="A333">
        <v>331</v>
      </c>
      <c r="B333" t="s">
        <v>5090</v>
      </c>
      <c r="C333" t="s">
        <v>5089</v>
      </c>
      <c r="D333" t="s">
        <v>5088</v>
      </c>
      <c r="F333" t="s">
        <v>5087</v>
      </c>
      <c r="G333" t="s">
        <v>4</v>
      </c>
      <c r="H333" t="s">
        <v>3</v>
      </c>
      <c r="I333" t="s">
        <v>5086</v>
      </c>
      <c r="J333">
        <v>60104110</v>
      </c>
      <c r="K333" t="s">
        <v>5085</v>
      </c>
      <c r="L333" t="s">
        <v>5084</v>
      </c>
      <c r="M333" t="s">
        <v>2</v>
      </c>
      <c r="N333">
        <v>8</v>
      </c>
      <c r="O333" t="s">
        <v>5083</v>
      </c>
      <c r="P333" t="s">
        <v>5082</v>
      </c>
      <c r="Q333" t="s">
        <v>5081</v>
      </c>
      <c r="R333" s="8">
        <v>35765</v>
      </c>
      <c r="S333" s="9">
        <f t="shared" si="40"/>
        <v>1997</v>
      </c>
      <c r="T333" s="9">
        <v>1997</v>
      </c>
      <c r="U333" s="9">
        <f t="shared" si="41"/>
        <v>25</v>
      </c>
      <c r="V333" s="8">
        <v>1997</v>
      </c>
      <c r="W333" t="s">
        <v>4939</v>
      </c>
      <c r="X333" s="2">
        <v>0.46</v>
      </c>
      <c r="Y333" s="7">
        <f t="shared" si="42"/>
        <v>1.2279437281439364E-2</v>
      </c>
      <c r="AA333">
        <v>933813</v>
      </c>
      <c r="AB333">
        <v>28031</v>
      </c>
      <c r="AD333" t="s">
        <v>1</v>
      </c>
      <c r="AE333">
        <v>25</v>
      </c>
      <c r="AF333">
        <v>2</v>
      </c>
      <c r="AH333" t="s">
        <v>5080</v>
      </c>
      <c r="AI333" t="s">
        <v>5079</v>
      </c>
      <c r="AK333" t="s">
        <v>5078</v>
      </c>
      <c r="AL333">
        <v>62</v>
      </c>
      <c r="AM333" s="5">
        <f t="shared" si="43"/>
        <v>2.48</v>
      </c>
      <c r="AN333" s="4">
        <f t="shared" si="44"/>
        <v>3.7561529723589551E-3</v>
      </c>
      <c r="AO333" s="3"/>
      <c r="AP333">
        <v>0</v>
      </c>
      <c r="AR333" t="s">
        <v>5077</v>
      </c>
      <c r="AT333" s="2">
        <v>1.222</v>
      </c>
      <c r="AU333" s="1">
        <f t="shared" si="45"/>
        <v>0.97224519887152394</v>
      </c>
      <c r="AV333" s="1">
        <f t="shared" si="46"/>
        <v>0.80177951268991587</v>
      </c>
      <c r="AW333" s="1">
        <f t="shared" si="47"/>
        <v>0.6313138265083077</v>
      </c>
    </row>
    <row r="334" spans="1:49" x14ac:dyDescent="0.2">
      <c r="A334">
        <v>332</v>
      </c>
      <c r="B334" t="s">
        <v>5076</v>
      </c>
      <c r="C334" t="s">
        <v>5075</v>
      </c>
      <c r="F334" t="s">
        <v>5074</v>
      </c>
      <c r="G334" t="s">
        <v>4</v>
      </c>
      <c r="H334" t="s">
        <v>3</v>
      </c>
      <c r="I334" t="s">
        <v>5073</v>
      </c>
      <c r="J334" t="s">
        <v>5072</v>
      </c>
      <c r="K334" t="s">
        <v>5071</v>
      </c>
      <c r="L334" t="s">
        <v>5070</v>
      </c>
      <c r="M334" t="s">
        <v>5069</v>
      </c>
      <c r="N334">
        <v>2</v>
      </c>
      <c r="O334" t="s">
        <v>5068</v>
      </c>
      <c r="P334" t="s">
        <v>5067</v>
      </c>
      <c r="Q334" t="s">
        <v>5066</v>
      </c>
      <c r="R334" s="8">
        <v>35765</v>
      </c>
      <c r="S334" s="9">
        <f t="shared" si="40"/>
        <v>1997</v>
      </c>
      <c r="T334" s="9">
        <v>1997</v>
      </c>
      <c r="U334" s="9">
        <f t="shared" si="41"/>
        <v>25</v>
      </c>
      <c r="V334" s="8">
        <v>1997</v>
      </c>
      <c r="W334" t="s">
        <v>3745</v>
      </c>
      <c r="X334" s="2">
        <v>1.137</v>
      </c>
      <c r="Y334" s="7">
        <f t="shared" si="42"/>
        <v>3.0351565628253384E-2</v>
      </c>
      <c r="AA334">
        <v>189251</v>
      </c>
      <c r="AB334">
        <v>17336</v>
      </c>
      <c r="AD334" t="s">
        <v>1</v>
      </c>
      <c r="AE334">
        <v>33</v>
      </c>
      <c r="AF334" t="s">
        <v>329</v>
      </c>
      <c r="AH334" t="s">
        <v>5065</v>
      </c>
      <c r="AI334" t="s">
        <v>5064</v>
      </c>
      <c r="AK334" t="s">
        <v>5063</v>
      </c>
      <c r="AL334">
        <v>21</v>
      </c>
      <c r="AM334" s="5">
        <f t="shared" si="43"/>
        <v>0.84</v>
      </c>
      <c r="AN334" s="4">
        <f t="shared" si="44"/>
        <v>1.2722453616054524E-3</v>
      </c>
      <c r="AO334" s="3"/>
      <c r="AP334">
        <v>0</v>
      </c>
      <c r="AQ334" t="s">
        <v>157</v>
      </c>
      <c r="AR334" t="s">
        <v>0</v>
      </c>
      <c r="AS334" t="s">
        <v>156</v>
      </c>
      <c r="AT334" s="2" t="s">
        <v>5</v>
      </c>
      <c r="AU334" s="1">
        <f t="shared" si="45"/>
        <v>2.1627769548259002</v>
      </c>
      <c r="AV334" s="1">
        <f t="shared" si="46"/>
        <v>1.5811905494929417</v>
      </c>
      <c r="AW334" s="1">
        <f t="shared" si="47"/>
        <v>0.99960414415998322</v>
      </c>
    </row>
    <row r="335" spans="1:49" x14ac:dyDescent="0.2">
      <c r="A335">
        <v>333</v>
      </c>
      <c r="B335" t="s">
        <v>5062</v>
      </c>
      <c r="C335" t="s">
        <v>5061</v>
      </c>
      <c r="F335" t="s">
        <v>5060</v>
      </c>
      <c r="G335" t="s">
        <v>4</v>
      </c>
      <c r="H335" t="s">
        <v>3</v>
      </c>
      <c r="I335" t="s">
        <v>5059</v>
      </c>
      <c r="J335">
        <v>60025223</v>
      </c>
      <c r="K335" t="s">
        <v>4890</v>
      </c>
      <c r="L335" t="s">
        <v>367</v>
      </c>
      <c r="M335" t="s">
        <v>127</v>
      </c>
      <c r="N335">
        <v>1</v>
      </c>
      <c r="O335" t="s">
        <v>5058</v>
      </c>
      <c r="P335">
        <v>7005779209</v>
      </c>
      <c r="Q335">
        <v>60025223</v>
      </c>
      <c r="R335" s="8">
        <v>35765</v>
      </c>
      <c r="S335" s="9">
        <f t="shared" si="40"/>
        <v>1997</v>
      </c>
      <c r="T335" s="9">
        <v>1997</v>
      </c>
      <c r="U335" s="9">
        <f t="shared" si="41"/>
        <v>25</v>
      </c>
      <c r="V335" s="8">
        <v>1997</v>
      </c>
      <c r="W335" t="s">
        <v>1803</v>
      </c>
      <c r="X335" s="2">
        <v>1.6379999999999999</v>
      </c>
      <c r="Y335" s="7">
        <f t="shared" si="42"/>
        <v>4.3725474493473214E-2</v>
      </c>
      <c r="AA335" t="s">
        <v>1802</v>
      </c>
      <c r="AB335">
        <v>17391</v>
      </c>
      <c r="AD335" t="s">
        <v>1</v>
      </c>
      <c r="AE335">
        <v>45</v>
      </c>
      <c r="AF335">
        <v>4</v>
      </c>
      <c r="AH335" t="s">
        <v>5057</v>
      </c>
      <c r="AI335" t="s">
        <v>5056</v>
      </c>
      <c r="AK335" t="s">
        <v>5055</v>
      </c>
      <c r="AL335">
        <v>76</v>
      </c>
      <c r="AM335" s="5">
        <f t="shared" si="43"/>
        <v>3.04</v>
      </c>
      <c r="AN335" s="4">
        <f t="shared" si="44"/>
        <v>4.6043165467625899E-3</v>
      </c>
      <c r="AO335" s="3"/>
      <c r="AP335">
        <v>0</v>
      </c>
      <c r="AR335" t="s">
        <v>0</v>
      </c>
      <c r="AT335" s="2">
        <v>4.931</v>
      </c>
      <c r="AU335" s="1">
        <f t="shared" si="45"/>
        <v>3.1989127109460025</v>
      </c>
      <c r="AV335" s="1">
        <f t="shared" si="46"/>
        <v>2.4164895520117904</v>
      </c>
      <c r="AW335" s="1">
        <f t="shared" si="47"/>
        <v>1.6340663930775778</v>
      </c>
    </row>
    <row r="336" spans="1:49" x14ac:dyDescent="0.2">
      <c r="A336">
        <v>334</v>
      </c>
      <c r="B336" t="s">
        <v>5054</v>
      </c>
      <c r="C336" t="s">
        <v>5053</v>
      </c>
      <c r="D336" t="s">
        <v>5052</v>
      </c>
      <c r="F336" t="s">
        <v>5051</v>
      </c>
      <c r="G336" t="s">
        <v>4</v>
      </c>
      <c r="H336" t="s">
        <v>3</v>
      </c>
      <c r="I336" t="s">
        <v>5050</v>
      </c>
      <c r="J336" t="s">
        <v>5049</v>
      </c>
      <c r="K336" t="s">
        <v>5048</v>
      </c>
      <c r="L336" t="s">
        <v>5047</v>
      </c>
      <c r="M336" t="s">
        <v>5046</v>
      </c>
      <c r="N336">
        <v>4</v>
      </c>
      <c r="O336" t="s">
        <v>5045</v>
      </c>
      <c r="P336" t="s">
        <v>5044</v>
      </c>
      <c r="Q336" t="s">
        <v>5043</v>
      </c>
      <c r="R336" s="8">
        <v>35765</v>
      </c>
      <c r="S336" s="9">
        <f t="shared" si="40"/>
        <v>1997</v>
      </c>
      <c r="T336" s="9">
        <v>1997</v>
      </c>
      <c r="U336" s="9">
        <f t="shared" si="41"/>
        <v>25</v>
      </c>
      <c r="V336" s="8">
        <v>1997</v>
      </c>
      <c r="W336" t="s">
        <v>392</v>
      </c>
      <c r="X336" s="2">
        <v>1.6519999999999999</v>
      </c>
      <c r="Y336" s="7">
        <f t="shared" si="42"/>
        <v>4.409919649769093E-2</v>
      </c>
      <c r="AA336" t="s">
        <v>391</v>
      </c>
      <c r="AB336">
        <v>17337</v>
      </c>
      <c r="AD336" t="s">
        <v>1</v>
      </c>
      <c r="AE336">
        <v>45</v>
      </c>
      <c r="AF336">
        <v>4</v>
      </c>
      <c r="AH336" t="s">
        <v>5042</v>
      </c>
      <c r="AI336" t="s">
        <v>5041</v>
      </c>
      <c r="AJ336" t="s">
        <v>272</v>
      </c>
      <c r="AK336" t="s">
        <v>5040</v>
      </c>
      <c r="AL336">
        <v>17</v>
      </c>
      <c r="AM336" s="5">
        <f t="shared" si="43"/>
        <v>0.68</v>
      </c>
      <c r="AN336" s="4">
        <f t="shared" si="44"/>
        <v>1.0299129117758426E-3</v>
      </c>
      <c r="AO336" s="3"/>
      <c r="AP336">
        <v>0</v>
      </c>
      <c r="AR336" t="s">
        <v>0</v>
      </c>
      <c r="AT336" s="2" t="s">
        <v>5</v>
      </c>
      <c r="AU336" s="1">
        <f t="shared" si="45"/>
        <v>3.1178411421916405</v>
      </c>
      <c r="AV336" s="1">
        <f t="shared" si="46"/>
        <v>2.2564554704733388</v>
      </c>
      <c r="AW336" s="1">
        <f t="shared" si="47"/>
        <v>1.3950697987550367</v>
      </c>
    </row>
    <row r="337" spans="1:49" x14ac:dyDescent="0.2">
      <c r="A337">
        <v>335</v>
      </c>
      <c r="B337" t="s">
        <v>5039</v>
      </c>
      <c r="C337" t="s">
        <v>5038</v>
      </c>
      <c r="D337" t="s">
        <v>5037</v>
      </c>
      <c r="F337" t="s">
        <v>5036</v>
      </c>
      <c r="G337" t="s">
        <v>4</v>
      </c>
      <c r="H337" t="s">
        <v>3</v>
      </c>
      <c r="I337" t="s">
        <v>270</v>
      </c>
      <c r="J337">
        <v>60009697</v>
      </c>
      <c r="K337" t="s">
        <v>269</v>
      </c>
      <c r="L337" t="s">
        <v>268</v>
      </c>
      <c r="M337" t="s">
        <v>29</v>
      </c>
      <c r="N337">
        <v>2</v>
      </c>
      <c r="O337" t="s">
        <v>5035</v>
      </c>
      <c r="P337" t="s">
        <v>267</v>
      </c>
      <c r="Q337" t="s">
        <v>266</v>
      </c>
      <c r="R337" s="8">
        <v>35765</v>
      </c>
      <c r="S337" s="9">
        <f t="shared" si="40"/>
        <v>1997</v>
      </c>
      <c r="T337" s="9">
        <v>1997</v>
      </c>
      <c r="U337" s="9">
        <f t="shared" si="41"/>
        <v>25</v>
      </c>
      <c r="V337" s="8">
        <v>1997</v>
      </c>
      <c r="W337" t="s">
        <v>392</v>
      </c>
      <c r="X337" s="2">
        <v>1.6519999999999999</v>
      </c>
      <c r="Y337" s="7">
        <f t="shared" si="42"/>
        <v>4.409919649769093E-2</v>
      </c>
      <c r="AA337" t="s">
        <v>391</v>
      </c>
      <c r="AB337">
        <v>17337</v>
      </c>
      <c r="AD337" t="s">
        <v>1</v>
      </c>
      <c r="AE337">
        <v>45</v>
      </c>
      <c r="AF337">
        <v>4</v>
      </c>
      <c r="AH337" t="s">
        <v>5034</v>
      </c>
      <c r="AI337" t="s">
        <v>5033</v>
      </c>
      <c r="AJ337" t="s">
        <v>4202</v>
      </c>
      <c r="AK337" t="s">
        <v>5032</v>
      </c>
      <c r="AL337">
        <v>17</v>
      </c>
      <c r="AM337" s="5">
        <f t="shared" si="43"/>
        <v>0.68</v>
      </c>
      <c r="AN337" s="4">
        <f t="shared" si="44"/>
        <v>1.0299129117758426E-3</v>
      </c>
      <c r="AO337" s="3"/>
      <c r="AP337">
        <v>0</v>
      </c>
      <c r="AR337" t="s">
        <v>0</v>
      </c>
      <c r="AT337" s="2" t="s">
        <v>5</v>
      </c>
      <c r="AU337" s="1">
        <f t="shared" si="45"/>
        <v>3.1178411421916405</v>
      </c>
      <c r="AV337" s="1">
        <f t="shared" si="46"/>
        <v>2.2564554704733388</v>
      </c>
      <c r="AW337" s="1">
        <f t="shared" si="47"/>
        <v>1.3950697987550367</v>
      </c>
    </row>
    <row r="338" spans="1:49" x14ac:dyDescent="0.2">
      <c r="A338">
        <v>336</v>
      </c>
      <c r="B338" t="s">
        <v>5031</v>
      </c>
      <c r="C338" t="s">
        <v>5030</v>
      </c>
      <c r="D338" t="s">
        <v>5029</v>
      </c>
      <c r="F338" t="s">
        <v>5028</v>
      </c>
      <c r="G338" t="s">
        <v>4</v>
      </c>
      <c r="H338" t="s">
        <v>3</v>
      </c>
      <c r="I338" t="s">
        <v>726</v>
      </c>
      <c r="J338">
        <v>60110755</v>
      </c>
      <c r="K338" t="s">
        <v>501</v>
      </c>
      <c r="L338" t="s">
        <v>500</v>
      </c>
      <c r="M338" t="s">
        <v>26</v>
      </c>
      <c r="N338">
        <v>3</v>
      </c>
      <c r="O338" t="s">
        <v>5027</v>
      </c>
      <c r="P338" t="s">
        <v>5026</v>
      </c>
      <c r="Q338" t="s">
        <v>499</v>
      </c>
      <c r="R338" s="8">
        <v>35765</v>
      </c>
      <c r="S338" s="9">
        <f t="shared" si="40"/>
        <v>1997</v>
      </c>
      <c r="T338" s="9">
        <v>1997</v>
      </c>
      <c r="U338" s="9">
        <f t="shared" si="41"/>
        <v>25</v>
      </c>
      <c r="V338" s="8">
        <v>1997</v>
      </c>
      <c r="W338" t="s">
        <v>392</v>
      </c>
      <c r="X338" s="2">
        <v>1.6519999999999999</v>
      </c>
      <c r="Y338" s="7">
        <f t="shared" si="42"/>
        <v>4.409919649769093E-2</v>
      </c>
      <c r="AA338" t="s">
        <v>391</v>
      </c>
      <c r="AB338">
        <v>17337</v>
      </c>
      <c r="AD338" t="s">
        <v>1</v>
      </c>
      <c r="AE338">
        <v>45</v>
      </c>
      <c r="AF338">
        <v>4</v>
      </c>
      <c r="AH338" t="s">
        <v>5025</v>
      </c>
      <c r="AI338" t="s">
        <v>5024</v>
      </c>
      <c r="AJ338" t="s">
        <v>272</v>
      </c>
      <c r="AK338" t="s">
        <v>5023</v>
      </c>
      <c r="AL338">
        <v>103</v>
      </c>
      <c r="AM338" s="5">
        <f t="shared" si="43"/>
        <v>4.12</v>
      </c>
      <c r="AN338" s="4">
        <f t="shared" si="44"/>
        <v>6.2400605831124572E-3</v>
      </c>
      <c r="AO338" s="3"/>
      <c r="AP338">
        <v>0</v>
      </c>
      <c r="AR338" t="s">
        <v>0</v>
      </c>
      <c r="AT338" s="2" t="s">
        <v>5</v>
      </c>
      <c r="AU338" s="1">
        <f t="shared" si="45"/>
        <v>3.2741455723317388</v>
      </c>
      <c r="AV338" s="1">
        <f t="shared" si="46"/>
        <v>2.5169628540401696</v>
      </c>
      <c r="AW338" s="1">
        <f t="shared" si="47"/>
        <v>1.7597801357485998</v>
      </c>
    </row>
    <row r="339" spans="1:49" x14ac:dyDescent="0.2">
      <c r="A339">
        <v>337</v>
      </c>
      <c r="B339" t="s">
        <v>5022</v>
      </c>
      <c r="C339" t="s">
        <v>5021</v>
      </c>
      <c r="D339" t="s">
        <v>5020</v>
      </c>
      <c r="F339" t="s">
        <v>5019</v>
      </c>
      <c r="G339" t="s">
        <v>4</v>
      </c>
      <c r="H339" t="s">
        <v>3</v>
      </c>
      <c r="I339" t="s">
        <v>5018</v>
      </c>
      <c r="J339">
        <v>60013395</v>
      </c>
      <c r="K339" t="s">
        <v>5017</v>
      </c>
      <c r="L339" t="s">
        <v>5016</v>
      </c>
      <c r="M339" t="s">
        <v>250</v>
      </c>
      <c r="N339">
        <v>2</v>
      </c>
      <c r="O339" t="s">
        <v>5015</v>
      </c>
      <c r="P339" t="s">
        <v>5014</v>
      </c>
      <c r="Q339" t="s">
        <v>5013</v>
      </c>
      <c r="R339" s="8">
        <v>35765</v>
      </c>
      <c r="S339" s="9">
        <f t="shared" si="40"/>
        <v>1997</v>
      </c>
      <c r="T339" s="9">
        <v>1997</v>
      </c>
      <c r="U339" s="9">
        <f t="shared" si="41"/>
        <v>25</v>
      </c>
      <c r="V339" s="8">
        <v>1997</v>
      </c>
      <c r="W339" t="s">
        <v>4294</v>
      </c>
      <c r="X339" s="2">
        <v>1.468</v>
      </c>
      <c r="Y339" s="7">
        <f t="shared" si="42"/>
        <v>3.9187421585115186E-2</v>
      </c>
      <c r="AA339">
        <v>906778</v>
      </c>
      <c r="AB339">
        <v>18931</v>
      </c>
      <c r="AD339" t="s">
        <v>1</v>
      </c>
      <c r="AE339">
        <v>45</v>
      </c>
      <c r="AF339">
        <v>4</v>
      </c>
      <c r="AH339" t="s">
        <v>5012</v>
      </c>
      <c r="AI339" t="s">
        <v>5011</v>
      </c>
      <c r="AJ339" t="s">
        <v>5010</v>
      </c>
      <c r="AK339" t="s">
        <v>5009</v>
      </c>
      <c r="AL339">
        <v>7</v>
      </c>
      <c r="AM339" s="5">
        <f t="shared" si="43"/>
        <v>0.28000000000000003</v>
      </c>
      <c r="AN339" s="4">
        <f t="shared" si="44"/>
        <v>4.2408178720181755E-4</v>
      </c>
      <c r="AO339" s="3"/>
      <c r="AP339">
        <v>0</v>
      </c>
      <c r="AQ339" t="s">
        <v>362</v>
      </c>
      <c r="AR339" t="s">
        <v>5008</v>
      </c>
      <c r="AS339" t="s">
        <v>361</v>
      </c>
      <c r="AT339" s="2">
        <v>5.0830000000000002</v>
      </c>
      <c r="AU339" s="1">
        <f t="shared" si="45"/>
        <v>2.7558419645741172</v>
      </c>
      <c r="AV339" s="1">
        <f t="shared" si="46"/>
        <v>1.9805751686158501</v>
      </c>
      <c r="AW339" s="1">
        <f t="shared" si="47"/>
        <v>1.2053083726575828</v>
      </c>
    </row>
    <row r="340" spans="1:49" x14ac:dyDescent="0.2">
      <c r="A340">
        <v>338</v>
      </c>
      <c r="B340" t="s">
        <v>5007</v>
      </c>
      <c r="C340" t="s">
        <v>5006</v>
      </c>
      <c r="D340" t="s">
        <v>5005</v>
      </c>
      <c r="F340" t="s">
        <v>5004</v>
      </c>
      <c r="G340" t="s">
        <v>4</v>
      </c>
      <c r="H340" t="s">
        <v>3</v>
      </c>
      <c r="I340" t="s">
        <v>5003</v>
      </c>
      <c r="J340">
        <v>60031159</v>
      </c>
      <c r="K340" t="s">
        <v>5002</v>
      </c>
      <c r="L340" t="s">
        <v>5001</v>
      </c>
      <c r="M340" t="s">
        <v>127</v>
      </c>
      <c r="N340">
        <v>2</v>
      </c>
      <c r="O340" t="s">
        <v>5000</v>
      </c>
      <c r="P340" t="s">
        <v>4999</v>
      </c>
      <c r="Q340" t="s">
        <v>4998</v>
      </c>
      <c r="R340" s="8">
        <v>35765</v>
      </c>
      <c r="S340" s="9">
        <f t="shared" si="40"/>
        <v>1997</v>
      </c>
      <c r="T340" s="9">
        <v>1997</v>
      </c>
      <c r="U340" s="9">
        <f t="shared" si="41"/>
        <v>25</v>
      </c>
      <c r="V340" s="8">
        <v>1997</v>
      </c>
      <c r="W340" t="s">
        <v>392</v>
      </c>
      <c r="X340" s="2">
        <v>1.6519999999999999</v>
      </c>
      <c r="Y340" s="7">
        <f t="shared" si="42"/>
        <v>4.409919649769093E-2</v>
      </c>
      <c r="AA340" t="s">
        <v>391</v>
      </c>
      <c r="AB340">
        <v>17337</v>
      </c>
      <c r="AD340" t="s">
        <v>1</v>
      </c>
      <c r="AE340">
        <v>45</v>
      </c>
      <c r="AF340">
        <v>4</v>
      </c>
      <c r="AH340" t="s">
        <v>4997</v>
      </c>
      <c r="AI340" t="s">
        <v>4996</v>
      </c>
      <c r="AJ340" t="s">
        <v>4886</v>
      </c>
      <c r="AK340" t="s">
        <v>4995</v>
      </c>
      <c r="AL340">
        <v>3</v>
      </c>
      <c r="AM340" s="5">
        <f t="shared" si="43"/>
        <v>0.12</v>
      </c>
      <c r="AN340" s="4">
        <f t="shared" si="44"/>
        <v>1.8174933737220749E-4</v>
      </c>
      <c r="AO340" s="3"/>
      <c r="AP340">
        <v>0</v>
      </c>
      <c r="AR340" t="s">
        <v>0</v>
      </c>
      <c r="AT340" s="2" t="s">
        <v>5</v>
      </c>
      <c r="AU340" s="1">
        <f t="shared" si="45"/>
        <v>3.0923962349595313</v>
      </c>
      <c r="AV340" s="1">
        <f t="shared" si="46"/>
        <v>2.2140472917531571</v>
      </c>
      <c r="AW340" s="1">
        <f t="shared" si="47"/>
        <v>1.3356983485467824</v>
      </c>
    </row>
    <row r="341" spans="1:49" x14ac:dyDescent="0.2">
      <c r="A341">
        <v>339</v>
      </c>
      <c r="B341" t="s">
        <v>4994</v>
      </c>
      <c r="C341" t="s">
        <v>4993</v>
      </c>
      <c r="D341" t="s">
        <v>4992</v>
      </c>
      <c r="F341" t="s">
        <v>4991</v>
      </c>
      <c r="G341" t="s">
        <v>4</v>
      </c>
      <c r="H341" t="s">
        <v>3</v>
      </c>
      <c r="I341" t="s">
        <v>384</v>
      </c>
      <c r="J341" t="s">
        <v>4990</v>
      </c>
      <c r="K341" t="s">
        <v>4989</v>
      </c>
      <c r="L341" t="s">
        <v>4988</v>
      </c>
      <c r="M341" t="s">
        <v>4987</v>
      </c>
      <c r="N341">
        <v>5</v>
      </c>
      <c r="O341" t="s">
        <v>4986</v>
      </c>
      <c r="P341" t="s">
        <v>4985</v>
      </c>
      <c r="Q341" t="s">
        <v>4984</v>
      </c>
      <c r="R341" s="8">
        <v>35765</v>
      </c>
      <c r="S341" s="9">
        <f t="shared" si="40"/>
        <v>1997</v>
      </c>
      <c r="T341" s="9">
        <v>1997</v>
      </c>
      <c r="U341" s="9">
        <f t="shared" si="41"/>
        <v>25</v>
      </c>
      <c r="V341" s="8">
        <v>1997</v>
      </c>
      <c r="W341" t="s">
        <v>392</v>
      </c>
      <c r="X341" s="2">
        <v>1.6519999999999999</v>
      </c>
      <c r="Y341" s="7">
        <f t="shared" si="42"/>
        <v>4.409919649769093E-2</v>
      </c>
      <c r="AA341" t="s">
        <v>391</v>
      </c>
      <c r="AB341">
        <v>17337</v>
      </c>
      <c r="AD341" t="s">
        <v>1</v>
      </c>
      <c r="AE341">
        <v>45</v>
      </c>
      <c r="AF341">
        <v>4</v>
      </c>
      <c r="AH341" t="s">
        <v>4983</v>
      </c>
      <c r="AI341" t="s">
        <v>4982</v>
      </c>
      <c r="AJ341" t="s">
        <v>4981</v>
      </c>
      <c r="AK341" t="s">
        <v>4980</v>
      </c>
      <c r="AL341">
        <v>47</v>
      </c>
      <c r="AM341" s="5">
        <f t="shared" si="43"/>
        <v>1.88</v>
      </c>
      <c r="AN341" s="4">
        <f t="shared" si="44"/>
        <v>2.8474062854979172E-3</v>
      </c>
      <c r="AO341" s="3"/>
      <c r="AP341">
        <v>0</v>
      </c>
      <c r="AR341" t="s">
        <v>0</v>
      </c>
      <c r="AT341" s="2" t="s">
        <v>5</v>
      </c>
      <c r="AU341" s="1">
        <f t="shared" si="45"/>
        <v>3.1723659434033027</v>
      </c>
      <c r="AV341" s="1">
        <f t="shared" si="46"/>
        <v>2.3473301391594426</v>
      </c>
      <c r="AW341" s="1">
        <f t="shared" si="47"/>
        <v>1.522294334915582</v>
      </c>
    </row>
    <row r="342" spans="1:49" x14ac:dyDescent="0.2">
      <c r="A342">
        <v>340</v>
      </c>
      <c r="B342" t="s">
        <v>4979</v>
      </c>
      <c r="C342" t="s">
        <v>4978</v>
      </c>
      <c r="D342" t="s">
        <v>4977</v>
      </c>
      <c r="F342" t="s">
        <v>4976</v>
      </c>
      <c r="G342" t="s">
        <v>4</v>
      </c>
      <c r="H342" t="s">
        <v>3</v>
      </c>
      <c r="I342" t="s">
        <v>4975</v>
      </c>
      <c r="J342" t="s">
        <v>4970</v>
      </c>
      <c r="K342" t="s">
        <v>4974</v>
      </c>
      <c r="L342" t="s">
        <v>4973</v>
      </c>
      <c r="M342" t="s">
        <v>18</v>
      </c>
      <c r="N342">
        <v>2</v>
      </c>
      <c r="O342" t="s">
        <v>4972</v>
      </c>
      <c r="P342" t="s">
        <v>4971</v>
      </c>
      <c r="Q342" t="s">
        <v>4970</v>
      </c>
      <c r="R342" s="8">
        <v>35765</v>
      </c>
      <c r="S342" s="9">
        <f t="shared" si="40"/>
        <v>1997</v>
      </c>
      <c r="T342" s="9">
        <v>1997</v>
      </c>
      <c r="U342" s="9">
        <f t="shared" si="41"/>
        <v>25</v>
      </c>
      <c r="V342" s="8">
        <v>1997</v>
      </c>
      <c r="W342" t="s">
        <v>392</v>
      </c>
      <c r="X342" s="2">
        <v>1.6519999999999999</v>
      </c>
      <c r="Y342" s="7">
        <f t="shared" si="42"/>
        <v>4.409919649769093E-2</v>
      </c>
      <c r="AA342" t="s">
        <v>391</v>
      </c>
      <c r="AB342">
        <v>17337</v>
      </c>
      <c r="AD342" t="s">
        <v>1</v>
      </c>
      <c r="AE342">
        <v>45</v>
      </c>
      <c r="AF342">
        <v>4</v>
      </c>
      <c r="AH342" t="s">
        <v>4969</v>
      </c>
      <c r="AI342" t="s">
        <v>4968</v>
      </c>
      <c r="AJ342" t="s">
        <v>4967</v>
      </c>
      <c r="AK342" t="s">
        <v>4966</v>
      </c>
      <c r="AL342">
        <v>23</v>
      </c>
      <c r="AM342" s="5">
        <f t="shared" si="43"/>
        <v>0.92</v>
      </c>
      <c r="AN342" s="4">
        <f t="shared" si="44"/>
        <v>1.3934115865202575E-3</v>
      </c>
      <c r="AO342" s="3"/>
      <c r="AP342">
        <v>0</v>
      </c>
      <c r="AR342" t="s">
        <v>0</v>
      </c>
      <c r="AT342" s="2" t="s">
        <v>5</v>
      </c>
      <c r="AU342" s="1">
        <f t="shared" si="45"/>
        <v>3.1287461024339729</v>
      </c>
      <c r="AV342" s="1">
        <f t="shared" si="46"/>
        <v>2.2746304042105594</v>
      </c>
      <c r="AW342" s="1">
        <f t="shared" si="47"/>
        <v>1.4205147059871459</v>
      </c>
    </row>
    <row r="343" spans="1:49" x14ac:dyDescent="0.2">
      <c r="A343">
        <v>341</v>
      </c>
      <c r="B343" t="s">
        <v>4965</v>
      </c>
      <c r="C343" t="s">
        <v>4964</v>
      </c>
      <c r="F343" t="s">
        <v>4963</v>
      </c>
      <c r="G343" t="s">
        <v>4</v>
      </c>
      <c r="H343" t="s">
        <v>3</v>
      </c>
      <c r="I343" t="s">
        <v>3844</v>
      </c>
      <c r="J343">
        <v>60029241</v>
      </c>
      <c r="K343" t="s">
        <v>4962</v>
      </c>
      <c r="L343" t="s">
        <v>4961</v>
      </c>
      <c r="M343" t="s">
        <v>2</v>
      </c>
      <c r="N343">
        <v>3</v>
      </c>
      <c r="O343" t="s">
        <v>4960</v>
      </c>
      <c r="P343" t="s">
        <v>4959</v>
      </c>
      <c r="Q343" t="s">
        <v>4958</v>
      </c>
      <c r="R343" s="8">
        <v>35765</v>
      </c>
      <c r="S343" s="9">
        <f t="shared" si="40"/>
        <v>1997</v>
      </c>
      <c r="T343" s="9">
        <v>1997</v>
      </c>
      <c r="U343" s="9">
        <f t="shared" si="41"/>
        <v>25</v>
      </c>
      <c r="V343" s="8">
        <v>1997</v>
      </c>
      <c r="W343" t="s">
        <v>1803</v>
      </c>
      <c r="X343" s="2">
        <v>1.6379999999999999</v>
      </c>
      <c r="Y343" s="7">
        <f t="shared" si="42"/>
        <v>4.3725474493473214E-2</v>
      </c>
      <c r="AA343" t="s">
        <v>1802</v>
      </c>
      <c r="AB343">
        <v>17391</v>
      </c>
      <c r="AD343" t="s">
        <v>1</v>
      </c>
      <c r="AE343">
        <v>45</v>
      </c>
      <c r="AF343">
        <v>4</v>
      </c>
      <c r="AH343" t="s">
        <v>4957</v>
      </c>
      <c r="AI343" t="s">
        <v>4956</v>
      </c>
      <c r="AK343" t="s">
        <v>4955</v>
      </c>
      <c r="AL343">
        <v>15</v>
      </c>
      <c r="AM343" s="5">
        <f t="shared" si="43"/>
        <v>0.6</v>
      </c>
      <c r="AN343" s="4">
        <f t="shared" si="44"/>
        <v>9.0874668686103744E-4</v>
      </c>
      <c r="AO343" s="3"/>
      <c r="AP343">
        <v>0</v>
      </c>
      <c r="AQ343" t="s">
        <v>53</v>
      </c>
      <c r="AR343" t="s">
        <v>3833</v>
      </c>
      <c r="AS343" t="s">
        <v>52</v>
      </c>
      <c r="AT343" s="2">
        <v>4.931</v>
      </c>
      <c r="AU343" s="1">
        <f t="shared" si="45"/>
        <v>3.0880456151489559</v>
      </c>
      <c r="AV343" s="1">
        <f t="shared" si="46"/>
        <v>2.2317110590167126</v>
      </c>
      <c r="AW343" s="1">
        <f t="shared" si="47"/>
        <v>1.3753765028844689</v>
      </c>
    </row>
    <row r="344" spans="1:49" x14ac:dyDescent="0.2">
      <c r="A344">
        <v>342</v>
      </c>
      <c r="B344" t="s">
        <v>4954</v>
      </c>
      <c r="F344" t="s">
        <v>4953</v>
      </c>
      <c r="G344" t="s">
        <v>4</v>
      </c>
      <c r="H344" t="s">
        <v>3</v>
      </c>
      <c r="I344" t="s">
        <v>4952</v>
      </c>
      <c r="N344">
        <v>1</v>
      </c>
      <c r="O344" t="s">
        <v>4951</v>
      </c>
      <c r="P344">
        <v>6602771791</v>
      </c>
      <c r="R344" s="8">
        <v>35765</v>
      </c>
      <c r="S344" s="9">
        <f t="shared" si="40"/>
        <v>1997</v>
      </c>
      <c r="T344" s="9">
        <v>1997</v>
      </c>
      <c r="U344" s="9">
        <f t="shared" si="41"/>
        <v>25</v>
      </c>
      <c r="V344" s="8">
        <v>1997</v>
      </c>
      <c r="W344" t="s">
        <v>641</v>
      </c>
      <c r="X344" s="2" t="s">
        <v>5</v>
      </c>
      <c r="Y344" s="7" t="e">
        <f t="shared" si="42"/>
        <v>#VALUE!</v>
      </c>
      <c r="AA344">
        <v>1477439</v>
      </c>
      <c r="AB344">
        <v>53559</v>
      </c>
      <c r="AD344" t="s">
        <v>1</v>
      </c>
      <c r="AE344">
        <v>21</v>
      </c>
      <c r="AF344">
        <v>4</v>
      </c>
      <c r="AH344" t="s">
        <v>4950</v>
      </c>
      <c r="AL344">
        <v>0</v>
      </c>
      <c r="AM344" s="5">
        <f t="shared" si="43"/>
        <v>0</v>
      </c>
      <c r="AN344" s="4">
        <f t="shared" si="44"/>
        <v>0</v>
      </c>
      <c r="AO344" s="3"/>
      <c r="AP344">
        <v>0</v>
      </c>
      <c r="AR344" t="s">
        <v>0</v>
      </c>
      <c r="AT344" s="2" t="s">
        <v>5</v>
      </c>
      <c r="AU344" s="1" t="e">
        <f t="shared" si="45"/>
        <v>#VALUE!</v>
      </c>
      <c r="AV344" s="1" t="e">
        <f t="shared" si="46"/>
        <v>#VALUE!</v>
      </c>
      <c r="AW344" s="1" t="e">
        <f t="shared" si="47"/>
        <v>#VALUE!</v>
      </c>
    </row>
    <row r="345" spans="1:49" x14ac:dyDescent="0.2">
      <c r="A345">
        <v>343</v>
      </c>
      <c r="B345" t="s">
        <v>4949</v>
      </c>
      <c r="C345" t="s">
        <v>4948</v>
      </c>
      <c r="D345" t="s">
        <v>4947</v>
      </c>
      <c r="F345" t="s">
        <v>4946</v>
      </c>
      <c r="G345" t="s">
        <v>4</v>
      </c>
      <c r="H345" t="s">
        <v>3</v>
      </c>
      <c r="I345" t="s">
        <v>4945</v>
      </c>
      <c r="J345">
        <v>60015710</v>
      </c>
      <c r="K345" t="s">
        <v>4944</v>
      </c>
      <c r="L345" t="s">
        <v>4943</v>
      </c>
      <c r="M345" t="s">
        <v>2</v>
      </c>
      <c r="N345">
        <v>6</v>
      </c>
      <c r="O345" t="s">
        <v>4942</v>
      </c>
      <c r="P345" t="s">
        <v>4941</v>
      </c>
      <c r="Q345" t="s">
        <v>4940</v>
      </c>
      <c r="R345" s="8">
        <v>35765</v>
      </c>
      <c r="S345" s="9">
        <f t="shared" si="40"/>
        <v>1997</v>
      </c>
      <c r="T345" s="9">
        <v>1997</v>
      </c>
      <c r="U345" s="9">
        <f t="shared" si="41"/>
        <v>25</v>
      </c>
      <c r="V345" s="8">
        <v>1997</v>
      </c>
      <c r="W345" t="s">
        <v>4939</v>
      </c>
      <c r="X345" s="2">
        <v>0.46</v>
      </c>
      <c r="Y345" s="7">
        <f t="shared" si="42"/>
        <v>1.2279437281439364E-2</v>
      </c>
      <c r="AA345">
        <v>933813</v>
      </c>
      <c r="AB345">
        <v>28031</v>
      </c>
      <c r="AD345" t="s">
        <v>1</v>
      </c>
      <c r="AE345">
        <v>25</v>
      </c>
      <c r="AF345">
        <v>2</v>
      </c>
      <c r="AH345" t="s">
        <v>853</v>
      </c>
      <c r="AI345" t="s">
        <v>4938</v>
      </c>
      <c r="AK345" t="s">
        <v>4937</v>
      </c>
      <c r="AL345">
        <v>81</v>
      </c>
      <c r="AM345" s="5">
        <f t="shared" si="43"/>
        <v>3.24</v>
      </c>
      <c r="AN345" s="4">
        <f t="shared" si="44"/>
        <v>4.9072321090496028E-3</v>
      </c>
      <c r="AO345" s="3"/>
      <c r="AP345">
        <v>0</v>
      </c>
      <c r="AR345" t="s">
        <v>0</v>
      </c>
      <c r="AT345" s="2">
        <v>1.222</v>
      </c>
      <c r="AU345" s="1">
        <f t="shared" si="45"/>
        <v>1.0067775729722435</v>
      </c>
      <c r="AV345" s="1">
        <f t="shared" si="46"/>
        <v>0.85933346952444833</v>
      </c>
      <c r="AW345" s="1">
        <f t="shared" si="47"/>
        <v>0.7118893660766531</v>
      </c>
    </row>
    <row r="346" spans="1:49" x14ac:dyDescent="0.2">
      <c r="A346">
        <v>344</v>
      </c>
      <c r="B346" t="s">
        <v>4936</v>
      </c>
      <c r="C346" t="s">
        <v>4935</v>
      </c>
      <c r="D346" t="s">
        <v>4934</v>
      </c>
      <c r="F346" t="s">
        <v>4933</v>
      </c>
      <c r="G346" t="s">
        <v>4</v>
      </c>
      <c r="H346" t="s">
        <v>3</v>
      </c>
      <c r="I346" t="s">
        <v>4932</v>
      </c>
      <c r="J346">
        <v>60011313</v>
      </c>
      <c r="K346" t="s">
        <v>394</v>
      </c>
      <c r="L346" t="s">
        <v>393</v>
      </c>
      <c r="M346" t="s">
        <v>247</v>
      </c>
      <c r="N346">
        <v>2</v>
      </c>
      <c r="O346" t="s">
        <v>4931</v>
      </c>
      <c r="P346" t="s">
        <v>4930</v>
      </c>
      <c r="Q346" t="s">
        <v>4102</v>
      </c>
      <c r="R346" s="8">
        <v>35765</v>
      </c>
      <c r="S346" s="9">
        <f t="shared" si="40"/>
        <v>1997</v>
      </c>
      <c r="T346" s="9">
        <v>1997</v>
      </c>
      <c r="U346" s="9">
        <f t="shared" si="41"/>
        <v>25</v>
      </c>
      <c r="V346" s="8">
        <v>1997</v>
      </c>
      <c r="W346" t="s">
        <v>392</v>
      </c>
      <c r="X346" s="2">
        <v>1.6519999999999999</v>
      </c>
      <c r="Y346" s="7">
        <f t="shared" si="42"/>
        <v>4.409919649769093E-2</v>
      </c>
      <c r="AA346" t="s">
        <v>391</v>
      </c>
      <c r="AB346">
        <v>17337</v>
      </c>
      <c r="AD346" t="s">
        <v>1</v>
      </c>
      <c r="AE346">
        <v>45</v>
      </c>
      <c r="AF346">
        <v>4</v>
      </c>
      <c r="AH346" t="s">
        <v>4929</v>
      </c>
      <c r="AI346" t="s">
        <v>4928</v>
      </c>
      <c r="AJ346" t="s">
        <v>4927</v>
      </c>
      <c r="AK346" t="s">
        <v>4926</v>
      </c>
      <c r="AL346">
        <v>13</v>
      </c>
      <c r="AM346" s="5">
        <f t="shared" si="43"/>
        <v>0.52</v>
      </c>
      <c r="AN346" s="4">
        <f t="shared" si="44"/>
        <v>7.8758046194623253E-4</v>
      </c>
      <c r="AO346" s="3"/>
      <c r="AP346">
        <v>0</v>
      </c>
      <c r="AR346" t="s">
        <v>0</v>
      </c>
      <c r="AT346" s="2" t="s">
        <v>5</v>
      </c>
      <c r="AU346" s="1">
        <f t="shared" si="45"/>
        <v>3.1105711686967519</v>
      </c>
      <c r="AV346" s="1">
        <f t="shared" si="46"/>
        <v>2.244338847981858</v>
      </c>
      <c r="AW346" s="1">
        <f t="shared" si="47"/>
        <v>1.3781065272669641</v>
      </c>
    </row>
    <row r="347" spans="1:49" x14ac:dyDescent="0.2">
      <c r="A347">
        <v>345</v>
      </c>
      <c r="B347" t="s">
        <v>4925</v>
      </c>
      <c r="C347" t="s">
        <v>4924</v>
      </c>
      <c r="D347" t="s">
        <v>4923</v>
      </c>
      <c r="F347" t="s">
        <v>4922</v>
      </c>
      <c r="G347" t="s">
        <v>4</v>
      </c>
      <c r="H347" t="s">
        <v>3</v>
      </c>
      <c r="I347" t="s">
        <v>4921</v>
      </c>
      <c r="J347">
        <v>60010785</v>
      </c>
      <c r="K347" t="s">
        <v>4920</v>
      </c>
      <c r="L347" t="s">
        <v>4919</v>
      </c>
      <c r="M347" t="s">
        <v>8</v>
      </c>
      <c r="N347">
        <v>2</v>
      </c>
      <c r="O347" t="s">
        <v>4918</v>
      </c>
      <c r="P347" t="s">
        <v>4917</v>
      </c>
      <c r="Q347" t="s">
        <v>4916</v>
      </c>
      <c r="R347" s="8">
        <v>35765</v>
      </c>
      <c r="S347" s="9">
        <f t="shared" si="40"/>
        <v>1997</v>
      </c>
      <c r="T347" s="9">
        <v>1997</v>
      </c>
      <c r="U347" s="9">
        <f t="shared" si="41"/>
        <v>25</v>
      </c>
      <c r="V347" s="8">
        <v>1997</v>
      </c>
      <c r="W347" t="s">
        <v>4179</v>
      </c>
      <c r="X347" s="2">
        <v>0.82</v>
      </c>
      <c r="Y347" s="7">
        <f t="shared" si="42"/>
        <v>2.1889431675609299E-2</v>
      </c>
      <c r="AA347">
        <v>189456</v>
      </c>
      <c r="AB347">
        <v>15361</v>
      </c>
      <c r="AD347" t="s">
        <v>1</v>
      </c>
      <c r="AE347">
        <v>46</v>
      </c>
      <c r="AF347">
        <v>2</v>
      </c>
      <c r="AH347" t="s">
        <v>4915</v>
      </c>
      <c r="AI347" t="s">
        <v>4914</v>
      </c>
      <c r="AJ347" t="s">
        <v>4913</v>
      </c>
      <c r="AK347" t="s">
        <v>4912</v>
      </c>
      <c r="AL347">
        <v>13</v>
      </c>
      <c r="AM347" s="5">
        <f t="shared" si="43"/>
        <v>0.52</v>
      </c>
      <c r="AN347" s="4">
        <f t="shared" si="44"/>
        <v>7.8758046194623253E-4</v>
      </c>
      <c r="AO347" s="3"/>
      <c r="AP347">
        <v>0</v>
      </c>
      <c r="AR347" t="s">
        <v>0</v>
      </c>
      <c r="AT347" s="2" t="s">
        <v>5</v>
      </c>
      <c r="AU347" s="1">
        <f t="shared" si="45"/>
        <v>1.5558876311510377</v>
      </c>
      <c r="AV347" s="1">
        <f t="shared" si="46"/>
        <v>1.1338506068777767</v>
      </c>
      <c r="AW347" s="1">
        <f t="shared" si="47"/>
        <v>0.71181358260451522</v>
      </c>
    </row>
    <row r="348" spans="1:49" x14ac:dyDescent="0.2">
      <c r="A348">
        <v>346</v>
      </c>
      <c r="B348" t="s">
        <v>4911</v>
      </c>
      <c r="C348" t="s">
        <v>4910</v>
      </c>
      <c r="D348" t="s">
        <v>4909</v>
      </c>
      <c r="F348" t="s">
        <v>4908</v>
      </c>
      <c r="G348" t="s">
        <v>4</v>
      </c>
      <c r="H348" t="s">
        <v>3</v>
      </c>
      <c r="I348" t="s">
        <v>4907</v>
      </c>
      <c r="J348" t="s">
        <v>4906</v>
      </c>
      <c r="K348" t="s">
        <v>4905</v>
      </c>
      <c r="L348" t="s">
        <v>4904</v>
      </c>
      <c r="M348" t="s">
        <v>4903</v>
      </c>
      <c r="N348">
        <v>4</v>
      </c>
      <c r="O348" t="s">
        <v>4902</v>
      </c>
      <c r="P348" t="s">
        <v>4901</v>
      </c>
      <c r="Q348" t="s">
        <v>4900</v>
      </c>
      <c r="R348" s="8">
        <v>35765</v>
      </c>
      <c r="S348" s="9">
        <f t="shared" si="40"/>
        <v>1997</v>
      </c>
      <c r="T348" s="9">
        <v>1997</v>
      </c>
      <c r="U348" s="9">
        <f t="shared" si="41"/>
        <v>25</v>
      </c>
      <c r="V348" s="8">
        <v>1997</v>
      </c>
      <c r="W348" t="s">
        <v>4179</v>
      </c>
      <c r="X348" s="2">
        <v>0.82</v>
      </c>
      <c r="Y348" s="7">
        <f t="shared" si="42"/>
        <v>2.1889431675609299E-2</v>
      </c>
      <c r="AA348">
        <v>189456</v>
      </c>
      <c r="AB348">
        <v>15361</v>
      </c>
      <c r="AD348" t="s">
        <v>1</v>
      </c>
      <c r="AE348">
        <v>46</v>
      </c>
      <c r="AF348">
        <v>2</v>
      </c>
      <c r="AH348" t="s">
        <v>4899</v>
      </c>
      <c r="AI348" t="s">
        <v>4898</v>
      </c>
      <c r="AJ348" t="s">
        <v>4897</v>
      </c>
      <c r="AK348" t="s">
        <v>4896</v>
      </c>
      <c r="AL348">
        <v>19</v>
      </c>
      <c r="AM348" s="5">
        <f t="shared" si="43"/>
        <v>0.76</v>
      </c>
      <c r="AN348" s="4">
        <f t="shared" si="44"/>
        <v>1.1510791366906475E-3</v>
      </c>
      <c r="AO348" s="3"/>
      <c r="AP348">
        <v>0</v>
      </c>
      <c r="AR348" t="s">
        <v>0</v>
      </c>
      <c r="AT348" s="2" t="s">
        <v>5</v>
      </c>
      <c r="AU348" s="1">
        <f t="shared" si="45"/>
        <v>1.5667925913933702</v>
      </c>
      <c r="AV348" s="1">
        <f t="shared" si="46"/>
        <v>1.1520255406149973</v>
      </c>
      <c r="AW348" s="1">
        <f t="shared" si="47"/>
        <v>0.73725848983662423</v>
      </c>
    </row>
    <row r="349" spans="1:49" x14ac:dyDescent="0.2">
      <c r="A349">
        <v>347</v>
      </c>
      <c r="B349" t="s">
        <v>4895</v>
      </c>
      <c r="C349" t="s">
        <v>4894</v>
      </c>
      <c r="D349" t="s">
        <v>4893</v>
      </c>
      <c r="F349" t="s">
        <v>4892</v>
      </c>
      <c r="G349" t="s">
        <v>4</v>
      </c>
      <c r="H349" t="s">
        <v>3</v>
      </c>
      <c r="I349" t="s">
        <v>4891</v>
      </c>
      <c r="J349">
        <v>60025223</v>
      </c>
      <c r="K349" t="s">
        <v>4890</v>
      </c>
      <c r="L349" t="s">
        <v>367</v>
      </c>
      <c r="M349" t="s">
        <v>127</v>
      </c>
      <c r="N349">
        <v>1</v>
      </c>
      <c r="O349" t="s">
        <v>4889</v>
      </c>
      <c r="P349">
        <v>56207440100</v>
      </c>
      <c r="Q349">
        <v>60025223</v>
      </c>
      <c r="R349" s="8">
        <v>35765</v>
      </c>
      <c r="S349" s="9">
        <f t="shared" si="40"/>
        <v>1997</v>
      </c>
      <c r="T349" s="9">
        <v>1997</v>
      </c>
      <c r="U349" s="9">
        <f t="shared" si="41"/>
        <v>25</v>
      </c>
      <c r="V349" s="8">
        <v>1997</v>
      </c>
      <c r="W349" t="s">
        <v>392</v>
      </c>
      <c r="X349" s="2">
        <v>1.6519999999999999</v>
      </c>
      <c r="Y349" s="7">
        <f t="shared" si="42"/>
        <v>4.409919649769093E-2</v>
      </c>
      <c r="AA349" t="s">
        <v>391</v>
      </c>
      <c r="AB349">
        <v>17337</v>
      </c>
      <c r="AD349" t="s">
        <v>1</v>
      </c>
      <c r="AE349">
        <v>45</v>
      </c>
      <c r="AF349">
        <v>4</v>
      </c>
      <c r="AH349" t="s">
        <v>4888</v>
      </c>
      <c r="AI349" t="s">
        <v>4887</v>
      </c>
      <c r="AJ349" t="s">
        <v>4886</v>
      </c>
      <c r="AK349" t="s">
        <v>4885</v>
      </c>
      <c r="AL349">
        <v>16</v>
      </c>
      <c r="AM349" s="5">
        <f t="shared" si="43"/>
        <v>0.64</v>
      </c>
      <c r="AN349" s="4">
        <f t="shared" si="44"/>
        <v>9.6932979931844E-4</v>
      </c>
      <c r="AO349" s="3"/>
      <c r="AP349">
        <v>0</v>
      </c>
      <c r="AQ349" t="s">
        <v>205</v>
      </c>
      <c r="AR349" t="s">
        <v>0</v>
      </c>
      <c r="AS349" t="s">
        <v>204</v>
      </c>
      <c r="AT349" s="2" t="s">
        <v>5</v>
      </c>
      <c r="AU349" s="1">
        <f t="shared" si="45"/>
        <v>3.1160236488179183</v>
      </c>
      <c r="AV349" s="1">
        <f t="shared" si="46"/>
        <v>2.2534263148504685</v>
      </c>
      <c r="AW349" s="1">
        <f t="shared" si="47"/>
        <v>1.3908289808830185</v>
      </c>
    </row>
    <row r="350" spans="1:49" x14ac:dyDescent="0.2">
      <c r="A350">
        <v>348</v>
      </c>
      <c r="B350" t="s">
        <v>4884</v>
      </c>
      <c r="C350" t="s">
        <v>4883</v>
      </c>
      <c r="F350" t="s">
        <v>4882</v>
      </c>
      <c r="G350" t="s">
        <v>4</v>
      </c>
      <c r="H350" t="s">
        <v>3</v>
      </c>
      <c r="I350" t="s">
        <v>3922</v>
      </c>
      <c r="J350">
        <v>60029311</v>
      </c>
      <c r="K350" t="s">
        <v>4881</v>
      </c>
      <c r="L350" t="s">
        <v>72</v>
      </c>
      <c r="M350" t="s">
        <v>2</v>
      </c>
      <c r="N350">
        <v>2</v>
      </c>
      <c r="O350" t="s">
        <v>3920</v>
      </c>
      <c r="P350" t="s">
        <v>3919</v>
      </c>
      <c r="Q350" t="s">
        <v>4880</v>
      </c>
      <c r="R350" s="8">
        <v>35765</v>
      </c>
      <c r="S350" s="9">
        <f t="shared" si="40"/>
        <v>1997</v>
      </c>
      <c r="T350" s="9">
        <v>1997</v>
      </c>
      <c r="U350" s="9">
        <f t="shared" si="41"/>
        <v>25</v>
      </c>
      <c r="V350" s="8">
        <v>1997</v>
      </c>
      <c r="W350" t="s">
        <v>3745</v>
      </c>
      <c r="X350" s="2">
        <v>1.137</v>
      </c>
      <c r="Y350" s="7">
        <f t="shared" si="42"/>
        <v>3.0351565628253384E-2</v>
      </c>
      <c r="AA350">
        <v>189251</v>
      </c>
      <c r="AB350">
        <v>17336</v>
      </c>
      <c r="AD350" t="s">
        <v>1</v>
      </c>
      <c r="AE350">
        <v>33</v>
      </c>
      <c r="AF350" t="s">
        <v>329</v>
      </c>
      <c r="AH350" t="s">
        <v>242</v>
      </c>
      <c r="AI350" t="s">
        <v>4879</v>
      </c>
      <c r="AK350" t="s">
        <v>4878</v>
      </c>
      <c r="AL350">
        <v>105</v>
      </c>
      <c r="AM350" s="5">
        <f t="shared" si="43"/>
        <v>4.2</v>
      </c>
      <c r="AN350" s="4">
        <f t="shared" si="44"/>
        <v>6.3612268080272625E-3</v>
      </c>
      <c r="AO350" s="3"/>
      <c r="AP350">
        <v>0</v>
      </c>
      <c r="AQ350" t="s">
        <v>4877</v>
      </c>
      <c r="AR350" t="s">
        <v>4876</v>
      </c>
      <c r="AS350" t="s">
        <v>4875</v>
      </c>
      <c r="AT350" s="2" t="s">
        <v>5</v>
      </c>
      <c r="AU350" s="1">
        <f t="shared" si="45"/>
        <v>2.3154463982185547</v>
      </c>
      <c r="AV350" s="1">
        <f t="shared" si="46"/>
        <v>1.8356396218140323</v>
      </c>
      <c r="AW350" s="1">
        <f t="shared" si="47"/>
        <v>1.3558328454095099</v>
      </c>
    </row>
    <row r="351" spans="1:49" x14ac:dyDescent="0.2">
      <c r="A351">
        <v>349</v>
      </c>
      <c r="B351" t="s">
        <v>4874</v>
      </c>
      <c r="C351" t="s">
        <v>4873</v>
      </c>
      <c r="D351" t="s">
        <v>4872</v>
      </c>
      <c r="F351" t="s">
        <v>4871</v>
      </c>
      <c r="G351" t="s">
        <v>4</v>
      </c>
      <c r="H351" t="s">
        <v>3</v>
      </c>
      <c r="I351" t="s">
        <v>4870</v>
      </c>
      <c r="J351">
        <v>60010962</v>
      </c>
      <c r="K351" t="s">
        <v>4869</v>
      </c>
      <c r="L351" t="s">
        <v>4868</v>
      </c>
      <c r="M351" t="s">
        <v>7</v>
      </c>
      <c r="N351">
        <v>9</v>
      </c>
      <c r="O351" t="s">
        <v>4867</v>
      </c>
      <c r="P351" t="s">
        <v>4866</v>
      </c>
      <c r="Q351" t="s">
        <v>4865</v>
      </c>
      <c r="R351" s="8">
        <v>35765</v>
      </c>
      <c r="S351" s="9">
        <f t="shared" si="40"/>
        <v>1997</v>
      </c>
      <c r="T351" s="9">
        <v>1997</v>
      </c>
      <c r="U351" s="9">
        <f t="shared" si="41"/>
        <v>25</v>
      </c>
      <c r="V351" s="8">
        <v>1997</v>
      </c>
      <c r="W351" t="s">
        <v>4179</v>
      </c>
      <c r="X351" s="2">
        <v>0.82</v>
      </c>
      <c r="Y351" s="7">
        <f t="shared" si="42"/>
        <v>2.1889431675609299E-2</v>
      </c>
      <c r="AA351">
        <v>189456</v>
      </c>
      <c r="AB351">
        <v>15361</v>
      </c>
      <c r="AD351" t="s">
        <v>1</v>
      </c>
      <c r="AE351">
        <v>46</v>
      </c>
      <c r="AF351">
        <v>2</v>
      </c>
      <c r="AH351" t="s">
        <v>4864</v>
      </c>
      <c r="AI351" t="s">
        <v>4863</v>
      </c>
      <c r="AJ351" t="s">
        <v>4862</v>
      </c>
      <c r="AK351" t="s">
        <v>4861</v>
      </c>
      <c r="AL351">
        <v>19</v>
      </c>
      <c r="AM351" s="5">
        <f t="shared" si="43"/>
        <v>0.76</v>
      </c>
      <c r="AN351" s="4">
        <f t="shared" si="44"/>
        <v>1.1510791366906475E-3</v>
      </c>
      <c r="AO351" s="3"/>
      <c r="AP351">
        <v>0</v>
      </c>
      <c r="AR351" t="s">
        <v>0</v>
      </c>
      <c r="AT351" s="2" t="s">
        <v>5</v>
      </c>
      <c r="AU351" s="1">
        <f t="shared" si="45"/>
        <v>1.5667925913933702</v>
      </c>
      <c r="AV351" s="1">
        <f t="shared" si="46"/>
        <v>1.1520255406149973</v>
      </c>
      <c r="AW351" s="1">
        <f t="shared" si="47"/>
        <v>0.73725848983662423</v>
      </c>
    </row>
    <row r="352" spans="1:49" x14ac:dyDescent="0.2">
      <c r="A352">
        <v>350</v>
      </c>
      <c r="B352" t="s">
        <v>4860</v>
      </c>
      <c r="C352" t="s">
        <v>4859</v>
      </c>
      <c r="D352" t="s">
        <v>4858</v>
      </c>
      <c r="F352" t="s">
        <v>4857</v>
      </c>
      <c r="G352" t="s">
        <v>4</v>
      </c>
      <c r="H352" t="s">
        <v>3</v>
      </c>
      <c r="I352" t="s">
        <v>4856</v>
      </c>
      <c r="J352">
        <v>60020251</v>
      </c>
      <c r="K352" t="s">
        <v>4855</v>
      </c>
      <c r="L352" t="s">
        <v>687</v>
      </c>
      <c r="M352" t="s">
        <v>2</v>
      </c>
      <c r="N352">
        <v>2</v>
      </c>
      <c r="O352" t="s">
        <v>4854</v>
      </c>
      <c r="P352" t="s">
        <v>4853</v>
      </c>
      <c r="Q352" t="s">
        <v>4852</v>
      </c>
      <c r="R352" s="8">
        <v>35765</v>
      </c>
      <c r="S352" s="9">
        <f t="shared" si="40"/>
        <v>1997</v>
      </c>
      <c r="T352" s="9">
        <v>1997</v>
      </c>
      <c r="U352" s="9">
        <f t="shared" si="41"/>
        <v>25</v>
      </c>
      <c r="V352" s="8">
        <v>1997</v>
      </c>
      <c r="W352" t="s">
        <v>392</v>
      </c>
      <c r="X352" s="2">
        <v>1.6519999999999999</v>
      </c>
      <c r="Y352" s="7">
        <f t="shared" si="42"/>
        <v>4.409919649769093E-2</v>
      </c>
      <c r="AA352" t="s">
        <v>391</v>
      </c>
      <c r="AB352">
        <v>17337</v>
      </c>
      <c r="AD352" t="s">
        <v>1</v>
      </c>
      <c r="AE352">
        <v>45</v>
      </c>
      <c r="AF352">
        <v>4</v>
      </c>
      <c r="AH352" t="s">
        <v>4851</v>
      </c>
      <c r="AI352" t="s">
        <v>4850</v>
      </c>
      <c r="AJ352" t="s">
        <v>4849</v>
      </c>
      <c r="AK352" t="s">
        <v>4848</v>
      </c>
      <c r="AL352">
        <v>25</v>
      </c>
      <c r="AM352" s="5">
        <f t="shared" si="43"/>
        <v>1</v>
      </c>
      <c r="AN352" s="4">
        <f t="shared" si="44"/>
        <v>1.5145778114350624E-3</v>
      </c>
      <c r="AO352" s="3"/>
      <c r="AP352">
        <v>0</v>
      </c>
      <c r="AR352" t="s">
        <v>0</v>
      </c>
      <c r="AT352" s="2" t="s">
        <v>5</v>
      </c>
      <c r="AU352" s="1">
        <f t="shared" si="45"/>
        <v>3.132381089181417</v>
      </c>
      <c r="AV352" s="1">
        <f t="shared" si="46"/>
        <v>2.2806887154562996</v>
      </c>
      <c r="AW352" s="1">
        <f t="shared" si="47"/>
        <v>1.4289963417311822</v>
      </c>
    </row>
    <row r="353" spans="1:49" x14ac:dyDescent="0.2">
      <c r="A353">
        <v>351</v>
      </c>
      <c r="B353" t="s">
        <v>4847</v>
      </c>
      <c r="C353" t="s">
        <v>4846</v>
      </c>
      <c r="D353" t="s">
        <v>4845</v>
      </c>
      <c r="F353" t="s">
        <v>4844</v>
      </c>
      <c r="G353" t="s">
        <v>4</v>
      </c>
      <c r="H353" t="s">
        <v>3</v>
      </c>
      <c r="I353" t="s">
        <v>4843</v>
      </c>
      <c r="J353">
        <v>60003500</v>
      </c>
      <c r="K353" t="s">
        <v>356</v>
      </c>
      <c r="L353" t="s">
        <v>355</v>
      </c>
      <c r="M353" t="s">
        <v>2</v>
      </c>
      <c r="N353">
        <v>1</v>
      </c>
      <c r="O353" t="s">
        <v>4842</v>
      </c>
      <c r="P353">
        <v>35580630500</v>
      </c>
      <c r="Q353">
        <v>60003500</v>
      </c>
      <c r="R353" s="8">
        <v>35765</v>
      </c>
      <c r="S353" s="9">
        <f t="shared" si="40"/>
        <v>1997</v>
      </c>
      <c r="T353" s="9">
        <v>1997</v>
      </c>
      <c r="U353" s="9">
        <f t="shared" si="41"/>
        <v>25</v>
      </c>
      <c r="V353" s="8">
        <v>1997</v>
      </c>
      <c r="W353" t="s">
        <v>392</v>
      </c>
      <c r="X353" s="2">
        <v>1.6519999999999999</v>
      </c>
      <c r="Y353" s="7">
        <f t="shared" si="42"/>
        <v>4.409919649769093E-2</v>
      </c>
      <c r="AA353" t="s">
        <v>391</v>
      </c>
      <c r="AB353">
        <v>17337</v>
      </c>
      <c r="AD353" t="s">
        <v>1</v>
      </c>
      <c r="AE353">
        <v>45</v>
      </c>
      <c r="AF353">
        <v>4</v>
      </c>
      <c r="AH353" t="s">
        <v>4841</v>
      </c>
      <c r="AI353" t="s">
        <v>4840</v>
      </c>
      <c r="AK353" t="s">
        <v>4839</v>
      </c>
      <c r="AL353">
        <v>36</v>
      </c>
      <c r="AM353" s="5">
        <f t="shared" si="43"/>
        <v>1.44</v>
      </c>
      <c r="AN353" s="4">
        <f t="shared" si="44"/>
        <v>2.18099204846649E-3</v>
      </c>
      <c r="AO353" s="3"/>
      <c r="AP353">
        <v>0</v>
      </c>
      <c r="AR353" t="s">
        <v>0</v>
      </c>
      <c r="AT353" s="2" t="s">
        <v>5</v>
      </c>
      <c r="AU353" s="1">
        <f t="shared" si="45"/>
        <v>3.1523735162923594</v>
      </c>
      <c r="AV353" s="1">
        <f t="shared" si="46"/>
        <v>2.3140094273078708</v>
      </c>
      <c r="AW353" s="1">
        <f t="shared" si="47"/>
        <v>1.4756453383233821</v>
      </c>
    </row>
    <row r="354" spans="1:49" x14ac:dyDescent="0.2">
      <c r="A354">
        <v>352</v>
      </c>
      <c r="B354" t="s">
        <v>4838</v>
      </c>
      <c r="C354" t="s">
        <v>4837</v>
      </c>
      <c r="F354" t="s">
        <v>4836</v>
      </c>
      <c r="G354" t="s">
        <v>4</v>
      </c>
      <c r="H354" t="s">
        <v>3</v>
      </c>
      <c r="I354" t="s">
        <v>4494</v>
      </c>
      <c r="J354" t="s">
        <v>4835</v>
      </c>
      <c r="K354" t="s">
        <v>4834</v>
      </c>
      <c r="L354" t="s">
        <v>4833</v>
      </c>
      <c r="M354" t="s">
        <v>4832</v>
      </c>
      <c r="N354">
        <v>2</v>
      </c>
      <c r="O354" t="s">
        <v>4831</v>
      </c>
      <c r="P354" t="s">
        <v>4830</v>
      </c>
      <c r="Q354" t="s">
        <v>4829</v>
      </c>
      <c r="R354" s="8">
        <v>35765</v>
      </c>
      <c r="S354" s="9">
        <f t="shared" si="40"/>
        <v>1997</v>
      </c>
      <c r="T354" s="9">
        <v>1997</v>
      </c>
      <c r="U354" s="9">
        <f t="shared" si="41"/>
        <v>25</v>
      </c>
      <c r="V354" s="8">
        <v>1997</v>
      </c>
      <c r="W354" t="s">
        <v>637</v>
      </c>
      <c r="X354" s="2">
        <v>0.39600000000000002</v>
      </c>
      <c r="Y354" s="7">
        <f t="shared" si="42"/>
        <v>1.0570993833586931E-2</v>
      </c>
      <c r="AA354">
        <v>8858985</v>
      </c>
      <c r="AB354">
        <v>25993</v>
      </c>
      <c r="AD354" t="s">
        <v>1</v>
      </c>
      <c r="AE354">
        <v>12</v>
      </c>
      <c r="AF354">
        <v>4</v>
      </c>
      <c r="AH354" s="6">
        <v>44319</v>
      </c>
      <c r="AI354" t="s">
        <v>4828</v>
      </c>
      <c r="AK354" t="s">
        <v>4827</v>
      </c>
      <c r="AL354">
        <v>1</v>
      </c>
      <c r="AM354" s="5">
        <f t="shared" si="43"/>
        <v>0.04</v>
      </c>
      <c r="AN354" s="4">
        <f t="shared" si="44"/>
        <v>6.05831124574025E-5</v>
      </c>
      <c r="AO354" s="3"/>
      <c r="AP354">
        <v>0</v>
      </c>
      <c r="AR354" t="s">
        <v>0</v>
      </c>
      <c r="AT354" s="2" t="s">
        <v>5</v>
      </c>
      <c r="AU354" s="1">
        <f t="shared" si="45"/>
        <v>0.74178706172480724</v>
      </c>
      <c r="AV354" s="1">
        <f t="shared" si="46"/>
        <v>0.53157884730221672</v>
      </c>
      <c r="AW354" s="1">
        <f t="shared" si="47"/>
        <v>0.32137063287962608</v>
      </c>
    </row>
    <row r="355" spans="1:49" x14ac:dyDescent="0.2">
      <c r="A355">
        <v>353</v>
      </c>
      <c r="B355" t="s">
        <v>4826</v>
      </c>
      <c r="C355" t="s">
        <v>4825</v>
      </c>
      <c r="D355" t="s">
        <v>4824</v>
      </c>
      <c r="F355" t="s">
        <v>4823</v>
      </c>
      <c r="G355" t="s">
        <v>4</v>
      </c>
      <c r="H355" t="s">
        <v>3</v>
      </c>
      <c r="I355" t="s">
        <v>4822</v>
      </c>
      <c r="J355">
        <v>60030551</v>
      </c>
      <c r="K355" t="s">
        <v>4821</v>
      </c>
      <c r="L355" t="s">
        <v>533</v>
      </c>
      <c r="M355" t="s">
        <v>2</v>
      </c>
      <c r="N355">
        <v>1</v>
      </c>
      <c r="O355" t="s">
        <v>4820</v>
      </c>
      <c r="P355">
        <v>57213864164</v>
      </c>
      <c r="Q355">
        <v>60030551</v>
      </c>
      <c r="R355" s="8">
        <v>35765</v>
      </c>
      <c r="S355" s="9">
        <f t="shared" si="40"/>
        <v>1997</v>
      </c>
      <c r="T355" s="9">
        <v>1997</v>
      </c>
      <c r="U355" s="9">
        <f t="shared" si="41"/>
        <v>25</v>
      </c>
      <c r="V355" s="8">
        <v>1997</v>
      </c>
      <c r="W355" t="s">
        <v>448</v>
      </c>
      <c r="X355" s="2">
        <v>1.3720000000000001</v>
      </c>
      <c r="Y355" s="7">
        <f t="shared" si="42"/>
        <v>3.662475641333654E-2</v>
      </c>
      <c r="AA355">
        <v>189480</v>
      </c>
      <c r="AB355">
        <v>17366</v>
      </c>
      <c r="AD355" t="s">
        <v>1</v>
      </c>
      <c r="AE355">
        <v>45</v>
      </c>
      <c r="AF355">
        <v>4</v>
      </c>
      <c r="AH355" t="s">
        <v>4819</v>
      </c>
      <c r="AI355" t="s">
        <v>4818</v>
      </c>
      <c r="AJ355" t="s">
        <v>4817</v>
      </c>
      <c r="AK355" t="s">
        <v>4816</v>
      </c>
      <c r="AL355">
        <v>9</v>
      </c>
      <c r="AM355" s="5">
        <f t="shared" si="43"/>
        <v>0.36</v>
      </c>
      <c r="AN355" s="4">
        <f t="shared" si="44"/>
        <v>5.4524801211662251E-4</v>
      </c>
      <c r="AO355" s="3"/>
      <c r="AP355">
        <v>0</v>
      </c>
      <c r="AR355" t="s">
        <v>0</v>
      </c>
      <c r="AT355" s="2" t="s">
        <v>5</v>
      </c>
      <c r="AU355" s="1">
        <f t="shared" si="45"/>
        <v>2.5800903892970561</v>
      </c>
      <c r="AV355" s="1">
        <f t="shared" si="46"/>
        <v>1.8585002212726582</v>
      </c>
      <c r="AW355" s="1">
        <f t="shared" si="47"/>
        <v>1.1369100532482599</v>
      </c>
    </row>
    <row r="356" spans="1:49" x14ac:dyDescent="0.2">
      <c r="A356">
        <v>354</v>
      </c>
      <c r="B356" t="s">
        <v>4815</v>
      </c>
      <c r="C356" t="s">
        <v>4814</v>
      </c>
      <c r="D356" t="s">
        <v>4813</v>
      </c>
      <c r="F356" t="s">
        <v>4812</v>
      </c>
      <c r="G356" t="s">
        <v>4</v>
      </c>
      <c r="H356" t="s">
        <v>3</v>
      </c>
      <c r="I356" t="s">
        <v>4811</v>
      </c>
      <c r="J356" t="s">
        <v>4810</v>
      </c>
      <c r="K356" t="s">
        <v>4809</v>
      </c>
      <c r="L356" t="s">
        <v>4808</v>
      </c>
      <c r="M356" t="s">
        <v>4807</v>
      </c>
      <c r="N356">
        <v>3</v>
      </c>
      <c r="O356" t="s">
        <v>4806</v>
      </c>
      <c r="P356" t="s">
        <v>4805</v>
      </c>
      <c r="Q356" t="s">
        <v>4804</v>
      </c>
      <c r="R356" s="8">
        <v>35765</v>
      </c>
      <c r="S356" s="9">
        <f t="shared" si="40"/>
        <v>1997</v>
      </c>
      <c r="T356" s="9">
        <v>1997</v>
      </c>
      <c r="U356" s="9">
        <f t="shared" si="41"/>
        <v>25</v>
      </c>
      <c r="V356" s="8">
        <v>1997</v>
      </c>
      <c r="W356" t="s">
        <v>392</v>
      </c>
      <c r="X356" s="2">
        <v>1.6519999999999999</v>
      </c>
      <c r="Y356" s="7">
        <f t="shared" si="42"/>
        <v>4.409919649769093E-2</v>
      </c>
      <c r="AA356" t="s">
        <v>391</v>
      </c>
      <c r="AB356">
        <v>17337</v>
      </c>
      <c r="AD356" t="s">
        <v>1</v>
      </c>
      <c r="AE356">
        <v>45</v>
      </c>
      <c r="AF356">
        <v>4</v>
      </c>
      <c r="AH356" t="s">
        <v>4803</v>
      </c>
      <c r="AI356" t="s">
        <v>4802</v>
      </c>
      <c r="AJ356" t="s">
        <v>4801</v>
      </c>
      <c r="AK356" t="s">
        <v>4800</v>
      </c>
      <c r="AL356">
        <v>142</v>
      </c>
      <c r="AM356" s="5">
        <f t="shared" si="43"/>
        <v>5.68</v>
      </c>
      <c r="AN356" s="4">
        <f t="shared" si="44"/>
        <v>8.6028019689511539E-3</v>
      </c>
      <c r="AO356" s="3"/>
      <c r="AP356">
        <v>0</v>
      </c>
      <c r="AR356" t="s">
        <v>0</v>
      </c>
      <c r="AT356" s="2" t="s">
        <v>5</v>
      </c>
      <c r="AU356" s="1">
        <f t="shared" si="45"/>
        <v>3.3450278139069001</v>
      </c>
      <c r="AV356" s="1">
        <f t="shared" si="46"/>
        <v>2.6350999233321044</v>
      </c>
      <c r="AW356" s="1">
        <f t="shared" si="47"/>
        <v>1.9251720327573087</v>
      </c>
    </row>
    <row r="357" spans="1:49" x14ac:dyDescent="0.2">
      <c r="A357">
        <v>355</v>
      </c>
      <c r="B357" t="s">
        <v>4799</v>
      </c>
      <c r="F357" t="s">
        <v>4798</v>
      </c>
      <c r="G357" t="s">
        <v>4</v>
      </c>
      <c r="H357" t="s">
        <v>3</v>
      </c>
      <c r="I357" t="s">
        <v>4797</v>
      </c>
      <c r="J357" t="s">
        <v>4796</v>
      </c>
      <c r="K357" t="s">
        <v>4795</v>
      </c>
      <c r="L357" t="s">
        <v>4794</v>
      </c>
      <c r="M357" t="s">
        <v>309</v>
      </c>
      <c r="N357">
        <v>3</v>
      </c>
      <c r="O357" t="s">
        <v>4793</v>
      </c>
      <c r="P357" t="s">
        <v>4792</v>
      </c>
      <c r="Q357" t="s">
        <v>4791</v>
      </c>
      <c r="R357" s="8">
        <v>35765</v>
      </c>
      <c r="S357" s="9">
        <f t="shared" si="40"/>
        <v>1997</v>
      </c>
      <c r="T357" s="9">
        <v>1997</v>
      </c>
      <c r="U357" s="9">
        <f t="shared" si="41"/>
        <v>25</v>
      </c>
      <c r="V357" s="8">
        <v>1997</v>
      </c>
      <c r="W357" t="s">
        <v>4790</v>
      </c>
      <c r="X357" s="2">
        <v>0.26700000000000002</v>
      </c>
      <c r="Y357" s="7">
        <f t="shared" si="42"/>
        <v>7.1274125090093707E-3</v>
      </c>
      <c r="AA357">
        <v>10224653</v>
      </c>
      <c r="AB357">
        <v>24184</v>
      </c>
      <c r="AD357" t="s">
        <v>1</v>
      </c>
      <c r="AE357">
        <v>6</v>
      </c>
      <c r="AF357">
        <v>2</v>
      </c>
      <c r="AH357" t="s">
        <v>575</v>
      </c>
      <c r="AI357" t="s">
        <v>4789</v>
      </c>
      <c r="AJ357" t="s">
        <v>4788</v>
      </c>
      <c r="AK357" t="s">
        <v>4787</v>
      </c>
      <c r="AL357">
        <v>2</v>
      </c>
      <c r="AM357" s="5">
        <f t="shared" si="43"/>
        <v>0.08</v>
      </c>
      <c r="AN357" s="4">
        <f t="shared" si="44"/>
        <v>1.21166224914805E-4</v>
      </c>
      <c r="AO357" s="3"/>
      <c r="AP357">
        <v>0</v>
      </c>
      <c r="AR357" t="s">
        <v>0</v>
      </c>
      <c r="AT357" s="2">
        <v>1.014</v>
      </c>
      <c r="AU357" s="1">
        <f t="shared" si="45"/>
        <v>0.50255386237810007</v>
      </c>
      <c r="AV357" s="1">
        <f t="shared" si="46"/>
        <v>0.36242893669620879</v>
      </c>
      <c r="AW357" s="1">
        <f t="shared" si="47"/>
        <v>0.22230401101431743</v>
      </c>
    </row>
    <row r="358" spans="1:49" x14ac:dyDescent="0.2">
      <c r="A358">
        <v>356</v>
      </c>
      <c r="B358" t="s">
        <v>4786</v>
      </c>
      <c r="C358" t="s">
        <v>4785</v>
      </c>
      <c r="D358" t="s">
        <v>4784</v>
      </c>
      <c r="F358" t="s">
        <v>4783</v>
      </c>
      <c r="G358" t="s">
        <v>4</v>
      </c>
      <c r="H358" t="s">
        <v>3</v>
      </c>
      <c r="I358" t="s">
        <v>4782</v>
      </c>
      <c r="J358" t="s">
        <v>4781</v>
      </c>
      <c r="K358" t="s">
        <v>4780</v>
      </c>
      <c r="L358" t="s">
        <v>4779</v>
      </c>
      <c r="M358" t="s">
        <v>18</v>
      </c>
      <c r="N358">
        <v>5</v>
      </c>
      <c r="O358" t="s">
        <v>4778</v>
      </c>
      <c r="P358" t="s">
        <v>4777</v>
      </c>
      <c r="Q358" t="s">
        <v>4776</v>
      </c>
      <c r="R358" s="8">
        <v>35765</v>
      </c>
      <c r="S358" s="9">
        <f t="shared" si="40"/>
        <v>1997</v>
      </c>
      <c r="T358" s="9">
        <v>1997</v>
      </c>
      <c r="U358" s="9">
        <f t="shared" si="41"/>
        <v>25</v>
      </c>
      <c r="V358" s="8">
        <v>1997</v>
      </c>
      <c r="W358" t="s">
        <v>392</v>
      </c>
      <c r="X358" s="2">
        <v>1.6519999999999999</v>
      </c>
      <c r="Y358" s="7">
        <f t="shared" si="42"/>
        <v>4.409919649769093E-2</v>
      </c>
      <c r="AA358" t="s">
        <v>391</v>
      </c>
      <c r="AB358">
        <v>17337</v>
      </c>
      <c r="AD358" t="s">
        <v>1</v>
      </c>
      <c r="AE358">
        <v>45</v>
      </c>
      <c r="AF358">
        <v>4</v>
      </c>
      <c r="AH358" t="s">
        <v>4775</v>
      </c>
      <c r="AI358" t="s">
        <v>4774</v>
      </c>
      <c r="AJ358" t="s">
        <v>4773</v>
      </c>
      <c r="AK358" t="s">
        <v>4772</v>
      </c>
      <c r="AL358">
        <v>73</v>
      </c>
      <c r="AM358" s="5">
        <f t="shared" si="43"/>
        <v>2.92</v>
      </c>
      <c r="AN358" s="4">
        <f t="shared" si="44"/>
        <v>4.4225672093903823E-3</v>
      </c>
      <c r="AO358" s="3"/>
      <c r="AP358">
        <v>0</v>
      </c>
      <c r="AR358" t="s">
        <v>0</v>
      </c>
      <c r="AT358" s="2" t="s">
        <v>5</v>
      </c>
      <c r="AU358" s="1">
        <f t="shared" si="45"/>
        <v>3.2196207711200762</v>
      </c>
      <c r="AV358" s="1">
        <f t="shared" si="46"/>
        <v>2.4260881853540655</v>
      </c>
      <c r="AW358" s="1">
        <f t="shared" si="47"/>
        <v>1.6325555995880547</v>
      </c>
    </row>
    <row r="359" spans="1:49" x14ac:dyDescent="0.2">
      <c r="A359">
        <v>357</v>
      </c>
      <c r="B359" t="s">
        <v>4771</v>
      </c>
      <c r="C359" t="s">
        <v>4770</v>
      </c>
      <c r="D359" t="s">
        <v>4769</v>
      </c>
      <c r="F359" t="s">
        <v>4768</v>
      </c>
      <c r="G359" t="s">
        <v>4</v>
      </c>
      <c r="H359" t="s">
        <v>3</v>
      </c>
      <c r="I359" t="s">
        <v>4767</v>
      </c>
      <c r="J359" t="s">
        <v>4766</v>
      </c>
      <c r="K359" t="s">
        <v>4765</v>
      </c>
      <c r="L359" t="s">
        <v>4764</v>
      </c>
      <c r="M359" t="s">
        <v>203</v>
      </c>
      <c r="N359">
        <v>2</v>
      </c>
      <c r="O359" t="s">
        <v>4763</v>
      </c>
      <c r="P359" t="s">
        <v>4762</v>
      </c>
      <c r="Q359" t="s">
        <v>4761</v>
      </c>
      <c r="R359" s="8">
        <v>35765</v>
      </c>
      <c r="S359" s="9">
        <f t="shared" si="40"/>
        <v>1997</v>
      </c>
      <c r="T359" s="9">
        <v>1997</v>
      </c>
      <c r="U359" s="9">
        <f t="shared" si="41"/>
        <v>25</v>
      </c>
      <c r="V359" s="8">
        <v>1997</v>
      </c>
      <c r="W359" t="s">
        <v>4179</v>
      </c>
      <c r="X359" s="2">
        <v>0.82</v>
      </c>
      <c r="Y359" s="7">
        <f t="shared" si="42"/>
        <v>2.1889431675609299E-2</v>
      </c>
      <c r="AA359">
        <v>189456</v>
      </c>
      <c r="AB359">
        <v>15361</v>
      </c>
      <c r="AD359" t="s">
        <v>1</v>
      </c>
      <c r="AE359">
        <v>46</v>
      </c>
      <c r="AF359">
        <v>2</v>
      </c>
      <c r="AH359" t="s">
        <v>4760</v>
      </c>
      <c r="AI359" t="s">
        <v>4759</v>
      </c>
      <c r="AJ359" t="s">
        <v>4758</v>
      </c>
      <c r="AK359" t="s">
        <v>4757</v>
      </c>
      <c r="AL359">
        <v>51</v>
      </c>
      <c r="AM359" s="5">
        <f t="shared" si="43"/>
        <v>2.04</v>
      </c>
      <c r="AN359" s="4">
        <f t="shared" si="44"/>
        <v>3.0897387353275275E-3</v>
      </c>
      <c r="AO359" s="3"/>
      <c r="AP359">
        <v>0</v>
      </c>
      <c r="AQ359" t="s">
        <v>4756</v>
      </c>
      <c r="AR359" t="s">
        <v>0</v>
      </c>
      <c r="AS359" t="s">
        <v>4755</v>
      </c>
      <c r="AT359" s="2" t="s">
        <v>5</v>
      </c>
      <c r="AU359" s="1">
        <f t="shared" si="45"/>
        <v>1.6249523793524765</v>
      </c>
      <c r="AV359" s="1">
        <f t="shared" si="46"/>
        <v>1.2489585205468412</v>
      </c>
      <c r="AW359" s="1">
        <f t="shared" si="47"/>
        <v>0.87296466174120579</v>
      </c>
    </row>
    <row r="360" spans="1:49" x14ac:dyDescent="0.2">
      <c r="A360">
        <v>358</v>
      </c>
      <c r="B360" t="s">
        <v>4754</v>
      </c>
      <c r="F360" t="s">
        <v>4753</v>
      </c>
      <c r="G360" t="s">
        <v>4</v>
      </c>
      <c r="H360" t="s">
        <v>3</v>
      </c>
      <c r="I360" t="s">
        <v>383</v>
      </c>
      <c r="N360">
        <v>3</v>
      </c>
      <c r="O360" t="s">
        <v>380</v>
      </c>
      <c r="P360" t="s">
        <v>379</v>
      </c>
      <c r="Q360" t="s">
        <v>87</v>
      </c>
      <c r="R360" s="8">
        <v>35765</v>
      </c>
      <c r="S360" s="9">
        <f t="shared" si="40"/>
        <v>1997</v>
      </c>
      <c r="T360" s="9">
        <v>1997</v>
      </c>
      <c r="U360" s="9">
        <f t="shared" si="41"/>
        <v>25</v>
      </c>
      <c r="V360" s="8">
        <v>1997</v>
      </c>
      <c r="W360" t="s">
        <v>105</v>
      </c>
      <c r="X360" s="2">
        <v>0.1</v>
      </c>
      <c r="Y360" s="7">
        <f t="shared" si="42"/>
        <v>2.6694428872694269E-3</v>
      </c>
      <c r="AA360">
        <v>9633308</v>
      </c>
      <c r="AB360">
        <v>17917</v>
      </c>
      <c r="AD360" t="s">
        <v>1</v>
      </c>
      <c r="AF360">
        <v>126</v>
      </c>
      <c r="AI360" t="s">
        <v>4752</v>
      </c>
      <c r="AK360" t="s">
        <v>4751</v>
      </c>
      <c r="AL360">
        <v>0</v>
      </c>
      <c r="AM360" s="5">
        <f t="shared" si="43"/>
        <v>0</v>
      </c>
      <c r="AN360" s="4">
        <f t="shared" si="44"/>
        <v>0</v>
      </c>
      <c r="AO360" s="3"/>
      <c r="AP360">
        <v>0</v>
      </c>
      <c r="AR360" t="s">
        <v>0</v>
      </c>
      <c r="AT360" s="2" t="s">
        <v>5</v>
      </c>
      <c r="AU360" s="1">
        <f t="shared" si="45"/>
        <v>0.18686100210885986</v>
      </c>
      <c r="AV360" s="1">
        <f t="shared" si="46"/>
        <v>0.13347214436347135</v>
      </c>
      <c r="AW360" s="1">
        <f t="shared" si="47"/>
        <v>8.0083286618082811E-2</v>
      </c>
    </row>
    <row r="361" spans="1:49" x14ac:dyDescent="0.2">
      <c r="A361">
        <v>359</v>
      </c>
      <c r="B361" t="s">
        <v>4750</v>
      </c>
      <c r="F361" t="s">
        <v>4749</v>
      </c>
      <c r="G361" t="s">
        <v>4</v>
      </c>
      <c r="H361" t="s">
        <v>3</v>
      </c>
      <c r="I361" t="s">
        <v>4748</v>
      </c>
      <c r="J361">
        <v>60008524</v>
      </c>
      <c r="K361" t="s">
        <v>149</v>
      </c>
      <c r="L361" t="s">
        <v>148</v>
      </c>
      <c r="M361" t="s">
        <v>8</v>
      </c>
      <c r="N361">
        <v>2</v>
      </c>
      <c r="O361" t="s">
        <v>4747</v>
      </c>
      <c r="P361" t="s">
        <v>4746</v>
      </c>
      <c r="Q361" t="s">
        <v>4745</v>
      </c>
      <c r="R361" s="8">
        <v>35765</v>
      </c>
      <c r="S361" s="9">
        <f t="shared" si="40"/>
        <v>1997</v>
      </c>
      <c r="T361" s="9">
        <v>1997</v>
      </c>
      <c r="U361" s="9">
        <f t="shared" si="41"/>
        <v>25</v>
      </c>
      <c r="V361" s="8">
        <v>1997</v>
      </c>
      <c r="W361" t="s">
        <v>105</v>
      </c>
      <c r="X361" s="2">
        <v>0.1</v>
      </c>
      <c r="Y361" s="7">
        <f t="shared" si="42"/>
        <v>2.6694428872694269E-3</v>
      </c>
      <c r="AA361">
        <v>9633308</v>
      </c>
      <c r="AB361">
        <v>17917</v>
      </c>
      <c r="AD361" t="s">
        <v>1</v>
      </c>
      <c r="AF361">
        <v>126</v>
      </c>
      <c r="AL361">
        <v>4</v>
      </c>
      <c r="AM361" s="5">
        <f t="shared" si="43"/>
        <v>0.16</v>
      </c>
      <c r="AN361" s="4">
        <f t="shared" si="44"/>
        <v>2.4233244982961E-4</v>
      </c>
      <c r="AO361" s="3"/>
      <c r="AP361">
        <v>0</v>
      </c>
      <c r="AR361" t="s">
        <v>0</v>
      </c>
      <c r="AT361" s="2" t="s">
        <v>5</v>
      </c>
      <c r="AU361" s="1">
        <f t="shared" si="45"/>
        <v>0.19413097560374817</v>
      </c>
      <c r="AV361" s="1">
        <f t="shared" si="46"/>
        <v>0.14558876685495184</v>
      </c>
      <c r="AW361" s="1">
        <f t="shared" si="47"/>
        <v>9.7046558106155506E-2</v>
      </c>
    </row>
    <row r="362" spans="1:49" x14ac:dyDescent="0.2">
      <c r="A362">
        <v>360</v>
      </c>
      <c r="B362" t="s">
        <v>4744</v>
      </c>
      <c r="F362" t="s">
        <v>4743</v>
      </c>
      <c r="G362" t="s">
        <v>4</v>
      </c>
      <c r="H362" t="s">
        <v>3</v>
      </c>
      <c r="I362" t="s">
        <v>665</v>
      </c>
      <c r="J362">
        <v>60019702</v>
      </c>
      <c r="K362" t="s">
        <v>382</v>
      </c>
      <c r="L362" t="s">
        <v>381</v>
      </c>
      <c r="M362" t="s">
        <v>8</v>
      </c>
      <c r="N362">
        <v>3</v>
      </c>
      <c r="O362" t="s">
        <v>664</v>
      </c>
      <c r="P362" t="s">
        <v>663</v>
      </c>
      <c r="Q362" t="s">
        <v>378</v>
      </c>
      <c r="R362" s="8">
        <v>35765</v>
      </c>
      <c r="S362" s="9">
        <f t="shared" si="40"/>
        <v>1997</v>
      </c>
      <c r="T362" s="9">
        <v>1997</v>
      </c>
      <c r="U362" s="9">
        <f t="shared" si="41"/>
        <v>25</v>
      </c>
      <c r="V362" s="8">
        <v>1997</v>
      </c>
      <c r="W362" t="s">
        <v>105</v>
      </c>
      <c r="X362" s="2">
        <v>0.1</v>
      </c>
      <c r="Y362" s="7">
        <f t="shared" si="42"/>
        <v>2.6694428872694269E-3</v>
      </c>
      <c r="AA362">
        <v>9633308</v>
      </c>
      <c r="AB362">
        <v>17917</v>
      </c>
      <c r="AD362" t="s">
        <v>1</v>
      </c>
      <c r="AF362">
        <v>126</v>
      </c>
      <c r="AI362" t="s">
        <v>4742</v>
      </c>
      <c r="AK362" t="s">
        <v>4741</v>
      </c>
      <c r="AL362">
        <v>0</v>
      </c>
      <c r="AM362" s="5">
        <f t="shared" si="43"/>
        <v>0</v>
      </c>
      <c r="AN362" s="4">
        <f t="shared" si="44"/>
        <v>0</v>
      </c>
      <c r="AO362" s="3"/>
      <c r="AP362">
        <v>0</v>
      </c>
      <c r="AR362" t="s">
        <v>0</v>
      </c>
      <c r="AT362" s="2" t="s">
        <v>5</v>
      </c>
      <c r="AU362" s="1">
        <f t="shared" si="45"/>
        <v>0.18686100210885986</v>
      </c>
      <c r="AV362" s="1">
        <f t="shared" si="46"/>
        <v>0.13347214436347135</v>
      </c>
      <c r="AW362" s="1">
        <f t="shared" si="47"/>
        <v>8.0083286618082811E-2</v>
      </c>
    </row>
    <row r="363" spans="1:49" x14ac:dyDescent="0.2">
      <c r="A363">
        <v>361</v>
      </c>
      <c r="B363" t="s">
        <v>4740</v>
      </c>
      <c r="F363" t="s">
        <v>4739</v>
      </c>
      <c r="G363" t="s">
        <v>4</v>
      </c>
      <c r="H363" t="s">
        <v>3</v>
      </c>
      <c r="I363" t="s">
        <v>498</v>
      </c>
      <c r="J363">
        <v>60019702</v>
      </c>
      <c r="K363" t="s">
        <v>382</v>
      </c>
      <c r="L363" t="s">
        <v>381</v>
      </c>
      <c r="M363" t="s">
        <v>8</v>
      </c>
      <c r="N363">
        <v>4</v>
      </c>
      <c r="O363" t="s">
        <v>4738</v>
      </c>
      <c r="P363" t="s">
        <v>4737</v>
      </c>
      <c r="Q363" t="s">
        <v>497</v>
      </c>
      <c r="R363" s="8">
        <v>35765</v>
      </c>
      <c r="S363" s="9">
        <f t="shared" si="40"/>
        <v>1997</v>
      </c>
      <c r="T363" s="9">
        <v>1997</v>
      </c>
      <c r="U363" s="9">
        <f t="shared" si="41"/>
        <v>25</v>
      </c>
      <c r="V363" s="8">
        <v>1997</v>
      </c>
      <c r="W363" t="s">
        <v>105</v>
      </c>
      <c r="X363" s="2">
        <v>0.1</v>
      </c>
      <c r="Y363" s="7">
        <f t="shared" si="42"/>
        <v>2.6694428872694269E-3</v>
      </c>
      <c r="AA363">
        <v>9633308</v>
      </c>
      <c r="AB363">
        <v>17917</v>
      </c>
      <c r="AD363" t="s">
        <v>1</v>
      </c>
      <c r="AF363">
        <v>126</v>
      </c>
      <c r="AI363" t="s">
        <v>4736</v>
      </c>
      <c r="AK363" t="s">
        <v>4735</v>
      </c>
      <c r="AL363">
        <v>0</v>
      </c>
      <c r="AM363" s="5">
        <f t="shared" si="43"/>
        <v>0</v>
      </c>
      <c r="AN363" s="4">
        <f t="shared" si="44"/>
        <v>0</v>
      </c>
      <c r="AO363" s="3"/>
      <c r="AP363">
        <v>0</v>
      </c>
      <c r="AR363" t="s">
        <v>0</v>
      </c>
      <c r="AT363" s="2" t="s">
        <v>5</v>
      </c>
      <c r="AU363" s="1">
        <f t="shared" si="45"/>
        <v>0.18686100210885986</v>
      </c>
      <c r="AV363" s="1">
        <f t="shared" si="46"/>
        <v>0.13347214436347135</v>
      </c>
      <c r="AW363" s="1">
        <f t="shared" si="47"/>
        <v>8.0083286618082811E-2</v>
      </c>
    </row>
    <row r="364" spans="1:49" x14ac:dyDescent="0.2">
      <c r="A364">
        <v>362</v>
      </c>
      <c r="B364" t="s">
        <v>4734</v>
      </c>
      <c r="C364" t="s">
        <v>4733</v>
      </c>
      <c r="D364" t="s">
        <v>4732</v>
      </c>
      <c r="F364" t="s">
        <v>4731</v>
      </c>
      <c r="G364" t="s">
        <v>4</v>
      </c>
      <c r="H364" t="s">
        <v>3</v>
      </c>
      <c r="I364" t="s">
        <v>4730</v>
      </c>
      <c r="J364">
        <v>117649747</v>
      </c>
      <c r="K364" t="s">
        <v>4729</v>
      </c>
      <c r="L364" t="s">
        <v>133</v>
      </c>
      <c r="M364" t="s">
        <v>2</v>
      </c>
      <c r="N364">
        <v>1</v>
      </c>
      <c r="O364" t="s">
        <v>4728</v>
      </c>
      <c r="P364">
        <v>54679252800</v>
      </c>
      <c r="Q364">
        <v>117649747</v>
      </c>
      <c r="R364" s="8">
        <v>35765</v>
      </c>
      <c r="S364" s="9">
        <f t="shared" si="40"/>
        <v>1997</v>
      </c>
      <c r="T364" s="9">
        <v>1997</v>
      </c>
      <c r="U364" s="9">
        <f t="shared" si="41"/>
        <v>25</v>
      </c>
      <c r="V364" s="8">
        <v>1997</v>
      </c>
      <c r="W364" t="s">
        <v>4702</v>
      </c>
      <c r="X364" s="2">
        <v>0.78200000000000003</v>
      </c>
      <c r="Y364" s="7">
        <f t="shared" si="42"/>
        <v>2.0875043378446919E-2</v>
      </c>
      <c r="AA364">
        <v>189316</v>
      </c>
      <c r="AB364">
        <v>19901</v>
      </c>
      <c r="AD364" t="s">
        <v>1</v>
      </c>
      <c r="AE364">
        <v>43</v>
      </c>
      <c r="AF364">
        <v>1</v>
      </c>
      <c r="AH364" t="s">
        <v>4727</v>
      </c>
      <c r="AI364" t="s">
        <v>4726</v>
      </c>
      <c r="AK364" t="s">
        <v>4725</v>
      </c>
      <c r="AL364">
        <v>1</v>
      </c>
      <c r="AM364" s="5">
        <f t="shared" si="43"/>
        <v>0.04</v>
      </c>
      <c r="AN364" s="4">
        <f t="shared" si="44"/>
        <v>6.05831124574025E-5</v>
      </c>
      <c r="AO364" s="3"/>
      <c r="AP364">
        <v>0</v>
      </c>
      <c r="AR364" t="s">
        <v>0</v>
      </c>
      <c r="AT364" s="2">
        <v>3.863</v>
      </c>
      <c r="AU364" s="1">
        <f t="shared" si="45"/>
        <v>1.4630705298650062</v>
      </c>
      <c r="AV364" s="1">
        <f t="shared" si="46"/>
        <v>1.0467813245452162</v>
      </c>
      <c r="AW364" s="1">
        <f t="shared" si="47"/>
        <v>0.6304921192254257</v>
      </c>
    </row>
    <row r="365" spans="1:49" x14ac:dyDescent="0.2">
      <c r="A365">
        <v>363</v>
      </c>
      <c r="B365" t="s">
        <v>4724</v>
      </c>
      <c r="C365" t="s">
        <v>4723</v>
      </c>
      <c r="D365" t="s">
        <v>4722</v>
      </c>
      <c r="F365" t="s">
        <v>4721</v>
      </c>
      <c r="G365" t="s">
        <v>4</v>
      </c>
      <c r="H365" t="s">
        <v>3</v>
      </c>
      <c r="I365" t="s">
        <v>4720</v>
      </c>
      <c r="J365" t="s">
        <v>4719</v>
      </c>
      <c r="K365" t="s">
        <v>4718</v>
      </c>
      <c r="L365" t="s">
        <v>4717</v>
      </c>
      <c r="M365" t="s">
        <v>63</v>
      </c>
      <c r="N365">
        <v>3</v>
      </c>
      <c r="O365" t="s">
        <v>4716</v>
      </c>
      <c r="P365" t="s">
        <v>4715</v>
      </c>
      <c r="Q365" t="s">
        <v>4714</v>
      </c>
      <c r="R365" s="8">
        <v>35765</v>
      </c>
      <c r="S365" s="9">
        <f t="shared" si="40"/>
        <v>1997</v>
      </c>
      <c r="T365" s="9">
        <v>1997</v>
      </c>
      <c r="U365" s="9">
        <f t="shared" si="41"/>
        <v>25</v>
      </c>
      <c r="V365" s="8">
        <v>1997</v>
      </c>
      <c r="W365" t="s">
        <v>4702</v>
      </c>
      <c r="X365" s="2">
        <v>0.78200000000000003</v>
      </c>
      <c r="Y365" s="7">
        <f t="shared" si="42"/>
        <v>2.0875043378446919E-2</v>
      </c>
      <c r="AA365">
        <v>189316</v>
      </c>
      <c r="AB365">
        <v>19901</v>
      </c>
      <c r="AD365" t="s">
        <v>1</v>
      </c>
      <c r="AE365">
        <v>43</v>
      </c>
      <c r="AF365">
        <v>1</v>
      </c>
      <c r="AH365" t="s">
        <v>4713</v>
      </c>
      <c r="AI365" t="s">
        <v>4712</v>
      </c>
      <c r="AK365" t="s">
        <v>4711</v>
      </c>
      <c r="AL365">
        <v>8</v>
      </c>
      <c r="AM365" s="5">
        <f t="shared" si="43"/>
        <v>0.32</v>
      </c>
      <c r="AN365" s="4">
        <f t="shared" si="44"/>
        <v>4.8466489965922E-4</v>
      </c>
      <c r="AO365" s="3"/>
      <c r="AP365">
        <v>0</v>
      </c>
      <c r="AR365" t="s">
        <v>0</v>
      </c>
      <c r="AT365" s="2">
        <v>3.863</v>
      </c>
      <c r="AU365" s="1">
        <f t="shared" si="45"/>
        <v>1.4757929834810608</v>
      </c>
      <c r="AV365" s="1">
        <f t="shared" si="46"/>
        <v>1.0679854139053071</v>
      </c>
      <c r="AW365" s="1">
        <f t="shared" si="47"/>
        <v>0.66017784432955295</v>
      </c>
    </row>
    <row r="366" spans="1:49" x14ac:dyDescent="0.2">
      <c r="A366">
        <v>364</v>
      </c>
      <c r="B366" t="s">
        <v>4710</v>
      </c>
      <c r="C366" t="s">
        <v>4709</v>
      </c>
      <c r="D366" t="s">
        <v>4708</v>
      </c>
      <c r="F366" t="s">
        <v>4707</v>
      </c>
      <c r="G366" t="s">
        <v>4</v>
      </c>
      <c r="H366" t="s">
        <v>3</v>
      </c>
      <c r="I366" t="s">
        <v>4706</v>
      </c>
      <c r="J366">
        <v>100691548</v>
      </c>
      <c r="K366" t="s">
        <v>4705</v>
      </c>
      <c r="L366" t="s">
        <v>4704</v>
      </c>
      <c r="M366" t="s">
        <v>2</v>
      </c>
      <c r="N366">
        <v>1</v>
      </c>
      <c r="O366" t="s">
        <v>4703</v>
      </c>
      <c r="P366">
        <v>14066804600</v>
      </c>
      <c r="Q366">
        <v>100691548</v>
      </c>
      <c r="R366" s="8">
        <v>35765</v>
      </c>
      <c r="S366" s="9">
        <f t="shared" si="40"/>
        <v>1997</v>
      </c>
      <c r="T366" s="9">
        <v>1997</v>
      </c>
      <c r="U366" s="9">
        <f t="shared" si="41"/>
        <v>25</v>
      </c>
      <c r="V366" s="8">
        <v>1997</v>
      </c>
      <c r="W366" t="s">
        <v>4702</v>
      </c>
      <c r="X366" s="2">
        <v>0.78200000000000003</v>
      </c>
      <c r="Y366" s="7">
        <f t="shared" si="42"/>
        <v>2.0875043378446919E-2</v>
      </c>
      <c r="AA366">
        <v>189316</v>
      </c>
      <c r="AB366">
        <v>19901</v>
      </c>
      <c r="AD366" t="s">
        <v>1</v>
      </c>
      <c r="AE366">
        <v>43</v>
      </c>
      <c r="AF366">
        <v>1</v>
      </c>
      <c r="AH366" s="6">
        <v>44503</v>
      </c>
      <c r="AI366" t="s">
        <v>4701</v>
      </c>
      <c r="AK366" t="s">
        <v>4700</v>
      </c>
      <c r="AL366">
        <v>1</v>
      </c>
      <c r="AM366" s="5">
        <f t="shared" si="43"/>
        <v>0.04</v>
      </c>
      <c r="AN366" s="4">
        <f t="shared" si="44"/>
        <v>6.05831124574025E-5</v>
      </c>
      <c r="AO366" s="3"/>
      <c r="AP366">
        <v>0</v>
      </c>
      <c r="AR366" t="s">
        <v>0</v>
      </c>
      <c r="AT366" s="2">
        <v>3.863</v>
      </c>
      <c r="AU366" s="1">
        <f t="shared" si="45"/>
        <v>1.4630705298650062</v>
      </c>
      <c r="AV366" s="1">
        <f t="shared" si="46"/>
        <v>1.0467813245452162</v>
      </c>
      <c r="AW366" s="1">
        <f t="shared" si="47"/>
        <v>0.6304921192254257</v>
      </c>
    </row>
    <row r="367" spans="1:49" x14ac:dyDescent="0.2">
      <c r="A367">
        <v>365</v>
      </c>
      <c r="B367" t="s">
        <v>4699</v>
      </c>
      <c r="C367" t="s">
        <v>4698</v>
      </c>
      <c r="D367" t="s">
        <v>4697</v>
      </c>
      <c r="F367" t="s">
        <v>4696</v>
      </c>
      <c r="G367" t="s">
        <v>4</v>
      </c>
      <c r="H367" t="s">
        <v>3</v>
      </c>
      <c r="I367" t="s">
        <v>503</v>
      </c>
      <c r="J367" t="s">
        <v>4695</v>
      </c>
      <c r="K367" t="s">
        <v>4694</v>
      </c>
      <c r="L367" t="s">
        <v>4693</v>
      </c>
      <c r="M367" t="s">
        <v>4692</v>
      </c>
      <c r="N367">
        <v>3</v>
      </c>
      <c r="O367" t="s">
        <v>4691</v>
      </c>
      <c r="P367" t="s">
        <v>4690</v>
      </c>
      <c r="Q367" t="s">
        <v>4689</v>
      </c>
      <c r="R367" s="8">
        <v>35765</v>
      </c>
      <c r="S367" s="9">
        <f t="shared" si="40"/>
        <v>1997</v>
      </c>
      <c r="T367" s="9">
        <v>1997</v>
      </c>
      <c r="U367" s="9">
        <f t="shared" si="41"/>
        <v>25</v>
      </c>
      <c r="V367" s="8">
        <v>1997</v>
      </c>
      <c r="W367" t="s">
        <v>280</v>
      </c>
      <c r="X367" s="2">
        <v>1.3280000000000001</v>
      </c>
      <c r="Y367" s="7">
        <f t="shared" si="42"/>
        <v>3.5450201542937994E-2</v>
      </c>
      <c r="AA367">
        <v>7413335</v>
      </c>
      <c r="AB367">
        <v>29251</v>
      </c>
      <c r="AD367" t="s">
        <v>1</v>
      </c>
      <c r="AE367">
        <v>39</v>
      </c>
      <c r="AF367">
        <v>3</v>
      </c>
      <c r="AH367" t="s">
        <v>4688</v>
      </c>
      <c r="AI367" t="s">
        <v>4687</v>
      </c>
      <c r="AK367" t="s">
        <v>4686</v>
      </c>
      <c r="AL367">
        <v>49</v>
      </c>
      <c r="AM367" s="5">
        <f t="shared" si="43"/>
        <v>1.96</v>
      </c>
      <c r="AN367" s="4">
        <f t="shared" si="44"/>
        <v>2.9685725104127226E-3</v>
      </c>
      <c r="AO367" s="3"/>
      <c r="AP367">
        <v>0</v>
      </c>
      <c r="AR367" t="s">
        <v>0</v>
      </c>
      <c r="AT367" s="2">
        <v>2.4580000000000002</v>
      </c>
      <c r="AU367" s="1">
        <f t="shared" si="45"/>
        <v>2.5705712833180412</v>
      </c>
      <c r="AV367" s="1">
        <f t="shared" si="46"/>
        <v>1.9209387026675357</v>
      </c>
      <c r="AW367" s="1">
        <f t="shared" si="47"/>
        <v>1.2713061220170303</v>
      </c>
    </row>
    <row r="368" spans="1:49" x14ac:dyDescent="0.2">
      <c r="A368">
        <v>366</v>
      </c>
      <c r="B368" t="s">
        <v>4685</v>
      </c>
      <c r="C368" t="s">
        <v>4684</v>
      </c>
      <c r="D368" t="s">
        <v>4683</v>
      </c>
      <c r="F368" t="s">
        <v>4682</v>
      </c>
      <c r="G368" t="s">
        <v>4</v>
      </c>
      <c r="H368" t="s">
        <v>3</v>
      </c>
      <c r="I368" t="s">
        <v>4681</v>
      </c>
      <c r="J368" t="s">
        <v>4680</v>
      </c>
      <c r="K368" t="s">
        <v>4679</v>
      </c>
      <c r="L368" t="s">
        <v>4678</v>
      </c>
      <c r="M368" t="s">
        <v>63</v>
      </c>
      <c r="N368">
        <v>4</v>
      </c>
      <c r="O368" t="s">
        <v>4677</v>
      </c>
      <c r="P368" t="s">
        <v>4676</v>
      </c>
      <c r="Q368" t="s">
        <v>4675</v>
      </c>
      <c r="R368" s="8">
        <v>35765</v>
      </c>
      <c r="S368" s="9">
        <f t="shared" si="40"/>
        <v>1997</v>
      </c>
      <c r="T368" s="9">
        <v>1997</v>
      </c>
      <c r="U368" s="9">
        <f t="shared" si="41"/>
        <v>25</v>
      </c>
      <c r="V368" s="8">
        <v>1997</v>
      </c>
      <c r="W368" t="s">
        <v>448</v>
      </c>
      <c r="X368" s="2">
        <v>1.3720000000000001</v>
      </c>
      <c r="Y368" s="7">
        <f t="shared" si="42"/>
        <v>3.662475641333654E-2</v>
      </c>
      <c r="AA368">
        <v>189480</v>
      </c>
      <c r="AB368">
        <v>17366</v>
      </c>
      <c r="AD368" t="s">
        <v>1</v>
      </c>
      <c r="AE368">
        <v>45</v>
      </c>
      <c r="AF368">
        <v>3</v>
      </c>
      <c r="AH368" t="s">
        <v>4674</v>
      </c>
      <c r="AI368" t="s">
        <v>4673</v>
      </c>
      <c r="AK368" t="s">
        <v>4672</v>
      </c>
      <c r="AL368">
        <v>71</v>
      </c>
      <c r="AM368" s="5">
        <f t="shared" si="43"/>
        <v>2.84</v>
      </c>
      <c r="AN368" s="4">
        <f t="shared" si="44"/>
        <v>4.3014009844755769E-3</v>
      </c>
      <c r="AO368" s="3"/>
      <c r="AP368">
        <v>0</v>
      </c>
      <c r="AR368" t="s">
        <v>4671</v>
      </c>
      <c r="AT368" s="2" t="s">
        <v>5</v>
      </c>
      <c r="AU368" s="1">
        <f t="shared" si="45"/>
        <v>2.692774978467825</v>
      </c>
      <c r="AV368" s="1">
        <f t="shared" si="46"/>
        <v>2.0463078698906059</v>
      </c>
      <c r="AW368" s="1">
        <f t="shared" si="47"/>
        <v>1.3998407613133865</v>
      </c>
    </row>
    <row r="369" spans="1:49" x14ac:dyDescent="0.2">
      <c r="A369">
        <v>367</v>
      </c>
      <c r="B369" t="s">
        <v>4670</v>
      </c>
      <c r="C369" t="s">
        <v>4669</v>
      </c>
      <c r="D369" t="s">
        <v>4668</v>
      </c>
      <c r="F369" t="s">
        <v>4667</v>
      </c>
      <c r="G369" t="s">
        <v>4</v>
      </c>
      <c r="H369" t="s">
        <v>3</v>
      </c>
      <c r="I369" t="s">
        <v>4666</v>
      </c>
      <c r="J369" t="s">
        <v>4665</v>
      </c>
      <c r="K369" t="s">
        <v>4664</v>
      </c>
      <c r="L369" t="s">
        <v>4663</v>
      </c>
      <c r="M369" t="s">
        <v>676</v>
      </c>
      <c r="N369">
        <v>2</v>
      </c>
      <c r="O369" t="s">
        <v>4662</v>
      </c>
      <c r="P369" t="s">
        <v>4661</v>
      </c>
      <c r="Q369" t="s">
        <v>4660</v>
      </c>
      <c r="R369" s="8">
        <v>35765</v>
      </c>
      <c r="S369" s="9">
        <f t="shared" si="40"/>
        <v>1997</v>
      </c>
      <c r="T369" s="9">
        <v>1997</v>
      </c>
      <c r="U369" s="9">
        <f t="shared" si="41"/>
        <v>25</v>
      </c>
      <c r="V369" s="8">
        <v>1997</v>
      </c>
      <c r="W369" t="s">
        <v>1803</v>
      </c>
      <c r="X369" s="2">
        <v>1.6379999999999999</v>
      </c>
      <c r="Y369" s="7">
        <f t="shared" si="42"/>
        <v>4.3725474493473214E-2</v>
      </c>
      <c r="AA369" t="s">
        <v>1802</v>
      </c>
      <c r="AB369">
        <v>17391</v>
      </c>
      <c r="AD369" t="s">
        <v>1</v>
      </c>
      <c r="AE369">
        <v>45</v>
      </c>
      <c r="AF369">
        <v>3</v>
      </c>
      <c r="AH369" t="s">
        <v>4659</v>
      </c>
      <c r="AI369" t="s">
        <v>4658</v>
      </c>
      <c r="AK369" t="s">
        <v>4657</v>
      </c>
      <c r="AL369">
        <v>330</v>
      </c>
      <c r="AM369" s="5">
        <f t="shared" si="43"/>
        <v>13.2</v>
      </c>
      <c r="AN369" s="4">
        <f t="shared" si="44"/>
        <v>1.9992427110942824E-2</v>
      </c>
      <c r="AO369" s="3"/>
      <c r="AP369">
        <v>0</v>
      </c>
      <c r="AQ369" t="s">
        <v>53</v>
      </c>
      <c r="AR369" t="s">
        <v>4656</v>
      </c>
      <c r="AS369" t="s">
        <v>52</v>
      </c>
      <c r="AT369" s="2">
        <v>4.931</v>
      </c>
      <c r="AU369" s="1">
        <f t="shared" si="45"/>
        <v>3.6605560278714098</v>
      </c>
      <c r="AV369" s="1">
        <f t="shared" si="46"/>
        <v>3.1858950802208019</v>
      </c>
      <c r="AW369" s="1">
        <f t="shared" si="47"/>
        <v>2.7112341325701941</v>
      </c>
    </row>
    <row r="370" spans="1:49" x14ac:dyDescent="0.2">
      <c r="A370">
        <v>368</v>
      </c>
      <c r="B370" t="s">
        <v>4655</v>
      </c>
      <c r="F370" t="s">
        <v>4654</v>
      </c>
      <c r="G370" t="s">
        <v>4</v>
      </c>
      <c r="H370" t="s">
        <v>3</v>
      </c>
      <c r="I370" t="s">
        <v>659</v>
      </c>
      <c r="J370">
        <v>60025272</v>
      </c>
      <c r="K370" t="s">
        <v>4653</v>
      </c>
      <c r="L370" t="s">
        <v>112</v>
      </c>
      <c r="M370" t="s">
        <v>111</v>
      </c>
      <c r="N370">
        <v>1</v>
      </c>
      <c r="O370" t="s">
        <v>4652</v>
      </c>
      <c r="P370">
        <v>35175444300</v>
      </c>
      <c r="Q370">
        <v>60025272</v>
      </c>
      <c r="R370" s="8">
        <v>35765</v>
      </c>
      <c r="S370" s="9">
        <f t="shared" si="40"/>
        <v>1997</v>
      </c>
      <c r="T370" s="9">
        <v>1997</v>
      </c>
      <c r="U370" s="9">
        <f t="shared" si="41"/>
        <v>25</v>
      </c>
      <c r="V370" s="8">
        <v>1997</v>
      </c>
      <c r="W370" t="s">
        <v>4651</v>
      </c>
      <c r="X370" s="2">
        <v>0.23899999999999999</v>
      </c>
      <c r="Y370" s="7">
        <f t="shared" si="42"/>
        <v>6.3799685005739301E-3</v>
      </c>
      <c r="AA370">
        <v>13835416</v>
      </c>
      <c r="AB370">
        <v>17961</v>
      </c>
      <c r="AD370" t="s">
        <v>1</v>
      </c>
      <c r="AE370">
        <v>8</v>
      </c>
      <c r="AF370">
        <v>1</v>
      </c>
      <c r="AH370" t="s">
        <v>4650</v>
      </c>
      <c r="AI370" t="s">
        <v>4649</v>
      </c>
      <c r="AK370" t="s">
        <v>4648</v>
      </c>
      <c r="AL370">
        <v>17</v>
      </c>
      <c r="AM370" s="5">
        <f t="shared" si="43"/>
        <v>0.68</v>
      </c>
      <c r="AN370" s="4">
        <f t="shared" si="44"/>
        <v>1.0299129117758426E-3</v>
      </c>
      <c r="AO370" s="3"/>
      <c r="AP370">
        <v>0</v>
      </c>
      <c r="AR370" t="s">
        <v>0</v>
      </c>
      <c r="AT370" s="2" t="s">
        <v>5</v>
      </c>
      <c r="AU370" s="1">
        <f t="shared" si="45"/>
        <v>0.47749518239345035</v>
      </c>
      <c r="AV370" s="1">
        <f t="shared" si="46"/>
        <v>0.37049407061748862</v>
      </c>
      <c r="AW370" s="1">
        <f t="shared" si="47"/>
        <v>0.2634929588415269</v>
      </c>
    </row>
    <row r="371" spans="1:49" x14ac:dyDescent="0.2">
      <c r="A371">
        <v>369</v>
      </c>
      <c r="B371" t="s">
        <v>4647</v>
      </c>
      <c r="C371" t="s">
        <v>4646</v>
      </c>
      <c r="D371" t="s">
        <v>4645</v>
      </c>
      <c r="F371" t="s">
        <v>4644</v>
      </c>
      <c r="G371" t="s">
        <v>4</v>
      </c>
      <c r="H371" t="s">
        <v>3</v>
      </c>
      <c r="I371" t="s">
        <v>411</v>
      </c>
      <c r="J371">
        <v>60012162</v>
      </c>
      <c r="K371" t="s">
        <v>410</v>
      </c>
      <c r="L371" t="s">
        <v>409</v>
      </c>
      <c r="M371" t="s">
        <v>116</v>
      </c>
      <c r="N371">
        <v>4</v>
      </c>
      <c r="O371" t="s">
        <v>525</v>
      </c>
      <c r="P371" t="s">
        <v>524</v>
      </c>
      <c r="Q371" t="s">
        <v>406</v>
      </c>
      <c r="R371" s="8">
        <v>35765</v>
      </c>
      <c r="S371" s="9">
        <f t="shared" si="40"/>
        <v>1997</v>
      </c>
      <c r="T371" s="9">
        <v>1997</v>
      </c>
      <c r="U371" s="9">
        <f t="shared" si="41"/>
        <v>25</v>
      </c>
      <c r="V371" s="8">
        <v>1997</v>
      </c>
      <c r="W371" t="s">
        <v>392</v>
      </c>
      <c r="X371" s="2">
        <v>1.6519999999999999</v>
      </c>
      <c r="Y371" s="7">
        <f t="shared" si="42"/>
        <v>4.409919649769093E-2</v>
      </c>
      <c r="AA371" t="s">
        <v>391</v>
      </c>
      <c r="AB371">
        <v>17337</v>
      </c>
      <c r="AD371" t="s">
        <v>1</v>
      </c>
      <c r="AE371">
        <v>45</v>
      </c>
      <c r="AF371">
        <v>3</v>
      </c>
      <c r="AH371" t="s">
        <v>4643</v>
      </c>
      <c r="AI371" t="s">
        <v>4642</v>
      </c>
      <c r="AJ371" t="s">
        <v>4641</v>
      </c>
      <c r="AK371" t="s">
        <v>4640</v>
      </c>
      <c r="AL371">
        <v>6</v>
      </c>
      <c r="AM371" s="5">
        <f t="shared" si="43"/>
        <v>0.24</v>
      </c>
      <c r="AN371" s="4">
        <f t="shared" si="44"/>
        <v>3.6349867474441499E-4</v>
      </c>
      <c r="AO371" s="3"/>
      <c r="AP371">
        <v>0</v>
      </c>
      <c r="AR371" t="s">
        <v>0</v>
      </c>
      <c r="AT371" s="2" t="s">
        <v>5</v>
      </c>
      <c r="AU371" s="1">
        <f t="shared" si="45"/>
        <v>3.0978487150806973</v>
      </c>
      <c r="AV371" s="1">
        <f t="shared" si="46"/>
        <v>2.2231347586217676</v>
      </c>
      <c r="AW371" s="1">
        <f t="shared" si="47"/>
        <v>1.3484208021628368</v>
      </c>
    </row>
    <row r="372" spans="1:49" x14ac:dyDescent="0.2">
      <c r="A372">
        <v>370</v>
      </c>
      <c r="B372" t="s">
        <v>4639</v>
      </c>
      <c r="C372" t="s">
        <v>4638</v>
      </c>
      <c r="D372" t="s">
        <v>4637</v>
      </c>
      <c r="F372" t="s">
        <v>4636</v>
      </c>
      <c r="G372" t="s">
        <v>4</v>
      </c>
      <c r="H372" t="s">
        <v>3</v>
      </c>
      <c r="I372" t="s">
        <v>4635</v>
      </c>
      <c r="J372">
        <v>60027561</v>
      </c>
      <c r="K372" t="s">
        <v>3795</v>
      </c>
      <c r="L372" t="s">
        <v>91</v>
      </c>
      <c r="M372" t="s">
        <v>2</v>
      </c>
      <c r="N372">
        <v>1</v>
      </c>
      <c r="O372" t="s">
        <v>4634</v>
      </c>
      <c r="P372">
        <v>7406565241</v>
      </c>
      <c r="Q372">
        <v>60027561</v>
      </c>
      <c r="R372" s="8">
        <v>35765</v>
      </c>
      <c r="S372" s="9">
        <f t="shared" si="40"/>
        <v>1997</v>
      </c>
      <c r="T372" s="9">
        <v>1997</v>
      </c>
      <c r="U372" s="9">
        <f t="shared" si="41"/>
        <v>25</v>
      </c>
      <c r="V372" s="8">
        <v>1997</v>
      </c>
      <c r="W372" t="s">
        <v>448</v>
      </c>
      <c r="X372" s="2">
        <v>1.3720000000000001</v>
      </c>
      <c r="Y372" s="7">
        <f t="shared" si="42"/>
        <v>3.662475641333654E-2</v>
      </c>
      <c r="AA372">
        <v>189480</v>
      </c>
      <c r="AB372">
        <v>17366</v>
      </c>
      <c r="AD372" t="s">
        <v>1</v>
      </c>
      <c r="AE372">
        <v>45</v>
      </c>
      <c r="AF372">
        <v>3</v>
      </c>
      <c r="AH372" t="s">
        <v>4633</v>
      </c>
      <c r="AI372" t="s">
        <v>4632</v>
      </c>
      <c r="AJ372" t="s">
        <v>4631</v>
      </c>
      <c r="AK372" t="s">
        <v>4630</v>
      </c>
      <c r="AL372">
        <v>37</v>
      </c>
      <c r="AM372" s="5">
        <f t="shared" si="43"/>
        <v>1.48</v>
      </c>
      <c r="AN372" s="4">
        <f t="shared" si="44"/>
        <v>2.2415751609238923E-3</v>
      </c>
      <c r="AO372" s="3"/>
      <c r="AP372">
        <v>0</v>
      </c>
      <c r="AR372" t="s">
        <v>0</v>
      </c>
      <c r="AT372" s="2" t="s">
        <v>5</v>
      </c>
      <c r="AU372" s="1">
        <f t="shared" si="45"/>
        <v>2.6309802037612742</v>
      </c>
      <c r="AV372" s="1">
        <f t="shared" si="46"/>
        <v>1.9433165787130218</v>
      </c>
      <c r="AW372" s="1">
        <f t="shared" si="47"/>
        <v>1.2556529536647687</v>
      </c>
    </row>
    <row r="373" spans="1:49" x14ac:dyDescent="0.2">
      <c r="A373">
        <v>371</v>
      </c>
      <c r="B373" t="s">
        <v>4629</v>
      </c>
      <c r="C373" t="s">
        <v>4628</v>
      </c>
      <c r="D373" t="s">
        <v>4627</v>
      </c>
      <c r="F373" t="s">
        <v>4626</v>
      </c>
      <c r="G373" t="s">
        <v>4</v>
      </c>
      <c r="H373" t="s">
        <v>3</v>
      </c>
      <c r="I373" t="s">
        <v>4625</v>
      </c>
      <c r="J373">
        <v>60008293</v>
      </c>
      <c r="K373" t="s">
        <v>4624</v>
      </c>
      <c r="L373" t="s">
        <v>4623</v>
      </c>
      <c r="M373" t="s">
        <v>7</v>
      </c>
      <c r="N373">
        <v>2</v>
      </c>
      <c r="O373" t="s">
        <v>4622</v>
      </c>
      <c r="P373" t="s">
        <v>4621</v>
      </c>
      <c r="Q373" t="s">
        <v>4620</v>
      </c>
      <c r="R373" s="8">
        <v>35765</v>
      </c>
      <c r="S373" s="9">
        <f t="shared" si="40"/>
        <v>1997</v>
      </c>
      <c r="T373" s="9">
        <v>1997</v>
      </c>
      <c r="U373" s="9">
        <f t="shared" si="41"/>
        <v>25</v>
      </c>
      <c r="V373" s="8">
        <v>1997</v>
      </c>
      <c r="W373" t="s">
        <v>392</v>
      </c>
      <c r="X373" s="2">
        <v>1.6519999999999999</v>
      </c>
      <c r="Y373" s="7">
        <f t="shared" si="42"/>
        <v>4.409919649769093E-2</v>
      </c>
      <c r="AA373" t="s">
        <v>391</v>
      </c>
      <c r="AB373">
        <v>17337</v>
      </c>
      <c r="AD373" t="s">
        <v>1</v>
      </c>
      <c r="AE373">
        <v>45</v>
      </c>
      <c r="AF373">
        <v>3</v>
      </c>
      <c r="AH373" t="s">
        <v>4619</v>
      </c>
      <c r="AI373" t="s">
        <v>4618</v>
      </c>
      <c r="AJ373" t="s">
        <v>4617</v>
      </c>
      <c r="AK373" t="s">
        <v>4616</v>
      </c>
      <c r="AL373">
        <v>14</v>
      </c>
      <c r="AM373" s="5">
        <f t="shared" si="43"/>
        <v>0.56000000000000005</v>
      </c>
      <c r="AN373" s="4">
        <f t="shared" si="44"/>
        <v>8.4816357440363509E-4</v>
      </c>
      <c r="AO373" s="3"/>
      <c r="AP373">
        <v>0</v>
      </c>
      <c r="AR373" t="s">
        <v>0</v>
      </c>
      <c r="AT373" s="2" t="s">
        <v>5</v>
      </c>
      <c r="AU373" s="1">
        <f t="shared" si="45"/>
        <v>3.1123886620704742</v>
      </c>
      <c r="AV373" s="1">
        <f t="shared" si="46"/>
        <v>2.2473680036047283</v>
      </c>
      <c r="AW373" s="1">
        <f t="shared" si="47"/>
        <v>1.3823473451389823</v>
      </c>
    </row>
    <row r="374" spans="1:49" x14ac:dyDescent="0.2">
      <c r="A374">
        <v>372</v>
      </c>
      <c r="B374" t="s">
        <v>4615</v>
      </c>
      <c r="C374" t="s">
        <v>4614</v>
      </c>
      <c r="D374" t="s">
        <v>4613</v>
      </c>
      <c r="F374" t="s">
        <v>4612</v>
      </c>
      <c r="G374" t="s">
        <v>4</v>
      </c>
      <c r="H374" t="s">
        <v>3</v>
      </c>
      <c r="I374" t="s">
        <v>4611</v>
      </c>
      <c r="J374">
        <v>60025778</v>
      </c>
      <c r="K374" t="s">
        <v>636</v>
      </c>
      <c r="L374" t="s">
        <v>635</v>
      </c>
      <c r="M374" t="s">
        <v>2</v>
      </c>
      <c r="N374">
        <v>3</v>
      </c>
      <c r="O374" t="s">
        <v>4610</v>
      </c>
      <c r="P374" t="s">
        <v>4609</v>
      </c>
      <c r="Q374" t="s">
        <v>4608</v>
      </c>
      <c r="R374" s="8">
        <v>35765</v>
      </c>
      <c r="S374" s="9">
        <f t="shared" si="40"/>
        <v>1997</v>
      </c>
      <c r="T374" s="9">
        <v>1997</v>
      </c>
      <c r="U374" s="9">
        <f t="shared" si="41"/>
        <v>25</v>
      </c>
      <c r="V374" s="8">
        <v>1997</v>
      </c>
      <c r="W374" t="s">
        <v>392</v>
      </c>
      <c r="X374" s="2">
        <v>1.6519999999999999</v>
      </c>
      <c r="Y374" s="7">
        <f t="shared" si="42"/>
        <v>4.409919649769093E-2</v>
      </c>
      <c r="AA374" t="s">
        <v>391</v>
      </c>
      <c r="AB374">
        <v>17337</v>
      </c>
      <c r="AD374" t="s">
        <v>1</v>
      </c>
      <c r="AE374">
        <v>45</v>
      </c>
      <c r="AF374">
        <v>3</v>
      </c>
      <c r="AH374" t="s">
        <v>4607</v>
      </c>
      <c r="AI374" t="s">
        <v>4606</v>
      </c>
      <c r="AJ374" t="s">
        <v>4605</v>
      </c>
      <c r="AK374" t="s">
        <v>4604</v>
      </c>
      <c r="AL374">
        <v>59</v>
      </c>
      <c r="AM374" s="5">
        <f t="shared" si="43"/>
        <v>2.36</v>
      </c>
      <c r="AN374" s="4">
        <f t="shared" si="44"/>
        <v>3.5744036349867471E-3</v>
      </c>
      <c r="AO374" s="3"/>
      <c r="AP374">
        <v>0</v>
      </c>
      <c r="AR374" t="s">
        <v>0</v>
      </c>
      <c r="AT374" s="2" t="s">
        <v>5</v>
      </c>
      <c r="AU374" s="1">
        <f t="shared" si="45"/>
        <v>3.1941758638879674</v>
      </c>
      <c r="AV374" s="1">
        <f t="shared" si="46"/>
        <v>2.3836800066338837</v>
      </c>
      <c r="AW374" s="1">
        <f t="shared" si="47"/>
        <v>1.5731841493798002</v>
      </c>
    </row>
    <row r="375" spans="1:49" x14ac:dyDescent="0.2">
      <c r="A375">
        <v>373</v>
      </c>
      <c r="B375" t="s">
        <v>4603</v>
      </c>
      <c r="C375" t="s">
        <v>4602</v>
      </c>
      <c r="D375" t="s">
        <v>4601</v>
      </c>
      <c r="F375" t="s">
        <v>4600</v>
      </c>
      <c r="G375" t="s">
        <v>4</v>
      </c>
      <c r="H375" t="s">
        <v>3</v>
      </c>
      <c r="I375" t="s">
        <v>4599</v>
      </c>
      <c r="J375">
        <v>60014313</v>
      </c>
      <c r="K375" t="s">
        <v>2690</v>
      </c>
      <c r="L375" t="s">
        <v>2689</v>
      </c>
      <c r="M375" t="s">
        <v>2</v>
      </c>
      <c r="N375">
        <v>5</v>
      </c>
      <c r="O375" t="s">
        <v>4598</v>
      </c>
      <c r="P375" t="s">
        <v>4597</v>
      </c>
      <c r="Q375" t="s">
        <v>4596</v>
      </c>
      <c r="R375" s="8">
        <v>35765</v>
      </c>
      <c r="S375" s="9">
        <f t="shared" si="40"/>
        <v>1997</v>
      </c>
      <c r="T375" s="9">
        <v>1997</v>
      </c>
      <c r="U375" s="9">
        <f t="shared" si="41"/>
        <v>25</v>
      </c>
      <c r="V375" s="8">
        <v>1997</v>
      </c>
      <c r="W375" t="s">
        <v>1791</v>
      </c>
      <c r="X375" s="2">
        <v>2.141</v>
      </c>
      <c r="Y375" s="7">
        <f t="shared" si="42"/>
        <v>5.7152772216438434E-2</v>
      </c>
      <c r="AA375">
        <v>1962892</v>
      </c>
      <c r="AB375">
        <v>17360</v>
      </c>
      <c r="AD375" t="s">
        <v>1</v>
      </c>
      <c r="AE375">
        <v>35</v>
      </c>
      <c r="AF375">
        <v>2</v>
      </c>
      <c r="AH375" t="s">
        <v>4595</v>
      </c>
      <c r="AI375" t="s">
        <v>4594</v>
      </c>
      <c r="AK375" t="s">
        <v>4593</v>
      </c>
      <c r="AL375">
        <v>22</v>
      </c>
      <c r="AM375" s="5">
        <f t="shared" si="43"/>
        <v>0.88</v>
      </c>
      <c r="AN375" s="4">
        <f t="shared" si="44"/>
        <v>1.332828474062855E-3</v>
      </c>
      <c r="AO375" s="3"/>
      <c r="AP375">
        <v>0</v>
      </c>
      <c r="AQ375" t="s">
        <v>12</v>
      </c>
      <c r="AR375" t="s">
        <v>4592</v>
      </c>
      <c r="AS375" t="s">
        <v>11</v>
      </c>
      <c r="AT375" s="2" t="s">
        <v>5</v>
      </c>
      <c r="AU375" s="1">
        <f t="shared" si="45"/>
        <v>4.0406789093725752</v>
      </c>
      <c r="AV375" s="1">
        <f t="shared" si="46"/>
        <v>2.9242800345250641</v>
      </c>
      <c r="AW375" s="1">
        <f t="shared" si="47"/>
        <v>1.8078811596775528</v>
      </c>
    </row>
    <row r="376" spans="1:49" x14ac:dyDescent="0.2">
      <c r="A376">
        <v>374</v>
      </c>
      <c r="B376" t="s">
        <v>4591</v>
      </c>
      <c r="C376" t="s">
        <v>4590</v>
      </c>
      <c r="D376" t="s">
        <v>4589</v>
      </c>
      <c r="F376" t="s">
        <v>4588</v>
      </c>
      <c r="G376" t="s">
        <v>4</v>
      </c>
      <c r="H376" t="s">
        <v>3</v>
      </c>
      <c r="I376" t="s">
        <v>4587</v>
      </c>
      <c r="J376" t="s">
        <v>4586</v>
      </c>
      <c r="K376" t="s">
        <v>4585</v>
      </c>
      <c r="L376" t="s">
        <v>4584</v>
      </c>
      <c r="M376" t="s">
        <v>89</v>
      </c>
      <c r="N376">
        <v>2</v>
      </c>
      <c r="O376" t="s">
        <v>4583</v>
      </c>
      <c r="P376" t="s">
        <v>4582</v>
      </c>
      <c r="Q376" t="s">
        <v>4581</v>
      </c>
      <c r="R376" s="8">
        <v>35765</v>
      </c>
      <c r="S376" s="9">
        <f t="shared" si="40"/>
        <v>1997</v>
      </c>
      <c r="T376" s="9">
        <v>1997</v>
      </c>
      <c r="U376" s="9">
        <f t="shared" si="41"/>
        <v>25</v>
      </c>
      <c r="V376" s="8">
        <v>1997</v>
      </c>
      <c r="W376" t="s">
        <v>448</v>
      </c>
      <c r="X376" s="2">
        <v>1.3720000000000001</v>
      </c>
      <c r="Y376" s="7">
        <f t="shared" si="42"/>
        <v>3.662475641333654E-2</v>
      </c>
      <c r="AA376">
        <v>189480</v>
      </c>
      <c r="AB376">
        <v>17366</v>
      </c>
      <c r="AD376" t="s">
        <v>1</v>
      </c>
      <c r="AE376">
        <v>45</v>
      </c>
      <c r="AF376">
        <v>3</v>
      </c>
      <c r="AH376" t="s">
        <v>727</v>
      </c>
      <c r="AI376" t="s">
        <v>4580</v>
      </c>
      <c r="AJ376" t="s">
        <v>4579</v>
      </c>
      <c r="AK376" t="s">
        <v>4578</v>
      </c>
      <c r="AL376">
        <v>21</v>
      </c>
      <c r="AM376" s="5">
        <f t="shared" si="43"/>
        <v>0.84</v>
      </c>
      <c r="AN376" s="4">
        <f t="shared" si="44"/>
        <v>1.2722453616054524E-3</v>
      </c>
      <c r="AO376" s="3"/>
      <c r="AP376">
        <v>0</v>
      </c>
      <c r="AR376" t="s">
        <v>0</v>
      </c>
      <c r="AT376" s="2" t="s">
        <v>5</v>
      </c>
      <c r="AU376" s="1">
        <f t="shared" si="45"/>
        <v>2.6019003097817213</v>
      </c>
      <c r="AV376" s="1">
        <f t="shared" si="46"/>
        <v>1.8948500887470996</v>
      </c>
      <c r="AW376" s="1">
        <f t="shared" si="47"/>
        <v>1.1877998677124779</v>
      </c>
    </row>
    <row r="377" spans="1:49" x14ac:dyDescent="0.2">
      <c r="A377">
        <v>375</v>
      </c>
      <c r="B377" t="s">
        <v>4577</v>
      </c>
      <c r="C377" t="s">
        <v>4576</v>
      </c>
      <c r="D377" t="s">
        <v>4575</v>
      </c>
      <c r="F377" t="s">
        <v>4574</v>
      </c>
      <c r="G377" t="s">
        <v>4</v>
      </c>
      <c r="H377" t="s">
        <v>3</v>
      </c>
      <c r="I377" t="s">
        <v>4573</v>
      </c>
      <c r="J377">
        <v>60002959</v>
      </c>
      <c r="K377" t="s">
        <v>430</v>
      </c>
      <c r="L377" t="s">
        <v>429</v>
      </c>
      <c r="M377" t="s">
        <v>2</v>
      </c>
      <c r="N377">
        <v>2</v>
      </c>
      <c r="O377" t="s">
        <v>4572</v>
      </c>
      <c r="P377" t="s">
        <v>4571</v>
      </c>
      <c r="Q377" t="s">
        <v>428</v>
      </c>
      <c r="R377" s="8">
        <v>35765</v>
      </c>
      <c r="S377" s="9">
        <f t="shared" si="40"/>
        <v>1997</v>
      </c>
      <c r="T377" s="9">
        <v>1997</v>
      </c>
      <c r="U377" s="9">
        <f t="shared" si="41"/>
        <v>25</v>
      </c>
      <c r="V377" s="8">
        <v>1997</v>
      </c>
      <c r="W377" t="s">
        <v>392</v>
      </c>
      <c r="X377" s="2">
        <v>1.6519999999999999</v>
      </c>
      <c r="Y377" s="7">
        <f t="shared" si="42"/>
        <v>4.409919649769093E-2</v>
      </c>
      <c r="AA377" t="s">
        <v>391</v>
      </c>
      <c r="AB377">
        <v>17337</v>
      </c>
      <c r="AD377" t="s">
        <v>1</v>
      </c>
      <c r="AE377">
        <v>45</v>
      </c>
      <c r="AF377">
        <v>3</v>
      </c>
      <c r="AH377" t="s">
        <v>4570</v>
      </c>
      <c r="AI377" t="s">
        <v>4569</v>
      </c>
      <c r="AJ377" t="s">
        <v>4568</v>
      </c>
      <c r="AK377" t="s">
        <v>4567</v>
      </c>
      <c r="AL377">
        <v>128</v>
      </c>
      <c r="AM377" s="5">
        <f t="shared" si="43"/>
        <v>5.12</v>
      </c>
      <c r="AN377" s="4">
        <f t="shared" si="44"/>
        <v>7.75463839454752E-3</v>
      </c>
      <c r="AO377" s="3"/>
      <c r="AP377">
        <v>0</v>
      </c>
      <c r="AR377" t="s">
        <v>0</v>
      </c>
      <c r="AT377" s="2" t="s">
        <v>5</v>
      </c>
      <c r="AU377" s="1">
        <f t="shared" si="45"/>
        <v>3.3195829066747908</v>
      </c>
      <c r="AV377" s="1">
        <f t="shared" si="46"/>
        <v>2.5926917446119226</v>
      </c>
      <c r="AW377" s="1">
        <f t="shared" si="47"/>
        <v>1.8658005825490542</v>
      </c>
    </row>
    <row r="378" spans="1:49" x14ac:dyDescent="0.2">
      <c r="A378">
        <v>376</v>
      </c>
      <c r="B378" t="s">
        <v>4566</v>
      </c>
      <c r="C378" t="s">
        <v>4565</v>
      </c>
      <c r="D378" t="s">
        <v>4564</v>
      </c>
      <c r="F378" t="s">
        <v>4563</v>
      </c>
      <c r="G378" t="s">
        <v>4</v>
      </c>
      <c r="H378" t="s">
        <v>3</v>
      </c>
      <c r="I378" t="s">
        <v>4562</v>
      </c>
      <c r="J378" t="s">
        <v>4561</v>
      </c>
      <c r="K378" t="s">
        <v>4560</v>
      </c>
      <c r="L378" t="s">
        <v>4559</v>
      </c>
      <c r="M378" t="s">
        <v>4558</v>
      </c>
      <c r="N378">
        <v>6</v>
      </c>
      <c r="O378" t="s">
        <v>4557</v>
      </c>
      <c r="P378" t="s">
        <v>4556</v>
      </c>
      <c r="Q378" t="s">
        <v>4555</v>
      </c>
      <c r="R378" s="8">
        <v>35765</v>
      </c>
      <c r="S378" s="9">
        <f t="shared" si="40"/>
        <v>1997</v>
      </c>
      <c r="T378" s="9">
        <v>1997</v>
      </c>
      <c r="U378" s="9">
        <f t="shared" si="41"/>
        <v>25</v>
      </c>
      <c r="V378" s="8">
        <v>1997</v>
      </c>
      <c r="W378" t="s">
        <v>305</v>
      </c>
      <c r="X378" s="2">
        <v>0.46700000000000003</v>
      </c>
      <c r="Y378" s="7">
        <f t="shared" si="42"/>
        <v>1.2466298283548225E-2</v>
      </c>
      <c r="AA378">
        <v>10518223</v>
      </c>
      <c r="AB378">
        <v>26026</v>
      </c>
      <c r="AD378" t="s">
        <v>1</v>
      </c>
      <c r="AE378">
        <v>7</v>
      </c>
      <c r="AF378">
        <v>1</v>
      </c>
      <c r="AH378" t="s">
        <v>363</v>
      </c>
      <c r="AI378" t="s">
        <v>4554</v>
      </c>
      <c r="AJ378" t="s">
        <v>4553</v>
      </c>
      <c r="AK378" t="s">
        <v>4552</v>
      </c>
      <c r="AL378">
        <v>4</v>
      </c>
      <c r="AM378" s="5">
        <f t="shared" si="43"/>
        <v>0.16</v>
      </c>
      <c r="AN378" s="4">
        <f t="shared" si="44"/>
        <v>2.4233244982961E-4</v>
      </c>
      <c r="AO378" s="3"/>
      <c r="AP378">
        <v>0</v>
      </c>
      <c r="AR378" t="s">
        <v>0</v>
      </c>
      <c r="AT378" s="2" t="s">
        <v>5</v>
      </c>
      <c r="AU378" s="1">
        <f t="shared" si="45"/>
        <v>0.87991085334326413</v>
      </c>
      <c r="AV378" s="1">
        <f t="shared" si="46"/>
        <v>0.63543153666889185</v>
      </c>
      <c r="AW378" s="1">
        <f t="shared" si="47"/>
        <v>0.39095221999451946</v>
      </c>
    </row>
    <row r="379" spans="1:49" x14ac:dyDescent="0.2">
      <c r="A379">
        <v>377</v>
      </c>
      <c r="B379" t="s">
        <v>4551</v>
      </c>
      <c r="C379" t="s">
        <v>4550</v>
      </c>
      <c r="D379" t="s">
        <v>4549</v>
      </c>
      <c r="F379" t="s">
        <v>4548</v>
      </c>
      <c r="G379" t="s">
        <v>4</v>
      </c>
      <c r="H379" t="s">
        <v>3</v>
      </c>
      <c r="I379" t="s">
        <v>4547</v>
      </c>
      <c r="J379" t="s">
        <v>4546</v>
      </c>
      <c r="K379" t="s">
        <v>4545</v>
      </c>
      <c r="L379" t="s">
        <v>4544</v>
      </c>
      <c r="M379" t="s">
        <v>85</v>
      </c>
      <c r="N379">
        <v>7</v>
      </c>
      <c r="O379" t="s">
        <v>4543</v>
      </c>
      <c r="P379" t="s">
        <v>4542</v>
      </c>
      <c r="Q379" t="s">
        <v>4541</v>
      </c>
      <c r="R379" s="8">
        <v>35765</v>
      </c>
      <c r="S379" s="9">
        <f t="shared" si="40"/>
        <v>1997</v>
      </c>
      <c r="T379" s="9">
        <v>1997</v>
      </c>
      <c r="U379" s="9">
        <f t="shared" si="41"/>
        <v>25</v>
      </c>
      <c r="V379" s="8">
        <v>1997</v>
      </c>
      <c r="W379" t="s">
        <v>1791</v>
      </c>
      <c r="X379" s="2">
        <v>2.141</v>
      </c>
      <c r="Y379" s="7">
        <f t="shared" si="42"/>
        <v>5.7152772216438434E-2</v>
      </c>
      <c r="AA379">
        <v>1962892</v>
      </c>
      <c r="AB379">
        <v>17360</v>
      </c>
      <c r="AD379" t="s">
        <v>1</v>
      </c>
      <c r="AE379">
        <v>35</v>
      </c>
      <c r="AF379">
        <v>2</v>
      </c>
      <c r="AH379" t="s">
        <v>4540</v>
      </c>
      <c r="AI379" t="s">
        <v>4539</v>
      </c>
      <c r="AK379" t="s">
        <v>4538</v>
      </c>
      <c r="AL379">
        <v>9</v>
      </c>
      <c r="AM379" s="5">
        <f t="shared" si="43"/>
        <v>0.36</v>
      </c>
      <c r="AN379" s="4">
        <f t="shared" si="44"/>
        <v>5.4524801211662251E-4</v>
      </c>
      <c r="AO379" s="3"/>
      <c r="AP379">
        <v>0</v>
      </c>
      <c r="AR379" t="s">
        <v>0</v>
      </c>
      <c r="AT379" s="2" t="s">
        <v>5</v>
      </c>
      <c r="AU379" s="1">
        <f t="shared" si="45"/>
        <v>4.0170514955141883</v>
      </c>
      <c r="AV379" s="1">
        <f t="shared" si="46"/>
        <v>2.8849010114277531</v>
      </c>
      <c r="AW379" s="1">
        <f t="shared" si="47"/>
        <v>1.7527505273413166</v>
      </c>
    </row>
    <row r="380" spans="1:49" x14ac:dyDescent="0.2">
      <c r="A380">
        <v>378</v>
      </c>
      <c r="B380" t="s">
        <v>4537</v>
      </c>
      <c r="C380" t="s">
        <v>4536</v>
      </c>
      <c r="F380" t="s">
        <v>4535</v>
      </c>
      <c r="G380" t="s">
        <v>4</v>
      </c>
      <c r="H380" t="s">
        <v>3</v>
      </c>
      <c r="I380" t="s">
        <v>4534</v>
      </c>
      <c r="J380" t="s">
        <v>4533</v>
      </c>
      <c r="K380" t="s">
        <v>4532</v>
      </c>
      <c r="L380" t="s">
        <v>4531</v>
      </c>
      <c r="M380" t="s">
        <v>4530</v>
      </c>
      <c r="N380">
        <v>3</v>
      </c>
      <c r="O380" t="s">
        <v>4529</v>
      </c>
      <c r="P380" t="s">
        <v>4528</v>
      </c>
      <c r="Q380" t="s">
        <v>4527</v>
      </c>
      <c r="R380" s="8">
        <v>35765</v>
      </c>
      <c r="S380" s="9">
        <f t="shared" si="40"/>
        <v>1997</v>
      </c>
      <c r="T380" s="9">
        <v>1997</v>
      </c>
      <c r="U380" s="9">
        <f t="shared" si="41"/>
        <v>25</v>
      </c>
      <c r="V380" s="8">
        <v>1997</v>
      </c>
      <c r="W380" t="s">
        <v>3874</v>
      </c>
      <c r="X380" s="2">
        <v>0.92900000000000005</v>
      </c>
      <c r="Y380" s="7">
        <f t="shared" si="42"/>
        <v>2.4799124422732979E-2</v>
      </c>
      <c r="AA380">
        <v>10897798</v>
      </c>
      <c r="AB380">
        <v>18896</v>
      </c>
      <c r="AD380" t="s">
        <v>1</v>
      </c>
      <c r="AE380">
        <v>1</v>
      </c>
      <c r="AF380">
        <v>2</v>
      </c>
      <c r="AH380" t="s">
        <v>4526</v>
      </c>
      <c r="AI380" t="s">
        <v>4525</v>
      </c>
      <c r="AK380" t="s">
        <v>4524</v>
      </c>
      <c r="AL380">
        <v>26</v>
      </c>
      <c r="AM380" s="5">
        <f t="shared" si="43"/>
        <v>1.04</v>
      </c>
      <c r="AN380" s="4">
        <f t="shared" si="44"/>
        <v>1.5751609238924651E-3</v>
      </c>
      <c r="AO380" s="3"/>
      <c r="AP380">
        <v>0</v>
      </c>
      <c r="AQ380" t="s">
        <v>598</v>
      </c>
      <c r="AR380" t="s">
        <v>4523</v>
      </c>
      <c r="AS380" t="s">
        <v>597</v>
      </c>
      <c r="AT380" s="2">
        <v>3.4359999999999999</v>
      </c>
      <c r="AU380" s="1">
        <f t="shared" si="45"/>
        <v>1.7831935373080823</v>
      </c>
      <c r="AV380" s="1">
        <f t="shared" si="46"/>
        <v>1.3187142673312722</v>
      </c>
      <c r="AW380" s="1">
        <f t="shared" si="47"/>
        <v>0.85423499735446196</v>
      </c>
    </row>
    <row r="381" spans="1:49" x14ac:dyDescent="0.2">
      <c r="A381">
        <v>379</v>
      </c>
      <c r="B381" t="s">
        <v>4522</v>
      </c>
      <c r="C381" t="s">
        <v>4521</v>
      </c>
      <c r="D381" t="s">
        <v>4520</v>
      </c>
      <c r="F381" t="s">
        <v>4519</v>
      </c>
      <c r="G381" t="s">
        <v>4</v>
      </c>
      <c r="H381" t="s">
        <v>3</v>
      </c>
      <c r="I381" t="s">
        <v>4518</v>
      </c>
      <c r="J381">
        <v>60006051</v>
      </c>
      <c r="K381" t="s">
        <v>4517</v>
      </c>
      <c r="L381" t="s">
        <v>455</v>
      </c>
      <c r="M381" t="s">
        <v>2</v>
      </c>
      <c r="N381">
        <v>3</v>
      </c>
      <c r="O381" t="s">
        <v>4516</v>
      </c>
      <c r="P381" t="s">
        <v>4515</v>
      </c>
      <c r="Q381" t="s">
        <v>4514</v>
      </c>
      <c r="R381" s="8">
        <v>35765</v>
      </c>
      <c r="S381" s="9">
        <f t="shared" si="40"/>
        <v>1997</v>
      </c>
      <c r="T381" s="9">
        <v>1997</v>
      </c>
      <c r="U381" s="9">
        <f t="shared" si="41"/>
        <v>25</v>
      </c>
      <c r="V381" s="8">
        <v>1997</v>
      </c>
      <c r="W381" t="s">
        <v>1791</v>
      </c>
      <c r="X381" s="2">
        <v>2.141</v>
      </c>
      <c r="Y381" s="7">
        <f t="shared" si="42"/>
        <v>5.7152772216438434E-2</v>
      </c>
      <c r="AA381">
        <v>1962892</v>
      </c>
      <c r="AB381">
        <v>17360</v>
      </c>
      <c r="AD381" t="s">
        <v>1</v>
      </c>
      <c r="AE381">
        <v>35</v>
      </c>
      <c r="AF381">
        <v>2</v>
      </c>
      <c r="AH381" t="s">
        <v>4513</v>
      </c>
      <c r="AI381" t="s">
        <v>4512</v>
      </c>
      <c r="AK381" t="s">
        <v>4511</v>
      </c>
      <c r="AL381">
        <v>11</v>
      </c>
      <c r="AM381" s="5">
        <f t="shared" si="43"/>
        <v>0.44</v>
      </c>
      <c r="AN381" s="4">
        <f t="shared" si="44"/>
        <v>6.6641423703142752E-4</v>
      </c>
      <c r="AO381" s="3"/>
      <c r="AP381">
        <v>0</v>
      </c>
      <c r="AR381" t="s">
        <v>4510</v>
      </c>
      <c r="AT381" s="2" t="s">
        <v>5</v>
      </c>
      <c r="AU381" s="1">
        <f t="shared" si="45"/>
        <v>4.0206864822616328</v>
      </c>
      <c r="AV381" s="1">
        <f t="shared" si="46"/>
        <v>2.8909593226734929</v>
      </c>
      <c r="AW381" s="1">
        <f t="shared" si="47"/>
        <v>1.7612321630853529</v>
      </c>
    </row>
    <row r="382" spans="1:49" x14ac:dyDescent="0.2">
      <c r="A382">
        <v>380</v>
      </c>
      <c r="B382" t="s">
        <v>4509</v>
      </c>
      <c r="C382" t="s">
        <v>4508</v>
      </c>
      <c r="D382" t="s">
        <v>4507</v>
      </c>
      <c r="F382" t="s">
        <v>4506</v>
      </c>
      <c r="G382" t="s">
        <v>4</v>
      </c>
      <c r="H382" t="s">
        <v>3</v>
      </c>
      <c r="I382" t="s">
        <v>4505</v>
      </c>
      <c r="J382" t="s">
        <v>1782</v>
      </c>
      <c r="K382" t="s">
        <v>1781</v>
      </c>
      <c r="L382" t="s">
        <v>1780</v>
      </c>
      <c r="M382" t="s">
        <v>18</v>
      </c>
      <c r="N382">
        <v>2</v>
      </c>
      <c r="O382" t="s">
        <v>4504</v>
      </c>
      <c r="P382" t="s">
        <v>4503</v>
      </c>
      <c r="Q382" t="s">
        <v>4502</v>
      </c>
      <c r="R382" s="8">
        <v>35765</v>
      </c>
      <c r="S382" s="9">
        <f t="shared" si="40"/>
        <v>1997</v>
      </c>
      <c r="T382" s="9">
        <v>1997</v>
      </c>
      <c r="U382" s="9">
        <f t="shared" si="41"/>
        <v>25</v>
      </c>
      <c r="V382" s="8">
        <v>1997</v>
      </c>
      <c r="W382" t="s">
        <v>1803</v>
      </c>
      <c r="X382" s="2">
        <v>1.6379999999999999</v>
      </c>
      <c r="Y382" s="7">
        <f t="shared" si="42"/>
        <v>4.3725474493473214E-2</v>
      </c>
      <c r="AA382" t="s">
        <v>1802</v>
      </c>
      <c r="AB382">
        <v>17391</v>
      </c>
      <c r="AD382" t="s">
        <v>1</v>
      </c>
      <c r="AE382">
        <v>45</v>
      </c>
      <c r="AF382">
        <v>3</v>
      </c>
      <c r="AH382" t="s">
        <v>4501</v>
      </c>
      <c r="AI382" t="s">
        <v>4500</v>
      </c>
      <c r="AK382" t="s">
        <v>4499</v>
      </c>
      <c r="AL382">
        <v>36</v>
      </c>
      <c r="AM382" s="5">
        <f t="shared" si="43"/>
        <v>1.44</v>
      </c>
      <c r="AN382" s="4">
        <f t="shared" si="44"/>
        <v>2.18099204846649E-3</v>
      </c>
      <c r="AO382" s="3"/>
      <c r="AP382">
        <v>0</v>
      </c>
      <c r="AQ382" t="s">
        <v>598</v>
      </c>
      <c r="AR382" t="s">
        <v>4498</v>
      </c>
      <c r="AS382" t="s">
        <v>597</v>
      </c>
      <c r="AT382" s="2">
        <v>4.931</v>
      </c>
      <c r="AU382" s="1">
        <f t="shared" si="45"/>
        <v>3.1262129759971198</v>
      </c>
      <c r="AV382" s="1">
        <f t="shared" si="46"/>
        <v>2.2953233270969853</v>
      </c>
      <c r="AW382" s="1">
        <f t="shared" si="47"/>
        <v>1.4644336781968506</v>
      </c>
    </row>
    <row r="383" spans="1:49" x14ac:dyDescent="0.2">
      <c r="A383">
        <v>381</v>
      </c>
      <c r="B383" t="s">
        <v>4497</v>
      </c>
      <c r="C383" t="s">
        <v>4496</v>
      </c>
      <c r="F383" t="s">
        <v>4495</v>
      </c>
      <c r="G383" t="s">
        <v>4</v>
      </c>
      <c r="H383" t="s">
        <v>3</v>
      </c>
      <c r="I383" t="s">
        <v>4494</v>
      </c>
      <c r="J383">
        <v>100338347</v>
      </c>
      <c r="K383" t="s">
        <v>4493</v>
      </c>
      <c r="L383" t="s">
        <v>4492</v>
      </c>
      <c r="M383" t="s">
        <v>179</v>
      </c>
      <c r="N383">
        <v>2</v>
      </c>
      <c r="O383" t="s">
        <v>4491</v>
      </c>
      <c r="P383" t="s">
        <v>4490</v>
      </c>
      <c r="Q383" t="s">
        <v>4489</v>
      </c>
      <c r="R383" s="8">
        <v>35765</v>
      </c>
      <c r="S383" s="9">
        <f t="shared" si="40"/>
        <v>1997</v>
      </c>
      <c r="T383" s="9">
        <v>1997</v>
      </c>
      <c r="U383" s="9">
        <f t="shared" si="41"/>
        <v>25</v>
      </c>
      <c r="V383" s="8">
        <v>1997</v>
      </c>
      <c r="W383" t="s">
        <v>637</v>
      </c>
      <c r="X383" s="2">
        <v>0.39600000000000002</v>
      </c>
      <c r="Y383" s="7">
        <f t="shared" si="42"/>
        <v>1.0570993833586931E-2</v>
      </c>
      <c r="AA383">
        <v>8858985</v>
      </c>
      <c r="AB383">
        <v>25993</v>
      </c>
      <c r="AD383" t="s">
        <v>1</v>
      </c>
      <c r="AE383">
        <v>12</v>
      </c>
      <c r="AF383">
        <v>3</v>
      </c>
      <c r="AH383" s="6">
        <v>44509</v>
      </c>
      <c r="AI383" t="s">
        <v>4488</v>
      </c>
      <c r="AK383" t="s">
        <v>4487</v>
      </c>
      <c r="AL383">
        <v>3</v>
      </c>
      <c r="AM383" s="5">
        <f t="shared" si="43"/>
        <v>0.12</v>
      </c>
      <c r="AN383" s="4">
        <f t="shared" si="44"/>
        <v>1.8174933737220749E-4</v>
      </c>
      <c r="AO383" s="3"/>
      <c r="AP383">
        <v>0</v>
      </c>
      <c r="AR383" t="s">
        <v>0</v>
      </c>
      <c r="AT383" s="2" t="s">
        <v>5</v>
      </c>
      <c r="AU383" s="1">
        <f t="shared" si="45"/>
        <v>0.74542204847225135</v>
      </c>
      <c r="AV383" s="1">
        <f t="shared" si="46"/>
        <v>0.53763715854795691</v>
      </c>
      <c r="AW383" s="1">
        <f t="shared" si="47"/>
        <v>0.3298522686236624</v>
      </c>
    </row>
    <row r="384" spans="1:49" x14ac:dyDescent="0.2">
      <c r="A384">
        <v>382</v>
      </c>
      <c r="B384" t="s">
        <v>4486</v>
      </c>
      <c r="C384" t="s">
        <v>4485</v>
      </c>
      <c r="D384" t="s">
        <v>4484</v>
      </c>
      <c r="F384" t="s">
        <v>4483</v>
      </c>
      <c r="G384" t="s">
        <v>4</v>
      </c>
      <c r="H384" t="s">
        <v>3</v>
      </c>
      <c r="I384" t="s">
        <v>4482</v>
      </c>
      <c r="J384">
        <v>60007740</v>
      </c>
      <c r="K384" t="s">
        <v>4481</v>
      </c>
      <c r="L384" t="s">
        <v>4480</v>
      </c>
      <c r="M384" t="s">
        <v>2</v>
      </c>
      <c r="N384">
        <v>2</v>
      </c>
      <c r="O384" t="s">
        <v>4479</v>
      </c>
      <c r="P384" t="s">
        <v>4478</v>
      </c>
      <c r="Q384" t="s">
        <v>4477</v>
      </c>
      <c r="R384" s="8">
        <v>35765</v>
      </c>
      <c r="S384" s="9">
        <f t="shared" si="40"/>
        <v>1997</v>
      </c>
      <c r="T384" s="9">
        <v>1997</v>
      </c>
      <c r="U384" s="9">
        <f t="shared" si="41"/>
        <v>25</v>
      </c>
      <c r="V384" s="8">
        <v>1997</v>
      </c>
      <c r="W384" t="s">
        <v>4476</v>
      </c>
      <c r="X384" s="2">
        <v>0.50600000000000001</v>
      </c>
      <c r="Y384" s="7">
        <f t="shared" si="42"/>
        <v>1.35073810095833E-2</v>
      </c>
      <c r="AA384">
        <v>10638210</v>
      </c>
      <c r="AB384">
        <v>12300</v>
      </c>
      <c r="AD384" t="s">
        <v>1</v>
      </c>
      <c r="AE384">
        <v>5</v>
      </c>
      <c r="AF384">
        <v>1</v>
      </c>
      <c r="AH384" t="s">
        <v>4475</v>
      </c>
      <c r="AI384" t="s">
        <v>4474</v>
      </c>
      <c r="AK384" t="s">
        <v>4473</v>
      </c>
      <c r="AL384">
        <v>2</v>
      </c>
      <c r="AM384" s="5">
        <f t="shared" si="43"/>
        <v>0.08</v>
      </c>
      <c r="AN384" s="4">
        <f t="shared" si="44"/>
        <v>1.21166224914805E-4</v>
      </c>
      <c r="AO384" s="3"/>
      <c r="AP384">
        <v>0</v>
      </c>
      <c r="AQ384" t="s">
        <v>53</v>
      </c>
      <c r="AR384" t="s">
        <v>4472</v>
      </c>
      <c r="AS384" t="s">
        <v>52</v>
      </c>
      <c r="AT384" s="2" t="s">
        <v>5</v>
      </c>
      <c r="AU384" s="1">
        <f t="shared" si="45"/>
        <v>0.94915165741827501</v>
      </c>
      <c r="AV384" s="1">
        <f t="shared" si="46"/>
        <v>0.68142736172490526</v>
      </c>
      <c r="AW384" s="1">
        <f t="shared" si="47"/>
        <v>0.41370306603153534</v>
      </c>
    </row>
    <row r="385" spans="1:49" x14ac:dyDescent="0.2">
      <c r="A385">
        <v>383</v>
      </c>
      <c r="B385" t="s">
        <v>4471</v>
      </c>
      <c r="C385" t="s">
        <v>4470</v>
      </c>
      <c r="F385" t="s">
        <v>4469</v>
      </c>
      <c r="G385" t="s">
        <v>4</v>
      </c>
      <c r="H385" t="s">
        <v>3</v>
      </c>
      <c r="I385" t="s">
        <v>4468</v>
      </c>
      <c r="N385">
        <v>1</v>
      </c>
      <c r="O385" t="s">
        <v>4467</v>
      </c>
      <c r="P385">
        <v>6603326421</v>
      </c>
      <c r="R385" s="8">
        <v>35765</v>
      </c>
      <c r="S385" s="9">
        <f t="shared" si="40"/>
        <v>1997</v>
      </c>
      <c r="T385" s="9">
        <v>1997</v>
      </c>
      <c r="U385" s="9">
        <f t="shared" si="41"/>
        <v>25</v>
      </c>
      <c r="V385" s="8">
        <v>1997</v>
      </c>
      <c r="W385" t="s">
        <v>3874</v>
      </c>
      <c r="X385" s="2">
        <v>0.92900000000000005</v>
      </c>
      <c r="Y385" s="7">
        <f t="shared" si="42"/>
        <v>2.4799124422732979E-2</v>
      </c>
      <c r="AA385">
        <v>10897798</v>
      </c>
      <c r="AB385">
        <v>18896</v>
      </c>
      <c r="AD385" t="s">
        <v>1</v>
      </c>
      <c r="AE385">
        <v>1</v>
      </c>
      <c r="AF385">
        <v>2</v>
      </c>
      <c r="AH385" t="s">
        <v>4466</v>
      </c>
      <c r="AI385" t="s">
        <v>4465</v>
      </c>
      <c r="AK385" t="s">
        <v>4464</v>
      </c>
      <c r="AL385">
        <v>2</v>
      </c>
      <c r="AM385" s="5">
        <f t="shared" si="43"/>
        <v>0.08</v>
      </c>
      <c r="AN385" s="4">
        <f t="shared" si="44"/>
        <v>1.21166224914805E-4</v>
      </c>
      <c r="AO385" s="3"/>
      <c r="AP385">
        <v>0</v>
      </c>
      <c r="AR385" t="s">
        <v>0</v>
      </c>
      <c r="AT385" s="2">
        <v>3.4359999999999999</v>
      </c>
      <c r="AU385" s="1">
        <f t="shared" si="45"/>
        <v>1.7395736963387525</v>
      </c>
      <c r="AV385" s="1">
        <f t="shared" si="46"/>
        <v>1.2460145323823892</v>
      </c>
      <c r="AW385" s="1">
        <f t="shared" si="47"/>
        <v>0.75245536842602567</v>
      </c>
    </row>
    <row r="386" spans="1:49" x14ac:dyDescent="0.2">
      <c r="A386">
        <v>384</v>
      </c>
      <c r="B386" t="s">
        <v>4463</v>
      </c>
      <c r="C386" t="s">
        <v>4462</v>
      </c>
      <c r="F386" t="s">
        <v>4461</v>
      </c>
      <c r="G386" t="s">
        <v>4</v>
      </c>
      <c r="H386" t="s">
        <v>3</v>
      </c>
      <c r="I386" t="s">
        <v>4460</v>
      </c>
      <c r="J386">
        <v>60027090</v>
      </c>
      <c r="K386" t="s">
        <v>261</v>
      </c>
      <c r="L386" t="s">
        <v>260</v>
      </c>
      <c r="M386" t="s">
        <v>2</v>
      </c>
      <c r="N386">
        <v>3</v>
      </c>
      <c r="O386" t="s">
        <v>4459</v>
      </c>
      <c r="P386" t="s">
        <v>4458</v>
      </c>
      <c r="Q386" t="s">
        <v>4457</v>
      </c>
      <c r="R386" s="8">
        <v>35765</v>
      </c>
      <c r="S386" s="9">
        <f t="shared" ref="S386:S449" si="48">YEAR(R386)</f>
        <v>1997</v>
      </c>
      <c r="T386" s="9">
        <v>1997</v>
      </c>
      <c r="U386" s="9">
        <f t="shared" ref="U386:U449" si="49">2022-T386</f>
        <v>25</v>
      </c>
      <c r="V386" s="8">
        <v>1997</v>
      </c>
      <c r="W386" t="s">
        <v>3874</v>
      </c>
      <c r="X386" s="2">
        <v>0.92900000000000005</v>
      </c>
      <c r="Y386" s="7">
        <f t="shared" ref="Y386:Y449" si="50">(X386-$Z$3)/($Z$2-$Z$3)</f>
        <v>2.4799124422732979E-2</v>
      </c>
      <c r="AA386">
        <v>10897798</v>
      </c>
      <c r="AB386">
        <v>18896</v>
      </c>
      <c r="AD386" t="s">
        <v>1</v>
      </c>
      <c r="AE386">
        <v>1</v>
      </c>
      <c r="AF386">
        <v>2</v>
      </c>
      <c r="AH386" t="s">
        <v>4456</v>
      </c>
      <c r="AI386" t="s">
        <v>4455</v>
      </c>
      <c r="AK386" t="s">
        <v>4454</v>
      </c>
      <c r="AL386">
        <v>49</v>
      </c>
      <c r="AM386" s="5">
        <f t="shared" ref="AM386:AM449" si="51">AL386/U386</f>
        <v>1.96</v>
      </c>
      <c r="AN386" s="4">
        <f t="shared" ref="AN386:AN449" si="52">(AM386-$AO$3)/($AO$2-$AO$3)</f>
        <v>2.9685725104127226E-3</v>
      </c>
      <c r="AO386" s="3"/>
      <c r="AP386">
        <v>0</v>
      </c>
      <c r="AR386" t="s">
        <v>0</v>
      </c>
      <c r="AT386" s="2">
        <v>3.4359999999999999</v>
      </c>
      <c r="AU386" s="1">
        <f t="shared" ref="AU386:AU449" si="53">(Y386*0.7+AN386*0.3)*100</f>
        <v>1.82499588490369</v>
      </c>
      <c r="AV386" s="1">
        <f t="shared" ref="AV386:AV449" si="54">(Y386*0.5+AN386*0.5)*100</f>
        <v>1.388384846657285</v>
      </c>
      <c r="AW386" s="1">
        <f t="shared" ref="AW386:AW449" si="55">(Y386*0.3+AN386*0.7)*100</f>
        <v>0.95177380841087988</v>
      </c>
    </row>
    <row r="387" spans="1:49" x14ac:dyDescent="0.2">
      <c r="A387">
        <v>385</v>
      </c>
      <c r="B387" t="s">
        <v>4453</v>
      </c>
      <c r="C387" t="s">
        <v>4452</v>
      </c>
      <c r="D387" t="s">
        <v>4451</v>
      </c>
      <c r="F387" t="s">
        <v>4450</v>
      </c>
      <c r="G387" t="s">
        <v>4</v>
      </c>
      <c r="H387" t="s">
        <v>3</v>
      </c>
      <c r="I387" t="s">
        <v>4449</v>
      </c>
      <c r="J387">
        <v>60012370</v>
      </c>
      <c r="K387" t="s">
        <v>374</v>
      </c>
      <c r="L387" t="s">
        <v>373</v>
      </c>
      <c r="M387" t="s">
        <v>250</v>
      </c>
      <c r="N387">
        <v>2</v>
      </c>
      <c r="O387" t="s">
        <v>4448</v>
      </c>
      <c r="P387" t="s">
        <v>4447</v>
      </c>
      <c r="Q387" t="s">
        <v>4446</v>
      </c>
      <c r="R387" s="8">
        <v>35765</v>
      </c>
      <c r="S387" s="9">
        <f t="shared" si="48"/>
        <v>1997</v>
      </c>
      <c r="T387" s="9">
        <v>1997</v>
      </c>
      <c r="U387" s="9">
        <f t="shared" si="49"/>
        <v>25</v>
      </c>
      <c r="V387" s="8">
        <v>1997</v>
      </c>
      <c r="W387" t="s">
        <v>392</v>
      </c>
      <c r="X387" s="2">
        <v>1.6519999999999999</v>
      </c>
      <c r="Y387" s="7">
        <f t="shared" si="50"/>
        <v>4.409919649769093E-2</v>
      </c>
      <c r="AA387" t="s">
        <v>391</v>
      </c>
      <c r="AB387">
        <v>17337</v>
      </c>
      <c r="AD387" t="s">
        <v>1</v>
      </c>
      <c r="AE387">
        <v>45</v>
      </c>
      <c r="AF387">
        <v>2</v>
      </c>
      <c r="AH387" t="s">
        <v>4445</v>
      </c>
      <c r="AI387" t="s">
        <v>4444</v>
      </c>
      <c r="AJ387" t="s">
        <v>4443</v>
      </c>
      <c r="AK387" t="s">
        <v>4442</v>
      </c>
      <c r="AL387">
        <v>97</v>
      </c>
      <c r="AM387" s="5">
        <f t="shared" si="51"/>
        <v>3.88</v>
      </c>
      <c r="AN387" s="4">
        <f t="shared" si="52"/>
        <v>5.876561908368042E-3</v>
      </c>
      <c r="AO387" s="3"/>
      <c r="AP387">
        <v>0</v>
      </c>
      <c r="AQ387" t="s">
        <v>362</v>
      </c>
      <c r="AR387" t="s">
        <v>4441</v>
      </c>
      <c r="AS387" t="s">
        <v>361</v>
      </c>
      <c r="AT387" s="2" t="s">
        <v>5</v>
      </c>
      <c r="AU387" s="1">
        <f t="shared" si="53"/>
        <v>3.263240612089406</v>
      </c>
      <c r="AV387" s="1">
        <f t="shared" si="54"/>
        <v>2.4987879203029486</v>
      </c>
      <c r="AW387" s="1">
        <f t="shared" si="55"/>
        <v>1.7343352285164908</v>
      </c>
    </row>
    <row r="388" spans="1:49" x14ac:dyDescent="0.2">
      <c r="A388">
        <v>386</v>
      </c>
      <c r="B388" t="s">
        <v>4440</v>
      </c>
      <c r="C388" t="s">
        <v>4439</v>
      </c>
      <c r="D388" t="s">
        <v>4438</v>
      </c>
      <c r="F388" t="s">
        <v>4437</v>
      </c>
      <c r="G388" t="s">
        <v>4</v>
      </c>
      <c r="H388" t="s">
        <v>3</v>
      </c>
      <c r="I388" t="s">
        <v>4386</v>
      </c>
      <c r="J388">
        <v>60006299</v>
      </c>
      <c r="K388" t="s">
        <v>4385</v>
      </c>
      <c r="M388" t="s">
        <v>111</v>
      </c>
      <c r="N388">
        <v>1</v>
      </c>
      <c r="O388" t="s">
        <v>4384</v>
      </c>
      <c r="P388">
        <v>7005601548</v>
      </c>
      <c r="Q388">
        <v>60006299</v>
      </c>
      <c r="R388" s="8">
        <v>35765</v>
      </c>
      <c r="S388" s="9">
        <f t="shared" si="48"/>
        <v>1997</v>
      </c>
      <c r="T388" s="9">
        <v>1997</v>
      </c>
      <c r="U388" s="9">
        <f t="shared" si="49"/>
        <v>25</v>
      </c>
      <c r="V388" s="8">
        <v>1997</v>
      </c>
      <c r="W388" t="s">
        <v>4163</v>
      </c>
      <c r="X388" s="2">
        <v>1.365</v>
      </c>
      <c r="Y388" s="7">
        <f t="shared" si="50"/>
        <v>3.6437895411227675E-2</v>
      </c>
      <c r="AA388">
        <v>189545</v>
      </c>
      <c r="AB388">
        <v>17393</v>
      </c>
      <c r="AD388" t="s">
        <v>1</v>
      </c>
      <c r="AE388">
        <v>46</v>
      </c>
      <c r="AF388">
        <v>1</v>
      </c>
      <c r="AH388" t="s">
        <v>4436</v>
      </c>
      <c r="AI388" t="s">
        <v>4435</v>
      </c>
      <c r="AJ388" t="s">
        <v>4434</v>
      </c>
      <c r="AK388" t="s">
        <v>4433</v>
      </c>
      <c r="AL388">
        <v>13</v>
      </c>
      <c r="AM388" s="5">
        <f t="shared" si="51"/>
        <v>0.52</v>
      </c>
      <c r="AN388" s="4">
        <f t="shared" si="52"/>
        <v>7.8758046194623253E-4</v>
      </c>
      <c r="AO388" s="3"/>
      <c r="AP388">
        <v>0</v>
      </c>
      <c r="AR388" t="s">
        <v>0</v>
      </c>
      <c r="AT388" s="2" t="s">
        <v>5</v>
      </c>
      <c r="AU388" s="1">
        <f t="shared" si="53"/>
        <v>2.5742800926443237</v>
      </c>
      <c r="AV388" s="1">
        <f t="shared" si="54"/>
        <v>1.8612737936586954</v>
      </c>
      <c r="AW388" s="1">
        <f t="shared" si="55"/>
        <v>1.1482674946730664</v>
      </c>
    </row>
    <row r="389" spans="1:49" x14ac:dyDescent="0.2">
      <c r="A389">
        <v>387</v>
      </c>
      <c r="B389" t="s">
        <v>4432</v>
      </c>
      <c r="C389" t="s">
        <v>4431</v>
      </c>
      <c r="D389" t="s">
        <v>4430</v>
      </c>
      <c r="F389" t="s">
        <v>4429</v>
      </c>
      <c r="G389" t="s">
        <v>4</v>
      </c>
      <c r="H389" t="s">
        <v>3</v>
      </c>
      <c r="I389" t="s">
        <v>73</v>
      </c>
      <c r="J389">
        <v>60030821</v>
      </c>
      <c r="K389" t="s">
        <v>92</v>
      </c>
      <c r="L389" t="s">
        <v>91</v>
      </c>
      <c r="M389" t="s">
        <v>2</v>
      </c>
      <c r="N389">
        <v>1</v>
      </c>
      <c r="O389" t="s">
        <v>4428</v>
      </c>
      <c r="P389">
        <v>7402673635</v>
      </c>
      <c r="Q389">
        <v>60030821</v>
      </c>
      <c r="R389" s="8">
        <v>35765</v>
      </c>
      <c r="S389" s="9">
        <f t="shared" si="48"/>
        <v>1997</v>
      </c>
      <c r="T389" s="9">
        <v>1997</v>
      </c>
      <c r="U389" s="9">
        <f t="shared" si="49"/>
        <v>25</v>
      </c>
      <c r="V389" s="8">
        <v>1997</v>
      </c>
      <c r="W389" t="s">
        <v>392</v>
      </c>
      <c r="X389" s="2">
        <v>1.6519999999999999</v>
      </c>
      <c r="Y389" s="7">
        <f t="shared" si="50"/>
        <v>4.409919649769093E-2</v>
      </c>
      <c r="AA389" t="s">
        <v>391</v>
      </c>
      <c r="AB389">
        <v>17337</v>
      </c>
      <c r="AD389" t="s">
        <v>1</v>
      </c>
      <c r="AE389">
        <v>45</v>
      </c>
      <c r="AF389">
        <v>2</v>
      </c>
      <c r="AH389" t="s">
        <v>4427</v>
      </c>
      <c r="AI389" t="s">
        <v>4426</v>
      </c>
      <c r="AJ389" t="s">
        <v>4425</v>
      </c>
      <c r="AK389" t="s">
        <v>4424</v>
      </c>
      <c r="AL389">
        <v>11</v>
      </c>
      <c r="AM389" s="5">
        <f t="shared" si="51"/>
        <v>0.44</v>
      </c>
      <c r="AN389" s="4">
        <f t="shared" si="52"/>
        <v>6.6641423703142752E-4</v>
      </c>
      <c r="AO389" s="3"/>
      <c r="AP389">
        <v>0</v>
      </c>
      <c r="AR389" t="s">
        <v>0</v>
      </c>
      <c r="AT389" s="2" t="s">
        <v>5</v>
      </c>
      <c r="AU389" s="1">
        <f t="shared" si="53"/>
        <v>3.1069361819493078</v>
      </c>
      <c r="AV389" s="1">
        <f t="shared" si="54"/>
        <v>2.2382805367361178</v>
      </c>
      <c r="AW389" s="1">
        <f t="shared" si="55"/>
        <v>1.3696248915229277</v>
      </c>
    </row>
    <row r="390" spans="1:49" x14ac:dyDescent="0.2">
      <c r="A390">
        <v>388</v>
      </c>
      <c r="B390" t="s">
        <v>4423</v>
      </c>
      <c r="C390" t="s">
        <v>4422</v>
      </c>
      <c r="D390" t="s">
        <v>4421</v>
      </c>
      <c r="F390" t="s">
        <v>4420</v>
      </c>
      <c r="G390" t="s">
        <v>4</v>
      </c>
      <c r="H390" t="s">
        <v>3</v>
      </c>
      <c r="I390" t="s">
        <v>4419</v>
      </c>
      <c r="J390">
        <v>60021378</v>
      </c>
      <c r="K390" t="s">
        <v>302</v>
      </c>
      <c r="L390" t="s">
        <v>301</v>
      </c>
      <c r="M390" t="s">
        <v>2</v>
      </c>
      <c r="N390">
        <v>1</v>
      </c>
      <c r="O390" t="s">
        <v>4418</v>
      </c>
      <c r="P390">
        <v>7101611306</v>
      </c>
      <c r="Q390">
        <v>60021378</v>
      </c>
      <c r="R390" s="8">
        <v>35765</v>
      </c>
      <c r="S390" s="9">
        <f t="shared" si="48"/>
        <v>1997</v>
      </c>
      <c r="T390" s="9">
        <v>1997</v>
      </c>
      <c r="U390" s="9">
        <f t="shared" si="49"/>
        <v>25</v>
      </c>
      <c r="V390" s="8">
        <v>1997</v>
      </c>
      <c r="W390" t="s">
        <v>4163</v>
      </c>
      <c r="X390" s="2">
        <v>1.365</v>
      </c>
      <c r="Y390" s="7">
        <f t="shared" si="50"/>
        <v>3.6437895411227675E-2</v>
      </c>
      <c r="AA390">
        <v>189545</v>
      </c>
      <c r="AB390">
        <v>17393</v>
      </c>
      <c r="AD390" t="s">
        <v>1</v>
      </c>
      <c r="AE390">
        <v>46</v>
      </c>
      <c r="AF390">
        <v>1</v>
      </c>
      <c r="AH390" t="s">
        <v>4417</v>
      </c>
      <c r="AI390" t="s">
        <v>4416</v>
      </c>
      <c r="AK390" t="s">
        <v>4415</v>
      </c>
      <c r="AL390">
        <v>102</v>
      </c>
      <c r="AM390" s="5">
        <f t="shared" si="51"/>
        <v>4.08</v>
      </c>
      <c r="AN390" s="4">
        <f t="shared" si="52"/>
        <v>6.1794774706550549E-3</v>
      </c>
      <c r="AO390" s="3"/>
      <c r="AP390">
        <v>0</v>
      </c>
      <c r="AR390" t="s">
        <v>0</v>
      </c>
      <c r="AT390" s="2" t="s">
        <v>5</v>
      </c>
      <c r="AU390" s="1">
        <f t="shared" si="53"/>
        <v>2.7360370029055883</v>
      </c>
      <c r="AV390" s="1">
        <f t="shared" si="54"/>
        <v>2.1308686440941362</v>
      </c>
      <c r="AW390" s="1">
        <f t="shared" si="55"/>
        <v>1.525700285282684</v>
      </c>
    </row>
    <row r="391" spans="1:49" x14ac:dyDescent="0.2">
      <c r="A391">
        <v>389</v>
      </c>
      <c r="B391" t="s">
        <v>4414</v>
      </c>
      <c r="C391" t="s">
        <v>4413</v>
      </c>
      <c r="D391" t="s">
        <v>4412</v>
      </c>
      <c r="F391" t="s">
        <v>4411</v>
      </c>
      <c r="G391" t="s">
        <v>4</v>
      </c>
      <c r="H391" t="s">
        <v>3</v>
      </c>
      <c r="I391" t="s">
        <v>2904</v>
      </c>
      <c r="J391" t="s">
        <v>4410</v>
      </c>
      <c r="K391" t="s">
        <v>4409</v>
      </c>
      <c r="L391" t="s">
        <v>4408</v>
      </c>
      <c r="M391" t="s">
        <v>18</v>
      </c>
      <c r="N391">
        <v>2</v>
      </c>
      <c r="O391" t="s">
        <v>4407</v>
      </c>
      <c r="P391" t="s">
        <v>4406</v>
      </c>
      <c r="Q391" t="s">
        <v>4405</v>
      </c>
      <c r="R391" s="8">
        <v>35765</v>
      </c>
      <c r="S391" s="9">
        <f t="shared" si="48"/>
        <v>1997</v>
      </c>
      <c r="T391" s="9">
        <v>1997</v>
      </c>
      <c r="U391" s="9">
        <f t="shared" si="49"/>
        <v>25</v>
      </c>
      <c r="V391" s="8">
        <v>1997</v>
      </c>
      <c r="W391" t="s">
        <v>392</v>
      </c>
      <c r="X391" s="2">
        <v>1.6519999999999999</v>
      </c>
      <c r="Y391" s="7">
        <f t="shared" si="50"/>
        <v>4.409919649769093E-2</v>
      </c>
      <c r="AA391" t="s">
        <v>391</v>
      </c>
      <c r="AB391">
        <v>17337</v>
      </c>
      <c r="AD391" t="s">
        <v>1</v>
      </c>
      <c r="AE391">
        <v>45</v>
      </c>
      <c r="AF391">
        <v>2</v>
      </c>
      <c r="AH391" t="s">
        <v>4404</v>
      </c>
      <c r="AI391" t="s">
        <v>4403</v>
      </c>
      <c r="AJ391" t="s">
        <v>4402</v>
      </c>
      <c r="AK391" t="s">
        <v>4401</v>
      </c>
      <c r="AL391">
        <v>8</v>
      </c>
      <c r="AM391" s="5">
        <f t="shared" si="51"/>
        <v>0.32</v>
      </c>
      <c r="AN391" s="4">
        <f t="shared" si="52"/>
        <v>4.8466489965922E-4</v>
      </c>
      <c r="AO391" s="3"/>
      <c r="AP391">
        <v>0</v>
      </c>
      <c r="AR391" t="s">
        <v>0</v>
      </c>
      <c r="AT391" s="2" t="s">
        <v>5</v>
      </c>
      <c r="AU391" s="1">
        <f t="shared" si="53"/>
        <v>3.1014837018281418</v>
      </c>
      <c r="AV391" s="1">
        <f t="shared" si="54"/>
        <v>2.2291930698675073</v>
      </c>
      <c r="AW391" s="1">
        <f t="shared" si="55"/>
        <v>1.3569024379068733</v>
      </c>
    </row>
    <row r="392" spans="1:49" x14ac:dyDescent="0.2">
      <c r="A392">
        <v>390</v>
      </c>
      <c r="B392" t="s">
        <v>4400</v>
      </c>
      <c r="C392" t="s">
        <v>4399</v>
      </c>
      <c r="D392" t="s">
        <v>4398</v>
      </c>
      <c r="F392" t="s">
        <v>4397</v>
      </c>
      <c r="G392" t="s">
        <v>4</v>
      </c>
      <c r="H392" t="s">
        <v>3</v>
      </c>
      <c r="I392" t="s">
        <v>4396</v>
      </c>
      <c r="J392">
        <v>60026113</v>
      </c>
      <c r="K392" t="s">
        <v>402</v>
      </c>
      <c r="L392" t="s">
        <v>401</v>
      </c>
      <c r="M392" t="s">
        <v>26</v>
      </c>
      <c r="N392">
        <v>1</v>
      </c>
      <c r="O392" t="s">
        <v>4395</v>
      </c>
      <c r="P392">
        <v>35551660200</v>
      </c>
      <c r="Q392">
        <v>60026113</v>
      </c>
      <c r="R392" s="8">
        <v>35765</v>
      </c>
      <c r="S392" s="9">
        <f t="shared" si="48"/>
        <v>1997</v>
      </c>
      <c r="T392" s="9">
        <v>1997</v>
      </c>
      <c r="U392" s="9">
        <f t="shared" si="49"/>
        <v>25</v>
      </c>
      <c r="V392" s="8">
        <v>1997</v>
      </c>
      <c r="W392" t="s">
        <v>4163</v>
      </c>
      <c r="X392" s="2">
        <v>1.365</v>
      </c>
      <c r="Y392" s="7">
        <f t="shared" si="50"/>
        <v>3.6437895411227675E-2</v>
      </c>
      <c r="AA392">
        <v>189545</v>
      </c>
      <c r="AB392">
        <v>17393</v>
      </c>
      <c r="AD392" t="s">
        <v>1</v>
      </c>
      <c r="AE392">
        <v>46</v>
      </c>
      <c r="AF392">
        <v>1</v>
      </c>
      <c r="AH392" t="s">
        <v>4394</v>
      </c>
      <c r="AI392" t="s">
        <v>4393</v>
      </c>
      <c r="AJ392" t="s">
        <v>4392</v>
      </c>
      <c r="AK392" t="s">
        <v>4391</v>
      </c>
      <c r="AL392">
        <v>9</v>
      </c>
      <c r="AM392" s="5">
        <f t="shared" si="51"/>
        <v>0.36</v>
      </c>
      <c r="AN392" s="4">
        <f t="shared" si="52"/>
        <v>5.4524801211662251E-4</v>
      </c>
      <c r="AO392" s="3"/>
      <c r="AP392">
        <v>0</v>
      </c>
      <c r="AR392" t="s">
        <v>0</v>
      </c>
      <c r="AT392" s="2" t="s">
        <v>5</v>
      </c>
      <c r="AU392" s="1">
        <f t="shared" si="53"/>
        <v>2.5670101191494354</v>
      </c>
      <c r="AV392" s="1">
        <f t="shared" si="54"/>
        <v>1.849157171167215</v>
      </c>
      <c r="AW392" s="1">
        <f t="shared" si="55"/>
        <v>1.1313042231849937</v>
      </c>
    </row>
    <row r="393" spans="1:49" x14ac:dyDescent="0.2">
      <c r="A393">
        <v>391</v>
      </c>
      <c r="B393" t="s">
        <v>4390</v>
      </c>
      <c r="C393" t="s">
        <v>4389</v>
      </c>
      <c r="D393" t="s">
        <v>4388</v>
      </c>
      <c r="F393" t="s">
        <v>4387</v>
      </c>
      <c r="G393" t="s">
        <v>4</v>
      </c>
      <c r="H393" t="s">
        <v>3</v>
      </c>
      <c r="I393" t="s">
        <v>4386</v>
      </c>
      <c r="J393">
        <v>60006299</v>
      </c>
      <c r="K393" t="s">
        <v>4385</v>
      </c>
      <c r="M393" t="s">
        <v>111</v>
      </c>
      <c r="N393">
        <v>1</v>
      </c>
      <c r="O393" t="s">
        <v>4384</v>
      </c>
      <c r="P393">
        <v>7005601548</v>
      </c>
      <c r="Q393">
        <v>60006299</v>
      </c>
      <c r="R393" s="8">
        <v>35765</v>
      </c>
      <c r="S393" s="9">
        <f t="shared" si="48"/>
        <v>1997</v>
      </c>
      <c r="T393" s="9">
        <v>1997</v>
      </c>
      <c r="U393" s="9">
        <f t="shared" si="49"/>
        <v>25</v>
      </c>
      <c r="V393" s="8">
        <v>1997</v>
      </c>
      <c r="W393" t="s">
        <v>4163</v>
      </c>
      <c r="X393" s="2">
        <v>1.365</v>
      </c>
      <c r="Y393" s="7">
        <f t="shared" si="50"/>
        <v>3.6437895411227675E-2</v>
      </c>
      <c r="AA393">
        <v>189545</v>
      </c>
      <c r="AB393">
        <v>17393</v>
      </c>
      <c r="AD393" t="s">
        <v>1</v>
      </c>
      <c r="AE393">
        <v>46</v>
      </c>
      <c r="AF393">
        <v>1</v>
      </c>
      <c r="AH393" t="s">
        <v>4383</v>
      </c>
      <c r="AI393" t="s">
        <v>4382</v>
      </c>
      <c r="AJ393" t="s">
        <v>4381</v>
      </c>
      <c r="AK393" t="s">
        <v>4380</v>
      </c>
      <c r="AL393">
        <v>3</v>
      </c>
      <c r="AM393" s="5">
        <f t="shared" si="51"/>
        <v>0.12</v>
      </c>
      <c r="AN393" s="4">
        <f t="shared" si="52"/>
        <v>1.8174933737220749E-4</v>
      </c>
      <c r="AO393" s="3"/>
      <c r="AP393">
        <v>0</v>
      </c>
      <c r="AQ393" t="s">
        <v>195</v>
      </c>
      <c r="AR393" t="s">
        <v>0</v>
      </c>
      <c r="AS393" t="s">
        <v>4379</v>
      </c>
      <c r="AT393" s="2" t="s">
        <v>5</v>
      </c>
      <c r="AU393" s="1">
        <f t="shared" si="53"/>
        <v>2.5561051589071031</v>
      </c>
      <c r="AV393" s="1">
        <f t="shared" si="54"/>
        <v>1.8309822374299942</v>
      </c>
      <c r="AW393" s="1">
        <f t="shared" si="55"/>
        <v>1.1058593159528847</v>
      </c>
    </row>
    <row r="394" spans="1:49" x14ac:dyDescent="0.2">
      <c r="A394">
        <v>392</v>
      </c>
      <c r="B394" t="s">
        <v>4378</v>
      </c>
      <c r="C394" t="s">
        <v>4377</v>
      </c>
      <c r="D394" t="s">
        <v>4376</v>
      </c>
      <c r="F394" t="s">
        <v>4375</v>
      </c>
      <c r="G394" t="s">
        <v>4</v>
      </c>
      <c r="H394" t="s">
        <v>3</v>
      </c>
      <c r="I394" t="s">
        <v>4374</v>
      </c>
      <c r="J394" t="s">
        <v>4373</v>
      </c>
      <c r="K394" t="s">
        <v>4372</v>
      </c>
      <c r="L394" t="s">
        <v>4371</v>
      </c>
      <c r="M394" t="s">
        <v>118</v>
      </c>
      <c r="N394">
        <v>3</v>
      </c>
      <c r="O394" t="s">
        <v>4370</v>
      </c>
      <c r="P394" t="s">
        <v>4369</v>
      </c>
      <c r="Q394" t="s">
        <v>4368</v>
      </c>
      <c r="R394" s="8">
        <v>35765</v>
      </c>
      <c r="S394" s="9">
        <f t="shared" si="48"/>
        <v>1997</v>
      </c>
      <c r="T394" s="9">
        <v>1997</v>
      </c>
      <c r="U394" s="9">
        <f t="shared" si="49"/>
        <v>25</v>
      </c>
      <c r="V394" s="8">
        <v>1997</v>
      </c>
      <c r="W394" t="s">
        <v>4163</v>
      </c>
      <c r="X394" s="2">
        <v>1.365</v>
      </c>
      <c r="Y394" s="7">
        <f t="shared" si="50"/>
        <v>3.6437895411227675E-2</v>
      </c>
      <c r="AA394">
        <v>189545</v>
      </c>
      <c r="AB394">
        <v>17393</v>
      </c>
      <c r="AD394" t="s">
        <v>1</v>
      </c>
      <c r="AE394">
        <v>46</v>
      </c>
      <c r="AF394">
        <v>1</v>
      </c>
      <c r="AH394" t="s">
        <v>121</v>
      </c>
      <c r="AI394" t="s">
        <v>4367</v>
      </c>
      <c r="AK394" t="s">
        <v>4366</v>
      </c>
      <c r="AL394">
        <v>1</v>
      </c>
      <c r="AM394" s="5">
        <f t="shared" si="51"/>
        <v>0.04</v>
      </c>
      <c r="AN394" s="4">
        <f t="shared" si="52"/>
        <v>6.05831124574025E-5</v>
      </c>
      <c r="AO394" s="3"/>
      <c r="AP394">
        <v>0</v>
      </c>
      <c r="AR394" t="s">
        <v>0</v>
      </c>
      <c r="AT394" s="2" t="s">
        <v>5</v>
      </c>
      <c r="AU394" s="1">
        <f t="shared" si="53"/>
        <v>2.552470172159659</v>
      </c>
      <c r="AV394" s="1">
        <f t="shared" si="54"/>
        <v>1.8249239261842538</v>
      </c>
      <c r="AW394" s="1">
        <f t="shared" si="55"/>
        <v>1.0973776802088484</v>
      </c>
    </row>
    <row r="395" spans="1:49" x14ac:dyDescent="0.2">
      <c r="A395">
        <v>393</v>
      </c>
      <c r="B395" t="s">
        <v>4365</v>
      </c>
      <c r="C395" t="s">
        <v>4364</v>
      </c>
      <c r="D395" t="s">
        <v>4363</v>
      </c>
      <c r="F395" t="s">
        <v>4362</v>
      </c>
      <c r="G395" t="s">
        <v>4</v>
      </c>
      <c r="H395" t="s">
        <v>3</v>
      </c>
      <c r="I395" t="s">
        <v>4361</v>
      </c>
      <c r="J395">
        <v>60028868</v>
      </c>
      <c r="K395" t="s">
        <v>4360</v>
      </c>
      <c r="L395" t="s">
        <v>4359</v>
      </c>
      <c r="M395" t="s">
        <v>116</v>
      </c>
      <c r="N395">
        <v>1</v>
      </c>
      <c r="O395" t="s">
        <v>4358</v>
      </c>
      <c r="P395">
        <v>57193672546</v>
      </c>
      <c r="Q395">
        <v>60028868</v>
      </c>
      <c r="R395" s="8">
        <v>35765</v>
      </c>
      <c r="S395" s="9">
        <f t="shared" si="48"/>
        <v>1997</v>
      </c>
      <c r="T395" s="9">
        <v>1997</v>
      </c>
      <c r="U395" s="9">
        <f t="shared" si="49"/>
        <v>25</v>
      </c>
      <c r="V395" s="8">
        <v>1997</v>
      </c>
      <c r="W395" t="s">
        <v>4163</v>
      </c>
      <c r="X395" s="2">
        <v>1.365</v>
      </c>
      <c r="Y395" s="7">
        <f t="shared" si="50"/>
        <v>3.6437895411227675E-2</v>
      </c>
      <c r="AA395">
        <v>189545</v>
      </c>
      <c r="AB395">
        <v>17393</v>
      </c>
      <c r="AD395" t="s">
        <v>1</v>
      </c>
      <c r="AE395">
        <v>46</v>
      </c>
      <c r="AF395">
        <v>1</v>
      </c>
      <c r="AH395" t="s">
        <v>4357</v>
      </c>
      <c r="AI395" t="s">
        <v>4356</v>
      </c>
      <c r="AK395" t="s">
        <v>4355</v>
      </c>
      <c r="AL395">
        <v>4</v>
      </c>
      <c r="AM395" s="5">
        <f t="shared" si="51"/>
        <v>0.16</v>
      </c>
      <c r="AN395" s="4">
        <f t="shared" si="52"/>
        <v>2.4233244982961E-4</v>
      </c>
      <c r="AO395" s="3"/>
      <c r="AP395">
        <v>0</v>
      </c>
      <c r="AQ395" t="s">
        <v>58</v>
      </c>
      <c r="AR395" t="s">
        <v>0</v>
      </c>
      <c r="AS395" t="s">
        <v>57</v>
      </c>
      <c r="AT395" s="2" t="s">
        <v>5</v>
      </c>
      <c r="AU395" s="1">
        <f t="shared" si="53"/>
        <v>2.5579226522808254</v>
      </c>
      <c r="AV395" s="1">
        <f t="shared" si="54"/>
        <v>1.8340113930528641</v>
      </c>
      <c r="AW395" s="1">
        <f t="shared" si="55"/>
        <v>1.1101001338249028</v>
      </c>
    </row>
    <row r="396" spans="1:49" x14ac:dyDescent="0.2">
      <c r="A396">
        <v>394</v>
      </c>
      <c r="B396" t="s">
        <v>4354</v>
      </c>
      <c r="C396" t="s">
        <v>4353</v>
      </c>
      <c r="F396" t="s">
        <v>4352</v>
      </c>
      <c r="G396" t="s">
        <v>4</v>
      </c>
      <c r="H396" t="s">
        <v>3</v>
      </c>
      <c r="I396" t="s">
        <v>4351</v>
      </c>
      <c r="J396">
        <v>60013372</v>
      </c>
      <c r="K396" t="s">
        <v>670</v>
      </c>
      <c r="L396" t="s">
        <v>669</v>
      </c>
      <c r="M396" t="s">
        <v>2</v>
      </c>
      <c r="N396">
        <v>2</v>
      </c>
      <c r="O396" t="s">
        <v>4350</v>
      </c>
      <c r="P396" t="s">
        <v>4349</v>
      </c>
      <c r="Q396" t="s">
        <v>3951</v>
      </c>
      <c r="R396" s="8">
        <v>35765</v>
      </c>
      <c r="S396" s="9">
        <f t="shared" si="48"/>
        <v>1997</v>
      </c>
      <c r="T396" s="9">
        <v>1997</v>
      </c>
      <c r="U396" s="9">
        <f t="shared" si="49"/>
        <v>25</v>
      </c>
      <c r="V396" s="8">
        <v>1997</v>
      </c>
      <c r="W396" t="s">
        <v>4348</v>
      </c>
      <c r="X396" s="2">
        <v>0.81499999999999995</v>
      </c>
      <c r="Y396" s="7">
        <f t="shared" si="50"/>
        <v>2.1755959531245827E-2</v>
      </c>
      <c r="AA396">
        <v>10709908</v>
      </c>
      <c r="AB396">
        <v>17316</v>
      </c>
      <c r="AD396" t="s">
        <v>1</v>
      </c>
      <c r="AE396">
        <v>4</v>
      </c>
      <c r="AF396">
        <v>2</v>
      </c>
      <c r="AH396" t="s">
        <v>4347</v>
      </c>
      <c r="AI396" t="s">
        <v>4346</v>
      </c>
      <c r="AK396" t="s">
        <v>4345</v>
      </c>
      <c r="AL396">
        <v>8</v>
      </c>
      <c r="AM396" s="5">
        <f t="shared" si="51"/>
        <v>0.32</v>
      </c>
      <c r="AN396" s="4">
        <f t="shared" si="52"/>
        <v>4.8466489965922E-4</v>
      </c>
      <c r="AO396" s="3"/>
      <c r="AP396">
        <v>0</v>
      </c>
      <c r="AQ396" t="s">
        <v>53</v>
      </c>
      <c r="AR396" t="s">
        <v>4344</v>
      </c>
      <c r="AS396" t="s">
        <v>52</v>
      </c>
      <c r="AT396" s="2">
        <v>3.109</v>
      </c>
      <c r="AU396" s="1">
        <f t="shared" si="53"/>
        <v>1.5374571141769844</v>
      </c>
      <c r="AV396" s="1">
        <f t="shared" si="54"/>
        <v>1.1120312215452524</v>
      </c>
      <c r="AW396" s="1">
        <f t="shared" si="55"/>
        <v>0.68660532891352011</v>
      </c>
    </row>
    <row r="397" spans="1:49" x14ac:dyDescent="0.2">
      <c r="A397">
        <v>395</v>
      </c>
      <c r="B397" t="s">
        <v>4343</v>
      </c>
      <c r="C397" t="s">
        <v>4342</v>
      </c>
      <c r="D397" t="s">
        <v>4341</v>
      </c>
      <c r="F397" t="s">
        <v>4340</v>
      </c>
      <c r="G397" t="s">
        <v>4</v>
      </c>
      <c r="H397" t="s">
        <v>3</v>
      </c>
      <c r="I397" t="s">
        <v>4339</v>
      </c>
      <c r="J397">
        <v>60025488</v>
      </c>
      <c r="K397" t="s">
        <v>755</v>
      </c>
      <c r="L397" t="s">
        <v>754</v>
      </c>
      <c r="M397" t="s">
        <v>2</v>
      </c>
      <c r="N397">
        <v>2</v>
      </c>
      <c r="O397" t="s">
        <v>4338</v>
      </c>
      <c r="P397" t="s">
        <v>4337</v>
      </c>
      <c r="Q397" t="s">
        <v>4336</v>
      </c>
      <c r="R397" s="8">
        <v>35765</v>
      </c>
      <c r="S397" s="9">
        <f t="shared" si="48"/>
        <v>1997</v>
      </c>
      <c r="T397" s="9">
        <v>1997</v>
      </c>
      <c r="U397" s="9">
        <f t="shared" si="49"/>
        <v>25</v>
      </c>
      <c r="V397" s="8">
        <v>1997</v>
      </c>
      <c r="W397" t="s">
        <v>1379</v>
      </c>
      <c r="X397" s="2">
        <v>0.65500000000000003</v>
      </c>
      <c r="Y397" s="7">
        <f t="shared" si="50"/>
        <v>1.7484850911614749E-2</v>
      </c>
      <c r="AA397">
        <v>189375</v>
      </c>
      <c r="AB397">
        <v>26051</v>
      </c>
      <c r="AD397" t="s">
        <v>1</v>
      </c>
      <c r="AE397">
        <v>39</v>
      </c>
      <c r="AF397">
        <v>1</v>
      </c>
      <c r="AH397" t="s">
        <v>4335</v>
      </c>
      <c r="AI397" t="s">
        <v>4334</v>
      </c>
      <c r="AK397" t="s">
        <v>4333</v>
      </c>
      <c r="AL397">
        <v>39</v>
      </c>
      <c r="AM397" s="5">
        <f t="shared" si="51"/>
        <v>1.56</v>
      </c>
      <c r="AN397" s="4">
        <f t="shared" si="52"/>
        <v>2.3627413858386976E-3</v>
      </c>
      <c r="AO397" s="3"/>
      <c r="AP397">
        <v>0</v>
      </c>
      <c r="AR397" t="s">
        <v>0</v>
      </c>
      <c r="AT397" s="2" t="s">
        <v>5</v>
      </c>
      <c r="AU397" s="1">
        <f t="shared" si="53"/>
        <v>1.2948218053881932</v>
      </c>
      <c r="AV397" s="1">
        <f t="shared" si="54"/>
        <v>0.99237961487267246</v>
      </c>
      <c r="AW397" s="1">
        <f t="shared" si="55"/>
        <v>0.68993742435715133</v>
      </c>
    </row>
    <row r="398" spans="1:49" x14ac:dyDescent="0.2">
      <c r="A398">
        <v>396</v>
      </c>
      <c r="B398" t="s">
        <v>4332</v>
      </c>
      <c r="C398" t="s">
        <v>4331</v>
      </c>
      <c r="D398" t="s">
        <v>4330</v>
      </c>
      <c r="F398" t="s">
        <v>4329</v>
      </c>
      <c r="G398" t="s">
        <v>4</v>
      </c>
      <c r="H398" t="s">
        <v>3</v>
      </c>
      <c r="I398" t="s">
        <v>4328</v>
      </c>
      <c r="J398" t="s">
        <v>4327</v>
      </c>
      <c r="K398" t="s">
        <v>4326</v>
      </c>
      <c r="L398" t="s">
        <v>4325</v>
      </c>
      <c r="M398" t="s">
        <v>48</v>
      </c>
      <c r="N398">
        <v>3</v>
      </c>
      <c r="O398" t="s">
        <v>4324</v>
      </c>
      <c r="P398" t="s">
        <v>4323</v>
      </c>
      <c r="Q398" t="s">
        <v>4322</v>
      </c>
      <c r="R398" s="8">
        <v>35765</v>
      </c>
      <c r="S398" s="9">
        <f t="shared" si="48"/>
        <v>1997</v>
      </c>
      <c r="T398" s="9">
        <v>1997</v>
      </c>
      <c r="U398" s="9">
        <f t="shared" si="49"/>
        <v>25</v>
      </c>
      <c r="V398" s="8">
        <v>1997</v>
      </c>
      <c r="W398" t="s">
        <v>4163</v>
      </c>
      <c r="X398" s="2">
        <v>1.365</v>
      </c>
      <c r="Y398" s="7">
        <f t="shared" si="50"/>
        <v>3.6437895411227675E-2</v>
      </c>
      <c r="AA398">
        <v>189545</v>
      </c>
      <c r="AB398">
        <v>17393</v>
      </c>
      <c r="AD398" t="s">
        <v>1</v>
      </c>
      <c r="AE398">
        <v>46</v>
      </c>
      <c r="AF398">
        <v>1</v>
      </c>
      <c r="AH398" s="10">
        <v>44105</v>
      </c>
      <c r="AI398" t="s">
        <v>4321</v>
      </c>
      <c r="AJ398" t="s">
        <v>4320</v>
      </c>
      <c r="AK398" t="s">
        <v>4319</v>
      </c>
      <c r="AL398">
        <v>19</v>
      </c>
      <c r="AM398" s="5">
        <f t="shared" si="51"/>
        <v>0.76</v>
      </c>
      <c r="AN398" s="4">
        <f t="shared" si="52"/>
        <v>1.1510791366906475E-3</v>
      </c>
      <c r="AO398" s="3"/>
      <c r="AP398">
        <v>0</v>
      </c>
      <c r="AR398" t="s">
        <v>0</v>
      </c>
      <c r="AT398" s="2" t="s">
        <v>5</v>
      </c>
      <c r="AU398" s="1">
        <f t="shared" si="53"/>
        <v>2.5851850528866565</v>
      </c>
      <c r="AV398" s="1">
        <f t="shared" si="54"/>
        <v>1.879448727395916</v>
      </c>
      <c r="AW398" s="1">
        <f t="shared" si="55"/>
        <v>1.1737124019051755</v>
      </c>
    </row>
    <row r="399" spans="1:49" x14ac:dyDescent="0.2">
      <c r="A399">
        <v>397</v>
      </c>
      <c r="B399" t="s">
        <v>4318</v>
      </c>
      <c r="C399" t="s">
        <v>4317</v>
      </c>
      <c r="D399" t="s">
        <v>4316</v>
      </c>
      <c r="F399" t="s">
        <v>4315</v>
      </c>
      <c r="G399" t="s">
        <v>4</v>
      </c>
      <c r="H399" t="s">
        <v>3</v>
      </c>
      <c r="I399" t="s">
        <v>4314</v>
      </c>
      <c r="J399" t="s">
        <v>4313</v>
      </c>
      <c r="K399" t="s">
        <v>4312</v>
      </c>
      <c r="L399" t="s">
        <v>4311</v>
      </c>
      <c r="M399" t="s">
        <v>77</v>
      </c>
      <c r="N399">
        <v>3</v>
      </c>
      <c r="O399" t="s">
        <v>4310</v>
      </c>
      <c r="P399" t="s">
        <v>4309</v>
      </c>
      <c r="Q399" t="s">
        <v>4308</v>
      </c>
      <c r="R399" s="8">
        <v>35765</v>
      </c>
      <c r="S399" s="9">
        <f t="shared" si="48"/>
        <v>1997</v>
      </c>
      <c r="T399" s="9">
        <v>1997</v>
      </c>
      <c r="U399" s="9">
        <f t="shared" si="49"/>
        <v>25</v>
      </c>
      <c r="V399" s="8">
        <v>1997</v>
      </c>
      <c r="W399" t="s">
        <v>392</v>
      </c>
      <c r="X399" s="2">
        <v>1.6519999999999999</v>
      </c>
      <c r="Y399" s="7">
        <f t="shared" si="50"/>
        <v>4.409919649769093E-2</v>
      </c>
      <c r="AA399" t="s">
        <v>391</v>
      </c>
      <c r="AB399">
        <v>17337</v>
      </c>
      <c r="AD399" t="s">
        <v>1</v>
      </c>
      <c r="AE399">
        <v>45</v>
      </c>
      <c r="AF399">
        <v>2</v>
      </c>
      <c r="AH399" t="s">
        <v>4307</v>
      </c>
      <c r="AI399" t="s">
        <v>4306</v>
      </c>
      <c r="AK399" t="s">
        <v>4305</v>
      </c>
      <c r="AL399">
        <v>9</v>
      </c>
      <c r="AM399" s="5">
        <f t="shared" si="51"/>
        <v>0.36</v>
      </c>
      <c r="AN399" s="4">
        <f t="shared" si="52"/>
        <v>5.4524801211662251E-4</v>
      </c>
      <c r="AO399" s="3"/>
      <c r="AP399">
        <v>0</v>
      </c>
      <c r="AR399" t="s">
        <v>0</v>
      </c>
      <c r="AT399" s="2" t="s">
        <v>5</v>
      </c>
      <c r="AU399" s="1">
        <f t="shared" si="53"/>
        <v>3.1033011952018636</v>
      </c>
      <c r="AV399" s="1">
        <f t="shared" si="54"/>
        <v>2.2322222254903776</v>
      </c>
      <c r="AW399" s="1">
        <f t="shared" si="55"/>
        <v>1.3611432557788914</v>
      </c>
    </row>
    <row r="400" spans="1:49" x14ac:dyDescent="0.2">
      <c r="A400">
        <v>398</v>
      </c>
      <c r="B400" t="s">
        <v>4304</v>
      </c>
      <c r="C400" t="s">
        <v>4303</v>
      </c>
      <c r="D400" t="s">
        <v>4302</v>
      </c>
      <c r="F400" t="s">
        <v>4301</v>
      </c>
      <c r="G400" t="s">
        <v>4</v>
      </c>
      <c r="H400" t="s">
        <v>3</v>
      </c>
      <c r="I400" t="s">
        <v>3966</v>
      </c>
      <c r="J400" t="s">
        <v>4300</v>
      </c>
      <c r="K400" t="s">
        <v>4299</v>
      </c>
      <c r="L400" t="s">
        <v>4298</v>
      </c>
      <c r="M400" t="s">
        <v>18</v>
      </c>
      <c r="N400">
        <v>2</v>
      </c>
      <c r="O400" t="s">
        <v>4297</v>
      </c>
      <c r="P400" t="s">
        <v>4296</v>
      </c>
      <c r="Q400" t="s">
        <v>4295</v>
      </c>
      <c r="R400" s="8">
        <v>35765</v>
      </c>
      <c r="S400" s="9">
        <f t="shared" si="48"/>
        <v>1997</v>
      </c>
      <c r="T400" s="9">
        <v>1997</v>
      </c>
      <c r="U400" s="9">
        <f t="shared" si="49"/>
        <v>25</v>
      </c>
      <c r="V400" s="8">
        <v>1997</v>
      </c>
      <c r="W400" t="s">
        <v>4294</v>
      </c>
      <c r="X400" s="2">
        <v>1.468</v>
      </c>
      <c r="Y400" s="7">
        <f t="shared" si="50"/>
        <v>3.9187421585115186E-2</v>
      </c>
      <c r="AA400">
        <v>906778</v>
      </c>
      <c r="AB400">
        <v>18931</v>
      </c>
      <c r="AD400" t="s">
        <v>1</v>
      </c>
      <c r="AE400">
        <v>45</v>
      </c>
      <c r="AF400">
        <v>2</v>
      </c>
      <c r="AH400" t="s">
        <v>4293</v>
      </c>
      <c r="AI400" t="s">
        <v>4292</v>
      </c>
      <c r="AJ400" t="s">
        <v>4291</v>
      </c>
      <c r="AK400" t="s">
        <v>4290</v>
      </c>
      <c r="AL400">
        <v>29</v>
      </c>
      <c r="AM400" s="5">
        <f t="shared" si="51"/>
        <v>1.1599999999999999</v>
      </c>
      <c r="AN400" s="4">
        <f t="shared" si="52"/>
        <v>1.7569102612646724E-3</v>
      </c>
      <c r="AO400" s="3"/>
      <c r="AP400">
        <v>0</v>
      </c>
      <c r="AR400" t="s">
        <v>0</v>
      </c>
      <c r="AT400" s="2">
        <v>5.0830000000000002</v>
      </c>
      <c r="AU400" s="1">
        <f t="shared" si="53"/>
        <v>2.7958268187960029</v>
      </c>
      <c r="AV400" s="1">
        <f t="shared" si="54"/>
        <v>2.0472165923189927</v>
      </c>
      <c r="AW400" s="1">
        <f t="shared" si="55"/>
        <v>1.2986063658419826</v>
      </c>
    </row>
    <row r="401" spans="1:49" x14ac:dyDescent="0.2">
      <c r="A401">
        <v>399</v>
      </c>
      <c r="B401" t="s">
        <v>4289</v>
      </c>
      <c r="C401" t="s">
        <v>4288</v>
      </c>
      <c r="D401" t="s">
        <v>4287</v>
      </c>
      <c r="F401" t="s">
        <v>4286</v>
      </c>
      <c r="G401" t="s">
        <v>4</v>
      </c>
      <c r="H401" t="s">
        <v>3</v>
      </c>
      <c r="I401" t="s">
        <v>4285</v>
      </c>
      <c r="J401" t="s">
        <v>4284</v>
      </c>
      <c r="K401" t="s">
        <v>4283</v>
      </c>
      <c r="L401" t="s">
        <v>4282</v>
      </c>
      <c r="M401" t="s">
        <v>18</v>
      </c>
      <c r="N401">
        <v>1</v>
      </c>
      <c r="O401" t="s">
        <v>4281</v>
      </c>
      <c r="P401">
        <v>57199187326</v>
      </c>
      <c r="Q401" t="s">
        <v>4280</v>
      </c>
      <c r="R401" s="8">
        <v>35765</v>
      </c>
      <c r="S401" s="9">
        <f t="shared" si="48"/>
        <v>1997</v>
      </c>
      <c r="T401" s="9">
        <v>1997</v>
      </c>
      <c r="U401" s="9">
        <f t="shared" si="49"/>
        <v>25</v>
      </c>
      <c r="V401" s="8">
        <v>1997</v>
      </c>
      <c r="W401" t="s">
        <v>1379</v>
      </c>
      <c r="X401" s="2">
        <v>0.65500000000000003</v>
      </c>
      <c r="Y401" s="7">
        <f t="shared" si="50"/>
        <v>1.7484850911614749E-2</v>
      </c>
      <c r="AA401">
        <v>189375</v>
      </c>
      <c r="AB401">
        <v>26051</v>
      </c>
      <c r="AD401" t="s">
        <v>1</v>
      </c>
      <c r="AE401">
        <v>39</v>
      </c>
      <c r="AF401">
        <v>1</v>
      </c>
      <c r="AH401" t="s">
        <v>110</v>
      </c>
      <c r="AI401" t="s">
        <v>4279</v>
      </c>
      <c r="AK401" t="s">
        <v>4278</v>
      </c>
      <c r="AL401">
        <v>58</v>
      </c>
      <c r="AM401" s="5">
        <f t="shared" si="51"/>
        <v>2.3199999999999998</v>
      </c>
      <c r="AN401" s="4">
        <f t="shared" si="52"/>
        <v>3.5138205225293448E-3</v>
      </c>
      <c r="AO401" s="3"/>
      <c r="AP401">
        <v>0</v>
      </c>
      <c r="AR401" t="s">
        <v>0</v>
      </c>
      <c r="AT401" s="2" t="s">
        <v>5</v>
      </c>
      <c r="AU401" s="1">
        <f t="shared" si="53"/>
        <v>1.3293541794889125</v>
      </c>
      <c r="AV401" s="1">
        <f t="shared" si="54"/>
        <v>1.0499335717072047</v>
      </c>
      <c r="AW401" s="1">
        <f t="shared" si="55"/>
        <v>0.77051296392549662</v>
      </c>
    </row>
    <row r="402" spans="1:49" x14ac:dyDescent="0.2">
      <c r="A402">
        <v>400</v>
      </c>
      <c r="B402" t="s">
        <v>4277</v>
      </c>
      <c r="C402" t="s">
        <v>4276</v>
      </c>
      <c r="D402" t="s">
        <v>4275</v>
      </c>
      <c r="F402" t="s">
        <v>4274</v>
      </c>
      <c r="G402" t="s">
        <v>4</v>
      </c>
      <c r="H402" t="s">
        <v>3</v>
      </c>
      <c r="I402" t="s">
        <v>4273</v>
      </c>
      <c r="J402" t="s">
        <v>4272</v>
      </c>
      <c r="K402" t="s">
        <v>4271</v>
      </c>
      <c r="L402" t="s">
        <v>4270</v>
      </c>
      <c r="M402" t="s">
        <v>315</v>
      </c>
      <c r="N402">
        <v>6</v>
      </c>
      <c r="O402" t="s">
        <v>4269</v>
      </c>
      <c r="P402" t="s">
        <v>4268</v>
      </c>
      <c r="Q402" t="s">
        <v>4267</v>
      </c>
      <c r="R402" s="8">
        <v>35765</v>
      </c>
      <c r="S402" s="9">
        <f t="shared" si="48"/>
        <v>1997</v>
      </c>
      <c r="T402" s="9">
        <v>1997</v>
      </c>
      <c r="U402" s="9">
        <f t="shared" si="49"/>
        <v>25</v>
      </c>
      <c r="V402" s="8">
        <v>1997</v>
      </c>
      <c r="W402" t="s">
        <v>1379</v>
      </c>
      <c r="X402" s="2">
        <v>0.65500000000000003</v>
      </c>
      <c r="Y402" s="7">
        <f t="shared" si="50"/>
        <v>1.7484850911614749E-2</v>
      </c>
      <c r="AA402">
        <v>189375</v>
      </c>
      <c r="AB402">
        <v>26051</v>
      </c>
      <c r="AD402" t="s">
        <v>1</v>
      </c>
      <c r="AE402">
        <v>39</v>
      </c>
      <c r="AF402">
        <v>1</v>
      </c>
      <c r="AH402" t="s">
        <v>4266</v>
      </c>
      <c r="AI402" t="s">
        <v>4265</v>
      </c>
      <c r="AK402" t="s">
        <v>4264</v>
      </c>
      <c r="AL402">
        <v>24</v>
      </c>
      <c r="AM402" s="5">
        <f t="shared" si="51"/>
        <v>0.96</v>
      </c>
      <c r="AN402" s="4">
        <f t="shared" si="52"/>
        <v>1.4539946989776599E-3</v>
      </c>
      <c r="AO402" s="3"/>
      <c r="AP402">
        <v>0</v>
      </c>
      <c r="AR402" t="s">
        <v>0</v>
      </c>
      <c r="AT402" s="2" t="s">
        <v>5</v>
      </c>
      <c r="AU402" s="1">
        <f t="shared" si="53"/>
        <v>1.267559404782362</v>
      </c>
      <c r="AV402" s="1">
        <f t="shared" si="54"/>
        <v>0.94694228052962048</v>
      </c>
      <c r="AW402" s="1">
        <f t="shared" si="55"/>
        <v>0.62632515627687868</v>
      </c>
    </row>
    <row r="403" spans="1:49" x14ac:dyDescent="0.2">
      <c r="A403">
        <v>401</v>
      </c>
      <c r="B403" t="s">
        <v>4263</v>
      </c>
      <c r="C403" t="s">
        <v>4262</v>
      </c>
      <c r="D403" t="s">
        <v>4261</v>
      </c>
      <c r="F403" t="s">
        <v>4260</v>
      </c>
      <c r="G403" t="s">
        <v>4</v>
      </c>
      <c r="H403" t="s">
        <v>3</v>
      </c>
      <c r="I403" t="s">
        <v>4259</v>
      </c>
      <c r="J403">
        <v>60027509</v>
      </c>
      <c r="K403" t="s">
        <v>745</v>
      </c>
      <c r="L403" t="s">
        <v>117</v>
      </c>
      <c r="M403" t="s">
        <v>116</v>
      </c>
      <c r="N403">
        <v>1</v>
      </c>
      <c r="O403" t="s">
        <v>4258</v>
      </c>
      <c r="P403">
        <v>56133438600</v>
      </c>
      <c r="Q403">
        <v>60027509</v>
      </c>
      <c r="R403" s="8">
        <v>35765</v>
      </c>
      <c r="S403" s="9">
        <f t="shared" si="48"/>
        <v>1997</v>
      </c>
      <c r="T403" s="9">
        <v>1997</v>
      </c>
      <c r="U403" s="9">
        <f t="shared" si="49"/>
        <v>25</v>
      </c>
      <c r="V403" s="8">
        <v>1997</v>
      </c>
      <c r="W403" t="s">
        <v>4163</v>
      </c>
      <c r="X403" s="2">
        <v>1.365</v>
      </c>
      <c r="Y403" s="7">
        <f t="shared" si="50"/>
        <v>3.6437895411227675E-2</v>
      </c>
      <c r="AA403">
        <v>189545</v>
      </c>
      <c r="AB403">
        <v>17393</v>
      </c>
      <c r="AD403" t="s">
        <v>1</v>
      </c>
      <c r="AE403">
        <v>46</v>
      </c>
      <c r="AF403">
        <v>1</v>
      </c>
      <c r="AH403" t="s">
        <v>697</v>
      </c>
      <c r="AI403" t="s">
        <v>4257</v>
      </c>
      <c r="AK403" t="s">
        <v>4256</v>
      </c>
      <c r="AL403">
        <v>80</v>
      </c>
      <c r="AM403" s="5">
        <f t="shared" si="51"/>
        <v>3.2</v>
      </c>
      <c r="AN403" s="4">
        <f t="shared" si="52"/>
        <v>4.8466489965922005E-3</v>
      </c>
      <c r="AO403" s="3"/>
      <c r="AP403">
        <v>0</v>
      </c>
      <c r="AR403" t="s">
        <v>0</v>
      </c>
      <c r="AT403" s="2" t="s">
        <v>5</v>
      </c>
      <c r="AU403" s="1">
        <f t="shared" si="53"/>
        <v>2.696052148683703</v>
      </c>
      <c r="AV403" s="1">
        <f t="shared" si="54"/>
        <v>2.0642272203909937</v>
      </c>
      <c r="AW403" s="1">
        <f t="shared" si="55"/>
        <v>1.4324022920982842</v>
      </c>
    </row>
    <row r="404" spans="1:49" x14ac:dyDescent="0.2">
      <c r="A404">
        <v>402</v>
      </c>
      <c r="B404" t="s">
        <v>4255</v>
      </c>
      <c r="C404" t="s">
        <v>4254</v>
      </c>
      <c r="D404" t="s">
        <v>4253</v>
      </c>
      <c r="F404" t="s">
        <v>4252</v>
      </c>
      <c r="G404" t="s">
        <v>4</v>
      </c>
      <c r="H404" t="s">
        <v>3</v>
      </c>
      <c r="I404" t="s">
        <v>4251</v>
      </c>
      <c r="J404">
        <v>60022002</v>
      </c>
      <c r="K404" t="s">
        <v>4250</v>
      </c>
      <c r="L404" t="s">
        <v>4249</v>
      </c>
      <c r="M404" t="s">
        <v>134</v>
      </c>
      <c r="N404">
        <v>2</v>
      </c>
      <c r="O404" t="s">
        <v>4248</v>
      </c>
      <c r="P404" t="s">
        <v>4247</v>
      </c>
      <c r="Q404" t="s">
        <v>4246</v>
      </c>
      <c r="R404" s="8">
        <v>35765</v>
      </c>
      <c r="S404" s="9">
        <f t="shared" si="48"/>
        <v>1997</v>
      </c>
      <c r="T404" s="9">
        <v>1997</v>
      </c>
      <c r="U404" s="9">
        <f t="shared" si="49"/>
        <v>25</v>
      </c>
      <c r="V404" s="8">
        <v>1997</v>
      </c>
      <c r="W404" t="s">
        <v>4163</v>
      </c>
      <c r="X404" s="2">
        <v>1.365</v>
      </c>
      <c r="Y404" s="7">
        <f t="shared" si="50"/>
        <v>3.6437895411227675E-2</v>
      </c>
      <c r="AA404">
        <v>189545</v>
      </c>
      <c r="AB404">
        <v>17393</v>
      </c>
      <c r="AD404" t="s">
        <v>1</v>
      </c>
      <c r="AE404">
        <v>46</v>
      </c>
      <c r="AF404">
        <v>1</v>
      </c>
      <c r="AH404" t="s">
        <v>4245</v>
      </c>
      <c r="AI404" t="s">
        <v>4244</v>
      </c>
      <c r="AJ404" t="s">
        <v>4243</v>
      </c>
      <c r="AK404" t="s">
        <v>4242</v>
      </c>
      <c r="AL404">
        <v>33</v>
      </c>
      <c r="AM404" s="5">
        <f t="shared" si="51"/>
        <v>1.32</v>
      </c>
      <c r="AN404" s="4">
        <f t="shared" si="52"/>
        <v>1.9992427110942824E-3</v>
      </c>
      <c r="AO404" s="3"/>
      <c r="AP404">
        <v>0</v>
      </c>
      <c r="AR404" t="s">
        <v>0</v>
      </c>
      <c r="AT404" s="2" t="s">
        <v>5</v>
      </c>
      <c r="AU404" s="1">
        <f t="shared" si="53"/>
        <v>2.6106299601187652</v>
      </c>
      <c r="AV404" s="1">
        <f t="shared" si="54"/>
        <v>1.9218569061160977</v>
      </c>
      <c r="AW404" s="1">
        <f t="shared" si="55"/>
        <v>1.23308385211343</v>
      </c>
    </row>
    <row r="405" spans="1:49" x14ac:dyDescent="0.2">
      <c r="A405">
        <v>403</v>
      </c>
      <c r="B405" t="s">
        <v>4241</v>
      </c>
      <c r="C405" t="s">
        <v>4240</v>
      </c>
      <c r="D405" t="s">
        <v>4239</v>
      </c>
      <c r="F405" t="s">
        <v>4238</v>
      </c>
      <c r="G405" t="s">
        <v>4</v>
      </c>
      <c r="H405" t="s">
        <v>3</v>
      </c>
      <c r="I405" t="s">
        <v>4237</v>
      </c>
      <c r="J405">
        <v>60026338</v>
      </c>
      <c r="K405" t="s">
        <v>4236</v>
      </c>
      <c r="L405" t="s">
        <v>4235</v>
      </c>
      <c r="M405" t="s">
        <v>29</v>
      </c>
      <c r="N405">
        <v>2</v>
      </c>
      <c r="O405" t="s">
        <v>4234</v>
      </c>
      <c r="P405" t="s">
        <v>4233</v>
      </c>
      <c r="Q405" t="s">
        <v>4232</v>
      </c>
      <c r="R405" s="8">
        <v>35765</v>
      </c>
      <c r="S405" s="9">
        <f t="shared" si="48"/>
        <v>1997</v>
      </c>
      <c r="T405" s="9">
        <v>1997</v>
      </c>
      <c r="U405" s="9">
        <f t="shared" si="49"/>
        <v>25</v>
      </c>
      <c r="V405" s="8">
        <v>1997</v>
      </c>
      <c r="W405" t="s">
        <v>392</v>
      </c>
      <c r="X405" s="2">
        <v>1.6519999999999999</v>
      </c>
      <c r="Y405" s="7">
        <f t="shared" si="50"/>
        <v>4.409919649769093E-2</v>
      </c>
      <c r="AA405" t="s">
        <v>391</v>
      </c>
      <c r="AB405">
        <v>17337</v>
      </c>
      <c r="AD405" t="s">
        <v>1</v>
      </c>
      <c r="AE405">
        <v>45</v>
      </c>
      <c r="AF405">
        <v>2</v>
      </c>
      <c r="AH405" t="s">
        <v>4231</v>
      </c>
      <c r="AI405" t="s">
        <v>4230</v>
      </c>
      <c r="AJ405" t="s">
        <v>4229</v>
      </c>
      <c r="AK405" t="s">
        <v>4228</v>
      </c>
      <c r="AL405">
        <v>56</v>
      </c>
      <c r="AM405" s="5">
        <f t="shared" si="51"/>
        <v>2.2400000000000002</v>
      </c>
      <c r="AN405" s="4">
        <f t="shared" si="52"/>
        <v>3.3926542976145404E-3</v>
      </c>
      <c r="AO405" s="3"/>
      <c r="AP405">
        <v>0</v>
      </c>
      <c r="AR405" t="s">
        <v>0</v>
      </c>
      <c r="AT405" s="2" t="s">
        <v>5</v>
      </c>
      <c r="AU405" s="1">
        <f t="shared" si="53"/>
        <v>3.1887233837668014</v>
      </c>
      <c r="AV405" s="1">
        <f t="shared" si="54"/>
        <v>2.3745925397652736</v>
      </c>
      <c r="AW405" s="1">
        <f t="shared" si="55"/>
        <v>1.5604616957637458</v>
      </c>
    </row>
    <row r="406" spans="1:49" x14ac:dyDescent="0.2">
      <c r="A406">
        <v>404</v>
      </c>
      <c r="B406" t="s">
        <v>4227</v>
      </c>
      <c r="C406" t="s">
        <v>4226</v>
      </c>
      <c r="D406" t="s">
        <v>4225</v>
      </c>
      <c r="F406" t="s">
        <v>4224</v>
      </c>
      <c r="G406" t="s">
        <v>4</v>
      </c>
      <c r="H406" t="s">
        <v>3</v>
      </c>
      <c r="I406" t="s">
        <v>4223</v>
      </c>
      <c r="J406">
        <v>113068765</v>
      </c>
      <c r="K406" t="s">
        <v>4222</v>
      </c>
      <c r="N406">
        <v>2</v>
      </c>
      <c r="O406" t="s">
        <v>4221</v>
      </c>
      <c r="P406" t="s">
        <v>4220</v>
      </c>
      <c r="Q406" t="s">
        <v>4219</v>
      </c>
      <c r="R406" s="8">
        <v>35765</v>
      </c>
      <c r="S406" s="9">
        <f t="shared" si="48"/>
        <v>1997</v>
      </c>
      <c r="T406" s="9">
        <v>1997</v>
      </c>
      <c r="U406" s="9">
        <f t="shared" si="49"/>
        <v>25</v>
      </c>
      <c r="V406" s="8">
        <v>1997</v>
      </c>
      <c r="W406" t="s">
        <v>392</v>
      </c>
      <c r="X406" s="2">
        <v>1.6519999999999999</v>
      </c>
      <c r="Y406" s="7">
        <f t="shared" si="50"/>
        <v>4.409919649769093E-2</v>
      </c>
      <c r="AA406" t="s">
        <v>391</v>
      </c>
      <c r="AB406">
        <v>17337</v>
      </c>
      <c r="AD406" t="s">
        <v>1</v>
      </c>
      <c r="AE406">
        <v>45</v>
      </c>
      <c r="AF406">
        <v>2</v>
      </c>
      <c r="AH406" t="s">
        <v>4218</v>
      </c>
      <c r="AI406" t="s">
        <v>4217</v>
      </c>
      <c r="AJ406" t="s">
        <v>4216</v>
      </c>
      <c r="AK406" t="s">
        <v>4215</v>
      </c>
      <c r="AL406">
        <v>1</v>
      </c>
      <c r="AM406" s="5">
        <f t="shared" si="51"/>
        <v>0.04</v>
      </c>
      <c r="AN406" s="4">
        <f t="shared" si="52"/>
        <v>6.05831124574025E-5</v>
      </c>
      <c r="AO406" s="3"/>
      <c r="AP406">
        <v>0</v>
      </c>
      <c r="AR406" t="s">
        <v>0</v>
      </c>
      <c r="AT406" s="2" t="s">
        <v>5</v>
      </c>
      <c r="AU406" s="1">
        <f t="shared" si="53"/>
        <v>3.0887612482120872</v>
      </c>
      <c r="AV406" s="1">
        <f t="shared" si="54"/>
        <v>2.2079889805074164</v>
      </c>
      <c r="AW406" s="1">
        <f t="shared" si="55"/>
        <v>1.3272167128027459</v>
      </c>
    </row>
    <row r="407" spans="1:49" x14ac:dyDescent="0.2">
      <c r="A407">
        <v>405</v>
      </c>
      <c r="B407" t="s">
        <v>4214</v>
      </c>
      <c r="C407" t="s">
        <v>4213</v>
      </c>
      <c r="D407" t="s">
        <v>4212</v>
      </c>
      <c r="F407" t="s">
        <v>4211</v>
      </c>
      <c r="G407" t="s">
        <v>4</v>
      </c>
      <c r="H407" t="s">
        <v>3</v>
      </c>
      <c r="I407" t="s">
        <v>4210</v>
      </c>
      <c r="J407" t="s">
        <v>4209</v>
      </c>
      <c r="K407" t="s">
        <v>4208</v>
      </c>
      <c r="L407" t="s">
        <v>4207</v>
      </c>
      <c r="M407" t="s">
        <v>18</v>
      </c>
      <c r="N407">
        <v>3</v>
      </c>
      <c r="O407" t="s">
        <v>4206</v>
      </c>
      <c r="P407" t="s">
        <v>4205</v>
      </c>
      <c r="Q407" t="s">
        <v>4204</v>
      </c>
      <c r="R407" s="8">
        <v>35765</v>
      </c>
      <c r="S407" s="9">
        <f t="shared" si="48"/>
        <v>1997</v>
      </c>
      <c r="T407" s="9">
        <v>1997</v>
      </c>
      <c r="U407" s="9">
        <f t="shared" si="49"/>
        <v>25</v>
      </c>
      <c r="V407" s="8">
        <v>1997</v>
      </c>
      <c r="W407" t="s">
        <v>392</v>
      </c>
      <c r="X407" s="2">
        <v>1.6519999999999999</v>
      </c>
      <c r="Y407" s="7">
        <f t="shared" si="50"/>
        <v>4.409919649769093E-2</v>
      </c>
      <c r="AA407" t="s">
        <v>391</v>
      </c>
      <c r="AB407">
        <v>17337</v>
      </c>
      <c r="AD407" t="s">
        <v>1</v>
      </c>
      <c r="AE407">
        <v>45</v>
      </c>
      <c r="AF407">
        <v>2</v>
      </c>
      <c r="AH407" t="s">
        <v>13</v>
      </c>
      <c r="AI407" t="s">
        <v>4203</v>
      </c>
      <c r="AJ407" t="s">
        <v>4202</v>
      </c>
      <c r="AK407" t="s">
        <v>4201</v>
      </c>
      <c r="AL407">
        <v>897</v>
      </c>
      <c r="AM407" s="5">
        <f t="shared" si="51"/>
        <v>35.880000000000003</v>
      </c>
      <c r="AN407" s="4">
        <f t="shared" si="52"/>
        <v>5.4343051874290046E-2</v>
      </c>
      <c r="AO407" s="3"/>
      <c r="AP407">
        <v>0</v>
      </c>
      <c r="AR407" t="s">
        <v>0</v>
      </c>
      <c r="AT407" s="2" t="s">
        <v>5</v>
      </c>
      <c r="AU407" s="1">
        <f t="shared" si="53"/>
        <v>4.7172353110670668</v>
      </c>
      <c r="AV407" s="1">
        <f t="shared" si="54"/>
        <v>4.922112418599049</v>
      </c>
      <c r="AW407" s="1">
        <f t="shared" si="55"/>
        <v>5.1269895261310312</v>
      </c>
    </row>
    <row r="408" spans="1:49" x14ac:dyDescent="0.2">
      <c r="A408">
        <v>406</v>
      </c>
      <c r="B408" t="s">
        <v>4200</v>
      </c>
      <c r="C408" t="s">
        <v>4199</v>
      </c>
      <c r="D408" t="s">
        <v>4198</v>
      </c>
      <c r="F408" t="s">
        <v>4197</v>
      </c>
      <c r="G408" t="s">
        <v>4</v>
      </c>
      <c r="H408" t="s">
        <v>3</v>
      </c>
      <c r="I408" t="s">
        <v>4196</v>
      </c>
      <c r="J408">
        <v>60027550</v>
      </c>
      <c r="K408" t="s">
        <v>98</v>
      </c>
      <c r="L408" t="s">
        <v>72</v>
      </c>
      <c r="M408" t="s">
        <v>2</v>
      </c>
      <c r="N408">
        <v>2</v>
      </c>
      <c r="O408" t="s">
        <v>4195</v>
      </c>
      <c r="P408" t="s">
        <v>4194</v>
      </c>
      <c r="Q408" t="s">
        <v>97</v>
      </c>
      <c r="R408" s="8">
        <v>35765</v>
      </c>
      <c r="S408" s="9">
        <f t="shared" si="48"/>
        <v>1997</v>
      </c>
      <c r="T408" s="9">
        <v>1997</v>
      </c>
      <c r="U408" s="9">
        <f t="shared" si="49"/>
        <v>25</v>
      </c>
      <c r="V408" s="8">
        <v>1997</v>
      </c>
      <c r="W408" t="s">
        <v>392</v>
      </c>
      <c r="X408" s="2">
        <v>1.6519999999999999</v>
      </c>
      <c r="Y408" s="7">
        <f t="shared" si="50"/>
        <v>4.409919649769093E-2</v>
      </c>
      <c r="AA408" t="s">
        <v>391</v>
      </c>
      <c r="AB408">
        <v>17337</v>
      </c>
      <c r="AD408" t="s">
        <v>1</v>
      </c>
      <c r="AE408">
        <v>45</v>
      </c>
      <c r="AF408">
        <v>2</v>
      </c>
      <c r="AH408" t="s">
        <v>4193</v>
      </c>
      <c r="AI408" t="s">
        <v>4192</v>
      </c>
      <c r="AK408" t="s">
        <v>4191</v>
      </c>
      <c r="AL408">
        <v>130</v>
      </c>
      <c r="AM408" s="5">
        <f t="shared" si="51"/>
        <v>5.2</v>
      </c>
      <c r="AN408" s="4">
        <f t="shared" si="52"/>
        <v>7.8758046194623253E-3</v>
      </c>
      <c r="AO408" s="3"/>
      <c r="AP408">
        <v>0</v>
      </c>
      <c r="AR408" t="s">
        <v>0</v>
      </c>
      <c r="AT408" s="2" t="s">
        <v>5</v>
      </c>
      <c r="AU408" s="1">
        <f t="shared" si="53"/>
        <v>3.3232178934222345</v>
      </c>
      <c r="AV408" s="1">
        <f t="shared" si="54"/>
        <v>2.5987500558576624</v>
      </c>
      <c r="AW408" s="1">
        <f t="shared" si="55"/>
        <v>1.8742822182930905</v>
      </c>
    </row>
    <row r="409" spans="1:49" x14ac:dyDescent="0.2">
      <c r="A409">
        <v>407</v>
      </c>
      <c r="B409" t="s">
        <v>4190</v>
      </c>
      <c r="C409" t="s">
        <v>4189</v>
      </c>
      <c r="D409" t="s">
        <v>4188</v>
      </c>
      <c r="F409" t="s">
        <v>4187</v>
      </c>
      <c r="G409" t="s">
        <v>4</v>
      </c>
      <c r="H409" t="s">
        <v>3</v>
      </c>
      <c r="I409" t="s">
        <v>4186</v>
      </c>
      <c r="J409" t="s">
        <v>4185</v>
      </c>
      <c r="K409" t="s">
        <v>4184</v>
      </c>
      <c r="L409" t="s">
        <v>4183</v>
      </c>
      <c r="M409" t="s">
        <v>64</v>
      </c>
      <c r="N409">
        <v>3</v>
      </c>
      <c r="O409" t="s">
        <v>4182</v>
      </c>
      <c r="P409" t="s">
        <v>4181</v>
      </c>
      <c r="Q409" t="s">
        <v>4180</v>
      </c>
      <c r="R409" s="8">
        <v>35765</v>
      </c>
      <c r="S409" s="9">
        <f t="shared" si="48"/>
        <v>1997</v>
      </c>
      <c r="T409" s="9">
        <v>1997</v>
      </c>
      <c r="U409" s="9">
        <f t="shared" si="49"/>
        <v>25</v>
      </c>
      <c r="V409" s="8">
        <v>1997</v>
      </c>
      <c r="W409" t="s">
        <v>4179</v>
      </c>
      <c r="X409" s="2">
        <v>0.82</v>
      </c>
      <c r="Y409" s="7">
        <f t="shared" si="50"/>
        <v>2.1889431675609299E-2</v>
      </c>
      <c r="AA409">
        <v>189456</v>
      </c>
      <c r="AB409">
        <v>15361</v>
      </c>
      <c r="AD409" t="s">
        <v>1</v>
      </c>
      <c r="AE409">
        <v>46</v>
      </c>
      <c r="AF409">
        <v>1</v>
      </c>
      <c r="AH409" t="s">
        <v>4178</v>
      </c>
      <c r="AI409" t="s">
        <v>4177</v>
      </c>
      <c r="AJ409" t="s">
        <v>4176</v>
      </c>
      <c r="AK409" t="s">
        <v>4175</v>
      </c>
      <c r="AL409">
        <v>5</v>
      </c>
      <c r="AM409" s="5">
        <f t="shared" si="51"/>
        <v>0.2</v>
      </c>
      <c r="AN409" s="4">
        <f t="shared" si="52"/>
        <v>3.0291556228701253E-4</v>
      </c>
      <c r="AO409" s="3"/>
      <c r="AP409">
        <v>0</v>
      </c>
      <c r="AR409" t="s">
        <v>0</v>
      </c>
      <c r="AT409" s="2" t="s">
        <v>5</v>
      </c>
      <c r="AU409" s="1">
        <f t="shared" si="53"/>
        <v>1.5413476841612612</v>
      </c>
      <c r="AV409" s="1">
        <f t="shared" si="54"/>
        <v>1.1096173618948155</v>
      </c>
      <c r="AW409" s="1">
        <f t="shared" si="55"/>
        <v>0.67788703962836983</v>
      </c>
    </row>
    <row r="410" spans="1:49" x14ac:dyDescent="0.2">
      <c r="A410">
        <v>408</v>
      </c>
      <c r="B410" t="s">
        <v>4174</v>
      </c>
      <c r="C410" t="s">
        <v>4173</v>
      </c>
      <c r="D410" t="s">
        <v>4172</v>
      </c>
      <c r="F410" t="s">
        <v>4171</v>
      </c>
      <c r="G410" t="s">
        <v>4</v>
      </c>
      <c r="H410" t="s">
        <v>3</v>
      </c>
      <c r="I410" t="s">
        <v>3881</v>
      </c>
      <c r="J410" t="s">
        <v>4170</v>
      </c>
      <c r="K410" t="s">
        <v>4169</v>
      </c>
      <c r="L410" t="s">
        <v>4168</v>
      </c>
      <c r="M410" t="s">
        <v>4167</v>
      </c>
      <c r="N410">
        <v>3</v>
      </c>
      <c r="O410" t="s">
        <v>4166</v>
      </c>
      <c r="P410" t="s">
        <v>4165</v>
      </c>
      <c r="Q410" t="s">
        <v>4164</v>
      </c>
      <c r="R410" s="8">
        <v>35765</v>
      </c>
      <c r="S410" s="9">
        <f t="shared" si="48"/>
        <v>1997</v>
      </c>
      <c r="T410" s="9">
        <v>1997</v>
      </c>
      <c r="U410" s="9">
        <f t="shared" si="49"/>
        <v>25</v>
      </c>
      <c r="V410" s="8">
        <v>1997</v>
      </c>
      <c r="W410" t="s">
        <v>4163</v>
      </c>
      <c r="X410" s="2">
        <v>1.365</v>
      </c>
      <c r="Y410" s="7">
        <f t="shared" si="50"/>
        <v>3.6437895411227675E-2</v>
      </c>
      <c r="AA410">
        <v>189545</v>
      </c>
      <c r="AB410">
        <v>17393</v>
      </c>
      <c r="AD410" t="s">
        <v>1</v>
      </c>
      <c r="AE410">
        <v>46</v>
      </c>
      <c r="AF410">
        <v>1</v>
      </c>
      <c r="AH410" s="6">
        <v>44440</v>
      </c>
      <c r="AI410" t="s">
        <v>4162</v>
      </c>
      <c r="AK410" t="s">
        <v>4161</v>
      </c>
      <c r="AL410">
        <v>42</v>
      </c>
      <c r="AM410" s="5">
        <f t="shared" si="51"/>
        <v>1.68</v>
      </c>
      <c r="AN410" s="4">
        <f t="shared" si="52"/>
        <v>2.5444907232109047E-3</v>
      </c>
      <c r="AO410" s="3"/>
      <c r="AP410">
        <v>0</v>
      </c>
      <c r="AR410" t="s">
        <v>0</v>
      </c>
      <c r="AT410" s="2" t="s">
        <v>5</v>
      </c>
      <c r="AU410" s="1">
        <f t="shared" si="53"/>
        <v>2.626987400482264</v>
      </c>
      <c r="AV410" s="1">
        <f t="shared" si="54"/>
        <v>1.949119306721929</v>
      </c>
      <c r="AW410" s="1">
        <f t="shared" si="55"/>
        <v>1.2712512129615934</v>
      </c>
    </row>
    <row r="411" spans="1:49" x14ac:dyDescent="0.2">
      <c r="A411">
        <v>409</v>
      </c>
      <c r="B411" t="s">
        <v>4160</v>
      </c>
      <c r="C411" t="s">
        <v>4159</v>
      </c>
      <c r="D411" t="s">
        <v>4158</v>
      </c>
      <c r="F411" t="s">
        <v>4157</v>
      </c>
      <c r="G411" t="s">
        <v>4</v>
      </c>
      <c r="H411" t="s">
        <v>3</v>
      </c>
      <c r="I411" t="s">
        <v>4156</v>
      </c>
      <c r="J411" t="s">
        <v>4155</v>
      </c>
      <c r="K411" t="s">
        <v>4154</v>
      </c>
      <c r="L411" t="s">
        <v>4153</v>
      </c>
      <c r="M411" t="s">
        <v>64</v>
      </c>
      <c r="N411">
        <v>3</v>
      </c>
      <c r="O411" t="s">
        <v>4152</v>
      </c>
      <c r="P411" t="s">
        <v>4151</v>
      </c>
      <c r="Q411" t="s">
        <v>4150</v>
      </c>
      <c r="R411" s="8">
        <v>35765</v>
      </c>
      <c r="S411" s="9">
        <f t="shared" si="48"/>
        <v>1997</v>
      </c>
      <c r="T411" s="9">
        <v>1997</v>
      </c>
      <c r="U411" s="9">
        <f t="shared" si="49"/>
        <v>25</v>
      </c>
      <c r="V411" s="8">
        <v>1997</v>
      </c>
      <c r="W411" t="s">
        <v>4138</v>
      </c>
      <c r="X411" s="2">
        <v>0.9</v>
      </c>
      <c r="Y411" s="7">
        <f t="shared" si="50"/>
        <v>2.4024985985424845E-2</v>
      </c>
      <c r="AA411">
        <v>9630252</v>
      </c>
      <c r="AB411">
        <v>29614</v>
      </c>
      <c r="AD411" t="s">
        <v>1</v>
      </c>
      <c r="AE411">
        <v>6</v>
      </c>
      <c r="AF411">
        <v>1</v>
      </c>
      <c r="AH411" t="s">
        <v>4149</v>
      </c>
      <c r="AI411" t="s">
        <v>4148</v>
      </c>
      <c r="AK411" t="s">
        <v>4147</v>
      </c>
      <c r="AL411">
        <v>23</v>
      </c>
      <c r="AM411" s="5">
        <f t="shared" si="51"/>
        <v>0.92</v>
      </c>
      <c r="AN411" s="4">
        <f t="shared" si="52"/>
        <v>1.3934115865202575E-3</v>
      </c>
      <c r="AO411" s="3"/>
      <c r="AP411">
        <v>0</v>
      </c>
      <c r="AR411" t="s">
        <v>0</v>
      </c>
      <c r="AT411" s="2" t="s">
        <v>5</v>
      </c>
      <c r="AU411" s="1">
        <f t="shared" si="53"/>
        <v>1.7235513665753468</v>
      </c>
      <c r="AV411" s="1">
        <f t="shared" si="54"/>
        <v>1.2709198785972551</v>
      </c>
      <c r="AW411" s="1">
        <f t="shared" si="55"/>
        <v>0.81828839061916336</v>
      </c>
    </row>
    <row r="412" spans="1:49" x14ac:dyDescent="0.2">
      <c r="A412">
        <v>410</v>
      </c>
      <c r="B412" t="s">
        <v>4146</v>
      </c>
      <c r="C412" t="s">
        <v>4145</v>
      </c>
      <c r="D412" t="s">
        <v>4144</v>
      </c>
      <c r="F412" t="s">
        <v>4143</v>
      </c>
      <c r="G412" t="s">
        <v>4</v>
      </c>
      <c r="H412" t="s">
        <v>3</v>
      </c>
      <c r="I412" t="s">
        <v>4142</v>
      </c>
      <c r="J412">
        <v>60004956</v>
      </c>
      <c r="K412" t="s">
        <v>252</v>
      </c>
      <c r="L412" t="s">
        <v>254</v>
      </c>
      <c r="M412" t="s">
        <v>253</v>
      </c>
      <c r="N412">
        <v>3</v>
      </c>
      <c r="O412" t="s">
        <v>4141</v>
      </c>
      <c r="P412" t="s">
        <v>4140</v>
      </c>
      <c r="Q412" t="s">
        <v>4139</v>
      </c>
      <c r="R412" s="8">
        <v>35765</v>
      </c>
      <c r="S412" s="9">
        <f t="shared" si="48"/>
        <v>1997</v>
      </c>
      <c r="T412" s="9">
        <v>1997</v>
      </c>
      <c r="U412" s="9">
        <f t="shared" si="49"/>
        <v>25</v>
      </c>
      <c r="V412" s="8">
        <v>1997</v>
      </c>
      <c r="W412" t="s">
        <v>4138</v>
      </c>
      <c r="X412" s="2">
        <v>0.9</v>
      </c>
      <c r="Y412" s="7">
        <f t="shared" si="50"/>
        <v>2.4024985985424845E-2</v>
      </c>
      <c r="AA412">
        <v>9630252</v>
      </c>
      <c r="AB412">
        <v>29614</v>
      </c>
      <c r="AD412" t="s">
        <v>1</v>
      </c>
      <c r="AE412">
        <v>6</v>
      </c>
      <c r="AF412">
        <v>1</v>
      </c>
      <c r="AH412" t="s">
        <v>4137</v>
      </c>
      <c r="AI412" t="s">
        <v>4136</v>
      </c>
      <c r="AK412" t="s">
        <v>4135</v>
      </c>
      <c r="AL412">
        <v>7</v>
      </c>
      <c r="AM412" s="5">
        <f t="shared" si="51"/>
        <v>0.28000000000000003</v>
      </c>
      <c r="AN412" s="4">
        <f t="shared" si="52"/>
        <v>4.2408178720181755E-4</v>
      </c>
      <c r="AO412" s="3"/>
      <c r="AP412">
        <v>0</v>
      </c>
      <c r="AR412" t="s">
        <v>0</v>
      </c>
      <c r="AT412" s="2" t="s">
        <v>5</v>
      </c>
      <c r="AU412" s="1">
        <f t="shared" si="53"/>
        <v>1.6944714725957937</v>
      </c>
      <c r="AV412" s="1">
        <f t="shared" si="54"/>
        <v>1.2224533886313331</v>
      </c>
      <c r="AW412" s="1">
        <f t="shared" si="55"/>
        <v>0.75043530466687258</v>
      </c>
    </row>
    <row r="413" spans="1:49" x14ac:dyDescent="0.2">
      <c r="A413">
        <v>411</v>
      </c>
      <c r="B413" t="s">
        <v>4134</v>
      </c>
      <c r="C413" t="s">
        <v>4133</v>
      </c>
      <c r="D413" t="s">
        <v>4132</v>
      </c>
      <c r="F413" t="s">
        <v>4131</v>
      </c>
      <c r="G413" t="s">
        <v>4</v>
      </c>
      <c r="H413" t="s">
        <v>3</v>
      </c>
      <c r="I413" t="s">
        <v>4130</v>
      </c>
      <c r="J413">
        <v>60030469</v>
      </c>
      <c r="K413" t="s">
        <v>4129</v>
      </c>
      <c r="L413" t="s">
        <v>4128</v>
      </c>
      <c r="M413" t="s">
        <v>8</v>
      </c>
      <c r="N413">
        <v>3</v>
      </c>
      <c r="O413" t="s">
        <v>4127</v>
      </c>
      <c r="P413" t="s">
        <v>4126</v>
      </c>
      <c r="Q413" t="s">
        <v>4125</v>
      </c>
      <c r="R413" s="8">
        <v>35765</v>
      </c>
      <c r="S413" s="9">
        <f t="shared" si="48"/>
        <v>1997</v>
      </c>
      <c r="T413" s="9">
        <v>1997</v>
      </c>
      <c r="U413" s="9">
        <f t="shared" si="49"/>
        <v>25</v>
      </c>
      <c r="V413" s="8">
        <v>1997</v>
      </c>
      <c r="W413" t="s">
        <v>448</v>
      </c>
      <c r="X413" s="2">
        <v>1.3720000000000001</v>
      </c>
      <c r="Y413" s="7">
        <f t="shared" si="50"/>
        <v>3.662475641333654E-2</v>
      </c>
      <c r="AA413">
        <v>189480</v>
      </c>
      <c r="AB413">
        <v>17366</v>
      </c>
      <c r="AD413" t="s">
        <v>1</v>
      </c>
      <c r="AE413">
        <v>45</v>
      </c>
      <c r="AF413">
        <v>2</v>
      </c>
      <c r="AH413" t="s">
        <v>4124</v>
      </c>
      <c r="AI413" t="s">
        <v>4123</v>
      </c>
      <c r="AJ413" t="s">
        <v>4122</v>
      </c>
      <c r="AK413" t="s">
        <v>4121</v>
      </c>
      <c r="AL413">
        <v>25</v>
      </c>
      <c r="AM413" s="5">
        <f t="shared" si="51"/>
        <v>1</v>
      </c>
      <c r="AN413" s="4">
        <f t="shared" si="52"/>
        <v>1.5145778114350624E-3</v>
      </c>
      <c r="AO413" s="3"/>
      <c r="AP413">
        <v>0</v>
      </c>
      <c r="AR413" t="s">
        <v>0</v>
      </c>
      <c r="AT413" s="2" t="s">
        <v>5</v>
      </c>
      <c r="AU413" s="1">
        <f t="shared" si="53"/>
        <v>2.6091702832766095</v>
      </c>
      <c r="AV413" s="1">
        <f t="shared" si="54"/>
        <v>1.90696671123858</v>
      </c>
      <c r="AW413" s="1">
        <f t="shared" si="55"/>
        <v>1.2047631392005507</v>
      </c>
    </row>
    <row r="414" spans="1:49" x14ac:dyDescent="0.2">
      <c r="A414">
        <v>412</v>
      </c>
      <c r="B414" t="s">
        <v>4120</v>
      </c>
      <c r="C414" t="s">
        <v>4119</v>
      </c>
      <c r="D414" t="s">
        <v>4118</v>
      </c>
      <c r="F414" t="s">
        <v>4117</v>
      </c>
      <c r="G414" t="s">
        <v>4</v>
      </c>
      <c r="H414" t="s">
        <v>3</v>
      </c>
      <c r="I414" t="s">
        <v>4116</v>
      </c>
      <c r="J414">
        <v>60014662</v>
      </c>
      <c r="K414" t="s">
        <v>4115</v>
      </c>
      <c r="L414" t="s">
        <v>2741</v>
      </c>
      <c r="M414" t="s">
        <v>2</v>
      </c>
      <c r="N414">
        <v>3</v>
      </c>
      <c r="O414" t="s">
        <v>4114</v>
      </c>
      <c r="P414" t="s">
        <v>4113</v>
      </c>
      <c r="Q414" t="s">
        <v>4112</v>
      </c>
      <c r="R414" s="8">
        <v>35765</v>
      </c>
      <c r="S414" s="9">
        <f t="shared" si="48"/>
        <v>1997</v>
      </c>
      <c r="T414" s="9">
        <v>1997</v>
      </c>
      <c r="U414" s="9">
        <f t="shared" si="49"/>
        <v>25</v>
      </c>
      <c r="V414" s="8">
        <v>1997</v>
      </c>
      <c r="W414" t="s">
        <v>448</v>
      </c>
      <c r="X414" s="2">
        <v>1.3720000000000001</v>
      </c>
      <c r="Y414" s="7">
        <f t="shared" si="50"/>
        <v>3.662475641333654E-2</v>
      </c>
      <c r="AA414">
        <v>189480</v>
      </c>
      <c r="AB414">
        <v>17366</v>
      </c>
      <c r="AD414" t="s">
        <v>1</v>
      </c>
      <c r="AE414">
        <v>45</v>
      </c>
      <c r="AF414">
        <v>2</v>
      </c>
      <c r="AH414" t="s">
        <v>4111</v>
      </c>
      <c r="AI414" t="s">
        <v>4110</v>
      </c>
      <c r="AJ414" t="s">
        <v>4109</v>
      </c>
      <c r="AK414" t="s">
        <v>4108</v>
      </c>
      <c r="AL414">
        <v>32</v>
      </c>
      <c r="AM414" s="5">
        <f t="shared" si="51"/>
        <v>1.28</v>
      </c>
      <c r="AN414" s="4">
        <f t="shared" si="52"/>
        <v>1.93865959863688E-3</v>
      </c>
      <c r="AO414" s="3"/>
      <c r="AP414">
        <v>0</v>
      </c>
      <c r="AQ414" t="s">
        <v>312</v>
      </c>
      <c r="AR414" t="s">
        <v>0</v>
      </c>
      <c r="AS414" t="s">
        <v>311</v>
      </c>
      <c r="AT414" s="2" t="s">
        <v>5</v>
      </c>
      <c r="AU414" s="1">
        <f t="shared" si="53"/>
        <v>2.6218927368926637</v>
      </c>
      <c r="AV414" s="1">
        <f t="shared" si="54"/>
        <v>1.9281708005986709</v>
      </c>
      <c r="AW414" s="1">
        <f t="shared" si="55"/>
        <v>1.2344488643046778</v>
      </c>
    </row>
    <row r="415" spans="1:49" x14ac:dyDescent="0.2">
      <c r="A415">
        <v>413</v>
      </c>
      <c r="B415" t="s">
        <v>4107</v>
      </c>
      <c r="F415" t="s">
        <v>4106</v>
      </c>
      <c r="G415" t="s">
        <v>4</v>
      </c>
      <c r="H415" t="s">
        <v>3</v>
      </c>
      <c r="I415" t="s">
        <v>4105</v>
      </c>
      <c r="J415">
        <v>60011313</v>
      </c>
      <c r="K415" t="s">
        <v>394</v>
      </c>
      <c r="L415" t="s">
        <v>393</v>
      </c>
      <c r="M415" t="s">
        <v>247</v>
      </c>
      <c r="N415">
        <v>2</v>
      </c>
      <c r="O415" t="s">
        <v>4104</v>
      </c>
      <c r="P415" t="s">
        <v>4103</v>
      </c>
      <c r="Q415" t="s">
        <v>4102</v>
      </c>
      <c r="R415" s="8">
        <v>35765</v>
      </c>
      <c r="S415" s="9">
        <f t="shared" si="48"/>
        <v>1997</v>
      </c>
      <c r="T415" s="9">
        <v>1997</v>
      </c>
      <c r="U415" s="9">
        <f t="shared" si="49"/>
        <v>25</v>
      </c>
      <c r="V415" s="8">
        <v>1997</v>
      </c>
      <c r="W415" t="s">
        <v>4101</v>
      </c>
      <c r="X415" s="2" t="s">
        <v>5</v>
      </c>
      <c r="Y415" s="7" t="e">
        <f t="shared" si="50"/>
        <v>#VALUE!</v>
      </c>
      <c r="AA415">
        <v>14338</v>
      </c>
      <c r="AB415">
        <v>14083</v>
      </c>
      <c r="AD415" t="s">
        <v>1</v>
      </c>
      <c r="AE415">
        <v>33</v>
      </c>
      <c r="AF415">
        <v>1</v>
      </c>
      <c r="AH415" t="s">
        <v>4100</v>
      </c>
      <c r="AI415" t="s">
        <v>4099</v>
      </c>
      <c r="AK415" t="s">
        <v>4098</v>
      </c>
      <c r="AL415">
        <v>0</v>
      </c>
      <c r="AM415" s="5">
        <f t="shared" si="51"/>
        <v>0</v>
      </c>
      <c r="AN415" s="4">
        <f t="shared" si="52"/>
        <v>0</v>
      </c>
      <c r="AO415" s="3"/>
      <c r="AP415">
        <v>0</v>
      </c>
      <c r="AR415" t="s">
        <v>0</v>
      </c>
      <c r="AT415" s="2" t="s">
        <v>5</v>
      </c>
      <c r="AU415" s="1" t="e">
        <f t="shared" si="53"/>
        <v>#VALUE!</v>
      </c>
      <c r="AV415" s="1" t="e">
        <f t="shared" si="54"/>
        <v>#VALUE!</v>
      </c>
      <c r="AW415" s="1" t="e">
        <f t="shared" si="55"/>
        <v>#VALUE!</v>
      </c>
    </row>
    <row r="416" spans="1:49" x14ac:dyDescent="0.2">
      <c r="A416">
        <v>414</v>
      </c>
      <c r="B416" t="s">
        <v>4097</v>
      </c>
      <c r="C416" t="s">
        <v>4096</v>
      </c>
      <c r="D416" t="s">
        <v>4095</v>
      </c>
      <c r="F416" t="s">
        <v>4094</v>
      </c>
      <c r="G416" t="s">
        <v>4</v>
      </c>
      <c r="H416" t="s">
        <v>3</v>
      </c>
      <c r="I416" t="s">
        <v>4093</v>
      </c>
      <c r="J416">
        <v>60000745</v>
      </c>
      <c r="K416" t="s">
        <v>415</v>
      </c>
      <c r="L416" t="s">
        <v>414</v>
      </c>
      <c r="M416" t="s">
        <v>2</v>
      </c>
      <c r="N416">
        <v>2</v>
      </c>
      <c r="O416" t="s">
        <v>4092</v>
      </c>
      <c r="P416" t="s">
        <v>4091</v>
      </c>
      <c r="Q416" t="s">
        <v>413</v>
      </c>
      <c r="R416" s="8">
        <v>35765</v>
      </c>
      <c r="S416" s="9">
        <f t="shared" si="48"/>
        <v>1997</v>
      </c>
      <c r="T416" s="9">
        <v>1997</v>
      </c>
      <c r="U416" s="9">
        <f t="shared" si="49"/>
        <v>25</v>
      </c>
      <c r="V416" s="8">
        <v>1997</v>
      </c>
      <c r="W416" t="s">
        <v>392</v>
      </c>
      <c r="X416" s="2">
        <v>1.6519999999999999</v>
      </c>
      <c r="Y416" s="7">
        <f t="shared" si="50"/>
        <v>4.409919649769093E-2</v>
      </c>
      <c r="AA416" t="s">
        <v>391</v>
      </c>
      <c r="AB416">
        <v>17337</v>
      </c>
      <c r="AD416" t="s">
        <v>1</v>
      </c>
      <c r="AE416">
        <v>45</v>
      </c>
      <c r="AF416">
        <v>1</v>
      </c>
      <c r="AH416" t="s">
        <v>4090</v>
      </c>
      <c r="AI416" t="s">
        <v>4089</v>
      </c>
      <c r="AJ416" t="s">
        <v>272</v>
      </c>
      <c r="AK416" t="s">
        <v>4088</v>
      </c>
      <c r="AL416">
        <v>36</v>
      </c>
      <c r="AM416" s="5">
        <f t="shared" si="51"/>
        <v>1.44</v>
      </c>
      <c r="AN416" s="4">
        <f t="shared" si="52"/>
        <v>2.18099204846649E-3</v>
      </c>
      <c r="AO416" s="3"/>
      <c r="AP416">
        <v>0</v>
      </c>
      <c r="AQ416" t="s">
        <v>157</v>
      </c>
      <c r="AR416" t="s">
        <v>4087</v>
      </c>
      <c r="AS416" t="s">
        <v>156</v>
      </c>
      <c r="AT416" s="2" t="s">
        <v>5</v>
      </c>
      <c r="AU416" s="1">
        <f t="shared" si="53"/>
        <v>3.1523735162923594</v>
      </c>
      <c r="AV416" s="1">
        <f t="shared" si="54"/>
        <v>2.3140094273078708</v>
      </c>
      <c r="AW416" s="1">
        <f t="shared" si="55"/>
        <v>1.4756453383233821</v>
      </c>
    </row>
    <row r="417" spans="1:49" x14ac:dyDescent="0.2">
      <c r="A417">
        <v>415</v>
      </c>
      <c r="B417" t="s">
        <v>4086</v>
      </c>
      <c r="C417" t="s">
        <v>4085</v>
      </c>
      <c r="F417" t="s">
        <v>4084</v>
      </c>
      <c r="G417" t="s">
        <v>4</v>
      </c>
      <c r="H417" t="s">
        <v>3</v>
      </c>
      <c r="I417" t="s">
        <v>4083</v>
      </c>
      <c r="J417">
        <v>60012708</v>
      </c>
      <c r="K417" t="s">
        <v>452</v>
      </c>
      <c r="L417" t="s">
        <v>451</v>
      </c>
      <c r="M417" t="s">
        <v>2</v>
      </c>
      <c r="N417">
        <v>3</v>
      </c>
      <c r="O417" t="s">
        <v>4082</v>
      </c>
      <c r="P417" t="s">
        <v>4081</v>
      </c>
      <c r="Q417" t="s">
        <v>4080</v>
      </c>
      <c r="R417" s="8">
        <v>35765</v>
      </c>
      <c r="S417" s="9">
        <f t="shared" si="48"/>
        <v>1997</v>
      </c>
      <c r="T417" s="9">
        <v>1997</v>
      </c>
      <c r="U417" s="9">
        <f t="shared" si="49"/>
        <v>25</v>
      </c>
      <c r="V417" s="8">
        <v>1997</v>
      </c>
      <c r="W417" t="s">
        <v>3874</v>
      </c>
      <c r="X417" s="2">
        <v>0.92900000000000005</v>
      </c>
      <c r="Y417" s="7">
        <f t="shared" si="50"/>
        <v>2.4799124422732979E-2</v>
      </c>
      <c r="AA417">
        <v>10897798</v>
      </c>
      <c r="AB417">
        <v>18896</v>
      </c>
      <c r="AD417" t="s">
        <v>1</v>
      </c>
      <c r="AE417">
        <v>1</v>
      </c>
      <c r="AF417">
        <v>1</v>
      </c>
      <c r="AH417" s="10">
        <v>41974</v>
      </c>
      <c r="AI417" t="s">
        <v>4079</v>
      </c>
      <c r="AK417" t="s">
        <v>4078</v>
      </c>
      <c r="AL417">
        <v>136</v>
      </c>
      <c r="AM417" s="5">
        <f t="shared" si="51"/>
        <v>5.44</v>
      </c>
      <c r="AN417" s="4">
        <f t="shared" si="52"/>
        <v>8.2393032942067405E-3</v>
      </c>
      <c r="AO417" s="3"/>
      <c r="AP417">
        <v>0</v>
      </c>
      <c r="AR417" t="s">
        <v>0</v>
      </c>
      <c r="AT417" s="2">
        <v>3.4359999999999999</v>
      </c>
      <c r="AU417" s="1">
        <f t="shared" si="53"/>
        <v>1.9831178084175105</v>
      </c>
      <c r="AV417" s="1">
        <f t="shared" si="54"/>
        <v>1.6519213858469859</v>
      </c>
      <c r="AW417" s="1">
        <f t="shared" si="55"/>
        <v>1.3207249632764613</v>
      </c>
    </row>
    <row r="418" spans="1:49" x14ac:dyDescent="0.2">
      <c r="A418">
        <v>416</v>
      </c>
      <c r="B418" t="s">
        <v>4077</v>
      </c>
      <c r="C418" t="s">
        <v>4076</v>
      </c>
      <c r="F418" t="s">
        <v>4075</v>
      </c>
      <c r="G418" t="s">
        <v>4</v>
      </c>
      <c r="H418" t="s">
        <v>3</v>
      </c>
      <c r="I418" t="s">
        <v>4074</v>
      </c>
      <c r="J418">
        <v>60004923</v>
      </c>
      <c r="K418" t="s">
        <v>4073</v>
      </c>
      <c r="L418" t="s">
        <v>4072</v>
      </c>
      <c r="M418" t="s">
        <v>2</v>
      </c>
      <c r="N418">
        <v>2</v>
      </c>
      <c r="O418" t="s">
        <v>4071</v>
      </c>
      <c r="P418" t="s">
        <v>4070</v>
      </c>
      <c r="Q418" t="s">
        <v>4069</v>
      </c>
      <c r="R418" s="8">
        <v>35765</v>
      </c>
      <c r="S418" s="9">
        <f t="shared" si="48"/>
        <v>1997</v>
      </c>
      <c r="T418" s="9">
        <v>1997</v>
      </c>
      <c r="U418" s="9">
        <f t="shared" si="49"/>
        <v>25</v>
      </c>
      <c r="V418" s="8">
        <v>1997</v>
      </c>
      <c r="W418" t="s">
        <v>3874</v>
      </c>
      <c r="X418" s="2">
        <v>0.92900000000000005</v>
      </c>
      <c r="Y418" s="7">
        <f t="shared" si="50"/>
        <v>2.4799124422732979E-2</v>
      </c>
      <c r="AA418">
        <v>10897798</v>
      </c>
      <c r="AB418">
        <v>18896</v>
      </c>
      <c r="AD418" t="s">
        <v>1</v>
      </c>
      <c r="AE418">
        <v>1</v>
      </c>
      <c r="AF418">
        <v>1</v>
      </c>
      <c r="AH418" t="s">
        <v>181</v>
      </c>
      <c r="AI418" t="s">
        <v>4068</v>
      </c>
      <c r="AK418" t="s">
        <v>4067</v>
      </c>
      <c r="AL418">
        <v>8</v>
      </c>
      <c r="AM418" s="5">
        <f t="shared" si="51"/>
        <v>0.32</v>
      </c>
      <c r="AN418" s="4">
        <f t="shared" si="52"/>
        <v>4.8466489965922E-4</v>
      </c>
      <c r="AO418" s="3"/>
      <c r="AP418">
        <v>0</v>
      </c>
      <c r="AQ418" t="s">
        <v>53</v>
      </c>
      <c r="AR418" t="s">
        <v>4066</v>
      </c>
      <c r="AS418" t="s">
        <v>52</v>
      </c>
      <c r="AT418" s="2">
        <v>3.4359999999999999</v>
      </c>
      <c r="AU418" s="1">
        <f t="shared" si="53"/>
        <v>1.750478656581085</v>
      </c>
      <c r="AV418" s="1">
        <f t="shared" si="54"/>
        <v>1.26418946611961</v>
      </c>
      <c r="AW418" s="1">
        <f t="shared" si="55"/>
        <v>0.77790027565813469</v>
      </c>
    </row>
    <row r="419" spans="1:49" x14ac:dyDescent="0.2">
      <c r="A419">
        <v>417</v>
      </c>
      <c r="B419" t="s">
        <v>4065</v>
      </c>
      <c r="C419" t="s">
        <v>4064</v>
      </c>
      <c r="D419" t="s">
        <v>4063</v>
      </c>
      <c r="F419" t="s">
        <v>4062</v>
      </c>
      <c r="G419" t="s">
        <v>4</v>
      </c>
      <c r="H419" t="s">
        <v>3</v>
      </c>
      <c r="I419" t="s">
        <v>4061</v>
      </c>
      <c r="J419">
        <v>60005429</v>
      </c>
      <c r="K419" t="s">
        <v>3760</v>
      </c>
      <c r="L419" t="s">
        <v>348</v>
      </c>
      <c r="M419" t="s">
        <v>250</v>
      </c>
      <c r="N419">
        <v>2</v>
      </c>
      <c r="O419" t="s">
        <v>4060</v>
      </c>
      <c r="P419" t="s">
        <v>4059</v>
      </c>
      <c r="Q419" t="s">
        <v>3757</v>
      </c>
      <c r="R419" s="8">
        <v>35765</v>
      </c>
      <c r="S419" s="9">
        <f t="shared" si="48"/>
        <v>1997</v>
      </c>
      <c r="T419" s="9">
        <v>1997</v>
      </c>
      <c r="U419" s="9">
        <f t="shared" si="49"/>
        <v>25</v>
      </c>
      <c r="V419" s="8">
        <v>1997</v>
      </c>
      <c r="W419" t="s">
        <v>392</v>
      </c>
      <c r="X419" s="2">
        <v>1.6519999999999999</v>
      </c>
      <c r="Y419" s="7">
        <f t="shared" si="50"/>
        <v>4.409919649769093E-2</v>
      </c>
      <c r="AA419" t="s">
        <v>391</v>
      </c>
      <c r="AB419">
        <v>17337</v>
      </c>
      <c r="AD419" t="s">
        <v>1</v>
      </c>
      <c r="AE419">
        <v>45</v>
      </c>
      <c r="AF419">
        <v>1</v>
      </c>
      <c r="AH419" t="s">
        <v>4058</v>
      </c>
      <c r="AI419" t="s">
        <v>4057</v>
      </c>
      <c r="AJ419" t="s">
        <v>3984</v>
      </c>
      <c r="AK419" t="s">
        <v>4056</v>
      </c>
      <c r="AL419">
        <v>137</v>
      </c>
      <c r="AM419" s="5">
        <f t="shared" si="51"/>
        <v>5.48</v>
      </c>
      <c r="AN419" s="4">
        <f t="shared" si="52"/>
        <v>8.2998864066641427E-3</v>
      </c>
      <c r="AO419" s="3"/>
      <c r="AP419">
        <v>0</v>
      </c>
      <c r="AQ419" t="s">
        <v>362</v>
      </c>
      <c r="AR419" t="s">
        <v>4055</v>
      </c>
      <c r="AS419" t="s">
        <v>361</v>
      </c>
      <c r="AT419" s="2" t="s">
        <v>5</v>
      </c>
      <c r="AU419" s="1">
        <f t="shared" si="53"/>
        <v>3.3359403470382896</v>
      </c>
      <c r="AV419" s="1">
        <f t="shared" si="54"/>
        <v>2.6199541452177537</v>
      </c>
      <c r="AW419" s="1">
        <f t="shared" si="55"/>
        <v>1.9039679433972179</v>
      </c>
    </row>
    <row r="420" spans="1:49" x14ac:dyDescent="0.2">
      <c r="A420">
        <v>418</v>
      </c>
      <c r="B420" t="s">
        <v>4054</v>
      </c>
      <c r="C420" t="s">
        <v>4053</v>
      </c>
      <c r="D420" t="s">
        <v>4052</v>
      </c>
      <c r="F420" t="s">
        <v>4051</v>
      </c>
      <c r="G420" t="s">
        <v>4</v>
      </c>
      <c r="H420" t="s">
        <v>3</v>
      </c>
      <c r="I420" t="s">
        <v>4050</v>
      </c>
      <c r="J420">
        <v>60009037</v>
      </c>
      <c r="K420" t="s">
        <v>314</v>
      </c>
      <c r="L420" t="s">
        <v>313</v>
      </c>
      <c r="M420" t="s">
        <v>2</v>
      </c>
      <c r="N420">
        <v>3</v>
      </c>
      <c r="O420" t="s">
        <v>4049</v>
      </c>
      <c r="P420" t="s">
        <v>4048</v>
      </c>
      <c r="Q420" t="s">
        <v>3940</v>
      </c>
      <c r="R420" s="8">
        <v>35765</v>
      </c>
      <c r="S420" s="9">
        <f t="shared" si="48"/>
        <v>1997</v>
      </c>
      <c r="T420" s="9">
        <v>1997</v>
      </c>
      <c r="U420" s="9">
        <f t="shared" si="49"/>
        <v>25</v>
      </c>
      <c r="V420" s="8">
        <v>1997</v>
      </c>
      <c r="W420" t="s">
        <v>392</v>
      </c>
      <c r="X420" s="2">
        <v>1.6519999999999999</v>
      </c>
      <c r="Y420" s="7">
        <f t="shared" si="50"/>
        <v>4.409919649769093E-2</v>
      </c>
      <c r="AA420" t="s">
        <v>391</v>
      </c>
      <c r="AB420">
        <v>17337</v>
      </c>
      <c r="AD420" t="s">
        <v>1</v>
      </c>
      <c r="AE420">
        <v>45</v>
      </c>
      <c r="AF420">
        <v>1</v>
      </c>
      <c r="AH420" t="s">
        <v>4047</v>
      </c>
      <c r="AI420" t="s">
        <v>4046</v>
      </c>
      <c r="AJ420" t="s">
        <v>4045</v>
      </c>
      <c r="AK420" t="s">
        <v>4044</v>
      </c>
      <c r="AL420">
        <v>13</v>
      </c>
      <c r="AM420" s="5">
        <f t="shared" si="51"/>
        <v>0.52</v>
      </c>
      <c r="AN420" s="4">
        <f t="shared" si="52"/>
        <v>7.8758046194623253E-4</v>
      </c>
      <c r="AO420" s="3"/>
      <c r="AP420">
        <v>0</v>
      </c>
      <c r="AQ420" t="s">
        <v>312</v>
      </c>
      <c r="AR420" t="s">
        <v>0</v>
      </c>
      <c r="AS420" t="s">
        <v>311</v>
      </c>
      <c r="AT420" s="2" t="s">
        <v>5</v>
      </c>
      <c r="AU420" s="1">
        <f t="shared" si="53"/>
        <v>3.1105711686967519</v>
      </c>
      <c r="AV420" s="1">
        <f t="shared" si="54"/>
        <v>2.244338847981858</v>
      </c>
      <c r="AW420" s="1">
        <f t="shared" si="55"/>
        <v>1.3781065272669641</v>
      </c>
    </row>
    <row r="421" spans="1:49" x14ac:dyDescent="0.2">
      <c r="A421">
        <v>419</v>
      </c>
      <c r="B421" t="s">
        <v>4043</v>
      </c>
      <c r="C421" t="s">
        <v>4042</v>
      </c>
      <c r="F421" t="s">
        <v>4041</v>
      </c>
      <c r="G421" t="s">
        <v>4</v>
      </c>
      <c r="H421" t="s">
        <v>3</v>
      </c>
      <c r="I421" t="s">
        <v>4040</v>
      </c>
      <c r="J421">
        <v>100334861</v>
      </c>
      <c r="K421" t="s">
        <v>4039</v>
      </c>
      <c r="L421" t="s">
        <v>4038</v>
      </c>
      <c r="M421" t="s">
        <v>190</v>
      </c>
      <c r="N421">
        <v>1</v>
      </c>
      <c r="O421" t="s">
        <v>4037</v>
      </c>
      <c r="P421">
        <v>7403100563</v>
      </c>
      <c r="Q421">
        <v>100334861</v>
      </c>
      <c r="R421" s="8">
        <v>35765</v>
      </c>
      <c r="S421" s="9">
        <f t="shared" si="48"/>
        <v>1997</v>
      </c>
      <c r="T421" s="9">
        <v>1997</v>
      </c>
      <c r="U421" s="9">
        <f t="shared" si="49"/>
        <v>25</v>
      </c>
      <c r="V421" s="8">
        <v>1997</v>
      </c>
      <c r="W421" t="s">
        <v>3745</v>
      </c>
      <c r="X421" s="2">
        <v>1.137</v>
      </c>
      <c r="Y421" s="7">
        <f t="shared" si="50"/>
        <v>3.0351565628253384E-2</v>
      </c>
      <c r="AA421">
        <v>189251</v>
      </c>
      <c r="AB421">
        <v>17336</v>
      </c>
      <c r="AD421" t="s">
        <v>1</v>
      </c>
      <c r="AE421">
        <v>33</v>
      </c>
      <c r="AF421">
        <v>1</v>
      </c>
      <c r="AH421" t="s">
        <v>4036</v>
      </c>
      <c r="AI421" t="s">
        <v>4035</v>
      </c>
      <c r="AK421" t="s">
        <v>4034</v>
      </c>
      <c r="AL421">
        <v>1</v>
      </c>
      <c r="AM421" s="5">
        <f t="shared" si="51"/>
        <v>0.04</v>
      </c>
      <c r="AN421" s="4">
        <f t="shared" si="52"/>
        <v>6.05831124574025E-5</v>
      </c>
      <c r="AO421" s="3"/>
      <c r="AP421">
        <v>0</v>
      </c>
      <c r="AR421" t="s">
        <v>0</v>
      </c>
      <c r="AT421" s="2" t="s">
        <v>5</v>
      </c>
      <c r="AU421" s="1">
        <f t="shared" si="53"/>
        <v>2.126427087351459</v>
      </c>
      <c r="AV421" s="1">
        <f t="shared" si="54"/>
        <v>1.5206074370355394</v>
      </c>
      <c r="AW421" s="1">
        <f t="shared" si="55"/>
        <v>0.91478778671961969</v>
      </c>
    </row>
    <row r="422" spans="1:49" x14ac:dyDescent="0.2">
      <c r="A422">
        <v>420</v>
      </c>
      <c r="B422" t="s">
        <v>4033</v>
      </c>
      <c r="C422" t="s">
        <v>4032</v>
      </c>
      <c r="F422" t="s">
        <v>4031</v>
      </c>
      <c r="G422" t="s">
        <v>4</v>
      </c>
      <c r="H422" t="s">
        <v>3</v>
      </c>
      <c r="I422" t="s">
        <v>4030</v>
      </c>
      <c r="J422">
        <v>60005429</v>
      </c>
      <c r="K422" t="s">
        <v>3760</v>
      </c>
      <c r="L422" t="s">
        <v>348</v>
      </c>
      <c r="M422" t="s">
        <v>250</v>
      </c>
      <c r="N422">
        <v>4</v>
      </c>
      <c r="O422" t="s">
        <v>4029</v>
      </c>
      <c r="P422" t="s">
        <v>4028</v>
      </c>
      <c r="Q422" t="s">
        <v>4027</v>
      </c>
      <c r="R422" s="8">
        <v>35765</v>
      </c>
      <c r="S422" s="9">
        <f t="shared" si="48"/>
        <v>1997</v>
      </c>
      <c r="T422" s="9">
        <v>1997</v>
      </c>
      <c r="U422" s="9">
        <f t="shared" si="49"/>
        <v>25</v>
      </c>
      <c r="V422" s="8">
        <v>1997</v>
      </c>
      <c r="W422" t="s">
        <v>3745</v>
      </c>
      <c r="X422" s="2">
        <v>1.137</v>
      </c>
      <c r="Y422" s="7">
        <f t="shared" si="50"/>
        <v>3.0351565628253384E-2</v>
      </c>
      <c r="AA422">
        <v>189251</v>
      </c>
      <c r="AB422">
        <v>17336</v>
      </c>
      <c r="AD422" t="s">
        <v>1</v>
      </c>
      <c r="AE422">
        <v>33</v>
      </c>
      <c r="AF422">
        <v>1</v>
      </c>
      <c r="AH422" t="s">
        <v>432</v>
      </c>
      <c r="AI422" t="s">
        <v>4026</v>
      </c>
      <c r="AK422" t="s">
        <v>4025</v>
      </c>
      <c r="AL422">
        <v>4</v>
      </c>
      <c r="AM422" s="5">
        <f t="shared" si="51"/>
        <v>0.16</v>
      </c>
      <c r="AN422" s="4">
        <f t="shared" si="52"/>
        <v>2.4233244982961E-4</v>
      </c>
      <c r="AO422" s="3"/>
      <c r="AP422">
        <v>0</v>
      </c>
      <c r="AR422" t="s">
        <v>4024</v>
      </c>
      <c r="AT422" s="2" t="s">
        <v>5</v>
      </c>
      <c r="AU422" s="1">
        <f t="shared" si="53"/>
        <v>2.131879567472625</v>
      </c>
      <c r="AV422" s="1">
        <f t="shared" si="54"/>
        <v>1.5296949039041496</v>
      </c>
      <c r="AW422" s="1">
        <f t="shared" si="55"/>
        <v>0.9275102403356742</v>
      </c>
    </row>
    <row r="423" spans="1:49" x14ac:dyDescent="0.2">
      <c r="A423">
        <v>421</v>
      </c>
      <c r="B423" t="s">
        <v>4023</v>
      </c>
      <c r="C423" t="s">
        <v>4022</v>
      </c>
      <c r="F423" t="s">
        <v>4021</v>
      </c>
      <c r="G423" t="s">
        <v>4</v>
      </c>
      <c r="H423" t="s">
        <v>3</v>
      </c>
      <c r="I423" t="s">
        <v>4020</v>
      </c>
      <c r="N423">
        <v>1</v>
      </c>
      <c r="O423" t="s">
        <v>4019</v>
      </c>
      <c r="P423">
        <v>6701340409</v>
      </c>
      <c r="R423" s="8">
        <v>35765</v>
      </c>
      <c r="S423" s="9">
        <f t="shared" si="48"/>
        <v>1997</v>
      </c>
      <c r="T423" s="9">
        <v>1997</v>
      </c>
      <c r="U423" s="9">
        <f t="shared" si="49"/>
        <v>25</v>
      </c>
      <c r="V423" s="8">
        <v>1997</v>
      </c>
      <c r="W423" t="s">
        <v>3745</v>
      </c>
      <c r="X423" s="2">
        <v>1.137</v>
      </c>
      <c r="Y423" s="7">
        <f t="shared" si="50"/>
        <v>3.0351565628253384E-2</v>
      </c>
      <c r="AA423">
        <v>189251</v>
      </c>
      <c r="AB423">
        <v>17336</v>
      </c>
      <c r="AD423" t="s">
        <v>1</v>
      </c>
      <c r="AE423">
        <v>33</v>
      </c>
      <c r="AF423">
        <v>1</v>
      </c>
      <c r="AH423" t="s">
        <v>4018</v>
      </c>
      <c r="AI423" t="s">
        <v>4017</v>
      </c>
      <c r="AK423" t="s">
        <v>4016</v>
      </c>
      <c r="AL423">
        <v>1</v>
      </c>
      <c r="AM423" s="5">
        <f t="shared" si="51"/>
        <v>0.04</v>
      </c>
      <c r="AN423" s="4">
        <f t="shared" si="52"/>
        <v>6.05831124574025E-5</v>
      </c>
      <c r="AO423" s="3"/>
      <c r="AP423">
        <v>0</v>
      </c>
      <c r="AR423" t="s">
        <v>0</v>
      </c>
      <c r="AT423" s="2" t="s">
        <v>5</v>
      </c>
      <c r="AU423" s="1">
        <f t="shared" si="53"/>
        <v>2.126427087351459</v>
      </c>
      <c r="AV423" s="1">
        <f t="shared" si="54"/>
        <v>1.5206074370355394</v>
      </c>
      <c r="AW423" s="1">
        <f t="shared" si="55"/>
        <v>0.91478778671961969</v>
      </c>
    </row>
    <row r="424" spans="1:49" x14ac:dyDescent="0.2">
      <c r="A424">
        <v>422</v>
      </c>
      <c r="B424" t="s">
        <v>4015</v>
      </c>
      <c r="C424" t="s">
        <v>4014</v>
      </c>
      <c r="D424" t="s">
        <v>4013</v>
      </c>
      <c r="F424" t="s">
        <v>4012</v>
      </c>
      <c r="G424" t="s">
        <v>4</v>
      </c>
      <c r="H424" t="s">
        <v>3</v>
      </c>
      <c r="I424" t="s">
        <v>4011</v>
      </c>
      <c r="J424">
        <v>60015481</v>
      </c>
      <c r="K424" t="s">
        <v>397</v>
      </c>
      <c r="L424" t="s">
        <v>396</v>
      </c>
      <c r="M424" t="s">
        <v>2</v>
      </c>
      <c r="N424">
        <v>2</v>
      </c>
      <c r="O424" t="s">
        <v>4010</v>
      </c>
      <c r="P424" t="s">
        <v>4009</v>
      </c>
      <c r="Q424" t="s">
        <v>395</v>
      </c>
      <c r="R424" s="8">
        <v>35765</v>
      </c>
      <c r="S424" s="9">
        <f t="shared" si="48"/>
        <v>1997</v>
      </c>
      <c r="T424" s="9">
        <v>1997</v>
      </c>
      <c r="U424" s="9">
        <f t="shared" si="49"/>
        <v>25</v>
      </c>
      <c r="V424" s="8">
        <v>1997</v>
      </c>
      <c r="W424" t="s">
        <v>1803</v>
      </c>
      <c r="X424" s="2">
        <v>1.6379999999999999</v>
      </c>
      <c r="Y424" s="7">
        <f t="shared" si="50"/>
        <v>4.3725474493473214E-2</v>
      </c>
      <c r="AA424" t="s">
        <v>1802</v>
      </c>
      <c r="AB424">
        <v>17391</v>
      </c>
      <c r="AD424" t="s">
        <v>1</v>
      </c>
      <c r="AE424">
        <v>45</v>
      </c>
      <c r="AF424">
        <v>1</v>
      </c>
      <c r="AH424" t="s">
        <v>4008</v>
      </c>
      <c r="AI424" t="s">
        <v>4007</v>
      </c>
      <c r="AK424" t="s">
        <v>4006</v>
      </c>
      <c r="AL424">
        <v>3</v>
      </c>
      <c r="AM424" s="5">
        <f t="shared" si="51"/>
        <v>0.12</v>
      </c>
      <c r="AN424" s="4">
        <f t="shared" si="52"/>
        <v>1.8174933737220749E-4</v>
      </c>
      <c r="AO424" s="3"/>
      <c r="AP424">
        <v>0</v>
      </c>
      <c r="AQ424" t="s">
        <v>157</v>
      </c>
      <c r="AR424" t="s">
        <v>4005</v>
      </c>
      <c r="AS424" t="s">
        <v>156</v>
      </c>
      <c r="AT424" s="2">
        <v>4.931</v>
      </c>
      <c r="AU424" s="1">
        <f t="shared" si="53"/>
        <v>3.0662356946642912</v>
      </c>
      <c r="AV424" s="1">
        <f t="shared" si="54"/>
        <v>2.1953611915422711</v>
      </c>
      <c r="AW424" s="1">
        <f t="shared" si="55"/>
        <v>1.3244866884202509</v>
      </c>
    </row>
    <row r="425" spans="1:49" x14ac:dyDescent="0.2">
      <c r="A425">
        <v>423</v>
      </c>
      <c r="B425" t="s">
        <v>4004</v>
      </c>
      <c r="C425" t="s">
        <v>4003</v>
      </c>
      <c r="D425" t="s">
        <v>4002</v>
      </c>
      <c r="F425" t="s">
        <v>4001</v>
      </c>
      <c r="G425" t="s">
        <v>4</v>
      </c>
      <c r="H425" t="s">
        <v>3</v>
      </c>
      <c r="I425" t="s">
        <v>4000</v>
      </c>
      <c r="J425">
        <v>60015941</v>
      </c>
      <c r="K425" t="s">
        <v>437</v>
      </c>
      <c r="L425" t="s">
        <v>436</v>
      </c>
      <c r="M425" t="s">
        <v>2</v>
      </c>
      <c r="N425">
        <v>2</v>
      </c>
      <c r="O425" t="s">
        <v>3999</v>
      </c>
      <c r="P425" t="s">
        <v>3998</v>
      </c>
      <c r="Q425" t="s">
        <v>435</v>
      </c>
      <c r="R425" s="8">
        <v>35765</v>
      </c>
      <c r="S425" s="9">
        <f t="shared" si="48"/>
        <v>1997</v>
      </c>
      <c r="T425" s="9">
        <v>1997</v>
      </c>
      <c r="U425" s="9">
        <f t="shared" si="49"/>
        <v>25</v>
      </c>
      <c r="V425" s="8">
        <v>1997</v>
      </c>
      <c r="W425" t="s">
        <v>392</v>
      </c>
      <c r="X425" s="2">
        <v>1.6519999999999999</v>
      </c>
      <c r="Y425" s="7">
        <f t="shared" si="50"/>
        <v>4.409919649769093E-2</v>
      </c>
      <c r="AA425" t="s">
        <v>391</v>
      </c>
      <c r="AB425">
        <v>17337</v>
      </c>
      <c r="AD425" t="s">
        <v>1</v>
      </c>
      <c r="AE425">
        <v>45</v>
      </c>
      <c r="AF425">
        <v>1</v>
      </c>
      <c r="AH425" s="6">
        <v>44474</v>
      </c>
      <c r="AI425" t="s">
        <v>3997</v>
      </c>
      <c r="AJ425" t="s">
        <v>3996</v>
      </c>
      <c r="AK425" t="s">
        <v>3995</v>
      </c>
      <c r="AL425">
        <v>45</v>
      </c>
      <c r="AM425" s="5">
        <f t="shared" si="51"/>
        <v>1.8</v>
      </c>
      <c r="AN425" s="4">
        <f t="shared" si="52"/>
        <v>2.7262400605831123E-3</v>
      </c>
      <c r="AO425" s="3"/>
      <c r="AP425">
        <v>0</v>
      </c>
      <c r="AQ425" t="s">
        <v>53</v>
      </c>
      <c r="AR425" t="s">
        <v>0</v>
      </c>
      <c r="AS425" t="s">
        <v>52</v>
      </c>
      <c r="AT425" s="2" t="s">
        <v>5</v>
      </c>
      <c r="AU425" s="1">
        <f t="shared" si="53"/>
        <v>3.1687309566558581</v>
      </c>
      <c r="AV425" s="1">
        <f t="shared" si="54"/>
        <v>2.3412718279137024</v>
      </c>
      <c r="AW425" s="1">
        <f t="shared" si="55"/>
        <v>1.5138126991715457</v>
      </c>
    </row>
    <row r="426" spans="1:49" x14ac:dyDescent="0.2">
      <c r="A426">
        <v>424</v>
      </c>
      <c r="B426" t="s">
        <v>3994</v>
      </c>
      <c r="C426" t="s">
        <v>3993</v>
      </c>
      <c r="D426" t="s">
        <v>3992</v>
      </c>
      <c r="F426" t="s">
        <v>3991</v>
      </c>
      <c r="G426" t="s">
        <v>4</v>
      </c>
      <c r="H426" t="s">
        <v>3</v>
      </c>
      <c r="I426" t="s">
        <v>3990</v>
      </c>
      <c r="J426">
        <v>60000906</v>
      </c>
      <c r="K426" t="s">
        <v>3989</v>
      </c>
      <c r="L426" t="s">
        <v>3988</v>
      </c>
      <c r="M426" t="s">
        <v>3987</v>
      </c>
      <c r="N426">
        <v>1</v>
      </c>
      <c r="O426" t="s">
        <v>3986</v>
      </c>
      <c r="P426">
        <v>54679880700</v>
      </c>
      <c r="Q426">
        <v>60000906</v>
      </c>
      <c r="R426" s="8">
        <v>35765</v>
      </c>
      <c r="S426" s="9">
        <f t="shared" si="48"/>
        <v>1997</v>
      </c>
      <c r="T426" s="9">
        <v>1997</v>
      </c>
      <c r="U426" s="9">
        <f t="shared" si="49"/>
        <v>25</v>
      </c>
      <c r="V426" s="8">
        <v>1997</v>
      </c>
      <c r="W426" t="s">
        <v>392</v>
      </c>
      <c r="X426" s="2">
        <v>1.6519999999999999</v>
      </c>
      <c r="Y426" s="7">
        <f t="shared" si="50"/>
        <v>4.409919649769093E-2</v>
      </c>
      <c r="AA426" t="s">
        <v>391</v>
      </c>
      <c r="AB426">
        <v>17337</v>
      </c>
      <c r="AD426" t="s">
        <v>1</v>
      </c>
      <c r="AE426">
        <v>45</v>
      </c>
      <c r="AF426">
        <v>1</v>
      </c>
      <c r="AH426" t="s">
        <v>172</v>
      </c>
      <c r="AI426" t="s">
        <v>3985</v>
      </c>
      <c r="AJ426" t="s">
        <v>3984</v>
      </c>
      <c r="AK426" t="s">
        <v>3983</v>
      </c>
      <c r="AL426">
        <v>6</v>
      </c>
      <c r="AM426" s="5">
        <f t="shared" si="51"/>
        <v>0.24</v>
      </c>
      <c r="AN426" s="4">
        <f t="shared" si="52"/>
        <v>3.6349867474441499E-4</v>
      </c>
      <c r="AO426" s="3"/>
      <c r="AP426">
        <v>0</v>
      </c>
      <c r="AR426" t="s">
        <v>0</v>
      </c>
      <c r="AT426" s="2" t="s">
        <v>5</v>
      </c>
      <c r="AU426" s="1">
        <f t="shared" si="53"/>
        <v>3.0978487150806973</v>
      </c>
      <c r="AV426" s="1">
        <f t="shared" si="54"/>
        <v>2.2231347586217676</v>
      </c>
      <c r="AW426" s="1">
        <f t="shared" si="55"/>
        <v>1.3484208021628368</v>
      </c>
    </row>
    <row r="427" spans="1:49" x14ac:dyDescent="0.2">
      <c r="A427">
        <v>425</v>
      </c>
      <c r="B427" t="s">
        <v>3982</v>
      </c>
      <c r="C427" t="s">
        <v>3981</v>
      </c>
      <c r="F427" t="s">
        <v>3980</v>
      </c>
      <c r="G427" t="s">
        <v>4</v>
      </c>
      <c r="H427" t="s">
        <v>3</v>
      </c>
      <c r="I427" t="s">
        <v>3979</v>
      </c>
      <c r="J427">
        <v>101429555</v>
      </c>
      <c r="K427" t="s">
        <v>3978</v>
      </c>
      <c r="L427" t="s">
        <v>348</v>
      </c>
      <c r="M427" t="s">
        <v>250</v>
      </c>
      <c r="N427">
        <v>3</v>
      </c>
      <c r="O427" t="s">
        <v>3977</v>
      </c>
      <c r="P427" t="s">
        <v>3976</v>
      </c>
      <c r="Q427" t="s">
        <v>3975</v>
      </c>
      <c r="R427" s="8">
        <v>35765</v>
      </c>
      <c r="S427" s="9">
        <f t="shared" si="48"/>
        <v>1997</v>
      </c>
      <c r="T427" s="9">
        <v>1997</v>
      </c>
      <c r="U427" s="9">
        <f t="shared" si="49"/>
        <v>25</v>
      </c>
      <c r="V427" s="8">
        <v>1997</v>
      </c>
      <c r="W427" t="s">
        <v>3745</v>
      </c>
      <c r="X427" s="2">
        <v>1.137</v>
      </c>
      <c r="Y427" s="7">
        <f t="shared" si="50"/>
        <v>3.0351565628253384E-2</v>
      </c>
      <c r="AA427">
        <v>189251</v>
      </c>
      <c r="AB427">
        <v>17336</v>
      </c>
      <c r="AD427" t="s">
        <v>1</v>
      </c>
      <c r="AE427">
        <v>33</v>
      </c>
      <c r="AF427">
        <v>1</v>
      </c>
      <c r="AH427" t="s">
        <v>3974</v>
      </c>
      <c r="AI427" t="s">
        <v>3973</v>
      </c>
      <c r="AK427" t="s">
        <v>3972</v>
      </c>
      <c r="AL427">
        <v>5</v>
      </c>
      <c r="AM427" s="5">
        <f t="shared" si="51"/>
        <v>0.2</v>
      </c>
      <c r="AN427" s="4">
        <f t="shared" si="52"/>
        <v>3.0291556228701253E-4</v>
      </c>
      <c r="AO427" s="3"/>
      <c r="AP427">
        <v>0</v>
      </c>
      <c r="AQ427" t="s">
        <v>362</v>
      </c>
      <c r="AR427" t="s">
        <v>3971</v>
      </c>
      <c r="AS427" t="s">
        <v>361</v>
      </c>
      <c r="AT427" s="2" t="s">
        <v>5</v>
      </c>
      <c r="AU427" s="1">
        <f t="shared" si="53"/>
        <v>2.1336970608463472</v>
      </c>
      <c r="AV427" s="1">
        <f t="shared" si="54"/>
        <v>1.5327240595270197</v>
      </c>
      <c r="AW427" s="1">
        <f t="shared" si="55"/>
        <v>0.93175105820769244</v>
      </c>
    </row>
    <row r="428" spans="1:49" x14ac:dyDescent="0.2">
      <c r="A428">
        <v>426</v>
      </c>
      <c r="B428" t="s">
        <v>3970</v>
      </c>
      <c r="C428" t="s">
        <v>3969</v>
      </c>
      <c r="D428" t="s">
        <v>3968</v>
      </c>
      <c r="F428" t="s">
        <v>3967</v>
      </c>
      <c r="G428" t="s">
        <v>4</v>
      </c>
      <c r="H428" t="s">
        <v>3</v>
      </c>
      <c r="I428" t="s">
        <v>3966</v>
      </c>
      <c r="J428">
        <v>60021918</v>
      </c>
      <c r="K428" t="s">
        <v>723</v>
      </c>
      <c r="L428" t="s">
        <v>722</v>
      </c>
      <c r="M428" t="s">
        <v>2</v>
      </c>
      <c r="N428">
        <v>2</v>
      </c>
      <c r="O428" t="s">
        <v>3965</v>
      </c>
      <c r="P428" t="s">
        <v>3964</v>
      </c>
      <c r="Q428" t="s">
        <v>3963</v>
      </c>
      <c r="R428" s="8">
        <v>35765</v>
      </c>
      <c r="S428" s="9">
        <f t="shared" si="48"/>
        <v>1997</v>
      </c>
      <c r="T428" s="9">
        <v>1997</v>
      </c>
      <c r="U428" s="9">
        <f t="shared" si="49"/>
        <v>25</v>
      </c>
      <c r="V428" s="8">
        <v>1997</v>
      </c>
      <c r="W428" t="s">
        <v>1803</v>
      </c>
      <c r="X428" s="2">
        <v>1.6379999999999999</v>
      </c>
      <c r="Y428" s="7">
        <f t="shared" si="50"/>
        <v>4.3725474493473214E-2</v>
      </c>
      <c r="AA428" t="s">
        <v>1802</v>
      </c>
      <c r="AB428">
        <v>17391</v>
      </c>
      <c r="AD428" t="s">
        <v>1</v>
      </c>
      <c r="AE428">
        <v>45</v>
      </c>
      <c r="AF428">
        <v>1</v>
      </c>
      <c r="AH428" t="s">
        <v>3962</v>
      </c>
      <c r="AI428" t="s">
        <v>3961</v>
      </c>
      <c r="AK428" t="s">
        <v>3960</v>
      </c>
      <c r="AL428">
        <v>136</v>
      </c>
      <c r="AM428" s="5">
        <f t="shared" si="51"/>
        <v>5.44</v>
      </c>
      <c r="AN428" s="4">
        <f t="shared" si="52"/>
        <v>8.2393032942067405E-3</v>
      </c>
      <c r="AO428" s="3"/>
      <c r="AP428">
        <v>0</v>
      </c>
      <c r="AQ428" t="s">
        <v>598</v>
      </c>
      <c r="AR428" t="s">
        <v>3959</v>
      </c>
      <c r="AS428" t="s">
        <v>597</v>
      </c>
      <c r="AT428" s="2">
        <v>4.931</v>
      </c>
      <c r="AU428" s="1">
        <f t="shared" si="53"/>
        <v>3.3079623133693268</v>
      </c>
      <c r="AV428" s="1">
        <f t="shared" si="54"/>
        <v>2.5982388893839978</v>
      </c>
      <c r="AW428" s="1">
        <f t="shared" si="55"/>
        <v>1.8885154653986682</v>
      </c>
    </row>
    <row r="429" spans="1:49" x14ac:dyDescent="0.2">
      <c r="A429">
        <v>427</v>
      </c>
      <c r="B429" t="s">
        <v>3958</v>
      </c>
      <c r="C429" t="s">
        <v>3957</v>
      </c>
      <c r="D429" t="s">
        <v>3956</v>
      </c>
      <c r="F429" t="s">
        <v>3955</v>
      </c>
      <c r="G429" t="s">
        <v>4</v>
      </c>
      <c r="H429" t="s">
        <v>3</v>
      </c>
      <c r="I429" t="s">
        <v>3954</v>
      </c>
      <c r="J429">
        <v>60013372</v>
      </c>
      <c r="K429" t="s">
        <v>670</v>
      </c>
      <c r="L429" t="s">
        <v>669</v>
      </c>
      <c r="M429" t="s">
        <v>2</v>
      </c>
      <c r="N429">
        <v>2</v>
      </c>
      <c r="O429" t="s">
        <v>3953</v>
      </c>
      <c r="P429" t="s">
        <v>3952</v>
      </c>
      <c r="Q429" t="s">
        <v>3951</v>
      </c>
      <c r="R429" s="8">
        <v>35765</v>
      </c>
      <c r="S429" s="9">
        <f t="shared" si="48"/>
        <v>1997</v>
      </c>
      <c r="T429" s="9">
        <v>1997</v>
      </c>
      <c r="U429" s="9">
        <f t="shared" si="49"/>
        <v>25</v>
      </c>
      <c r="V429" s="8">
        <v>1997</v>
      </c>
      <c r="W429" t="s">
        <v>1803</v>
      </c>
      <c r="X429" s="2">
        <v>1.6379999999999999</v>
      </c>
      <c r="Y429" s="7">
        <f t="shared" si="50"/>
        <v>4.3725474493473214E-2</v>
      </c>
      <c r="AA429" t="s">
        <v>1802</v>
      </c>
      <c r="AB429">
        <v>17391</v>
      </c>
      <c r="AD429" t="s">
        <v>1</v>
      </c>
      <c r="AE429">
        <v>45</v>
      </c>
      <c r="AF429">
        <v>1</v>
      </c>
      <c r="AH429" t="s">
        <v>3950</v>
      </c>
      <c r="AI429" t="s">
        <v>3949</v>
      </c>
      <c r="AK429" t="s">
        <v>3948</v>
      </c>
      <c r="AL429">
        <v>226</v>
      </c>
      <c r="AM429" s="5">
        <f t="shared" si="51"/>
        <v>9.0399999999999991</v>
      </c>
      <c r="AN429" s="4">
        <f t="shared" si="52"/>
        <v>1.3691783415372964E-2</v>
      </c>
      <c r="AO429" s="3"/>
      <c r="AP429">
        <v>0</v>
      </c>
      <c r="AR429" t="s">
        <v>0</v>
      </c>
      <c r="AT429" s="2">
        <v>4.931</v>
      </c>
      <c r="AU429" s="1">
        <f t="shared" si="53"/>
        <v>3.4715367170043137</v>
      </c>
      <c r="AV429" s="1">
        <f t="shared" si="54"/>
        <v>2.870862895442309</v>
      </c>
      <c r="AW429" s="1">
        <f t="shared" si="55"/>
        <v>2.2701890738803039</v>
      </c>
    </row>
    <row r="430" spans="1:49" x14ac:dyDescent="0.2">
      <c r="A430">
        <v>428</v>
      </c>
      <c r="B430" t="s">
        <v>3947</v>
      </c>
      <c r="C430" t="s">
        <v>3946</v>
      </c>
      <c r="D430" t="s">
        <v>3945</v>
      </c>
      <c r="F430" t="s">
        <v>3944</v>
      </c>
      <c r="G430" t="s">
        <v>4</v>
      </c>
      <c r="H430" t="s">
        <v>3</v>
      </c>
      <c r="I430" t="s">
        <v>3943</v>
      </c>
      <c r="J430">
        <v>60009037</v>
      </c>
      <c r="K430" t="s">
        <v>314</v>
      </c>
      <c r="L430" t="s">
        <v>313</v>
      </c>
      <c r="M430" t="s">
        <v>2</v>
      </c>
      <c r="N430">
        <v>3</v>
      </c>
      <c r="O430" t="s">
        <v>3942</v>
      </c>
      <c r="P430" t="s">
        <v>3941</v>
      </c>
      <c r="Q430" t="s">
        <v>3940</v>
      </c>
      <c r="R430" s="8">
        <v>35765</v>
      </c>
      <c r="S430" s="9">
        <f t="shared" si="48"/>
        <v>1997</v>
      </c>
      <c r="T430" s="9">
        <v>1997</v>
      </c>
      <c r="U430" s="9">
        <f t="shared" si="49"/>
        <v>25</v>
      </c>
      <c r="V430" s="8">
        <v>1997</v>
      </c>
      <c r="W430" t="s">
        <v>1791</v>
      </c>
      <c r="X430" s="2">
        <v>2.141</v>
      </c>
      <c r="Y430" s="7">
        <f t="shared" si="50"/>
        <v>5.7152772216438434E-2</v>
      </c>
      <c r="AA430">
        <v>1962892</v>
      </c>
      <c r="AB430">
        <v>17360</v>
      </c>
      <c r="AD430" t="s">
        <v>1</v>
      </c>
      <c r="AE430">
        <v>35</v>
      </c>
      <c r="AF430">
        <v>1</v>
      </c>
      <c r="AH430" t="s">
        <v>3939</v>
      </c>
      <c r="AI430" t="s">
        <v>3938</v>
      </c>
      <c r="AJ430" t="s">
        <v>3937</v>
      </c>
      <c r="AK430" t="s">
        <v>3936</v>
      </c>
      <c r="AL430">
        <v>72</v>
      </c>
      <c r="AM430" s="5">
        <f t="shared" si="51"/>
        <v>2.88</v>
      </c>
      <c r="AN430" s="4">
        <f t="shared" si="52"/>
        <v>4.36198409693298E-3</v>
      </c>
      <c r="AO430" s="3"/>
      <c r="AP430">
        <v>0</v>
      </c>
      <c r="AR430" t="s">
        <v>0</v>
      </c>
      <c r="AT430" s="2" t="s">
        <v>5</v>
      </c>
      <c r="AU430" s="1">
        <f t="shared" si="53"/>
        <v>4.1315535780586794</v>
      </c>
      <c r="AV430" s="1">
        <f t="shared" si="54"/>
        <v>3.0757378156685706</v>
      </c>
      <c r="AW430" s="1">
        <f t="shared" si="55"/>
        <v>2.0199220532784614</v>
      </c>
    </row>
    <row r="431" spans="1:49" x14ac:dyDescent="0.2">
      <c r="A431">
        <v>429</v>
      </c>
      <c r="B431" t="s">
        <v>3935</v>
      </c>
      <c r="C431" t="s">
        <v>3934</v>
      </c>
      <c r="D431" t="s">
        <v>3933</v>
      </c>
      <c r="F431" t="s">
        <v>3932</v>
      </c>
      <c r="G431" t="s">
        <v>4</v>
      </c>
      <c r="H431" t="s">
        <v>3</v>
      </c>
      <c r="I431" t="s">
        <v>977</v>
      </c>
      <c r="J431">
        <v>60017511</v>
      </c>
      <c r="K431" t="s">
        <v>976</v>
      </c>
      <c r="L431" t="s">
        <v>975</v>
      </c>
      <c r="M431" t="s">
        <v>250</v>
      </c>
      <c r="N431">
        <v>1</v>
      </c>
      <c r="O431" t="s">
        <v>974</v>
      </c>
      <c r="P431">
        <v>7005862569</v>
      </c>
      <c r="Q431">
        <v>60017511</v>
      </c>
      <c r="R431" s="8">
        <v>35765</v>
      </c>
      <c r="S431" s="9">
        <f t="shared" si="48"/>
        <v>1997</v>
      </c>
      <c r="T431" s="9">
        <v>1997</v>
      </c>
      <c r="U431" s="9">
        <f t="shared" si="49"/>
        <v>25</v>
      </c>
      <c r="V431" s="8">
        <v>1997</v>
      </c>
      <c r="W431" t="s">
        <v>448</v>
      </c>
      <c r="X431" s="2">
        <v>1.3720000000000001</v>
      </c>
      <c r="Y431" s="7">
        <f t="shared" si="50"/>
        <v>3.662475641333654E-2</v>
      </c>
      <c r="AA431">
        <v>189480</v>
      </c>
      <c r="AB431">
        <v>17366</v>
      </c>
      <c r="AD431" t="s">
        <v>1</v>
      </c>
      <c r="AE431">
        <v>45</v>
      </c>
      <c r="AF431">
        <v>1</v>
      </c>
      <c r="AH431" t="s">
        <v>3931</v>
      </c>
      <c r="AI431" t="s">
        <v>3930</v>
      </c>
      <c r="AJ431" t="s">
        <v>3929</v>
      </c>
      <c r="AK431" t="s">
        <v>3928</v>
      </c>
      <c r="AL431">
        <v>15</v>
      </c>
      <c r="AM431" s="5">
        <f t="shared" si="51"/>
        <v>0.6</v>
      </c>
      <c r="AN431" s="4">
        <f t="shared" si="52"/>
        <v>9.0874668686103744E-4</v>
      </c>
      <c r="AO431" s="3"/>
      <c r="AP431">
        <v>0</v>
      </c>
      <c r="AQ431" t="s">
        <v>362</v>
      </c>
      <c r="AR431" t="s">
        <v>3927</v>
      </c>
      <c r="AS431" t="s">
        <v>361</v>
      </c>
      <c r="AT431" s="2" t="s">
        <v>5</v>
      </c>
      <c r="AU431" s="1">
        <f t="shared" si="53"/>
        <v>2.5909953495393889</v>
      </c>
      <c r="AV431" s="1">
        <f t="shared" si="54"/>
        <v>1.8766751550098788</v>
      </c>
      <c r="AW431" s="1">
        <f t="shared" si="55"/>
        <v>1.1623549604803689</v>
      </c>
    </row>
    <row r="432" spans="1:49" x14ac:dyDescent="0.2">
      <c r="A432">
        <v>430</v>
      </c>
      <c r="B432" t="s">
        <v>3926</v>
      </c>
      <c r="C432" t="s">
        <v>3925</v>
      </c>
      <c r="D432" t="s">
        <v>3924</v>
      </c>
      <c r="F432" t="s">
        <v>3923</v>
      </c>
      <c r="G432" t="s">
        <v>4</v>
      </c>
      <c r="H432" t="s">
        <v>3</v>
      </c>
      <c r="I432" t="s">
        <v>3922</v>
      </c>
      <c r="J432">
        <v>60019228</v>
      </c>
      <c r="K432" t="s">
        <v>3921</v>
      </c>
      <c r="L432" t="s">
        <v>1969</v>
      </c>
      <c r="M432" t="s">
        <v>2</v>
      </c>
      <c r="N432">
        <v>2</v>
      </c>
      <c r="O432" t="s">
        <v>3920</v>
      </c>
      <c r="P432" t="s">
        <v>3919</v>
      </c>
      <c r="Q432" t="s">
        <v>3918</v>
      </c>
      <c r="R432" s="8">
        <v>35765</v>
      </c>
      <c r="S432" s="9">
        <f t="shared" si="48"/>
        <v>1997</v>
      </c>
      <c r="T432" s="9">
        <v>1997</v>
      </c>
      <c r="U432" s="9">
        <f t="shared" si="49"/>
        <v>25</v>
      </c>
      <c r="V432" s="8">
        <v>1997</v>
      </c>
      <c r="W432" t="s">
        <v>392</v>
      </c>
      <c r="X432" s="2">
        <v>1.6519999999999999</v>
      </c>
      <c r="Y432" s="7">
        <f t="shared" si="50"/>
        <v>4.409919649769093E-2</v>
      </c>
      <c r="AA432" t="s">
        <v>391</v>
      </c>
      <c r="AB432">
        <v>17337</v>
      </c>
      <c r="AD432" t="s">
        <v>1</v>
      </c>
      <c r="AE432">
        <v>45</v>
      </c>
      <c r="AF432">
        <v>1</v>
      </c>
      <c r="AH432" s="10">
        <v>41944</v>
      </c>
      <c r="AI432" t="s">
        <v>3917</v>
      </c>
      <c r="AJ432" t="s">
        <v>3754</v>
      </c>
      <c r="AK432" t="s">
        <v>3916</v>
      </c>
      <c r="AL432">
        <v>15</v>
      </c>
      <c r="AM432" s="5">
        <f t="shared" si="51"/>
        <v>0.6</v>
      </c>
      <c r="AN432" s="4">
        <f t="shared" si="52"/>
        <v>9.0874668686103744E-4</v>
      </c>
      <c r="AO432" s="3"/>
      <c r="AP432">
        <v>0</v>
      </c>
      <c r="AR432" t="s">
        <v>0</v>
      </c>
      <c r="AT432" s="2" t="s">
        <v>5</v>
      </c>
      <c r="AU432" s="1">
        <f t="shared" si="53"/>
        <v>3.1142061554441964</v>
      </c>
      <c r="AV432" s="1">
        <f t="shared" si="54"/>
        <v>2.2503971592275982</v>
      </c>
      <c r="AW432" s="1">
        <f t="shared" si="55"/>
        <v>1.3865881630110004</v>
      </c>
    </row>
    <row r="433" spans="1:49" x14ac:dyDescent="0.2">
      <c r="A433">
        <v>431</v>
      </c>
      <c r="B433" t="s">
        <v>3915</v>
      </c>
      <c r="C433" t="s">
        <v>3914</v>
      </c>
      <c r="D433" t="s">
        <v>3913</v>
      </c>
      <c r="F433" t="s">
        <v>3912</v>
      </c>
      <c r="G433" t="s">
        <v>4</v>
      </c>
      <c r="H433" t="s">
        <v>3</v>
      </c>
      <c r="I433" t="s">
        <v>3911</v>
      </c>
      <c r="J433">
        <v>60027550</v>
      </c>
      <c r="K433" t="s">
        <v>98</v>
      </c>
      <c r="L433" t="s">
        <v>72</v>
      </c>
      <c r="M433" t="s">
        <v>2</v>
      </c>
      <c r="N433">
        <v>2</v>
      </c>
      <c r="O433" t="s">
        <v>3910</v>
      </c>
      <c r="P433" t="s">
        <v>3909</v>
      </c>
      <c r="Q433" t="s">
        <v>97</v>
      </c>
      <c r="R433" s="8">
        <v>35765</v>
      </c>
      <c r="S433" s="9">
        <f t="shared" si="48"/>
        <v>1997</v>
      </c>
      <c r="T433" s="9">
        <v>1997</v>
      </c>
      <c r="U433" s="9">
        <f t="shared" si="49"/>
        <v>25</v>
      </c>
      <c r="V433" s="8">
        <v>1997</v>
      </c>
      <c r="W433" t="s">
        <v>392</v>
      </c>
      <c r="X433" s="2">
        <v>1.6519999999999999</v>
      </c>
      <c r="Y433" s="7">
        <f t="shared" si="50"/>
        <v>4.409919649769093E-2</v>
      </c>
      <c r="AA433" t="s">
        <v>391</v>
      </c>
      <c r="AB433">
        <v>17337</v>
      </c>
      <c r="AD433" t="s">
        <v>1</v>
      </c>
      <c r="AE433">
        <v>45</v>
      </c>
      <c r="AF433">
        <v>1</v>
      </c>
      <c r="AH433" t="s">
        <v>3908</v>
      </c>
      <c r="AI433" t="s">
        <v>3907</v>
      </c>
      <c r="AJ433" t="s">
        <v>3906</v>
      </c>
      <c r="AK433" t="s">
        <v>3905</v>
      </c>
      <c r="AL433">
        <v>68</v>
      </c>
      <c r="AM433" s="5">
        <f t="shared" si="51"/>
        <v>2.72</v>
      </c>
      <c r="AN433" s="4">
        <f t="shared" si="52"/>
        <v>4.1196516471033702E-3</v>
      </c>
      <c r="AO433" s="3"/>
      <c r="AP433">
        <v>0</v>
      </c>
      <c r="AQ433" t="s">
        <v>188</v>
      </c>
      <c r="AR433" t="s">
        <v>1337</v>
      </c>
      <c r="AS433" t="s">
        <v>187</v>
      </c>
      <c r="AT433" s="2" t="s">
        <v>5</v>
      </c>
      <c r="AU433" s="1">
        <f t="shared" si="53"/>
        <v>3.2105333042514657</v>
      </c>
      <c r="AV433" s="1">
        <f t="shared" si="54"/>
        <v>2.4109424072397152</v>
      </c>
      <c r="AW433" s="1">
        <f t="shared" si="55"/>
        <v>1.6113515102279639</v>
      </c>
    </row>
    <row r="434" spans="1:49" x14ac:dyDescent="0.2">
      <c r="A434">
        <v>432</v>
      </c>
      <c r="B434" t="s">
        <v>3904</v>
      </c>
      <c r="C434" t="s">
        <v>3903</v>
      </c>
      <c r="D434" t="s">
        <v>3902</v>
      </c>
      <c r="F434" t="s">
        <v>3901</v>
      </c>
      <c r="G434" t="s">
        <v>4</v>
      </c>
      <c r="H434" t="s">
        <v>3</v>
      </c>
      <c r="I434" t="s">
        <v>3900</v>
      </c>
      <c r="J434">
        <v>60005429</v>
      </c>
      <c r="K434" t="s">
        <v>3760</v>
      </c>
      <c r="L434" t="s">
        <v>348</v>
      </c>
      <c r="M434" t="s">
        <v>250</v>
      </c>
      <c r="N434">
        <v>2</v>
      </c>
      <c r="O434" t="s">
        <v>3899</v>
      </c>
      <c r="P434" t="s">
        <v>3898</v>
      </c>
      <c r="Q434" t="s">
        <v>3757</v>
      </c>
      <c r="R434" s="8">
        <v>35765</v>
      </c>
      <c r="S434" s="9">
        <f t="shared" si="48"/>
        <v>1997</v>
      </c>
      <c r="T434" s="9">
        <v>1997</v>
      </c>
      <c r="U434" s="9">
        <f t="shared" si="49"/>
        <v>25</v>
      </c>
      <c r="V434" s="8">
        <v>1997</v>
      </c>
      <c r="W434" t="s">
        <v>392</v>
      </c>
      <c r="X434" s="2">
        <v>1.6519999999999999</v>
      </c>
      <c r="Y434" s="7">
        <f t="shared" si="50"/>
        <v>4.409919649769093E-2</v>
      </c>
      <c r="AA434" t="s">
        <v>391</v>
      </c>
      <c r="AB434">
        <v>17337</v>
      </c>
      <c r="AD434" t="s">
        <v>1</v>
      </c>
      <c r="AE434">
        <v>45</v>
      </c>
      <c r="AF434">
        <v>1</v>
      </c>
      <c r="AH434" t="s">
        <v>3897</v>
      </c>
      <c r="AI434" t="s">
        <v>3896</v>
      </c>
      <c r="AJ434" t="s">
        <v>631</v>
      </c>
      <c r="AK434" t="s">
        <v>3895</v>
      </c>
      <c r="AL434">
        <v>8</v>
      </c>
      <c r="AM434" s="5">
        <f t="shared" si="51"/>
        <v>0.32</v>
      </c>
      <c r="AN434" s="4">
        <f t="shared" si="52"/>
        <v>4.8466489965922E-4</v>
      </c>
      <c r="AO434" s="3"/>
      <c r="AP434">
        <v>0</v>
      </c>
      <c r="AQ434" t="s">
        <v>362</v>
      </c>
      <c r="AR434" t="s">
        <v>3752</v>
      </c>
      <c r="AS434" t="s">
        <v>361</v>
      </c>
      <c r="AT434" s="2" t="s">
        <v>5</v>
      </c>
      <c r="AU434" s="1">
        <f t="shared" si="53"/>
        <v>3.1014837018281418</v>
      </c>
      <c r="AV434" s="1">
        <f t="shared" si="54"/>
        <v>2.2291930698675073</v>
      </c>
      <c r="AW434" s="1">
        <f t="shared" si="55"/>
        <v>1.3569024379068733</v>
      </c>
    </row>
    <row r="435" spans="1:49" x14ac:dyDescent="0.2">
      <c r="A435">
        <v>433</v>
      </c>
      <c r="B435" t="s">
        <v>3894</v>
      </c>
      <c r="C435" t="s">
        <v>3893</v>
      </c>
      <c r="D435" t="s">
        <v>3892</v>
      </c>
      <c r="F435" t="s">
        <v>3891</v>
      </c>
      <c r="G435" t="s">
        <v>4</v>
      </c>
      <c r="H435" t="s">
        <v>3</v>
      </c>
      <c r="I435" t="s">
        <v>3890</v>
      </c>
      <c r="J435">
        <v>60002959</v>
      </c>
      <c r="K435" t="s">
        <v>430</v>
      </c>
      <c r="L435" t="s">
        <v>429</v>
      </c>
      <c r="M435" t="s">
        <v>2</v>
      </c>
      <c r="N435">
        <v>1</v>
      </c>
      <c r="O435" t="s">
        <v>3889</v>
      </c>
      <c r="P435">
        <v>7006807417</v>
      </c>
      <c r="Q435">
        <v>60002959</v>
      </c>
      <c r="R435" s="8">
        <v>35765</v>
      </c>
      <c r="S435" s="9">
        <f t="shared" si="48"/>
        <v>1997</v>
      </c>
      <c r="T435" s="9">
        <v>1997</v>
      </c>
      <c r="U435" s="9">
        <f t="shared" si="49"/>
        <v>25</v>
      </c>
      <c r="V435" s="8">
        <v>1997</v>
      </c>
      <c r="W435" t="s">
        <v>392</v>
      </c>
      <c r="X435" s="2">
        <v>1.6519999999999999</v>
      </c>
      <c r="Y435" s="7">
        <f t="shared" si="50"/>
        <v>4.409919649769093E-2</v>
      </c>
      <c r="AA435" t="s">
        <v>391</v>
      </c>
      <c r="AB435">
        <v>17337</v>
      </c>
      <c r="AD435" t="s">
        <v>1</v>
      </c>
      <c r="AE435">
        <v>45</v>
      </c>
      <c r="AF435">
        <v>1</v>
      </c>
      <c r="AH435" t="s">
        <v>3888</v>
      </c>
      <c r="AI435" t="s">
        <v>3887</v>
      </c>
      <c r="AJ435" t="s">
        <v>3886</v>
      </c>
      <c r="AK435" t="s">
        <v>3885</v>
      </c>
      <c r="AL435">
        <v>0</v>
      </c>
      <c r="AM435" s="5">
        <f t="shared" si="51"/>
        <v>0</v>
      </c>
      <c r="AN435" s="4">
        <f t="shared" si="52"/>
        <v>0</v>
      </c>
      <c r="AO435" s="3"/>
      <c r="AP435">
        <v>0</v>
      </c>
      <c r="AR435" t="s">
        <v>0</v>
      </c>
      <c r="AT435" s="2" t="s">
        <v>5</v>
      </c>
      <c r="AU435" s="1">
        <f t="shared" si="53"/>
        <v>3.0869437548383649</v>
      </c>
      <c r="AV435" s="1">
        <f t="shared" si="54"/>
        <v>2.2049598248845466</v>
      </c>
      <c r="AW435" s="1">
        <f t="shared" si="55"/>
        <v>1.3229758949307278</v>
      </c>
    </row>
    <row r="436" spans="1:49" x14ac:dyDescent="0.2">
      <c r="A436">
        <v>434</v>
      </c>
      <c r="B436" t="s">
        <v>3884</v>
      </c>
      <c r="C436" t="s">
        <v>3883</v>
      </c>
      <c r="F436" t="s">
        <v>3882</v>
      </c>
      <c r="G436" t="s">
        <v>4</v>
      </c>
      <c r="H436" t="s">
        <v>3</v>
      </c>
      <c r="I436" t="s">
        <v>3881</v>
      </c>
      <c r="J436" t="s">
        <v>3880</v>
      </c>
      <c r="K436" t="s">
        <v>3879</v>
      </c>
      <c r="L436" t="s">
        <v>3878</v>
      </c>
      <c r="M436" t="s">
        <v>18</v>
      </c>
      <c r="N436">
        <v>2</v>
      </c>
      <c r="O436" t="s">
        <v>3877</v>
      </c>
      <c r="P436" t="s">
        <v>3876</v>
      </c>
      <c r="Q436" t="s">
        <v>3875</v>
      </c>
      <c r="R436" s="8">
        <v>35765</v>
      </c>
      <c r="S436" s="9">
        <f t="shared" si="48"/>
        <v>1997</v>
      </c>
      <c r="T436" s="9">
        <v>1997</v>
      </c>
      <c r="U436" s="9">
        <f t="shared" si="49"/>
        <v>25</v>
      </c>
      <c r="V436" s="8">
        <v>1997</v>
      </c>
      <c r="W436" t="s">
        <v>3874</v>
      </c>
      <c r="X436" s="2">
        <v>0.92900000000000005</v>
      </c>
      <c r="Y436" s="7">
        <f t="shared" si="50"/>
        <v>2.4799124422732979E-2</v>
      </c>
      <c r="AA436">
        <v>10897798</v>
      </c>
      <c r="AB436">
        <v>18896</v>
      </c>
      <c r="AD436" t="s">
        <v>1</v>
      </c>
      <c r="AE436">
        <v>1</v>
      </c>
      <c r="AF436">
        <v>1</v>
      </c>
      <c r="AH436" t="s">
        <v>3873</v>
      </c>
      <c r="AI436" t="s">
        <v>3872</v>
      </c>
      <c r="AJ436" t="s">
        <v>3871</v>
      </c>
      <c r="AK436" t="s">
        <v>3870</v>
      </c>
      <c r="AL436">
        <v>11</v>
      </c>
      <c r="AM436" s="5">
        <f t="shared" si="51"/>
        <v>0.44</v>
      </c>
      <c r="AN436" s="4">
        <f t="shared" si="52"/>
        <v>6.6641423703142752E-4</v>
      </c>
      <c r="AO436" s="3"/>
      <c r="AP436">
        <v>0</v>
      </c>
      <c r="AQ436" t="s">
        <v>53</v>
      </c>
      <c r="AR436" t="s">
        <v>3869</v>
      </c>
      <c r="AS436" t="s">
        <v>52</v>
      </c>
      <c r="AT436" s="2">
        <v>3.4359999999999999</v>
      </c>
      <c r="AU436" s="1">
        <f t="shared" si="53"/>
        <v>1.755931136702251</v>
      </c>
      <c r="AV436" s="1">
        <f t="shared" si="54"/>
        <v>1.2732769329882203</v>
      </c>
      <c r="AW436" s="1">
        <f t="shared" si="55"/>
        <v>0.79062272927418931</v>
      </c>
    </row>
    <row r="437" spans="1:49" x14ac:dyDescent="0.2">
      <c r="A437">
        <v>435</v>
      </c>
      <c r="B437" t="s">
        <v>3868</v>
      </c>
      <c r="C437" t="s">
        <v>3867</v>
      </c>
      <c r="D437" t="s">
        <v>3866</v>
      </c>
      <c r="F437" t="s">
        <v>3865</v>
      </c>
      <c r="G437" t="s">
        <v>4</v>
      </c>
      <c r="H437" t="s">
        <v>3</v>
      </c>
      <c r="I437" t="s">
        <v>137</v>
      </c>
      <c r="J437">
        <v>60020484</v>
      </c>
      <c r="K437" t="s">
        <v>136</v>
      </c>
      <c r="L437" t="s">
        <v>135</v>
      </c>
      <c r="M437" t="s">
        <v>134</v>
      </c>
      <c r="N437">
        <v>2</v>
      </c>
      <c r="O437" t="s">
        <v>3864</v>
      </c>
      <c r="P437" t="s">
        <v>3863</v>
      </c>
      <c r="Q437" t="s">
        <v>3862</v>
      </c>
      <c r="R437" s="8">
        <v>35765</v>
      </c>
      <c r="S437" s="9">
        <f t="shared" si="48"/>
        <v>1997</v>
      </c>
      <c r="T437" s="9">
        <v>1997</v>
      </c>
      <c r="U437" s="9">
        <f t="shared" si="49"/>
        <v>25</v>
      </c>
      <c r="V437" s="8">
        <v>1997</v>
      </c>
      <c r="W437" t="s">
        <v>392</v>
      </c>
      <c r="X437" s="2">
        <v>1.6519999999999999</v>
      </c>
      <c r="Y437" s="7">
        <f t="shared" si="50"/>
        <v>4.409919649769093E-2</v>
      </c>
      <c r="AA437" t="s">
        <v>391</v>
      </c>
      <c r="AB437">
        <v>17337</v>
      </c>
      <c r="AD437" t="s">
        <v>1</v>
      </c>
      <c r="AE437">
        <v>45</v>
      </c>
      <c r="AF437">
        <v>1</v>
      </c>
      <c r="AH437" t="s">
        <v>2784</v>
      </c>
      <c r="AI437" t="s">
        <v>3861</v>
      </c>
      <c r="AJ437" t="s">
        <v>3860</v>
      </c>
      <c r="AK437" t="s">
        <v>3859</v>
      </c>
      <c r="AL437">
        <v>27</v>
      </c>
      <c r="AM437" s="5">
        <f t="shared" si="51"/>
        <v>1.08</v>
      </c>
      <c r="AN437" s="4">
        <f t="shared" si="52"/>
        <v>1.6357440363498675E-3</v>
      </c>
      <c r="AO437" s="3"/>
      <c r="AP437">
        <v>0</v>
      </c>
      <c r="AQ437" t="s">
        <v>390</v>
      </c>
      <c r="AR437" t="s">
        <v>0</v>
      </c>
      <c r="AS437" t="s">
        <v>389</v>
      </c>
      <c r="AT437" s="2" t="s">
        <v>5</v>
      </c>
      <c r="AU437" s="1">
        <f t="shared" si="53"/>
        <v>3.1360160759288611</v>
      </c>
      <c r="AV437" s="1">
        <f t="shared" si="54"/>
        <v>2.2867470267020398</v>
      </c>
      <c r="AW437" s="1">
        <f t="shared" si="55"/>
        <v>1.4374779774752184</v>
      </c>
    </row>
    <row r="438" spans="1:49" x14ac:dyDescent="0.2">
      <c r="A438">
        <v>436</v>
      </c>
      <c r="B438" t="s">
        <v>3858</v>
      </c>
      <c r="C438" t="s">
        <v>3857</v>
      </c>
      <c r="D438" t="s">
        <v>3856</v>
      </c>
      <c r="F438" t="s">
        <v>3855</v>
      </c>
      <c r="G438" t="s">
        <v>4</v>
      </c>
      <c r="H438" t="s">
        <v>3</v>
      </c>
      <c r="I438" t="s">
        <v>3854</v>
      </c>
      <c r="J438">
        <v>60014982</v>
      </c>
      <c r="K438" t="s">
        <v>717</v>
      </c>
      <c r="L438" t="s">
        <v>716</v>
      </c>
      <c r="M438" t="s">
        <v>250</v>
      </c>
      <c r="N438">
        <v>1</v>
      </c>
      <c r="O438" t="s">
        <v>3853</v>
      </c>
      <c r="P438">
        <v>7103110709</v>
      </c>
      <c r="Q438">
        <v>60014982</v>
      </c>
      <c r="R438" s="8">
        <v>35765</v>
      </c>
      <c r="S438" s="9">
        <f t="shared" si="48"/>
        <v>1997</v>
      </c>
      <c r="T438" s="9">
        <v>1997</v>
      </c>
      <c r="U438" s="9">
        <f t="shared" si="49"/>
        <v>25</v>
      </c>
      <c r="V438" s="8">
        <v>1997</v>
      </c>
      <c r="W438" t="s">
        <v>448</v>
      </c>
      <c r="X438" s="2">
        <v>1.3720000000000001</v>
      </c>
      <c r="Y438" s="7">
        <f t="shared" si="50"/>
        <v>3.662475641333654E-2</v>
      </c>
      <c r="AA438">
        <v>189480</v>
      </c>
      <c r="AB438">
        <v>17366</v>
      </c>
      <c r="AD438" t="s">
        <v>1</v>
      </c>
      <c r="AE438">
        <v>45</v>
      </c>
      <c r="AF438">
        <v>1</v>
      </c>
      <c r="AH438" t="s">
        <v>3852</v>
      </c>
      <c r="AI438" t="s">
        <v>3851</v>
      </c>
      <c r="AK438" t="s">
        <v>3850</v>
      </c>
      <c r="AL438">
        <v>22</v>
      </c>
      <c r="AM438" s="5">
        <f t="shared" si="51"/>
        <v>0.88</v>
      </c>
      <c r="AN438" s="4">
        <f t="shared" si="52"/>
        <v>1.332828474062855E-3</v>
      </c>
      <c r="AO438" s="3"/>
      <c r="AP438">
        <v>0</v>
      </c>
      <c r="AQ438" t="s">
        <v>362</v>
      </c>
      <c r="AR438" t="s">
        <v>3849</v>
      </c>
      <c r="AS438" t="s">
        <v>361</v>
      </c>
      <c r="AT438" s="2" t="s">
        <v>5</v>
      </c>
      <c r="AU438" s="1">
        <f t="shared" si="53"/>
        <v>2.6037178031554435</v>
      </c>
      <c r="AV438" s="1">
        <f t="shared" si="54"/>
        <v>1.8978792443699697</v>
      </c>
      <c r="AW438" s="1">
        <f t="shared" si="55"/>
        <v>1.1920406855844961</v>
      </c>
    </row>
    <row r="439" spans="1:49" x14ac:dyDescent="0.2">
      <c r="A439">
        <v>437</v>
      </c>
      <c r="B439" t="s">
        <v>3848</v>
      </c>
      <c r="C439" t="s">
        <v>3847</v>
      </c>
      <c r="D439" t="s">
        <v>3846</v>
      </c>
      <c r="F439" t="s">
        <v>3845</v>
      </c>
      <c r="G439" t="s">
        <v>4</v>
      </c>
      <c r="H439" t="s">
        <v>3</v>
      </c>
      <c r="I439" t="s">
        <v>3844</v>
      </c>
      <c r="J439" t="s">
        <v>3843</v>
      </c>
      <c r="K439" t="s">
        <v>3842</v>
      </c>
      <c r="L439" t="s">
        <v>3841</v>
      </c>
      <c r="M439" t="s">
        <v>3840</v>
      </c>
      <c r="N439">
        <v>4</v>
      </c>
      <c r="O439" t="s">
        <v>3839</v>
      </c>
      <c r="P439" t="s">
        <v>3838</v>
      </c>
      <c r="Q439" t="s">
        <v>3837</v>
      </c>
      <c r="R439" s="8">
        <v>35765</v>
      </c>
      <c r="S439" s="9">
        <f t="shared" si="48"/>
        <v>1997</v>
      </c>
      <c r="T439" s="9">
        <v>1997</v>
      </c>
      <c r="U439" s="9">
        <f t="shared" si="49"/>
        <v>25</v>
      </c>
      <c r="V439" s="8">
        <v>1997</v>
      </c>
      <c r="W439" t="s">
        <v>1803</v>
      </c>
      <c r="X439" s="2">
        <v>1.6379999999999999</v>
      </c>
      <c r="Y439" s="7">
        <f t="shared" si="50"/>
        <v>4.3725474493473214E-2</v>
      </c>
      <c r="AA439" t="s">
        <v>1802</v>
      </c>
      <c r="AB439">
        <v>17391</v>
      </c>
      <c r="AD439" t="s">
        <v>1</v>
      </c>
      <c r="AE439">
        <v>45</v>
      </c>
      <c r="AF439">
        <v>1</v>
      </c>
      <c r="AH439" t="s">
        <v>3836</v>
      </c>
      <c r="AI439" t="s">
        <v>3835</v>
      </c>
      <c r="AK439" t="s">
        <v>3834</v>
      </c>
      <c r="AL439">
        <v>17</v>
      </c>
      <c r="AM439" s="5">
        <f t="shared" si="51"/>
        <v>0.68</v>
      </c>
      <c r="AN439" s="4">
        <f t="shared" si="52"/>
        <v>1.0299129117758426E-3</v>
      </c>
      <c r="AO439" s="3"/>
      <c r="AP439">
        <v>0</v>
      </c>
      <c r="AQ439" t="s">
        <v>53</v>
      </c>
      <c r="AR439" t="s">
        <v>3833</v>
      </c>
      <c r="AS439" t="s">
        <v>52</v>
      </c>
      <c r="AT439" s="2">
        <v>4.931</v>
      </c>
      <c r="AU439" s="1">
        <f t="shared" si="53"/>
        <v>3.0916806018964</v>
      </c>
      <c r="AV439" s="1">
        <f t="shared" si="54"/>
        <v>2.2377693702624528</v>
      </c>
      <c r="AW439" s="1">
        <f t="shared" si="55"/>
        <v>1.3838581386285054</v>
      </c>
    </row>
    <row r="440" spans="1:49" x14ac:dyDescent="0.2">
      <c r="A440">
        <v>438</v>
      </c>
      <c r="B440" t="s">
        <v>3832</v>
      </c>
      <c r="C440" t="s">
        <v>3831</v>
      </c>
      <c r="D440" t="s">
        <v>3830</v>
      </c>
      <c r="F440" t="s">
        <v>3829</v>
      </c>
      <c r="G440" t="s">
        <v>4</v>
      </c>
      <c r="H440" t="s">
        <v>3</v>
      </c>
      <c r="I440" t="s">
        <v>3828</v>
      </c>
      <c r="J440">
        <v>60008524</v>
      </c>
      <c r="K440" t="s">
        <v>149</v>
      </c>
      <c r="L440" t="s">
        <v>148</v>
      </c>
      <c r="M440" t="s">
        <v>8</v>
      </c>
      <c r="N440">
        <v>4</v>
      </c>
      <c r="O440" t="s">
        <v>3827</v>
      </c>
      <c r="P440" t="s">
        <v>3826</v>
      </c>
      <c r="Q440" t="s">
        <v>3825</v>
      </c>
      <c r="R440" s="8">
        <v>35765</v>
      </c>
      <c r="S440" s="9">
        <f t="shared" si="48"/>
        <v>1997</v>
      </c>
      <c r="T440" s="9">
        <v>1997</v>
      </c>
      <c r="U440" s="9">
        <f t="shared" si="49"/>
        <v>25</v>
      </c>
      <c r="V440" s="8">
        <v>1997</v>
      </c>
      <c r="W440" t="s">
        <v>392</v>
      </c>
      <c r="X440" s="2">
        <v>1.6519999999999999</v>
      </c>
      <c r="Y440" s="7">
        <f t="shared" si="50"/>
        <v>4.409919649769093E-2</v>
      </c>
      <c r="AA440" t="s">
        <v>391</v>
      </c>
      <c r="AB440">
        <v>17337</v>
      </c>
      <c r="AD440" t="s">
        <v>1</v>
      </c>
      <c r="AE440">
        <v>45</v>
      </c>
      <c r="AF440">
        <v>1</v>
      </c>
      <c r="AH440" t="s">
        <v>3824</v>
      </c>
      <c r="AI440" t="s">
        <v>3823</v>
      </c>
      <c r="AJ440" t="s">
        <v>3822</v>
      </c>
      <c r="AK440" t="s">
        <v>3821</v>
      </c>
      <c r="AL440">
        <v>81</v>
      </c>
      <c r="AM440" s="5">
        <f t="shared" si="51"/>
        <v>3.24</v>
      </c>
      <c r="AN440" s="4">
        <f t="shared" si="52"/>
        <v>4.9072321090496028E-3</v>
      </c>
      <c r="AO440" s="3"/>
      <c r="AP440">
        <v>0</v>
      </c>
      <c r="AR440" t="s">
        <v>0</v>
      </c>
      <c r="AT440" s="2" t="s">
        <v>5</v>
      </c>
      <c r="AU440" s="1">
        <f t="shared" si="53"/>
        <v>3.2341607181098535</v>
      </c>
      <c r="AV440" s="1">
        <f t="shared" si="54"/>
        <v>2.4503214303370267</v>
      </c>
      <c r="AW440" s="1">
        <f t="shared" si="55"/>
        <v>1.6664821425642</v>
      </c>
    </row>
    <row r="441" spans="1:49" x14ac:dyDescent="0.2">
      <c r="A441">
        <v>439</v>
      </c>
      <c r="B441" t="s">
        <v>3820</v>
      </c>
      <c r="C441" t="s">
        <v>3819</v>
      </c>
      <c r="D441" t="s">
        <v>3818</v>
      </c>
      <c r="F441" t="s">
        <v>3817</v>
      </c>
      <c r="G441" t="s">
        <v>4</v>
      </c>
      <c r="H441" t="s">
        <v>3</v>
      </c>
      <c r="I441" t="s">
        <v>688</v>
      </c>
      <c r="J441">
        <v>60001247</v>
      </c>
      <c r="K441" t="s">
        <v>535</v>
      </c>
      <c r="M441" t="s">
        <v>2</v>
      </c>
      <c r="N441">
        <v>2</v>
      </c>
      <c r="O441" t="s">
        <v>686</v>
      </c>
      <c r="P441" t="s">
        <v>685</v>
      </c>
      <c r="Q441" t="s">
        <v>3816</v>
      </c>
      <c r="R441" s="8">
        <v>35765</v>
      </c>
      <c r="S441" s="9">
        <f t="shared" si="48"/>
        <v>1997</v>
      </c>
      <c r="T441" s="9">
        <v>1997</v>
      </c>
      <c r="U441" s="9">
        <f t="shared" si="49"/>
        <v>25</v>
      </c>
      <c r="V441" s="8">
        <v>1997</v>
      </c>
      <c r="W441" t="s">
        <v>392</v>
      </c>
      <c r="X441" s="2">
        <v>1.6519999999999999</v>
      </c>
      <c r="Y441" s="7">
        <f t="shared" si="50"/>
        <v>4.409919649769093E-2</v>
      </c>
      <c r="AA441" t="s">
        <v>391</v>
      </c>
      <c r="AB441">
        <v>17337</v>
      </c>
      <c r="AD441" t="s">
        <v>1</v>
      </c>
      <c r="AE441">
        <v>45</v>
      </c>
      <c r="AF441">
        <v>1</v>
      </c>
      <c r="AH441" s="6">
        <v>44287</v>
      </c>
      <c r="AI441" t="s">
        <v>3815</v>
      </c>
      <c r="AJ441" t="s">
        <v>3814</v>
      </c>
      <c r="AK441" t="s">
        <v>3813</v>
      </c>
      <c r="AL441">
        <v>50</v>
      </c>
      <c r="AM441" s="5">
        <f t="shared" si="51"/>
        <v>2</v>
      </c>
      <c r="AN441" s="4">
        <f t="shared" si="52"/>
        <v>3.0291556228701248E-3</v>
      </c>
      <c r="AO441" s="3"/>
      <c r="AP441">
        <v>0</v>
      </c>
      <c r="AR441" t="s">
        <v>0</v>
      </c>
      <c r="AT441" s="2" t="s">
        <v>5</v>
      </c>
      <c r="AU441" s="1">
        <f t="shared" si="53"/>
        <v>3.1778184235244686</v>
      </c>
      <c r="AV441" s="1">
        <f t="shared" si="54"/>
        <v>2.3564176060280526</v>
      </c>
      <c r="AW441" s="1">
        <f t="shared" si="55"/>
        <v>1.5350167885316366</v>
      </c>
    </row>
    <row r="442" spans="1:49" x14ac:dyDescent="0.2">
      <c r="A442">
        <v>440</v>
      </c>
      <c r="B442" t="s">
        <v>3812</v>
      </c>
      <c r="C442" t="s">
        <v>3811</v>
      </c>
      <c r="D442" t="s">
        <v>3810</v>
      </c>
      <c r="F442" t="s">
        <v>3809</v>
      </c>
      <c r="G442" t="s">
        <v>4</v>
      </c>
      <c r="H442" t="s">
        <v>3</v>
      </c>
      <c r="I442" t="s">
        <v>3808</v>
      </c>
      <c r="J442">
        <v>60003500</v>
      </c>
      <c r="K442" t="s">
        <v>356</v>
      </c>
      <c r="L442" t="s">
        <v>355</v>
      </c>
      <c r="M442" t="s">
        <v>2</v>
      </c>
      <c r="N442">
        <v>2</v>
      </c>
      <c r="O442" t="s">
        <v>3807</v>
      </c>
      <c r="P442" t="s">
        <v>3806</v>
      </c>
      <c r="Q442" t="s">
        <v>354</v>
      </c>
      <c r="R442" s="8">
        <v>35765</v>
      </c>
      <c r="S442" s="9">
        <f t="shared" si="48"/>
        <v>1997</v>
      </c>
      <c r="T442" s="9">
        <v>1997</v>
      </c>
      <c r="U442" s="9">
        <f t="shared" si="49"/>
        <v>25</v>
      </c>
      <c r="V442" s="8">
        <v>1997</v>
      </c>
      <c r="W442" t="s">
        <v>392</v>
      </c>
      <c r="X442" s="2">
        <v>1.6519999999999999</v>
      </c>
      <c r="Y442" s="7">
        <f t="shared" si="50"/>
        <v>4.409919649769093E-2</v>
      </c>
      <c r="AA442" t="s">
        <v>391</v>
      </c>
      <c r="AB442">
        <v>17337</v>
      </c>
      <c r="AD442" t="s">
        <v>1</v>
      </c>
      <c r="AE442">
        <v>45</v>
      </c>
      <c r="AF442">
        <v>1</v>
      </c>
      <c r="AH442" t="s">
        <v>3805</v>
      </c>
      <c r="AI442" t="s">
        <v>3804</v>
      </c>
      <c r="AJ442" t="s">
        <v>3803</v>
      </c>
      <c r="AK442" t="s">
        <v>3802</v>
      </c>
      <c r="AL442">
        <v>16</v>
      </c>
      <c r="AM442" s="5">
        <f t="shared" si="51"/>
        <v>0.64</v>
      </c>
      <c r="AN442" s="4">
        <f t="shared" si="52"/>
        <v>9.6932979931844E-4</v>
      </c>
      <c r="AO442" s="3"/>
      <c r="AP442">
        <v>0</v>
      </c>
      <c r="AR442" t="s">
        <v>3801</v>
      </c>
      <c r="AT442" s="2" t="s">
        <v>5</v>
      </c>
      <c r="AU442" s="1">
        <f t="shared" si="53"/>
        <v>3.1160236488179183</v>
      </c>
      <c r="AV442" s="1">
        <f t="shared" si="54"/>
        <v>2.2534263148504685</v>
      </c>
      <c r="AW442" s="1">
        <f t="shared" si="55"/>
        <v>1.3908289808830185</v>
      </c>
    </row>
    <row r="443" spans="1:49" x14ac:dyDescent="0.2">
      <c r="A443">
        <v>441</v>
      </c>
      <c r="B443" t="s">
        <v>3800</v>
      </c>
      <c r="C443" t="s">
        <v>3799</v>
      </c>
      <c r="D443" t="s">
        <v>3798</v>
      </c>
      <c r="F443" t="s">
        <v>3797</v>
      </c>
      <c r="G443" t="s">
        <v>4</v>
      </c>
      <c r="H443" t="s">
        <v>3</v>
      </c>
      <c r="I443" t="s">
        <v>3796</v>
      </c>
      <c r="J443">
        <v>60027561</v>
      </c>
      <c r="K443" t="s">
        <v>3795</v>
      </c>
      <c r="L443" t="s">
        <v>91</v>
      </c>
      <c r="M443" t="s">
        <v>2</v>
      </c>
      <c r="N443">
        <v>3</v>
      </c>
      <c r="O443" t="s">
        <v>3794</v>
      </c>
      <c r="P443" t="s">
        <v>3793</v>
      </c>
      <c r="Q443" t="s">
        <v>3792</v>
      </c>
      <c r="R443" s="8">
        <v>35765</v>
      </c>
      <c r="S443" s="9">
        <f t="shared" si="48"/>
        <v>1997</v>
      </c>
      <c r="T443" s="9">
        <v>1997</v>
      </c>
      <c r="U443" s="9">
        <f t="shared" si="49"/>
        <v>25</v>
      </c>
      <c r="V443" s="8">
        <v>1997</v>
      </c>
      <c r="W443" t="s">
        <v>392</v>
      </c>
      <c r="X443" s="2">
        <v>1.6519999999999999</v>
      </c>
      <c r="Y443" s="7">
        <f t="shared" si="50"/>
        <v>4.409919649769093E-2</v>
      </c>
      <c r="AA443" t="s">
        <v>391</v>
      </c>
      <c r="AB443">
        <v>17337</v>
      </c>
      <c r="AD443" t="s">
        <v>1</v>
      </c>
      <c r="AE443">
        <v>45</v>
      </c>
      <c r="AF443">
        <v>1</v>
      </c>
      <c r="AH443" t="s">
        <v>3791</v>
      </c>
      <c r="AI443" t="s">
        <v>3790</v>
      </c>
      <c r="AJ443" t="s">
        <v>3789</v>
      </c>
      <c r="AK443" t="s">
        <v>3788</v>
      </c>
      <c r="AL443">
        <v>148</v>
      </c>
      <c r="AM443" s="5">
        <f t="shared" si="51"/>
        <v>5.92</v>
      </c>
      <c r="AN443" s="4">
        <f t="shared" si="52"/>
        <v>8.966300643695569E-3</v>
      </c>
      <c r="AO443" s="3"/>
      <c r="AP443">
        <v>0</v>
      </c>
      <c r="AR443" t="s">
        <v>0</v>
      </c>
      <c r="AT443" s="2" t="s">
        <v>5</v>
      </c>
      <c r="AU443" s="1">
        <f t="shared" si="53"/>
        <v>3.355932774149232</v>
      </c>
      <c r="AV443" s="1">
        <f t="shared" si="54"/>
        <v>2.653274857069325</v>
      </c>
      <c r="AW443" s="1">
        <f t="shared" si="55"/>
        <v>1.9506169399894178</v>
      </c>
    </row>
    <row r="444" spans="1:49" x14ac:dyDescent="0.2">
      <c r="A444">
        <v>442</v>
      </c>
      <c r="B444" t="s">
        <v>3787</v>
      </c>
      <c r="C444" t="s">
        <v>3786</v>
      </c>
      <c r="D444" t="s">
        <v>3785</v>
      </c>
      <c r="F444" t="s">
        <v>3784</v>
      </c>
      <c r="G444" t="s">
        <v>4</v>
      </c>
      <c r="H444" t="s">
        <v>3</v>
      </c>
      <c r="I444" t="s">
        <v>43</v>
      </c>
      <c r="J444">
        <v>60007592</v>
      </c>
      <c r="K444" t="s">
        <v>42</v>
      </c>
      <c r="L444" t="s">
        <v>41</v>
      </c>
      <c r="M444" t="s">
        <v>39</v>
      </c>
      <c r="N444">
        <v>4</v>
      </c>
      <c r="O444" t="s">
        <v>3783</v>
      </c>
      <c r="P444" t="s">
        <v>3782</v>
      </c>
      <c r="Q444" t="s">
        <v>3781</v>
      </c>
      <c r="R444" s="8">
        <v>35765</v>
      </c>
      <c r="S444" s="9">
        <f t="shared" si="48"/>
        <v>1997</v>
      </c>
      <c r="T444" s="9">
        <v>1997</v>
      </c>
      <c r="U444" s="9">
        <f t="shared" si="49"/>
        <v>25</v>
      </c>
      <c r="V444" s="8">
        <v>1997</v>
      </c>
      <c r="W444" t="s">
        <v>1791</v>
      </c>
      <c r="X444" s="2">
        <v>2.141</v>
      </c>
      <c r="Y444" s="7">
        <f t="shared" si="50"/>
        <v>5.7152772216438434E-2</v>
      </c>
      <c r="AA444">
        <v>1962892</v>
      </c>
      <c r="AB444">
        <v>17360</v>
      </c>
      <c r="AD444" t="s">
        <v>1</v>
      </c>
      <c r="AE444">
        <v>35</v>
      </c>
      <c r="AF444">
        <v>1</v>
      </c>
      <c r="AH444" t="s">
        <v>3780</v>
      </c>
      <c r="AI444" t="s">
        <v>3779</v>
      </c>
      <c r="AJ444" t="s">
        <v>3778</v>
      </c>
      <c r="AK444" t="s">
        <v>3777</v>
      </c>
      <c r="AL444">
        <v>125</v>
      </c>
      <c r="AM444" s="5">
        <f t="shared" si="51"/>
        <v>5</v>
      </c>
      <c r="AN444" s="4">
        <f t="shared" si="52"/>
        <v>7.5728890571753124E-3</v>
      </c>
      <c r="AO444" s="3"/>
      <c r="AP444">
        <v>0</v>
      </c>
      <c r="AQ444" t="s">
        <v>3776</v>
      </c>
      <c r="AR444" t="s">
        <v>0</v>
      </c>
      <c r="AS444" t="s">
        <v>3775</v>
      </c>
      <c r="AT444" s="2" t="s">
        <v>5</v>
      </c>
      <c r="AU444" s="1">
        <f t="shared" si="53"/>
        <v>4.2278807268659495</v>
      </c>
      <c r="AV444" s="1">
        <f t="shared" si="54"/>
        <v>3.2362830636806872</v>
      </c>
      <c r="AW444" s="1">
        <f t="shared" si="55"/>
        <v>2.2446854004954249</v>
      </c>
    </row>
    <row r="445" spans="1:49" x14ac:dyDescent="0.2">
      <c r="A445">
        <v>443</v>
      </c>
      <c r="B445" t="s">
        <v>3774</v>
      </c>
      <c r="C445" t="s">
        <v>3773</v>
      </c>
      <c r="F445" t="s">
        <v>3772</v>
      </c>
      <c r="G445" t="s">
        <v>4</v>
      </c>
      <c r="H445" t="s">
        <v>3</v>
      </c>
      <c r="I445" t="s">
        <v>3771</v>
      </c>
      <c r="J445">
        <v>60019000</v>
      </c>
      <c r="K445" t="s">
        <v>3770</v>
      </c>
      <c r="L445" t="s">
        <v>3769</v>
      </c>
      <c r="M445" t="s">
        <v>29</v>
      </c>
      <c r="N445">
        <v>1</v>
      </c>
      <c r="O445" t="s">
        <v>3768</v>
      </c>
      <c r="P445">
        <v>7201673954</v>
      </c>
      <c r="Q445">
        <v>60019000</v>
      </c>
      <c r="R445" s="8">
        <v>35765</v>
      </c>
      <c r="S445" s="9">
        <f t="shared" si="48"/>
        <v>1997</v>
      </c>
      <c r="T445" s="9">
        <v>1997</v>
      </c>
      <c r="U445" s="9">
        <f t="shared" si="49"/>
        <v>25</v>
      </c>
      <c r="V445" s="8">
        <v>1997</v>
      </c>
      <c r="W445" t="s">
        <v>637</v>
      </c>
      <c r="X445" s="2">
        <v>0.39600000000000002</v>
      </c>
      <c r="Y445" s="7">
        <f t="shared" si="50"/>
        <v>1.0570993833586931E-2</v>
      </c>
      <c r="AA445">
        <v>8858985</v>
      </c>
      <c r="AB445">
        <v>25993</v>
      </c>
      <c r="AD445" t="s">
        <v>1</v>
      </c>
      <c r="AE445">
        <v>12</v>
      </c>
      <c r="AF445">
        <v>1</v>
      </c>
      <c r="AH445" t="s">
        <v>3767</v>
      </c>
      <c r="AI445" t="s">
        <v>3766</v>
      </c>
      <c r="AK445" t="s">
        <v>3765</v>
      </c>
      <c r="AL445">
        <v>3</v>
      </c>
      <c r="AM445" s="5">
        <f t="shared" si="51"/>
        <v>0.12</v>
      </c>
      <c r="AN445" s="4">
        <f t="shared" si="52"/>
        <v>1.8174933737220749E-4</v>
      </c>
      <c r="AO445" s="3"/>
      <c r="AP445">
        <v>0</v>
      </c>
      <c r="AQ445" t="s">
        <v>195</v>
      </c>
      <c r="AR445" t="s">
        <v>0</v>
      </c>
      <c r="AS445" t="s">
        <v>194</v>
      </c>
      <c r="AT445" s="2" t="s">
        <v>5</v>
      </c>
      <c r="AU445" s="1">
        <f t="shared" si="53"/>
        <v>0.74542204847225135</v>
      </c>
      <c r="AV445" s="1">
        <f t="shared" si="54"/>
        <v>0.53763715854795691</v>
      </c>
      <c r="AW445" s="1">
        <f t="shared" si="55"/>
        <v>0.3298522686236624</v>
      </c>
    </row>
    <row r="446" spans="1:49" x14ac:dyDescent="0.2">
      <c r="A446">
        <v>444</v>
      </c>
      <c r="B446" t="s">
        <v>3764</v>
      </c>
      <c r="C446" t="s">
        <v>3763</v>
      </c>
      <c r="D446" t="s">
        <v>3762</v>
      </c>
      <c r="F446" t="s">
        <v>3761</v>
      </c>
      <c r="G446" t="s">
        <v>4</v>
      </c>
      <c r="H446" t="s">
        <v>3</v>
      </c>
      <c r="I446" t="s">
        <v>691</v>
      </c>
      <c r="J446">
        <v>60005429</v>
      </c>
      <c r="K446" t="s">
        <v>3760</v>
      </c>
      <c r="L446" t="s">
        <v>348</v>
      </c>
      <c r="M446" t="s">
        <v>250</v>
      </c>
      <c r="N446">
        <v>2</v>
      </c>
      <c r="O446" t="s">
        <v>3759</v>
      </c>
      <c r="P446" t="s">
        <v>3758</v>
      </c>
      <c r="Q446" t="s">
        <v>3757</v>
      </c>
      <c r="R446" s="8">
        <v>35765</v>
      </c>
      <c r="S446" s="9">
        <f t="shared" si="48"/>
        <v>1997</v>
      </c>
      <c r="T446" s="9">
        <v>1997</v>
      </c>
      <c r="U446" s="9">
        <f t="shared" si="49"/>
        <v>25</v>
      </c>
      <c r="V446" s="8">
        <v>1997</v>
      </c>
      <c r="W446" t="s">
        <v>392</v>
      </c>
      <c r="X446" s="2">
        <v>1.6519999999999999</v>
      </c>
      <c r="Y446" s="7">
        <f t="shared" si="50"/>
        <v>4.409919649769093E-2</v>
      </c>
      <c r="AA446" t="s">
        <v>391</v>
      </c>
      <c r="AB446">
        <v>17337</v>
      </c>
      <c r="AD446" t="s">
        <v>1</v>
      </c>
      <c r="AE446">
        <v>45</v>
      </c>
      <c r="AF446">
        <v>1</v>
      </c>
      <c r="AH446" t="s">
        <v>3756</v>
      </c>
      <c r="AI446" t="s">
        <v>3755</v>
      </c>
      <c r="AJ446" t="s">
        <v>3754</v>
      </c>
      <c r="AK446" t="s">
        <v>3753</v>
      </c>
      <c r="AL446">
        <v>47</v>
      </c>
      <c r="AM446" s="5">
        <f t="shared" si="51"/>
        <v>1.88</v>
      </c>
      <c r="AN446" s="4">
        <f t="shared" si="52"/>
        <v>2.8474062854979172E-3</v>
      </c>
      <c r="AO446" s="3"/>
      <c r="AP446">
        <v>0</v>
      </c>
      <c r="AQ446" t="s">
        <v>362</v>
      </c>
      <c r="AR446" t="s">
        <v>3752</v>
      </c>
      <c r="AS446" t="s">
        <v>361</v>
      </c>
      <c r="AT446" s="2" t="s">
        <v>5</v>
      </c>
      <c r="AU446" s="1">
        <f t="shared" si="53"/>
        <v>3.1723659434033027</v>
      </c>
      <c r="AV446" s="1">
        <f t="shared" si="54"/>
        <v>2.3473301391594426</v>
      </c>
      <c r="AW446" s="1">
        <f t="shared" si="55"/>
        <v>1.522294334915582</v>
      </c>
    </row>
    <row r="447" spans="1:49" x14ac:dyDescent="0.2">
      <c r="A447">
        <v>445</v>
      </c>
      <c r="B447" t="s">
        <v>3751</v>
      </c>
      <c r="C447" t="s">
        <v>3750</v>
      </c>
      <c r="F447" t="s">
        <v>3749</v>
      </c>
      <c r="G447" t="s">
        <v>4</v>
      </c>
      <c r="H447" t="s">
        <v>3</v>
      </c>
      <c r="I447" t="s">
        <v>3748</v>
      </c>
      <c r="J447">
        <v>60017597</v>
      </c>
      <c r="K447" t="s">
        <v>3747</v>
      </c>
      <c r="L447" t="s">
        <v>76</v>
      </c>
      <c r="M447" t="s">
        <v>29</v>
      </c>
      <c r="N447">
        <v>1</v>
      </c>
      <c r="O447" t="s">
        <v>3746</v>
      </c>
      <c r="P447">
        <v>7202811506</v>
      </c>
      <c r="Q447">
        <v>60017597</v>
      </c>
      <c r="R447" s="8">
        <v>35765</v>
      </c>
      <c r="S447" s="9">
        <f t="shared" si="48"/>
        <v>1997</v>
      </c>
      <c r="T447" s="9">
        <v>1997</v>
      </c>
      <c r="U447" s="9">
        <f t="shared" si="49"/>
        <v>25</v>
      </c>
      <c r="V447" s="8">
        <v>1997</v>
      </c>
      <c r="W447" t="s">
        <v>3745</v>
      </c>
      <c r="X447" s="2">
        <v>1.137</v>
      </c>
      <c r="Y447" s="7">
        <f t="shared" si="50"/>
        <v>3.0351565628253384E-2</v>
      </c>
      <c r="AA447">
        <v>189251</v>
      </c>
      <c r="AB447">
        <v>17336</v>
      </c>
      <c r="AD447" t="s">
        <v>1</v>
      </c>
      <c r="AE447">
        <v>33</v>
      </c>
      <c r="AF447">
        <v>1</v>
      </c>
      <c r="AH447" t="s">
        <v>3744</v>
      </c>
      <c r="AI447" t="s">
        <v>3743</v>
      </c>
      <c r="AK447" t="s">
        <v>3742</v>
      </c>
      <c r="AL447">
        <v>4</v>
      </c>
      <c r="AM447" s="5">
        <f t="shared" si="51"/>
        <v>0.16</v>
      </c>
      <c r="AN447" s="4">
        <f t="shared" si="52"/>
        <v>2.4233244982961E-4</v>
      </c>
      <c r="AO447" s="3"/>
      <c r="AP447">
        <v>0</v>
      </c>
      <c r="AR447" t="s">
        <v>0</v>
      </c>
      <c r="AS447" t="s">
        <v>3741</v>
      </c>
      <c r="AT447" s="2" t="s">
        <v>5</v>
      </c>
      <c r="AU447" s="1">
        <f t="shared" si="53"/>
        <v>2.131879567472625</v>
      </c>
      <c r="AV447" s="1">
        <f t="shared" si="54"/>
        <v>1.5296949039041496</v>
      </c>
      <c r="AW447" s="1">
        <f t="shared" si="55"/>
        <v>0.9275102403356742</v>
      </c>
    </row>
    <row r="448" spans="1:49" x14ac:dyDescent="0.2">
      <c r="A448">
        <v>446</v>
      </c>
      <c r="B448" t="s">
        <v>3740</v>
      </c>
      <c r="C448" t="s">
        <v>3739</v>
      </c>
      <c r="D448" t="s">
        <v>3738</v>
      </c>
      <c r="F448" t="s">
        <v>3737</v>
      </c>
      <c r="G448" t="s">
        <v>4</v>
      </c>
      <c r="H448" t="s">
        <v>3</v>
      </c>
      <c r="I448" t="s">
        <v>3736</v>
      </c>
      <c r="J448">
        <v>60022195</v>
      </c>
      <c r="K448" t="s">
        <v>55</v>
      </c>
      <c r="L448" t="s">
        <v>54</v>
      </c>
      <c r="M448" t="s">
        <v>2</v>
      </c>
      <c r="N448">
        <v>2</v>
      </c>
      <c r="O448" t="s">
        <v>3735</v>
      </c>
      <c r="P448" t="s">
        <v>3734</v>
      </c>
      <c r="Q448" t="s">
        <v>3733</v>
      </c>
      <c r="R448" s="8">
        <v>35765</v>
      </c>
      <c r="S448" s="9">
        <f t="shared" si="48"/>
        <v>1997</v>
      </c>
      <c r="T448" s="9">
        <v>1997</v>
      </c>
      <c r="U448" s="9">
        <f t="shared" si="49"/>
        <v>25</v>
      </c>
      <c r="V448" s="8">
        <v>1997</v>
      </c>
      <c r="W448" t="s">
        <v>1803</v>
      </c>
      <c r="X448" s="2">
        <v>1.6379999999999999</v>
      </c>
      <c r="Y448" s="7">
        <f t="shared" si="50"/>
        <v>4.3725474493473214E-2</v>
      </c>
      <c r="AA448" t="s">
        <v>1802</v>
      </c>
      <c r="AB448">
        <v>17391</v>
      </c>
      <c r="AD448" t="s">
        <v>1</v>
      </c>
      <c r="AE448">
        <v>45</v>
      </c>
      <c r="AF448">
        <v>1</v>
      </c>
      <c r="AH448" t="s">
        <v>3732</v>
      </c>
      <c r="AI448" t="s">
        <v>3731</v>
      </c>
      <c r="AK448" t="s">
        <v>3730</v>
      </c>
      <c r="AL448">
        <v>40</v>
      </c>
      <c r="AM448" s="5">
        <f t="shared" si="51"/>
        <v>1.6</v>
      </c>
      <c r="AN448" s="4">
        <f t="shared" si="52"/>
        <v>2.4233244982961003E-3</v>
      </c>
      <c r="AO448" s="3"/>
      <c r="AP448">
        <v>0</v>
      </c>
      <c r="AQ448" t="s">
        <v>53</v>
      </c>
      <c r="AR448" t="s">
        <v>3729</v>
      </c>
      <c r="AS448" t="s">
        <v>52</v>
      </c>
      <c r="AT448" s="2">
        <v>4.931</v>
      </c>
      <c r="AU448" s="1">
        <f t="shared" si="53"/>
        <v>3.133482949492008</v>
      </c>
      <c r="AV448" s="1">
        <f t="shared" si="54"/>
        <v>2.3074399495884657</v>
      </c>
      <c r="AW448" s="1">
        <f t="shared" si="55"/>
        <v>1.4813969496849233</v>
      </c>
    </row>
    <row r="449" spans="1:49" x14ac:dyDescent="0.2">
      <c r="A449">
        <v>447</v>
      </c>
      <c r="B449" t="s">
        <v>3728</v>
      </c>
      <c r="C449" t="s">
        <v>3727</v>
      </c>
      <c r="D449" t="s">
        <v>3726</v>
      </c>
      <c r="F449" t="s">
        <v>3725</v>
      </c>
      <c r="G449" t="s">
        <v>4</v>
      </c>
      <c r="H449" t="s">
        <v>3</v>
      </c>
      <c r="I449" t="s">
        <v>3724</v>
      </c>
      <c r="J449">
        <v>60004636</v>
      </c>
      <c r="K449" t="s">
        <v>3723</v>
      </c>
      <c r="L449" t="s">
        <v>3722</v>
      </c>
      <c r="M449" t="s">
        <v>8</v>
      </c>
      <c r="N449">
        <v>3</v>
      </c>
      <c r="O449" t="s">
        <v>3721</v>
      </c>
      <c r="P449" t="s">
        <v>3720</v>
      </c>
      <c r="Q449" t="s">
        <v>3719</v>
      </c>
      <c r="R449" s="8">
        <v>35765</v>
      </c>
      <c r="S449" s="9">
        <f t="shared" si="48"/>
        <v>1997</v>
      </c>
      <c r="T449" s="9">
        <v>1997</v>
      </c>
      <c r="U449" s="9">
        <f t="shared" si="49"/>
        <v>25</v>
      </c>
      <c r="V449" s="8">
        <v>1997</v>
      </c>
      <c r="W449" t="s">
        <v>392</v>
      </c>
      <c r="X449" s="2">
        <v>1.6519999999999999</v>
      </c>
      <c r="Y449" s="7">
        <f t="shared" si="50"/>
        <v>4.409919649769093E-2</v>
      </c>
      <c r="AA449" t="s">
        <v>391</v>
      </c>
      <c r="AB449">
        <v>17337</v>
      </c>
      <c r="AD449" t="s">
        <v>1</v>
      </c>
      <c r="AE449">
        <v>45</v>
      </c>
      <c r="AF449">
        <v>1</v>
      </c>
      <c r="AH449" t="s">
        <v>3718</v>
      </c>
      <c r="AI449" t="s">
        <v>3717</v>
      </c>
      <c r="AJ449" t="s">
        <v>3716</v>
      </c>
      <c r="AK449" t="s">
        <v>3715</v>
      </c>
      <c r="AL449">
        <v>2</v>
      </c>
      <c r="AM449" s="5">
        <f t="shared" si="51"/>
        <v>0.08</v>
      </c>
      <c r="AN449" s="4">
        <f t="shared" si="52"/>
        <v>1.21166224914805E-4</v>
      </c>
      <c r="AO449" s="3"/>
      <c r="AP449">
        <v>0</v>
      </c>
      <c r="AR449" t="s">
        <v>0</v>
      </c>
      <c r="AT449" s="2" t="s">
        <v>5</v>
      </c>
      <c r="AU449" s="1">
        <f t="shared" si="53"/>
        <v>3.090578741585809</v>
      </c>
      <c r="AV449" s="1">
        <f t="shared" si="54"/>
        <v>2.2110181361302867</v>
      </c>
      <c r="AW449" s="1">
        <f t="shared" si="55"/>
        <v>1.3314575306747642</v>
      </c>
    </row>
    <row r="450" spans="1:49" x14ac:dyDescent="0.2">
      <c r="A450">
        <v>448</v>
      </c>
      <c r="B450" t="s">
        <v>3714</v>
      </c>
      <c r="C450" t="s">
        <v>3713</v>
      </c>
      <c r="D450" t="s">
        <v>3712</v>
      </c>
      <c r="F450" t="s">
        <v>3711</v>
      </c>
      <c r="G450" t="s">
        <v>4</v>
      </c>
      <c r="H450" t="s">
        <v>3</v>
      </c>
      <c r="I450" t="s">
        <v>3710</v>
      </c>
      <c r="J450">
        <v>60021211</v>
      </c>
      <c r="K450" t="s">
        <v>3709</v>
      </c>
      <c r="L450" t="s">
        <v>3708</v>
      </c>
      <c r="M450" t="s">
        <v>2</v>
      </c>
      <c r="N450">
        <v>1</v>
      </c>
      <c r="O450" t="s">
        <v>3707</v>
      </c>
      <c r="P450">
        <v>7101686156</v>
      </c>
      <c r="Q450">
        <v>60021211</v>
      </c>
      <c r="R450" s="8">
        <v>35765</v>
      </c>
      <c r="S450" s="9">
        <f t="shared" ref="S450:S513" si="56">YEAR(R450)</f>
        <v>1997</v>
      </c>
      <c r="T450" s="9">
        <v>1997</v>
      </c>
      <c r="U450" s="9">
        <f t="shared" ref="U450:U513" si="57">2022-T450</f>
        <v>25</v>
      </c>
      <c r="V450" s="8">
        <v>1997</v>
      </c>
      <c r="W450" t="s">
        <v>1803</v>
      </c>
      <c r="X450" s="2">
        <v>1.6379999999999999</v>
      </c>
      <c r="Y450" s="7">
        <f t="shared" ref="Y450:Y513" si="58">(X450-$Z$3)/($Z$2-$Z$3)</f>
        <v>4.3725474493473214E-2</v>
      </c>
      <c r="AA450" t="s">
        <v>1802</v>
      </c>
      <c r="AB450">
        <v>17391</v>
      </c>
      <c r="AD450" t="s">
        <v>1</v>
      </c>
      <c r="AE450">
        <v>45</v>
      </c>
      <c r="AF450">
        <v>1</v>
      </c>
      <c r="AH450" t="s">
        <v>3706</v>
      </c>
      <c r="AI450" t="s">
        <v>3705</v>
      </c>
      <c r="AK450" t="s">
        <v>3704</v>
      </c>
      <c r="AL450">
        <v>100</v>
      </c>
      <c r="AM450" s="5">
        <f t="shared" ref="AM450:AM513" si="59">AL450/U450</f>
        <v>4</v>
      </c>
      <c r="AN450" s="4">
        <f t="shared" ref="AN450:AN513" si="60">(AM450-$AO$3)/($AO$2-$AO$3)</f>
        <v>6.0583112457402496E-3</v>
      </c>
      <c r="AO450" s="3"/>
      <c r="AP450">
        <v>0</v>
      </c>
      <c r="AR450" t="s">
        <v>0</v>
      </c>
      <c r="AT450" s="2">
        <v>4.931</v>
      </c>
      <c r="AU450" s="1">
        <f t="shared" ref="AU450:AU513" si="61">(Y450*0.7+AN450*0.3)*100</f>
        <v>3.2425325519153323</v>
      </c>
      <c r="AV450" s="1">
        <f t="shared" ref="AV450:AV513" si="62">(Y450*0.5+AN450*0.5)*100</f>
        <v>2.4891892869606731</v>
      </c>
      <c r="AW450" s="1">
        <f t="shared" ref="AW450:AW513" si="63">(Y450*0.3+AN450*0.7)*100</f>
        <v>1.7358460220060139</v>
      </c>
    </row>
    <row r="451" spans="1:49" x14ac:dyDescent="0.2">
      <c r="A451">
        <v>449</v>
      </c>
      <c r="B451" t="s">
        <v>3703</v>
      </c>
      <c r="F451" t="s">
        <v>3702</v>
      </c>
      <c r="G451" t="s">
        <v>4</v>
      </c>
      <c r="H451" t="s">
        <v>3</v>
      </c>
      <c r="I451" t="s">
        <v>3701</v>
      </c>
      <c r="J451">
        <v>100374543</v>
      </c>
      <c r="K451" t="s">
        <v>3700</v>
      </c>
      <c r="N451">
        <v>2</v>
      </c>
      <c r="O451" t="s">
        <v>3699</v>
      </c>
      <c r="P451" t="s">
        <v>3698</v>
      </c>
      <c r="Q451" t="s">
        <v>3697</v>
      </c>
      <c r="R451" s="8">
        <v>35765</v>
      </c>
      <c r="S451" s="9">
        <f t="shared" si="56"/>
        <v>1997</v>
      </c>
      <c r="T451" s="9">
        <v>1997</v>
      </c>
      <c r="U451" s="9">
        <f t="shared" si="57"/>
        <v>25</v>
      </c>
      <c r="V451" s="8">
        <v>1997</v>
      </c>
      <c r="W451" t="s">
        <v>3687</v>
      </c>
      <c r="X451" s="2" t="s">
        <v>5</v>
      </c>
      <c r="Y451" s="7" t="e">
        <f t="shared" si="58"/>
        <v>#VALUE!</v>
      </c>
      <c r="AA451" t="s">
        <v>3686</v>
      </c>
      <c r="AB451">
        <v>18614</v>
      </c>
      <c r="AD451" t="s">
        <v>1</v>
      </c>
      <c r="AE451">
        <v>38</v>
      </c>
      <c r="AF451">
        <v>1</v>
      </c>
      <c r="AH451" t="s">
        <v>3696</v>
      </c>
      <c r="AI451" t="s">
        <v>3695</v>
      </c>
      <c r="AJ451" t="s">
        <v>3694</v>
      </c>
      <c r="AK451" t="s">
        <v>3693</v>
      </c>
      <c r="AL451">
        <v>0</v>
      </c>
      <c r="AM451" s="5">
        <f t="shared" si="59"/>
        <v>0</v>
      </c>
      <c r="AN451" s="4">
        <f t="shared" si="60"/>
        <v>0</v>
      </c>
      <c r="AO451" s="3"/>
      <c r="AP451">
        <v>0</v>
      </c>
      <c r="AR451" t="s">
        <v>0</v>
      </c>
      <c r="AT451" s="2" t="s">
        <v>5</v>
      </c>
      <c r="AU451" s="1" t="e">
        <f t="shared" si="61"/>
        <v>#VALUE!</v>
      </c>
      <c r="AV451" s="1" t="e">
        <f t="shared" si="62"/>
        <v>#VALUE!</v>
      </c>
      <c r="AW451" s="1" t="e">
        <f t="shared" si="63"/>
        <v>#VALUE!</v>
      </c>
    </row>
    <row r="452" spans="1:49" x14ac:dyDescent="0.2">
      <c r="A452">
        <v>450</v>
      </c>
      <c r="B452" t="s">
        <v>3692</v>
      </c>
      <c r="F452" t="s">
        <v>3691</v>
      </c>
      <c r="G452" t="s">
        <v>4</v>
      </c>
      <c r="H452" t="s">
        <v>3</v>
      </c>
      <c r="I452" t="s">
        <v>3690</v>
      </c>
      <c r="J452">
        <v>101012126</v>
      </c>
      <c r="K452" t="s">
        <v>3689</v>
      </c>
      <c r="N452">
        <v>1</v>
      </c>
      <c r="O452" t="s">
        <v>3688</v>
      </c>
      <c r="P452">
        <v>7401527185</v>
      </c>
      <c r="Q452">
        <v>101012126</v>
      </c>
      <c r="R452" s="8">
        <v>35765</v>
      </c>
      <c r="S452" s="9">
        <f t="shared" si="56"/>
        <v>1997</v>
      </c>
      <c r="T452" s="9">
        <v>1997</v>
      </c>
      <c r="U452" s="9">
        <f t="shared" si="57"/>
        <v>25</v>
      </c>
      <c r="V452" s="8">
        <v>1997</v>
      </c>
      <c r="W452" t="s">
        <v>3687</v>
      </c>
      <c r="X452" s="2" t="s">
        <v>5</v>
      </c>
      <c r="Y452" s="7" t="e">
        <f t="shared" si="58"/>
        <v>#VALUE!</v>
      </c>
      <c r="AA452" t="s">
        <v>3686</v>
      </c>
      <c r="AB452">
        <v>18614</v>
      </c>
      <c r="AD452" t="s">
        <v>1</v>
      </c>
      <c r="AE452">
        <v>38</v>
      </c>
      <c r="AF452">
        <v>1</v>
      </c>
      <c r="AH452" t="s">
        <v>3685</v>
      </c>
      <c r="AI452" t="s">
        <v>3684</v>
      </c>
      <c r="AJ452" t="s">
        <v>3683</v>
      </c>
      <c r="AK452" t="s">
        <v>3682</v>
      </c>
      <c r="AL452">
        <v>1</v>
      </c>
      <c r="AM452" s="5">
        <f t="shared" si="59"/>
        <v>0.04</v>
      </c>
      <c r="AN452" s="4">
        <f t="shared" si="60"/>
        <v>6.05831124574025E-5</v>
      </c>
      <c r="AO452" s="3"/>
      <c r="AP452">
        <v>0</v>
      </c>
      <c r="AR452" t="s">
        <v>0</v>
      </c>
      <c r="AT452" s="2" t="s">
        <v>5</v>
      </c>
      <c r="AU452" s="1" t="e">
        <f t="shared" si="61"/>
        <v>#VALUE!</v>
      </c>
      <c r="AV452" s="1" t="e">
        <f t="shared" si="62"/>
        <v>#VALUE!</v>
      </c>
      <c r="AW452" s="1" t="e">
        <f t="shared" si="63"/>
        <v>#VALUE!</v>
      </c>
    </row>
    <row r="453" spans="1:49" x14ac:dyDescent="0.2">
      <c r="A453">
        <v>451</v>
      </c>
      <c r="B453" t="s">
        <v>3681</v>
      </c>
      <c r="C453" t="s">
        <v>3680</v>
      </c>
      <c r="D453" t="s">
        <v>3679</v>
      </c>
      <c r="F453" t="s">
        <v>3678</v>
      </c>
      <c r="G453" t="s">
        <v>4</v>
      </c>
      <c r="H453" t="s">
        <v>3</v>
      </c>
      <c r="I453" t="s">
        <v>3677</v>
      </c>
      <c r="J453" t="s">
        <v>3676</v>
      </c>
      <c r="K453" t="s">
        <v>3675</v>
      </c>
      <c r="L453" t="s">
        <v>3674</v>
      </c>
      <c r="M453" t="s">
        <v>3673</v>
      </c>
      <c r="N453">
        <v>4</v>
      </c>
      <c r="O453" t="s">
        <v>3672</v>
      </c>
      <c r="P453" t="s">
        <v>3671</v>
      </c>
      <c r="Q453" t="s">
        <v>3670</v>
      </c>
      <c r="R453" s="8">
        <v>35765</v>
      </c>
      <c r="S453" s="9">
        <f t="shared" si="56"/>
        <v>1997</v>
      </c>
      <c r="T453" s="9">
        <v>1997</v>
      </c>
      <c r="U453" s="9">
        <f t="shared" si="57"/>
        <v>25</v>
      </c>
      <c r="V453" s="8">
        <v>1997</v>
      </c>
      <c r="W453" t="s">
        <v>280</v>
      </c>
      <c r="X453" s="2">
        <v>1.3280000000000001</v>
      </c>
      <c r="Y453" s="7">
        <f t="shared" si="58"/>
        <v>3.5450201542937994E-2</v>
      </c>
      <c r="AA453">
        <v>7413335</v>
      </c>
      <c r="AB453">
        <v>29251</v>
      </c>
      <c r="AD453" t="s">
        <v>1</v>
      </c>
      <c r="AE453">
        <v>39</v>
      </c>
      <c r="AF453">
        <v>1</v>
      </c>
      <c r="AH453" t="s">
        <v>731</v>
      </c>
      <c r="AI453" t="s">
        <v>3669</v>
      </c>
      <c r="AK453" t="s">
        <v>3668</v>
      </c>
      <c r="AL453">
        <v>9</v>
      </c>
      <c r="AM453" s="5">
        <f t="shared" si="59"/>
        <v>0.36</v>
      </c>
      <c r="AN453" s="4">
        <f t="shared" si="60"/>
        <v>5.4524801211662251E-4</v>
      </c>
      <c r="AO453" s="3"/>
      <c r="AP453">
        <v>0</v>
      </c>
      <c r="AR453" t="s">
        <v>0</v>
      </c>
      <c r="AT453" s="2">
        <v>2.4580000000000002</v>
      </c>
      <c r="AU453" s="1">
        <f t="shared" si="61"/>
        <v>2.497871548369158</v>
      </c>
      <c r="AV453" s="1">
        <f t="shared" si="62"/>
        <v>1.7997724777527309</v>
      </c>
      <c r="AW453" s="1">
        <f t="shared" si="63"/>
        <v>1.1016734071363035</v>
      </c>
    </row>
    <row r="454" spans="1:49" x14ac:dyDescent="0.2">
      <c r="A454">
        <v>452</v>
      </c>
      <c r="B454" t="s">
        <v>3667</v>
      </c>
      <c r="F454" t="s">
        <v>3666</v>
      </c>
      <c r="G454" t="s">
        <v>4</v>
      </c>
      <c r="H454" t="s">
        <v>3</v>
      </c>
      <c r="I454" t="s">
        <v>324</v>
      </c>
      <c r="J454" t="s">
        <v>3665</v>
      </c>
      <c r="K454" t="s">
        <v>3664</v>
      </c>
      <c r="L454" t="s">
        <v>3663</v>
      </c>
      <c r="M454" t="s">
        <v>3662</v>
      </c>
      <c r="N454">
        <v>4</v>
      </c>
      <c r="O454" t="s">
        <v>3661</v>
      </c>
      <c r="P454" t="s">
        <v>3660</v>
      </c>
      <c r="Q454" t="s">
        <v>3659</v>
      </c>
      <c r="R454" s="8">
        <v>35765</v>
      </c>
      <c r="S454" s="9">
        <f t="shared" si="56"/>
        <v>1997</v>
      </c>
      <c r="T454" s="9">
        <v>1997</v>
      </c>
      <c r="U454" s="9">
        <f t="shared" si="57"/>
        <v>25</v>
      </c>
      <c r="V454" s="8">
        <v>1997</v>
      </c>
      <c r="W454" t="s">
        <v>3658</v>
      </c>
      <c r="X454" s="2" t="s">
        <v>5</v>
      </c>
      <c r="Y454" s="7" t="e">
        <f t="shared" si="58"/>
        <v>#VALUE!</v>
      </c>
      <c r="AA454" t="s">
        <v>3657</v>
      </c>
      <c r="AB454">
        <v>34269</v>
      </c>
      <c r="AD454" t="s">
        <v>1</v>
      </c>
      <c r="AE454">
        <v>6</v>
      </c>
      <c r="AF454">
        <v>2</v>
      </c>
      <c r="AH454" t="s">
        <v>3656</v>
      </c>
      <c r="AI454" t="s">
        <v>3655</v>
      </c>
      <c r="AK454" t="s">
        <v>3654</v>
      </c>
      <c r="AL454">
        <v>2</v>
      </c>
      <c r="AM454" s="5">
        <f t="shared" si="59"/>
        <v>0.08</v>
      </c>
      <c r="AN454" s="4">
        <f t="shared" si="60"/>
        <v>1.21166224914805E-4</v>
      </c>
      <c r="AO454" s="3"/>
      <c r="AP454">
        <v>0</v>
      </c>
      <c r="AR454" t="s">
        <v>0</v>
      </c>
      <c r="AT454" s="2" t="s">
        <v>5</v>
      </c>
      <c r="AU454" s="1" t="e">
        <f t="shared" si="61"/>
        <v>#VALUE!</v>
      </c>
      <c r="AV454" s="1" t="e">
        <f t="shared" si="62"/>
        <v>#VALUE!</v>
      </c>
      <c r="AW454" s="1" t="e">
        <f t="shared" si="63"/>
        <v>#VALUE!</v>
      </c>
    </row>
    <row r="455" spans="1:49" x14ac:dyDescent="0.2">
      <c r="A455">
        <v>453</v>
      </c>
      <c r="B455" t="s">
        <v>3653</v>
      </c>
      <c r="F455" t="s">
        <v>3652</v>
      </c>
      <c r="G455" t="s">
        <v>4</v>
      </c>
      <c r="H455" t="s">
        <v>3</v>
      </c>
      <c r="I455" t="s">
        <v>3651</v>
      </c>
      <c r="J455">
        <v>60023131</v>
      </c>
      <c r="K455" t="s">
        <v>3650</v>
      </c>
      <c r="L455" t="s">
        <v>3649</v>
      </c>
      <c r="M455" t="s">
        <v>7</v>
      </c>
      <c r="N455">
        <v>2</v>
      </c>
      <c r="O455" t="s">
        <v>3648</v>
      </c>
      <c r="P455" t="s">
        <v>3647</v>
      </c>
      <c r="Q455" t="s">
        <v>3646</v>
      </c>
      <c r="R455" s="8">
        <v>35765</v>
      </c>
      <c r="S455" s="9">
        <f t="shared" si="56"/>
        <v>1997</v>
      </c>
      <c r="T455" s="9">
        <v>1997</v>
      </c>
      <c r="U455" s="9">
        <f t="shared" si="57"/>
        <v>25</v>
      </c>
      <c r="V455" s="8">
        <v>1997</v>
      </c>
      <c r="W455" t="s">
        <v>3582</v>
      </c>
      <c r="X455" s="2">
        <v>0.26900000000000002</v>
      </c>
      <c r="Y455" s="7">
        <f t="shared" si="58"/>
        <v>7.1808013667547591E-3</v>
      </c>
      <c r="AA455" t="s">
        <v>3581</v>
      </c>
      <c r="AB455">
        <v>13669</v>
      </c>
      <c r="AD455" t="s">
        <v>1</v>
      </c>
      <c r="AE455">
        <v>110</v>
      </c>
      <c r="AF455">
        <v>2</v>
      </c>
      <c r="AH455" t="s">
        <v>3645</v>
      </c>
      <c r="AI455" t="s">
        <v>3644</v>
      </c>
      <c r="AK455" t="s">
        <v>3643</v>
      </c>
      <c r="AL455">
        <v>8</v>
      </c>
      <c r="AM455" s="5">
        <f t="shared" si="59"/>
        <v>0.32</v>
      </c>
      <c r="AN455" s="4">
        <f t="shared" si="60"/>
        <v>4.8466489965922E-4</v>
      </c>
      <c r="AO455" s="3"/>
      <c r="AP455">
        <v>0</v>
      </c>
      <c r="AR455" t="s">
        <v>0</v>
      </c>
      <c r="AT455" s="2" t="s">
        <v>5</v>
      </c>
      <c r="AU455" s="1">
        <f t="shared" si="61"/>
        <v>0.51719604266260966</v>
      </c>
      <c r="AV455" s="1">
        <f t="shared" si="62"/>
        <v>0.38327331332069892</v>
      </c>
      <c r="AW455" s="1">
        <f t="shared" si="63"/>
        <v>0.24935058397878818</v>
      </c>
    </row>
    <row r="456" spans="1:49" x14ac:dyDescent="0.2">
      <c r="A456">
        <v>454</v>
      </c>
      <c r="B456" t="s">
        <v>3642</v>
      </c>
      <c r="C456" t="s">
        <v>3641</v>
      </c>
      <c r="F456" t="s">
        <v>3640</v>
      </c>
      <c r="G456" t="s">
        <v>4</v>
      </c>
      <c r="H456" t="s">
        <v>3</v>
      </c>
      <c r="I456" t="s">
        <v>3639</v>
      </c>
      <c r="J456" t="s">
        <v>3638</v>
      </c>
      <c r="K456" t="s">
        <v>3637</v>
      </c>
      <c r="L456" t="s">
        <v>3636</v>
      </c>
      <c r="M456" t="s">
        <v>18</v>
      </c>
      <c r="N456">
        <v>2</v>
      </c>
      <c r="O456" t="s">
        <v>3635</v>
      </c>
      <c r="P456" t="s">
        <v>3634</v>
      </c>
      <c r="Q456" t="s">
        <v>3633</v>
      </c>
      <c r="R456" s="8">
        <v>35765</v>
      </c>
      <c r="S456" s="9">
        <f t="shared" si="56"/>
        <v>1997</v>
      </c>
      <c r="T456" s="9">
        <v>1997</v>
      </c>
      <c r="U456" s="9">
        <f t="shared" si="57"/>
        <v>25</v>
      </c>
      <c r="V456" s="8">
        <v>1997</v>
      </c>
      <c r="W456" t="s">
        <v>3632</v>
      </c>
      <c r="X456" s="2">
        <v>1.0029999999999999</v>
      </c>
      <c r="Y456" s="7">
        <f t="shared" si="58"/>
        <v>2.6774512159312348E-2</v>
      </c>
      <c r="AA456">
        <v>2665611</v>
      </c>
      <c r="AB456">
        <v>28497</v>
      </c>
      <c r="AD456" t="s">
        <v>1</v>
      </c>
      <c r="AE456">
        <v>13</v>
      </c>
      <c r="AF456">
        <v>1</v>
      </c>
      <c r="AH456" t="s">
        <v>3631</v>
      </c>
      <c r="AI456" t="s">
        <v>3630</v>
      </c>
      <c r="AK456" t="s">
        <v>3629</v>
      </c>
      <c r="AL456">
        <v>63</v>
      </c>
      <c r="AM456" s="5">
        <f t="shared" si="59"/>
        <v>2.52</v>
      </c>
      <c r="AN456" s="4">
        <f t="shared" si="60"/>
        <v>3.8167360848163573E-3</v>
      </c>
      <c r="AO456" s="3"/>
      <c r="AP456">
        <v>0</v>
      </c>
      <c r="AR456" t="s">
        <v>0</v>
      </c>
      <c r="AT456" s="2">
        <v>2.407</v>
      </c>
      <c r="AU456" s="1">
        <f t="shared" si="61"/>
        <v>1.988717933696355</v>
      </c>
      <c r="AV456" s="1">
        <f t="shared" si="62"/>
        <v>1.5295624122064353</v>
      </c>
      <c r="AW456" s="1">
        <f t="shared" si="63"/>
        <v>1.0704068907165154</v>
      </c>
    </row>
    <row r="457" spans="1:49" x14ac:dyDescent="0.2">
      <c r="A457">
        <v>455</v>
      </c>
      <c r="B457" t="s">
        <v>3628</v>
      </c>
      <c r="C457" t="s">
        <v>3627</v>
      </c>
      <c r="D457" t="s">
        <v>3626</v>
      </c>
      <c r="F457" t="s">
        <v>3625</v>
      </c>
      <c r="G457" t="s">
        <v>4</v>
      </c>
      <c r="H457" t="s">
        <v>3</v>
      </c>
      <c r="I457" t="s">
        <v>3624</v>
      </c>
      <c r="J457">
        <v>60022995</v>
      </c>
      <c r="K457" t="s">
        <v>337</v>
      </c>
      <c r="L457" t="s">
        <v>336</v>
      </c>
      <c r="M457" t="s">
        <v>7</v>
      </c>
      <c r="N457">
        <v>1</v>
      </c>
      <c r="O457" t="s">
        <v>3623</v>
      </c>
      <c r="P457">
        <v>7103237301</v>
      </c>
      <c r="Q457">
        <v>60022995</v>
      </c>
      <c r="R457" s="8">
        <v>35765</v>
      </c>
      <c r="S457" s="9">
        <f t="shared" si="56"/>
        <v>1997</v>
      </c>
      <c r="T457" s="9">
        <v>1997</v>
      </c>
      <c r="U457" s="9">
        <f t="shared" si="57"/>
        <v>25</v>
      </c>
      <c r="V457" s="8">
        <v>35765</v>
      </c>
      <c r="W457" t="s">
        <v>3622</v>
      </c>
      <c r="X457" s="2">
        <v>1.0329999999999999</v>
      </c>
      <c r="Y457" s="7">
        <f t="shared" si="58"/>
        <v>2.7575345025493178E-2</v>
      </c>
      <c r="AA457">
        <v>9532048</v>
      </c>
      <c r="AB457">
        <v>12278</v>
      </c>
      <c r="AD457" t="s">
        <v>1</v>
      </c>
      <c r="AE457">
        <v>10</v>
      </c>
      <c r="AF457">
        <v>12</v>
      </c>
      <c r="AH457" t="s">
        <v>3621</v>
      </c>
      <c r="AI457" t="s">
        <v>3620</v>
      </c>
      <c r="AK457" t="s">
        <v>3619</v>
      </c>
      <c r="AL457">
        <v>25</v>
      </c>
      <c r="AM457" s="5">
        <f t="shared" si="59"/>
        <v>1</v>
      </c>
      <c r="AN457" s="4">
        <f t="shared" si="60"/>
        <v>1.5145778114350624E-3</v>
      </c>
      <c r="AO457" s="3"/>
      <c r="AP457">
        <v>0</v>
      </c>
      <c r="AR457" t="s">
        <v>0</v>
      </c>
      <c r="AT457" s="2" t="s">
        <v>5</v>
      </c>
      <c r="AU457" s="1">
        <f t="shared" si="61"/>
        <v>1.9757114861275742</v>
      </c>
      <c r="AV457" s="1">
        <f t="shared" si="62"/>
        <v>1.454496141846412</v>
      </c>
      <c r="AW457" s="1">
        <f t="shared" si="63"/>
        <v>0.93328079756524962</v>
      </c>
    </row>
    <row r="458" spans="1:49" x14ac:dyDescent="0.2">
      <c r="A458">
        <v>456</v>
      </c>
      <c r="B458" t="s">
        <v>3618</v>
      </c>
      <c r="F458" t="s">
        <v>3617</v>
      </c>
      <c r="G458" t="s">
        <v>4</v>
      </c>
      <c r="H458" t="s">
        <v>3</v>
      </c>
      <c r="I458" t="s">
        <v>3616</v>
      </c>
      <c r="J458" t="s">
        <v>3615</v>
      </c>
      <c r="K458" t="s">
        <v>3614</v>
      </c>
      <c r="L458" t="s">
        <v>3613</v>
      </c>
      <c r="M458" t="s">
        <v>122</v>
      </c>
      <c r="N458">
        <v>5</v>
      </c>
      <c r="O458" t="s">
        <v>3612</v>
      </c>
      <c r="P458" t="s">
        <v>3611</v>
      </c>
      <c r="Q458" t="s">
        <v>3610</v>
      </c>
      <c r="R458" s="8">
        <v>35765</v>
      </c>
      <c r="S458" s="9">
        <f t="shared" si="56"/>
        <v>1997</v>
      </c>
      <c r="T458" s="9">
        <v>1997</v>
      </c>
      <c r="U458" s="9">
        <f t="shared" si="57"/>
        <v>25</v>
      </c>
      <c r="V458" s="8">
        <v>1997</v>
      </c>
      <c r="W458" t="s">
        <v>3609</v>
      </c>
      <c r="X458" s="2" t="s">
        <v>5</v>
      </c>
      <c r="Y458" s="7" t="e">
        <f t="shared" si="58"/>
        <v>#VALUE!</v>
      </c>
      <c r="AA458">
        <v>13598155</v>
      </c>
      <c r="AB458">
        <v>28438</v>
      </c>
      <c r="AD458" t="s">
        <v>1</v>
      </c>
      <c r="AE458">
        <v>2</v>
      </c>
      <c r="AF458">
        <v>2</v>
      </c>
      <c r="AH458" t="s">
        <v>3608</v>
      </c>
      <c r="AI458" t="s">
        <v>3607</v>
      </c>
      <c r="AJ458" t="s">
        <v>3606</v>
      </c>
      <c r="AK458" t="s">
        <v>3605</v>
      </c>
      <c r="AL458">
        <v>36</v>
      </c>
      <c r="AM458" s="5">
        <f t="shared" si="59"/>
        <v>1.44</v>
      </c>
      <c r="AN458" s="4">
        <f t="shared" si="60"/>
        <v>2.18099204846649E-3</v>
      </c>
      <c r="AO458" s="3"/>
      <c r="AP458">
        <v>0</v>
      </c>
      <c r="AR458" t="s">
        <v>0</v>
      </c>
      <c r="AT458" s="2" t="s">
        <v>5</v>
      </c>
      <c r="AU458" s="1" t="e">
        <f t="shared" si="61"/>
        <v>#VALUE!</v>
      </c>
      <c r="AV458" s="1" t="e">
        <f t="shared" si="62"/>
        <v>#VALUE!</v>
      </c>
      <c r="AW458" s="1" t="e">
        <f t="shared" si="63"/>
        <v>#VALUE!</v>
      </c>
    </row>
    <row r="459" spans="1:49" x14ac:dyDescent="0.2">
      <c r="A459">
        <v>457</v>
      </c>
      <c r="B459" t="s">
        <v>3604</v>
      </c>
      <c r="C459" t="s">
        <v>3603</v>
      </c>
      <c r="D459" t="s">
        <v>3602</v>
      </c>
      <c r="F459" t="s">
        <v>3601</v>
      </c>
      <c r="G459" t="s">
        <v>4</v>
      </c>
      <c r="H459" t="s">
        <v>3</v>
      </c>
      <c r="I459" t="s">
        <v>3600</v>
      </c>
      <c r="J459" t="s">
        <v>3599</v>
      </c>
      <c r="K459" t="s">
        <v>3598</v>
      </c>
      <c r="L459" t="s">
        <v>3597</v>
      </c>
      <c r="M459" t="s">
        <v>18</v>
      </c>
      <c r="N459">
        <v>2</v>
      </c>
      <c r="O459" t="s">
        <v>3596</v>
      </c>
      <c r="P459" t="s">
        <v>3595</v>
      </c>
      <c r="Q459" t="s">
        <v>3594</v>
      </c>
      <c r="R459" s="8">
        <v>35765</v>
      </c>
      <c r="S459" s="9">
        <f t="shared" si="56"/>
        <v>1997</v>
      </c>
      <c r="T459" s="9">
        <v>1997</v>
      </c>
      <c r="U459" s="9">
        <f t="shared" si="57"/>
        <v>25</v>
      </c>
      <c r="V459" s="8">
        <v>35765</v>
      </c>
      <c r="W459" t="s">
        <v>3593</v>
      </c>
      <c r="X459" s="2">
        <v>0.71199999999999997</v>
      </c>
      <c r="Y459" s="7">
        <f t="shared" si="58"/>
        <v>1.900643335735832E-2</v>
      </c>
      <c r="AA459">
        <v>2681242</v>
      </c>
      <c r="AB459">
        <v>27191</v>
      </c>
      <c r="AD459" t="s">
        <v>1</v>
      </c>
      <c r="AE459">
        <v>12</v>
      </c>
      <c r="AF459">
        <v>12</v>
      </c>
      <c r="AH459" t="s">
        <v>3592</v>
      </c>
      <c r="AI459" t="s">
        <v>3591</v>
      </c>
      <c r="AK459" t="s">
        <v>3590</v>
      </c>
      <c r="AL459">
        <v>6</v>
      </c>
      <c r="AM459" s="5">
        <f t="shared" si="59"/>
        <v>0.24</v>
      </c>
      <c r="AN459" s="4">
        <f t="shared" si="60"/>
        <v>3.6349867474441499E-4</v>
      </c>
      <c r="AO459" s="3"/>
      <c r="AP459">
        <v>0</v>
      </c>
      <c r="AR459" t="s">
        <v>0</v>
      </c>
      <c r="AT459" s="2">
        <v>2.3519999999999999</v>
      </c>
      <c r="AU459" s="1">
        <f t="shared" si="61"/>
        <v>1.3413552952574148</v>
      </c>
      <c r="AV459" s="1">
        <f t="shared" si="62"/>
        <v>0.96849660160513662</v>
      </c>
      <c r="AW459" s="1">
        <f t="shared" si="63"/>
        <v>0.59563790795285865</v>
      </c>
    </row>
    <row r="460" spans="1:49" x14ac:dyDescent="0.2">
      <c r="A460">
        <v>458</v>
      </c>
      <c r="B460" t="s">
        <v>3589</v>
      </c>
      <c r="F460" t="s">
        <v>3588</v>
      </c>
      <c r="G460" t="s">
        <v>4</v>
      </c>
      <c r="H460" t="s">
        <v>3</v>
      </c>
      <c r="I460" t="s">
        <v>115</v>
      </c>
      <c r="J460">
        <v>60032442</v>
      </c>
      <c r="K460" t="s">
        <v>3587</v>
      </c>
      <c r="L460" t="s">
        <v>3586</v>
      </c>
      <c r="M460" t="s">
        <v>3585</v>
      </c>
      <c r="N460">
        <v>2</v>
      </c>
      <c r="O460" t="s">
        <v>3584</v>
      </c>
      <c r="P460" t="s">
        <v>114</v>
      </c>
      <c r="Q460" t="s">
        <v>3583</v>
      </c>
      <c r="R460" s="8">
        <v>35765</v>
      </c>
      <c r="S460" s="9">
        <f t="shared" si="56"/>
        <v>1997</v>
      </c>
      <c r="T460" s="9">
        <v>1997</v>
      </c>
      <c r="U460" s="9">
        <f t="shared" si="57"/>
        <v>25</v>
      </c>
      <c r="V460" s="8">
        <v>1997</v>
      </c>
      <c r="W460" t="s">
        <v>3582</v>
      </c>
      <c r="X460" s="2">
        <v>0.26900000000000002</v>
      </c>
      <c r="Y460" s="7">
        <f t="shared" si="58"/>
        <v>7.1808013667547591E-3</v>
      </c>
      <c r="AA460" t="s">
        <v>3581</v>
      </c>
      <c r="AB460">
        <v>13669</v>
      </c>
      <c r="AD460" t="s">
        <v>1</v>
      </c>
      <c r="AE460">
        <v>110</v>
      </c>
      <c r="AF460">
        <v>1</v>
      </c>
      <c r="AH460" t="s">
        <v>3580</v>
      </c>
      <c r="AI460" t="s">
        <v>3579</v>
      </c>
      <c r="AK460" t="s">
        <v>3578</v>
      </c>
      <c r="AL460">
        <v>11</v>
      </c>
      <c r="AM460" s="5">
        <f t="shared" si="59"/>
        <v>0.44</v>
      </c>
      <c r="AN460" s="4">
        <f t="shared" si="60"/>
        <v>6.6641423703142752E-4</v>
      </c>
      <c r="AO460" s="3"/>
      <c r="AP460">
        <v>0</v>
      </c>
      <c r="AR460" t="s">
        <v>0</v>
      </c>
      <c r="AT460" s="2" t="s">
        <v>5</v>
      </c>
      <c r="AU460" s="1">
        <f t="shared" si="61"/>
        <v>0.52264852278377594</v>
      </c>
      <c r="AV460" s="1">
        <f t="shared" si="62"/>
        <v>0.39236078018930937</v>
      </c>
      <c r="AW460" s="1">
        <f t="shared" si="63"/>
        <v>0.26207303759484268</v>
      </c>
    </row>
    <row r="461" spans="1:49" x14ac:dyDescent="0.2">
      <c r="A461">
        <v>459</v>
      </c>
      <c r="B461" t="s">
        <v>3577</v>
      </c>
      <c r="C461" t="s">
        <v>3576</v>
      </c>
      <c r="F461" t="s">
        <v>3575</v>
      </c>
      <c r="G461" t="s">
        <v>4</v>
      </c>
      <c r="H461" t="s">
        <v>3</v>
      </c>
      <c r="I461" t="s">
        <v>3574</v>
      </c>
      <c r="J461" t="s">
        <v>3573</v>
      </c>
      <c r="K461" t="s">
        <v>3572</v>
      </c>
      <c r="L461" t="s">
        <v>3571</v>
      </c>
      <c r="M461" t="s">
        <v>431</v>
      </c>
      <c r="N461">
        <v>4</v>
      </c>
      <c r="O461" t="s">
        <v>3570</v>
      </c>
      <c r="P461" t="s">
        <v>3569</v>
      </c>
      <c r="Q461" t="s">
        <v>3568</v>
      </c>
      <c r="R461" s="8">
        <v>35754</v>
      </c>
      <c r="S461" s="9">
        <f t="shared" si="56"/>
        <v>1997</v>
      </c>
      <c r="T461" s="9">
        <v>1997</v>
      </c>
      <c r="U461" s="9">
        <f t="shared" si="57"/>
        <v>25</v>
      </c>
      <c r="V461" s="8">
        <v>35754</v>
      </c>
      <c r="W461" t="s">
        <v>493</v>
      </c>
      <c r="X461" s="2">
        <v>0.375</v>
      </c>
      <c r="Y461" s="7">
        <f t="shared" si="58"/>
        <v>1.0010410827260351E-2</v>
      </c>
      <c r="AA461">
        <v>135194</v>
      </c>
      <c r="AB461">
        <v>24918</v>
      </c>
      <c r="AD461" t="s">
        <v>1</v>
      </c>
      <c r="AE461">
        <v>33</v>
      </c>
      <c r="AF461">
        <v>24</v>
      </c>
      <c r="AH461" t="s">
        <v>3567</v>
      </c>
      <c r="AI461" t="s">
        <v>3566</v>
      </c>
      <c r="AJ461" t="s">
        <v>1182</v>
      </c>
      <c r="AK461" t="s">
        <v>3565</v>
      </c>
      <c r="AL461">
        <v>45</v>
      </c>
      <c r="AM461" s="5">
        <f t="shared" si="59"/>
        <v>1.8</v>
      </c>
      <c r="AN461" s="4">
        <f t="shared" si="60"/>
        <v>2.7262400605831123E-3</v>
      </c>
      <c r="AO461" s="3"/>
      <c r="AP461">
        <v>0</v>
      </c>
      <c r="AR461" t="s">
        <v>0</v>
      </c>
      <c r="AT461" s="2">
        <v>1.3140000000000001</v>
      </c>
      <c r="AU461" s="1">
        <f t="shared" si="61"/>
        <v>0.78251595972571797</v>
      </c>
      <c r="AV461" s="1">
        <f t="shared" si="62"/>
        <v>0.63683254439217318</v>
      </c>
      <c r="AW461" s="1">
        <f t="shared" si="63"/>
        <v>0.4911491290586284</v>
      </c>
    </row>
    <row r="462" spans="1:49" x14ac:dyDescent="0.2">
      <c r="A462">
        <v>460</v>
      </c>
      <c r="B462" t="s">
        <v>3564</v>
      </c>
      <c r="C462" t="s">
        <v>3563</v>
      </c>
      <c r="F462" t="s">
        <v>3562</v>
      </c>
      <c r="G462" t="s">
        <v>4</v>
      </c>
      <c r="H462" t="s">
        <v>3</v>
      </c>
      <c r="I462" t="s">
        <v>3561</v>
      </c>
      <c r="J462" t="s">
        <v>3560</v>
      </c>
      <c r="K462" t="s">
        <v>3559</v>
      </c>
      <c r="L462" t="s">
        <v>3558</v>
      </c>
      <c r="M462" t="s">
        <v>333</v>
      </c>
      <c r="N462">
        <v>3</v>
      </c>
      <c r="O462" t="s">
        <v>3557</v>
      </c>
      <c r="P462" t="s">
        <v>3556</v>
      </c>
      <c r="Q462" t="s">
        <v>3555</v>
      </c>
      <c r="R462" s="8">
        <v>35754</v>
      </c>
      <c r="S462" s="9">
        <f t="shared" si="56"/>
        <v>1997</v>
      </c>
      <c r="T462" s="9">
        <v>1997</v>
      </c>
      <c r="U462" s="9">
        <f t="shared" si="57"/>
        <v>25</v>
      </c>
      <c r="V462" s="8">
        <v>35754</v>
      </c>
      <c r="W462" t="s">
        <v>493</v>
      </c>
      <c r="X462" s="2">
        <v>0.375</v>
      </c>
      <c r="Y462" s="7">
        <f t="shared" si="58"/>
        <v>1.0010410827260351E-2</v>
      </c>
      <c r="AA462">
        <v>135194</v>
      </c>
      <c r="AB462">
        <v>24918</v>
      </c>
      <c r="AD462" t="s">
        <v>1</v>
      </c>
      <c r="AE462">
        <v>33</v>
      </c>
      <c r="AF462">
        <v>24</v>
      </c>
      <c r="AH462" t="s">
        <v>3554</v>
      </c>
      <c r="AI462" t="s">
        <v>3553</v>
      </c>
      <c r="AJ462" t="s">
        <v>3552</v>
      </c>
      <c r="AK462" t="s">
        <v>3551</v>
      </c>
      <c r="AL462">
        <v>27</v>
      </c>
      <c r="AM462" s="5">
        <f t="shared" si="59"/>
        <v>1.08</v>
      </c>
      <c r="AN462" s="4">
        <f t="shared" si="60"/>
        <v>1.6357440363498675E-3</v>
      </c>
      <c r="AO462" s="3"/>
      <c r="AP462">
        <v>0</v>
      </c>
      <c r="AR462" t="s">
        <v>0</v>
      </c>
      <c r="AT462" s="2">
        <v>1.3140000000000001</v>
      </c>
      <c r="AU462" s="1">
        <f t="shared" si="61"/>
        <v>0.74980107899872062</v>
      </c>
      <c r="AV462" s="1">
        <f t="shared" si="62"/>
        <v>0.58230774318051093</v>
      </c>
      <c r="AW462" s="1">
        <f t="shared" si="63"/>
        <v>0.41481440736230124</v>
      </c>
    </row>
    <row r="463" spans="1:49" x14ac:dyDescent="0.2">
      <c r="A463">
        <v>461</v>
      </c>
      <c r="B463" t="s">
        <v>3550</v>
      </c>
      <c r="C463" t="s">
        <v>3549</v>
      </c>
      <c r="F463" t="s">
        <v>3548</v>
      </c>
      <c r="G463" t="s">
        <v>4</v>
      </c>
      <c r="H463" t="s">
        <v>3</v>
      </c>
      <c r="I463" t="s">
        <v>3547</v>
      </c>
      <c r="J463" t="s">
        <v>3546</v>
      </c>
      <c r="K463" t="s">
        <v>3545</v>
      </c>
      <c r="L463" t="s">
        <v>3544</v>
      </c>
      <c r="M463" t="s">
        <v>128</v>
      </c>
      <c r="N463">
        <v>5</v>
      </c>
      <c r="O463" t="s">
        <v>3543</v>
      </c>
      <c r="P463" t="s">
        <v>3542</v>
      </c>
      <c r="Q463" t="s">
        <v>3541</v>
      </c>
      <c r="R463" s="8">
        <v>35754</v>
      </c>
      <c r="S463" s="9">
        <f t="shared" si="56"/>
        <v>1997</v>
      </c>
      <c r="T463" s="9">
        <v>1997</v>
      </c>
      <c r="U463" s="9">
        <f t="shared" si="57"/>
        <v>25</v>
      </c>
      <c r="V463" s="8">
        <v>35754</v>
      </c>
      <c r="W463" t="s">
        <v>493</v>
      </c>
      <c r="X463" s="2">
        <v>0.375</v>
      </c>
      <c r="Y463" s="7">
        <f t="shared" si="58"/>
        <v>1.0010410827260351E-2</v>
      </c>
      <c r="AA463">
        <v>135194</v>
      </c>
      <c r="AB463">
        <v>24918</v>
      </c>
      <c r="AD463" t="s">
        <v>1</v>
      </c>
      <c r="AE463">
        <v>33</v>
      </c>
      <c r="AF463">
        <v>24</v>
      </c>
      <c r="AH463" t="s">
        <v>3540</v>
      </c>
      <c r="AI463" t="s">
        <v>3539</v>
      </c>
      <c r="AJ463" t="s">
        <v>3538</v>
      </c>
      <c r="AK463" t="s">
        <v>3537</v>
      </c>
      <c r="AL463">
        <v>3</v>
      </c>
      <c r="AM463" s="5">
        <f t="shared" si="59"/>
        <v>0.12</v>
      </c>
      <c r="AN463" s="4">
        <f t="shared" si="60"/>
        <v>1.8174933737220749E-4</v>
      </c>
      <c r="AO463" s="3"/>
      <c r="AP463">
        <v>0</v>
      </c>
      <c r="AR463" t="s">
        <v>0</v>
      </c>
      <c r="AT463" s="2">
        <v>1.3140000000000001</v>
      </c>
      <c r="AU463" s="1">
        <f t="shared" si="61"/>
        <v>0.70618123802939081</v>
      </c>
      <c r="AV463" s="1">
        <f t="shared" si="62"/>
        <v>0.50960800823162788</v>
      </c>
      <c r="AW463" s="1">
        <f t="shared" si="63"/>
        <v>0.31303477843386501</v>
      </c>
    </row>
    <row r="464" spans="1:49" x14ac:dyDescent="0.2">
      <c r="A464">
        <v>462</v>
      </c>
      <c r="B464" t="s">
        <v>3536</v>
      </c>
      <c r="C464" t="s">
        <v>3535</v>
      </c>
      <c r="F464" t="s">
        <v>3534</v>
      </c>
      <c r="G464" t="s">
        <v>4</v>
      </c>
      <c r="H464" t="s">
        <v>3</v>
      </c>
      <c r="I464" t="s">
        <v>3533</v>
      </c>
      <c r="J464">
        <v>60028419</v>
      </c>
      <c r="K464" t="s">
        <v>611</v>
      </c>
      <c r="L464" t="s">
        <v>610</v>
      </c>
      <c r="M464" t="s">
        <v>39</v>
      </c>
      <c r="N464">
        <v>2</v>
      </c>
      <c r="O464" t="s">
        <v>3532</v>
      </c>
      <c r="P464" t="s">
        <v>3531</v>
      </c>
      <c r="Q464" t="s">
        <v>1115</v>
      </c>
      <c r="R464" s="8">
        <v>35754</v>
      </c>
      <c r="S464" s="9">
        <f t="shared" si="56"/>
        <v>1997</v>
      </c>
      <c r="T464" s="9">
        <v>1997</v>
      </c>
      <c r="U464" s="9">
        <f t="shared" si="57"/>
        <v>25</v>
      </c>
      <c r="V464" s="8">
        <v>35754</v>
      </c>
      <c r="W464" t="s">
        <v>493</v>
      </c>
      <c r="X464" s="2">
        <v>0.375</v>
      </c>
      <c r="Y464" s="7">
        <f t="shared" si="58"/>
        <v>1.0010410827260351E-2</v>
      </c>
      <c r="AA464">
        <v>135194</v>
      </c>
      <c r="AB464">
        <v>24918</v>
      </c>
      <c r="AD464" t="s">
        <v>1</v>
      </c>
      <c r="AE464">
        <v>33</v>
      </c>
      <c r="AF464">
        <v>24</v>
      </c>
      <c r="AH464" t="s">
        <v>3530</v>
      </c>
      <c r="AI464" t="s">
        <v>3529</v>
      </c>
      <c r="AJ464" t="s">
        <v>3528</v>
      </c>
      <c r="AK464" t="s">
        <v>3527</v>
      </c>
      <c r="AL464">
        <v>9</v>
      </c>
      <c r="AM464" s="5">
        <f t="shared" si="59"/>
        <v>0.36</v>
      </c>
      <c r="AN464" s="4">
        <f t="shared" si="60"/>
        <v>5.4524801211662251E-4</v>
      </c>
      <c r="AO464" s="3"/>
      <c r="AP464">
        <v>0</v>
      </c>
      <c r="AR464" t="s">
        <v>0</v>
      </c>
      <c r="AT464" s="2">
        <v>1.3140000000000001</v>
      </c>
      <c r="AU464" s="1">
        <f t="shared" si="61"/>
        <v>0.71708619827172326</v>
      </c>
      <c r="AV464" s="1">
        <f t="shared" si="62"/>
        <v>0.52778294196884867</v>
      </c>
      <c r="AW464" s="1">
        <f t="shared" si="63"/>
        <v>0.33847968566597408</v>
      </c>
    </row>
    <row r="465" spans="1:49" x14ac:dyDescent="0.2">
      <c r="A465">
        <v>463</v>
      </c>
      <c r="B465" t="s">
        <v>3526</v>
      </c>
      <c r="C465" t="s">
        <v>3525</v>
      </c>
      <c r="F465" t="s">
        <v>3524</v>
      </c>
      <c r="G465" t="s">
        <v>4</v>
      </c>
      <c r="H465" t="s">
        <v>3</v>
      </c>
      <c r="I465" t="s">
        <v>954</v>
      </c>
      <c r="J465">
        <v>60019702</v>
      </c>
      <c r="K465" t="s">
        <v>382</v>
      </c>
      <c r="L465" t="s">
        <v>381</v>
      </c>
      <c r="M465" t="s">
        <v>8</v>
      </c>
      <c r="N465">
        <v>2</v>
      </c>
      <c r="O465" t="s">
        <v>953</v>
      </c>
      <c r="P465" t="s">
        <v>952</v>
      </c>
      <c r="Q465" t="s">
        <v>951</v>
      </c>
      <c r="R465" s="8">
        <v>35754</v>
      </c>
      <c r="S465" s="9">
        <f t="shared" si="56"/>
        <v>1997</v>
      </c>
      <c r="T465" s="9">
        <v>1997</v>
      </c>
      <c r="U465" s="9">
        <f t="shared" si="57"/>
        <v>25</v>
      </c>
      <c r="V465" s="8">
        <v>35754</v>
      </c>
      <c r="W465" t="s">
        <v>493</v>
      </c>
      <c r="X465" s="2">
        <v>0.375</v>
      </c>
      <c r="Y465" s="7">
        <f t="shared" si="58"/>
        <v>1.0010410827260351E-2</v>
      </c>
      <c r="AA465">
        <v>135194</v>
      </c>
      <c r="AB465">
        <v>24918</v>
      </c>
      <c r="AD465" t="s">
        <v>1</v>
      </c>
      <c r="AE465">
        <v>33</v>
      </c>
      <c r="AF465">
        <v>24</v>
      </c>
      <c r="AH465" t="s">
        <v>3523</v>
      </c>
      <c r="AI465" t="s">
        <v>3522</v>
      </c>
      <c r="AJ465" t="s">
        <v>3521</v>
      </c>
      <c r="AK465" t="s">
        <v>3520</v>
      </c>
      <c r="AL465">
        <v>6</v>
      </c>
      <c r="AM465" s="5">
        <f t="shared" si="59"/>
        <v>0.24</v>
      </c>
      <c r="AN465" s="4">
        <f t="shared" si="60"/>
        <v>3.6349867474441499E-4</v>
      </c>
      <c r="AO465" s="3"/>
      <c r="AP465">
        <v>0</v>
      </c>
      <c r="AR465" t="s">
        <v>0</v>
      </c>
      <c r="AT465" s="2">
        <v>1.3140000000000001</v>
      </c>
      <c r="AU465" s="1">
        <f t="shared" si="61"/>
        <v>0.71163371815055709</v>
      </c>
      <c r="AV465" s="1">
        <f t="shared" si="62"/>
        <v>0.51869547510023828</v>
      </c>
      <c r="AW465" s="1">
        <f t="shared" si="63"/>
        <v>0.32575723204991958</v>
      </c>
    </row>
    <row r="466" spans="1:49" x14ac:dyDescent="0.2">
      <c r="A466">
        <v>464</v>
      </c>
      <c r="B466" t="s">
        <v>3519</v>
      </c>
      <c r="C466" t="s">
        <v>3518</v>
      </c>
      <c r="F466" t="s">
        <v>3517</v>
      </c>
      <c r="G466" t="s">
        <v>4</v>
      </c>
      <c r="H466" t="s">
        <v>3</v>
      </c>
      <c r="I466" t="s">
        <v>3516</v>
      </c>
      <c r="J466" t="s">
        <v>3515</v>
      </c>
      <c r="K466" t="s">
        <v>3514</v>
      </c>
      <c r="L466" t="s">
        <v>3513</v>
      </c>
      <c r="M466" t="s">
        <v>3512</v>
      </c>
      <c r="N466">
        <v>4</v>
      </c>
      <c r="O466" t="s">
        <v>3511</v>
      </c>
      <c r="P466" t="s">
        <v>3510</v>
      </c>
      <c r="Q466" t="s">
        <v>3509</v>
      </c>
      <c r="R466" s="8">
        <v>35754</v>
      </c>
      <c r="S466" s="9">
        <f t="shared" si="56"/>
        <v>1997</v>
      </c>
      <c r="T466" s="9">
        <v>1997</v>
      </c>
      <c r="U466" s="9">
        <f t="shared" si="57"/>
        <v>25</v>
      </c>
      <c r="V466" s="8">
        <v>35754</v>
      </c>
      <c r="W466" t="s">
        <v>493</v>
      </c>
      <c r="X466" s="2">
        <v>0.375</v>
      </c>
      <c r="Y466" s="7">
        <f t="shared" si="58"/>
        <v>1.0010410827260351E-2</v>
      </c>
      <c r="AA466">
        <v>135194</v>
      </c>
      <c r="AB466">
        <v>24918</v>
      </c>
      <c r="AD466" t="s">
        <v>1</v>
      </c>
      <c r="AE466">
        <v>33</v>
      </c>
      <c r="AF466">
        <v>24</v>
      </c>
      <c r="AH466" t="s">
        <v>3508</v>
      </c>
      <c r="AI466" t="s">
        <v>3507</v>
      </c>
      <c r="AJ466" t="s">
        <v>3506</v>
      </c>
      <c r="AK466" t="s">
        <v>3505</v>
      </c>
      <c r="AL466">
        <v>11</v>
      </c>
      <c r="AM466" s="5">
        <f t="shared" si="59"/>
        <v>0.44</v>
      </c>
      <c r="AN466" s="4">
        <f t="shared" si="60"/>
        <v>6.6641423703142752E-4</v>
      </c>
      <c r="AO466" s="3"/>
      <c r="AP466">
        <v>0</v>
      </c>
      <c r="AR466" t="s">
        <v>0</v>
      </c>
      <c r="AT466" s="2">
        <v>1.3140000000000001</v>
      </c>
      <c r="AU466" s="1">
        <f t="shared" si="61"/>
        <v>0.72072118501916738</v>
      </c>
      <c r="AV466" s="1">
        <f t="shared" si="62"/>
        <v>0.53384125321458897</v>
      </c>
      <c r="AW466" s="1">
        <f t="shared" si="63"/>
        <v>0.3469613214100104</v>
      </c>
    </row>
    <row r="467" spans="1:49" x14ac:dyDescent="0.2">
      <c r="A467">
        <v>465</v>
      </c>
      <c r="B467" t="s">
        <v>3504</v>
      </c>
      <c r="C467" t="s">
        <v>3503</v>
      </c>
      <c r="F467" t="s">
        <v>3502</v>
      </c>
      <c r="G467" t="s">
        <v>4</v>
      </c>
      <c r="H467" t="s">
        <v>3</v>
      </c>
      <c r="I467" t="s">
        <v>3501</v>
      </c>
      <c r="J467">
        <v>60024322</v>
      </c>
      <c r="K467" t="s">
        <v>3500</v>
      </c>
      <c r="L467" t="s">
        <v>235</v>
      </c>
      <c r="M467" t="s">
        <v>111</v>
      </c>
      <c r="N467">
        <v>5</v>
      </c>
      <c r="O467" t="s">
        <v>3499</v>
      </c>
      <c r="P467" t="s">
        <v>3498</v>
      </c>
      <c r="Q467" t="s">
        <v>3497</v>
      </c>
      <c r="R467" s="8">
        <v>35749</v>
      </c>
      <c r="S467" s="9">
        <f t="shared" si="56"/>
        <v>1997</v>
      </c>
      <c r="T467" s="9">
        <v>1997</v>
      </c>
      <c r="U467" s="9">
        <f t="shared" si="57"/>
        <v>25</v>
      </c>
      <c r="V467" s="8">
        <v>35749</v>
      </c>
      <c r="W467" t="s">
        <v>2326</v>
      </c>
      <c r="X467" s="2">
        <v>1.276</v>
      </c>
      <c r="Y467" s="7">
        <f t="shared" si="58"/>
        <v>3.4062091241557887E-2</v>
      </c>
      <c r="AA467">
        <v>214922</v>
      </c>
      <c r="AB467">
        <v>75087</v>
      </c>
      <c r="AD467" t="s">
        <v>1</v>
      </c>
      <c r="AE467">
        <v>36</v>
      </c>
      <c r="AF467" t="s">
        <v>3496</v>
      </c>
      <c r="AI467" t="s">
        <v>3495</v>
      </c>
      <c r="AJ467" t="s">
        <v>3494</v>
      </c>
      <c r="AK467" t="s">
        <v>3493</v>
      </c>
      <c r="AL467">
        <v>10</v>
      </c>
      <c r="AM467" s="5">
        <f t="shared" si="59"/>
        <v>0.4</v>
      </c>
      <c r="AN467" s="4">
        <f t="shared" si="60"/>
        <v>6.0583112457402507E-4</v>
      </c>
      <c r="AO467" s="3"/>
      <c r="AP467">
        <v>0</v>
      </c>
      <c r="AR467" t="s">
        <v>0</v>
      </c>
      <c r="AT467" s="2" t="s">
        <v>5</v>
      </c>
      <c r="AU467" s="1">
        <f t="shared" si="61"/>
        <v>2.4025213206462728</v>
      </c>
      <c r="AV467" s="1">
        <f t="shared" si="62"/>
        <v>1.7333961183065956</v>
      </c>
      <c r="AW467" s="1">
        <f t="shared" si="63"/>
        <v>1.0642709159669184</v>
      </c>
    </row>
    <row r="468" spans="1:49" x14ac:dyDescent="0.2">
      <c r="A468">
        <v>466</v>
      </c>
      <c r="B468" t="s">
        <v>3492</v>
      </c>
      <c r="C468" t="s">
        <v>3491</v>
      </c>
      <c r="E468">
        <v>9374860</v>
      </c>
      <c r="F468" t="s">
        <v>3490</v>
      </c>
      <c r="G468" t="s">
        <v>4</v>
      </c>
      <c r="H468" t="s">
        <v>3</v>
      </c>
      <c r="I468" t="s">
        <v>3489</v>
      </c>
      <c r="J468" t="s">
        <v>3488</v>
      </c>
      <c r="K468" t="s">
        <v>3487</v>
      </c>
      <c r="L468" t="s">
        <v>3486</v>
      </c>
      <c r="M468" t="s">
        <v>3485</v>
      </c>
      <c r="N468">
        <v>5</v>
      </c>
      <c r="O468" t="s">
        <v>3484</v>
      </c>
      <c r="P468" t="s">
        <v>3483</v>
      </c>
      <c r="Q468" t="s">
        <v>3482</v>
      </c>
      <c r="R468" s="8">
        <v>35745</v>
      </c>
      <c r="S468" s="9">
        <f t="shared" si="56"/>
        <v>1997</v>
      </c>
      <c r="T468" s="9">
        <v>1997</v>
      </c>
      <c r="U468" s="9">
        <f t="shared" si="57"/>
        <v>25</v>
      </c>
      <c r="V468" s="8">
        <v>35745</v>
      </c>
      <c r="W468" t="s">
        <v>587</v>
      </c>
      <c r="X468" s="2">
        <v>1.43</v>
      </c>
      <c r="Y468" s="7">
        <f t="shared" si="58"/>
        <v>3.8173033287952803E-2</v>
      </c>
      <c r="AA468">
        <v>62960</v>
      </c>
      <c r="AB468">
        <v>16867</v>
      </c>
      <c r="AD468" t="s">
        <v>1</v>
      </c>
      <c r="AE468">
        <v>36</v>
      </c>
      <c r="AF468">
        <v>45</v>
      </c>
      <c r="AH468" t="s">
        <v>3481</v>
      </c>
      <c r="AI468" t="s">
        <v>3480</v>
      </c>
      <c r="AK468" t="s">
        <v>3479</v>
      </c>
      <c r="AL468">
        <v>64</v>
      </c>
      <c r="AM468" s="5">
        <f t="shared" si="59"/>
        <v>2.56</v>
      </c>
      <c r="AN468" s="4">
        <f t="shared" si="60"/>
        <v>3.87731919727376E-3</v>
      </c>
      <c r="AO468" s="3"/>
      <c r="AP468">
        <v>0</v>
      </c>
      <c r="AR468" t="s">
        <v>0</v>
      </c>
      <c r="AT468" s="2">
        <v>3.1619999999999999</v>
      </c>
      <c r="AU468" s="1">
        <f t="shared" si="61"/>
        <v>2.788431906074909</v>
      </c>
      <c r="AV468" s="1">
        <f t="shared" si="62"/>
        <v>2.1025176242613282</v>
      </c>
      <c r="AW468" s="1">
        <f t="shared" si="63"/>
        <v>1.4166033424477471</v>
      </c>
    </row>
    <row r="469" spans="1:49" x14ac:dyDescent="0.2">
      <c r="A469">
        <v>467</v>
      </c>
      <c r="B469" t="s">
        <v>3478</v>
      </c>
      <c r="C469" t="s">
        <v>3477</v>
      </c>
      <c r="E469">
        <v>9374871</v>
      </c>
      <c r="F469" t="s">
        <v>3476</v>
      </c>
      <c r="G469" t="s">
        <v>4</v>
      </c>
      <c r="H469" t="s">
        <v>3</v>
      </c>
      <c r="I469" t="s">
        <v>3475</v>
      </c>
      <c r="J469" t="s">
        <v>3474</v>
      </c>
      <c r="K469" t="s">
        <v>3473</v>
      </c>
      <c r="L469" t="s">
        <v>3472</v>
      </c>
      <c r="M469" t="s">
        <v>732</v>
      </c>
      <c r="N469">
        <v>4</v>
      </c>
      <c r="O469" t="s">
        <v>3471</v>
      </c>
      <c r="P469" t="s">
        <v>3470</v>
      </c>
      <c r="Q469" t="s">
        <v>3469</v>
      </c>
      <c r="R469" s="8">
        <v>35745</v>
      </c>
      <c r="S469" s="9">
        <f t="shared" si="56"/>
        <v>1997</v>
      </c>
      <c r="T469" s="9">
        <v>1997</v>
      </c>
      <c r="U469" s="9">
        <f t="shared" si="57"/>
        <v>25</v>
      </c>
      <c r="V469" s="8">
        <v>35745</v>
      </c>
      <c r="W469" t="s">
        <v>587</v>
      </c>
      <c r="X469" s="2">
        <v>1.43</v>
      </c>
      <c r="Y469" s="7">
        <f t="shared" si="58"/>
        <v>3.8173033287952803E-2</v>
      </c>
      <c r="AA469">
        <v>62960</v>
      </c>
      <c r="AB469">
        <v>16867</v>
      </c>
      <c r="AD469" t="s">
        <v>1</v>
      </c>
      <c r="AE469">
        <v>36</v>
      </c>
      <c r="AF469">
        <v>45</v>
      </c>
      <c r="AH469" t="s">
        <v>3468</v>
      </c>
      <c r="AI469" t="s">
        <v>3467</v>
      </c>
      <c r="AK469" t="s">
        <v>3466</v>
      </c>
      <c r="AL469">
        <v>68</v>
      </c>
      <c r="AM469" s="5">
        <f t="shared" si="59"/>
        <v>2.72</v>
      </c>
      <c r="AN469" s="4">
        <f t="shared" si="60"/>
        <v>4.1196516471033702E-3</v>
      </c>
      <c r="AO469" s="3"/>
      <c r="AP469">
        <v>0</v>
      </c>
      <c r="AR469" t="s">
        <v>0</v>
      </c>
      <c r="AT469" s="2">
        <v>3.1619999999999999</v>
      </c>
      <c r="AU469" s="1">
        <f t="shared" si="61"/>
        <v>2.7957018795697972</v>
      </c>
      <c r="AV469" s="1">
        <f t="shared" si="62"/>
        <v>2.114634246752809</v>
      </c>
      <c r="AW469" s="1">
        <f t="shared" si="63"/>
        <v>1.4335666139358199</v>
      </c>
    </row>
    <row r="470" spans="1:49" x14ac:dyDescent="0.2">
      <c r="A470">
        <v>468</v>
      </c>
      <c r="B470" t="s">
        <v>3465</v>
      </c>
      <c r="C470" t="s">
        <v>3464</v>
      </c>
      <c r="E470">
        <v>9374855</v>
      </c>
      <c r="F470" t="s">
        <v>3463</v>
      </c>
      <c r="G470" t="s">
        <v>4</v>
      </c>
      <c r="H470" t="s">
        <v>3</v>
      </c>
      <c r="I470" t="s">
        <v>3462</v>
      </c>
      <c r="J470" t="s">
        <v>3461</v>
      </c>
      <c r="K470" t="s">
        <v>3460</v>
      </c>
      <c r="L470" t="s">
        <v>3459</v>
      </c>
      <c r="M470" t="s">
        <v>210</v>
      </c>
      <c r="N470">
        <v>4</v>
      </c>
      <c r="O470" t="s">
        <v>3458</v>
      </c>
      <c r="P470" t="s">
        <v>3457</v>
      </c>
      <c r="Q470" t="s">
        <v>3456</v>
      </c>
      <c r="R470" s="8">
        <v>35745</v>
      </c>
      <c r="S470" s="9">
        <f t="shared" si="56"/>
        <v>1997</v>
      </c>
      <c r="T470" s="9">
        <v>1997</v>
      </c>
      <c r="U470" s="9">
        <f t="shared" si="57"/>
        <v>25</v>
      </c>
      <c r="V470" s="8">
        <v>35745</v>
      </c>
      <c r="W470" t="s">
        <v>587</v>
      </c>
      <c r="X470" s="2">
        <v>1.43</v>
      </c>
      <c r="Y470" s="7">
        <f t="shared" si="58"/>
        <v>3.8173033287952803E-2</v>
      </c>
      <c r="AA470">
        <v>62960</v>
      </c>
      <c r="AB470">
        <v>16867</v>
      </c>
      <c r="AD470" t="s">
        <v>1</v>
      </c>
      <c r="AE470">
        <v>36</v>
      </c>
      <c r="AF470">
        <v>45</v>
      </c>
      <c r="AH470" t="s">
        <v>3455</v>
      </c>
      <c r="AI470" t="s">
        <v>3454</v>
      </c>
      <c r="AK470" t="s">
        <v>3453</v>
      </c>
      <c r="AL470">
        <v>12</v>
      </c>
      <c r="AM470" s="5">
        <f t="shared" si="59"/>
        <v>0.48</v>
      </c>
      <c r="AN470" s="4">
        <f t="shared" si="60"/>
        <v>7.2699734948882997E-4</v>
      </c>
      <c r="AO470" s="3"/>
      <c r="AP470">
        <v>0</v>
      </c>
      <c r="AQ470" t="s">
        <v>277</v>
      </c>
      <c r="AR470" t="s">
        <v>3452</v>
      </c>
      <c r="AS470" t="s">
        <v>276</v>
      </c>
      <c r="AT470" s="2">
        <v>3.1619999999999999</v>
      </c>
      <c r="AU470" s="1">
        <f t="shared" si="61"/>
        <v>2.6939222506413611</v>
      </c>
      <c r="AV470" s="1">
        <f t="shared" si="62"/>
        <v>1.9450015318720815</v>
      </c>
      <c r="AW470" s="1">
        <f t="shared" si="63"/>
        <v>1.1960808131028022</v>
      </c>
    </row>
    <row r="471" spans="1:49" x14ac:dyDescent="0.2">
      <c r="A471">
        <v>469</v>
      </c>
      <c r="B471" t="s">
        <v>3451</v>
      </c>
      <c r="C471" t="s">
        <v>3450</v>
      </c>
      <c r="F471" t="s">
        <v>3449</v>
      </c>
      <c r="G471" t="s">
        <v>4</v>
      </c>
      <c r="H471" t="s">
        <v>3</v>
      </c>
      <c r="I471" t="s">
        <v>3448</v>
      </c>
      <c r="J471" t="s">
        <v>3447</v>
      </c>
      <c r="K471" t="s">
        <v>3446</v>
      </c>
      <c r="L471" t="s">
        <v>3445</v>
      </c>
      <c r="M471" t="s">
        <v>3444</v>
      </c>
      <c r="N471">
        <v>2</v>
      </c>
      <c r="O471" t="s">
        <v>3443</v>
      </c>
      <c r="P471" t="s">
        <v>3442</v>
      </c>
      <c r="Q471" t="s">
        <v>3441</v>
      </c>
      <c r="R471" s="8">
        <v>35744</v>
      </c>
      <c r="S471" s="9">
        <f t="shared" si="56"/>
        <v>1997</v>
      </c>
      <c r="T471" s="9">
        <v>1997</v>
      </c>
      <c r="U471" s="9">
        <f t="shared" si="57"/>
        <v>25</v>
      </c>
      <c r="V471" s="8">
        <v>35744</v>
      </c>
      <c r="W471" t="s">
        <v>472</v>
      </c>
      <c r="X471" s="2">
        <v>1.9830000000000001</v>
      </c>
      <c r="Y471" s="7">
        <f t="shared" si="58"/>
        <v>5.2935052454552739E-2</v>
      </c>
      <c r="AA471">
        <v>21699313</v>
      </c>
      <c r="AB471">
        <v>21100855886</v>
      </c>
      <c r="AC471">
        <v>21699356</v>
      </c>
      <c r="AD471" t="s">
        <v>1</v>
      </c>
      <c r="AE471">
        <v>102</v>
      </c>
      <c r="AF471">
        <v>11</v>
      </c>
      <c r="AH471" t="s">
        <v>3440</v>
      </c>
      <c r="AI471" t="s">
        <v>3439</v>
      </c>
      <c r="AK471" t="s">
        <v>3438</v>
      </c>
      <c r="AL471">
        <v>214</v>
      </c>
      <c r="AM471" s="5">
        <f t="shared" si="59"/>
        <v>8.56</v>
      </c>
      <c r="AN471" s="4">
        <f t="shared" si="60"/>
        <v>1.2964786065884136E-2</v>
      </c>
      <c r="AO471" s="3"/>
      <c r="AP471">
        <v>1</v>
      </c>
      <c r="AR471" t="s">
        <v>0</v>
      </c>
      <c r="AT471" s="2" t="s">
        <v>5</v>
      </c>
      <c r="AU471" s="1">
        <f t="shared" si="61"/>
        <v>4.0943972537952149</v>
      </c>
      <c r="AV471" s="1">
        <f t="shared" si="62"/>
        <v>3.2949919260218437</v>
      </c>
      <c r="AW471" s="1">
        <f t="shared" si="63"/>
        <v>2.4955865982484711</v>
      </c>
    </row>
    <row r="472" spans="1:49" x14ac:dyDescent="0.2">
      <c r="A472">
        <v>470</v>
      </c>
      <c r="B472" t="s">
        <v>3437</v>
      </c>
      <c r="C472" t="s">
        <v>3436</v>
      </c>
      <c r="F472" t="s">
        <v>3435</v>
      </c>
      <c r="G472" t="s">
        <v>4</v>
      </c>
      <c r="H472" t="s">
        <v>3</v>
      </c>
      <c r="I472" t="s">
        <v>3434</v>
      </c>
      <c r="J472" t="s">
        <v>3428</v>
      </c>
      <c r="K472" t="s">
        <v>3433</v>
      </c>
      <c r="L472" t="s">
        <v>3432</v>
      </c>
      <c r="M472" t="s">
        <v>3431</v>
      </c>
      <c r="N472">
        <v>2</v>
      </c>
      <c r="O472" t="s">
        <v>3430</v>
      </c>
      <c r="P472" t="s">
        <v>3429</v>
      </c>
      <c r="Q472" t="s">
        <v>3428</v>
      </c>
      <c r="R472" s="8">
        <v>35744</v>
      </c>
      <c r="S472" s="9">
        <f t="shared" si="56"/>
        <v>1997</v>
      </c>
      <c r="T472" s="9">
        <v>1997</v>
      </c>
      <c r="U472" s="9">
        <f t="shared" si="57"/>
        <v>25</v>
      </c>
      <c r="V472" s="8">
        <v>35744</v>
      </c>
      <c r="W472" t="s">
        <v>472</v>
      </c>
      <c r="X472" s="2">
        <v>1.9830000000000001</v>
      </c>
      <c r="Y472" s="7">
        <f t="shared" si="58"/>
        <v>5.2935052454552739E-2</v>
      </c>
      <c r="AA472">
        <v>21699313</v>
      </c>
      <c r="AB472">
        <v>21100855886</v>
      </c>
      <c r="AC472">
        <v>21699356</v>
      </c>
      <c r="AD472" t="s">
        <v>1</v>
      </c>
      <c r="AE472">
        <v>102</v>
      </c>
      <c r="AF472">
        <v>11</v>
      </c>
      <c r="AH472" t="s">
        <v>3427</v>
      </c>
      <c r="AI472" t="s">
        <v>3426</v>
      </c>
      <c r="AK472" t="s">
        <v>3425</v>
      </c>
      <c r="AL472">
        <v>7</v>
      </c>
      <c r="AM472" s="5">
        <f t="shared" si="59"/>
        <v>0.28000000000000003</v>
      </c>
      <c r="AN472" s="4">
        <f t="shared" si="60"/>
        <v>4.2408178720181755E-4</v>
      </c>
      <c r="AO472" s="3"/>
      <c r="AP472">
        <v>0</v>
      </c>
      <c r="AR472" t="s">
        <v>0</v>
      </c>
      <c r="AT472" s="2" t="s">
        <v>5</v>
      </c>
      <c r="AU472" s="1">
        <f t="shared" si="61"/>
        <v>3.7181761254347458</v>
      </c>
      <c r="AV472" s="1">
        <f t="shared" si="62"/>
        <v>2.6679567120877277</v>
      </c>
      <c r="AW472" s="1">
        <f t="shared" si="63"/>
        <v>1.6177372987407093</v>
      </c>
    </row>
    <row r="473" spans="1:49" x14ac:dyDescent="0.2">
      <c r="A473">
        <v>471</v>
      </c>
      <c r="B473" t="s">
        <v>3424</v>
      </c>
      <c r="C473" t="s">
        <v>3423</v>
      </c>
      <c r="F473" t="s">
        <v>3422</v>
      </c>
      <c r="G473" t="s">
        <v>4</v>
      </c>
      <c r="H473" t="s">
        <v>3</v>
      </c>
      <c r="I473" t="s">
        <v>3421</v>
      </c>
      <c r="J473" t="s">
        <v>3420</v>
      </c>
      <c r="K473" t="s">
        <v>3419</v>
      </c>
      <c r="L473" t="s">
        <v>3418</v>
      </c>
      <c r="M473" t="s">
        <v>18</v>
      </c>
      <c r="N473">
        <v>3</v>
      </c>
      <c r="O473" t="s">
        <v>3417</v>
      </c>
      <c r="P473" t="s">
        <v>3416</v>
      </c>
      <c r="Q473" t="s">
        <v>3415</v>
      </c>
      <c r="R473" s="8">
        <v>35744</v>
      </c>
      <c r="S473" s="9">
        <f t="shared" si="56"/>
        <v>1997</v>
      </c>
      <c r="T473" s="9">
        <v>1997</v>
      </c>
      <c r="U473" s="9">
        <f t="shared" si="57"/>
        <v>25</v>
      </c>
      <c r="V473" s="8">
        <v>35744</v>
      </c>
      <c r="W473" t="s">
        <v>606</v>
      </c>
      <c r="X473" s="2">
        <v>1.1819999999999999</v>
      </c>
      <c r="Y473" s="7">
        <f t="shared" si="58"/>
        <v>3.1552814927524625E-2</v>
      </c>
      <c r="AA473">
        <v>36951</v>
      </c>
      <c r="AB473">
        <v>27030</v>
      </c>
      <c r="AD473" t="s">
        <v>1</v>
      </c>
      <c r="AE473">
        <v>71</v>
      </c>
      <c r="AF473">
        <v>19</v>
      </c>
      <c r="AH473" t="s">
        <v>3414</v>
      </c>
      <c r="AI473" t="s">
        <v>3413</v>
      </c>
      <c r="AK473" t="s">
        <v>3412</v>
      </c>
      <c r="AL473">
        <v>128</v>
      </c>
      <c r="AM473" s="5">
        <f t="shared" si="59"/>
        <v>5.12</v>
      </c>
      <c r="AN473" s="4">
        <f t="shared" si="60"/>
        <v>7.75463839454752E-3</v>
      </c>
      <c r="AO473" s="3"/>
      <c r="AP473">
        <v>0</v>
      </c>
      <c r="AR473" t="s">
        <v>0</v>
      </c>
      <c r="AT473" s="2">
        <v>3.7909999999999999</v>
      </c>
      <c r="AU473" s="1">
        <f t="shared" si="61"/>
        <v>2.4413361967631491</v>
      </c>
      <c r="AV473" s="1">
        <f t="shared" si="62"/>
        <v>1.9653726661036073</v>
      </c>
      <c r="AW473" s="1">
        <f t="shared" si="63"/>
        <v>1.4894091354440653</v>
      </c>
    </row>
    <row r="474" spans="1:49" x14ac:dyDescent="0.2">
      <c r="A474">
        <v>472</v>
      </c>
      <c r="B474" t="s">
        <v>3411</v>
      </c>
      <c r="C474" t="s">
        <v>3410</v>
      </c>
      <c r="F474" t="s">
        <v>3409</v>
      </c>
      <c r="G474" t="s">
        <v>4</v>
      </c>
      <c r="H474" t="s">
        <v>3</v>
      </c>
      <c r="I474" t="s">
        <v>3408</v>
      </c>
      <c r="J474">
        <v>60003500</v>
      </c>
      <c r="K474" t="s">
        <v>356</v>
      </c>
      <c r="L474" t="s">
        <v>355</v>
      </c>
      <c r="M474" t="s">
        <v>2</v>
      </c>
      <c r="N474">
        <v>5</v>
      </c>
      <c r="O474" t="s">
        <v>3407</v>
      </c>
      <c r="P474" t="s">
        <v>3406</v>
      </c>
      <c r="Q474" t="s">
        <v>3405</v>
      </c>
      <c r="R474" s="8">
        <v>35744</v>
      </c>
      <c r="S474" s="9">
        <f t="shared" si="56"/>
        <v>1997</v>
      </c>
      <c r="T474" s="9">
        <v>1997</v>
      </c>
      <c r="U474" s="9">
        <f t="shared" si="57"/>
        <v>25</v>
      </c>
      <c r="V474" s="8">
        <v>35744</v>
      </c>
      <c r="W474" t="s">
        <v>617</v>
      </c>
      <c r="X474" s="2">
        <v>0.66800000000000004</v>
      </c>
      <c r="Y474" s="7">
        <f t="shared" si="58"/>
        <v>1.7831878486959774E-2</v>
      </c>
      <c r="AA474" t="s">
        <v>616</v>
      </c>
      <c r="AB474">
        <v>29593</v>
      </c>
      <c r="AC474">
        <v>21553165</v>
      </c>
      <c r="AD474" t="s">
        <v>1</v>
      </c>
      <c r="AE474">
        <v>36</v>
      </c>
      <c r="AF474">
        <v>32</v>
      </c>
      <c r="AH474" t="s">
        <v>3404</v>
      </c>
      <c r="AI474" t="s">
        <v>3403</v>
      </c>
      <c r="AJ474" t="s">
        <v>3402</v>
      </c>
      <c r="AK474" t="s">
        <v>3401</v>
      </c>
      <c r="AL474">
        <v>18</v>
      </c>
      <c r="AM474" s="5">
        <f t="shared" si="59"/>
        <v>0.72</v>
      </c>
      <c r="AN474" s="4">
        <f t="shared" si="60"/>
        <v>1.090496024233245E-3</v>
      </c>
      <c r="AO474" s="3"/>
      <c r="AP474">
        <v>0</v>
      </c>
      <c r="AR474" t="s">
        <v>0</v>
      </c>
      <c r="AT474" s="2">
        <v>1.98</v>
      </c>
      <c r="AU474" s="1">
        <f t="shared" si="61"/>
        <v>1.2809463748141814</v>
      </c>
      <c r="AV474" s="1">
        <f t="shared" si="62"/>
        <v>0.94611872555965082</v>
      </c>
      <c r="AW474" s="1">
        <f t="shared" si="63"/>
        <v>0.61129107630512025</v>
      </c>
    </row>
    <row r="475" spans="1:49" x14ac:dyDescent="0.2">
      <c r="A475">
        <v>473</v>
      </c>
      <c r="B475" t="s">
        <v>3400</v>
      </c>
      <c r="C475" t="s">
        <v>3399</v>
      </c>
      <c r="F475" t="s">
        <v>3398</v>
      </c>
      <c r="G475" t="s">
        <v>4</v>
      </c>
      <c r="H475" t="s">
        <v>3</v>
      </c>
      <c r="I475" t="s">
        <v>3397</v>
      </c>
      <c r="J475">
        <v>60019209</v>
      </c>
      <c r="K475" t="s">
        <v>3396</v>
      </c>
      <c r="L475" t="s">
        <v>3395</v>
      </c>
      <c r="M475" t="s">
        <v>303</v>
      </c>
      <c r="N475">
        <v>1</v>
      </c>
      <c r="O475" t="s">
        <v>3394</v>
      </c>
      <c r="P475">
        <v>7402224168</v>
      </c>
      <c r="Q475">
        <v>60019209</v>
      </c>
      <c r="R475" s="8">
        <v>35740</v>
      </c>
      <c r="S475" s="9">
        <f t="shared" si="56"/>
        <v>1997</v>
      </c>
      <c r="T475" s="9">
        <v>1997</v>
      </c>
      <c r="U475" s="9">
        <f t="shared" si="57"/>
        <v>25</v>
      </c>
      <c r="V475" s="8">
        <v>35740</v>
      </c>
      <c r="W475" t="s">
        <v>493</v>
      </c>
      <c r="X475" s="2">
        <v>0.375</v>
      </c>
      <c r="Y475" s="7">
        <f t="shared" si="58"/>
        <v>1.0010410827260351E-2</v>
      </c>
      <c r="AA475">
        <v>135194</v>
      </c>
      <c r="AB475">
        <v>24918</v>
      </c>
      <c r="AD475" t="s">
        <v>1</v>
      </c>
      <c r="AE475">
        <v>33</v>
      </c>
      <c r="AF475">
        <v>23</v>
      </c>
      <c r="AH475" t="s">
        <v>3393</v>
      </c>
      <c r="AI475" t="s">
        <v>3392</v>
      </c>
      <c r="AJ475" t="s">
        <v>3391</v>
      </c>
      <c r="AK475" t="s">
        <v>3390</v>
      </c>
      <c r="AL475">
        <v>1</v>
      </c>
      <c r="AM475" s="5">
        <f t="shared" si="59"/>
        <v>0.04</v>
      </c>
      <c r="AN475" s="4">
        <f t="shared" si="60"/>
        <v>6.05831124574025E-5</v>
      </c>
      <c r="AO475" s="3"/>
      <c r="AP475">
        <v>0</v>
      </c>
      <c r="AR475" t="s">
        <v>0</v>
      </c>
      <c r="AT475" s="2">
        <v>1.3140000000000001</v>
      </c>
      <c r="AU475" s="1">
        <f t="shared" si="61"/>
        <v>0.70254625128194659</v>
      </c>
      <c r="AV475" s="1">
        <f t="shared" si="62"/>
        <v>0.5035496969858877</v>
      </c>
      <c r="AW475" s="1">
        <f t="shared" si="63"/>
        <v>0.30455314268982869</v>
      </c>
    </row>
    <row r="476" spans="1:49" x14ac:dyDescent="0.2">
      <c r="A476">
        <v>474</v>
      </c>
      <c r="B476" t="s">
        <v>3389</v>
      </c>
      <c r="C476" t="s">
        <v>3388</v>
      </c>
      <c r="F476" t="s">
        <v>3387</v>
      </c>
      <c r="G476" t="s">
        <v>4</v>
      </c>
      <c r="H476" t="s">
        <v>3</v>
      </c>
      <c r="I476" t="s">
        <v>651</v>
      </c>
      <c r="J476">
        <v>60011357</v>
      </c>
      <c r="K476" t="s">
        <v>292</v>
      </c>
      <c r="L476" t="s">
        <v>291</v>
      </c>
      <c r="M476" t="s">
        <v>250</v>
      </c>
      <c r="N476">
        <v>2</v>
      </c>
      <c r="O476" t="s">
        <v>3386</v>
      </c>
      <c r="P476" t="s">
        <v>3385</v>
      </c>
      <c r="Q476" t="s">
        <v>288</v>
      </c>
      <c r="R476" s="8">
        <v>35740</v>
      </c>
      <c r="S476" s="9">
        <f t="shared" si="56"/>
        <v>1997</v>
      </c>
      <c r="T476" s="9">
        <v>1997</v>
      </c>
      <c r="U476" s="9">
        <f t="shared" si="57"/>
        <v>25</v>
      </c>
      <c r="V476" s="8">
        <v>35740</v>
      </c>
      <c r="W476" t="s">
        <v>493</v>
      </c>
      <c r="X476" s="2">
        <v>0.375</v>
      </c>
      <c r="Y476" s="7">
        <f t="shared" si="58"/>
        <v>1.0010410827260351E-2</v>
      </c>
      <c r="AA476">
        <v>135194</v>
      </c>
      <c r="AB476">
        <v>24918</v>
      </c>
      <c r="AD476" t="s">
        <v>1</v>
      </c>
      <c r="AE476">
        <v>33</v>
      </c>
      <c r="AF476">
        <v>23</v>
      </c>
      <c r="AH476" t="s">
        <v>3384</v>
      </c>
      <c r="AI476" t="s">
        <v>3383</v>
      </c>
      <c r="AJ476" t="s">
        <v>3382</v>
      </c>
      <c r="AK476" t="s">
        <v>3381</v>
      </c>
      <c r="AL476">
        <v>67</v>
      </c>
      <c r="AM476" s="5">
        <f t="shared" si="59"/>
        <v>2.68</v>
      </c>
      <c r="AN476" s="4">
        <f t="shared" si="60"/>
        <v>4.059068534645968E-3</v>
      </c>
      <c r="AO476" s="3"/>
      <c r="AP476">
        <v>0</v>
      </c>
      <c r="AR476" t="s">
        <v>0</v>
      </c>
      <c r="AT476" s="2">
        <v>1.3140000000000001</v>
      </c>
      <c r="AU476" s="1">
        <f t="shared" si="61"/>
        <v>0.82250081394760355</v>
      </c>
      <c r="AV476" s="1">
        <f t="shared" si="62"/>
        <v>0.70347396809531604</v>
      </c>
      <c r="AW476" s="1">
        <f t="shared" si="63"/>
        <v>0.58444712224302831</v>
      </c>
    </row>
    <row r="477" spans="1:49" x14ac:dyDescent="0.2">
      <c r="A477">
        <v>475</v>
      </c>
      <c r="B477" t="s">
        <v>3380</v>
      </c>
      <c r="C477" t="s">
        <v>3379</v>
      </c>
      <c r="F477" t="s">
        <v>3378</v>
      </c>
      <c r="G477" t="s">
        <v>4</v>
      </c>
      <c r="H477" t="s">
        <v>3</v>
      </c>
      <c r="I477" t="s">
        <v>3377</v>
      </c>
      <c r="J477">
        <v>60008592</v>
      </c>
      <c r="K477" t="s">
        <v>3376</v>
      </c>
      <c r="L477" t="s">
        <v>243</v>
      </c>
      <c r="M477" t="s">
        <v>243</v>
      </c>
      <c r="N477">
        <v>2</v>
      </c>
      <c r="O477" t="s">
        <v>3375</v>
      </c>
      <c r="P477" t="s">
        <v>3374</v>
      </c>
      <c r="Q477" t="s">
        <v>3373</v>
      </c>
      <c r="R477" s="8">
        <v>35740</v>
      </c>
      <c r="S477" s="9">
        <f t="shared" si="56"/>
        <v>1997</v>
      </c>
      <c r="T477" s="9">
        <v>1997</v>
      </c>
      <c r="U477" s="9">
        <f t="shared" si="57"/>
        <v>25</v>
      </c>
      <c r="V477" s="8">
        <v>35740</v>
      </c>
      <c r="W477" t="s">
        <v>493</v>
      </c>
      <c r="X477" s="2">
        <v>0.375</v>
      </c>
      <c r="Y477" s="7">
        <f t="shared" si="58"/>
        <v>1.0010410827260351E-2</v>
      </c>
      <c r="AA477">
        <v>135194</v>
      </c>
      <c r="AB477">
        <v>24918</v>
      </c>
      <c r="AD477" t="s">
        <v>1</v>
      </c>
      <c r="AE477">
        <v>33</v>
      </c>
      <c r="AF477">
        <v>23</v>
      </c>
      <c r="AH477" t="s">
        <v>3372</v>
      </c>
      <c r="AI477" t="s">
        <v>3371</v>
      </c>
      <c r="AJ477" t="s">
        <v>3370</v>
      </c>
      <c r="AK477" t="s">
        <v>3369</v>
      </c>
      <c r="AL477">
        <v>46</v>
      </c>
      <c r="AM477" s="5">
        <f t="shared" si="59"/>
        <v>1.84</v>
      </c>
      <c r="AN477" s="4">
        <f t="shared" si="60"/>
        <v>2.786823173040515E-3</v>
      </c>
      <c r="AO477" s="3"/>
      <c r="AP477">
        <v>0</v>
      </c>
      <c r="AR477" t="s">
        <v>0</v>
      </c>
      <c r="AT477" s="2">
        <v>1.3140000000000001</v>
      </c>
      <c r="AU477" s="1">
        <f t="shared" si="61"/>
        <v>0.78433345309944003</v>
      </c>
      <c r="AV477" s="1">
        <f t="shared" si="62"/>
        <v>0.63986170001504328</v>
      </c>
      <c r="AW477" s="1">
        <f t="shared" si="63"/>
        <v>0.49538994693064653</v>
      </c>
    </row>
    <row r="478" spans="1:49" x14ac:dyDescent="0.2">
      <c r="A478">
        <v>476</v>
      </c>
      <c r="B478" t="s">
        <v>3368</v>
      </c>
      <c r="C478" t="s">
        <v>3367</v>
      </c>
      <c r="E478">
        <v>9377635</v>
      </c>
      <c r="F478" t="s">
        <v>3366</v>
      </c>
      <c r="G478" t="s">
        <v>4</v>
      </c>
      <c r="H478" t="s">
        <v>3</v>
      </c>
      <c r="I478" t="s">
        <v>710</v>
      </c>
      <c r="J478">
        <v>60108337</v>
      </c>
      <c r="K478" t="s">
        <v>709</v>
      </c>
      <c r="L478" t="s">
        <v>708</v>
      </c>
      <c r="M478" t="s">
        <v>7</v>
      </c>
      <c r="N478">
        <v>2</v>
      </c>
      <c r="O478" t="s">
        <v>707</v>
      </c>
      <c r="P478" t="s">
        <v>706</v>
      </c>
      <c r="Q478" t="s">
        <v>705</v>
      </c>
      <c r="R478" s="8">
        <v>35740</v>
      </c>
      <c r="S478" s="9">
        <f t="shared" si="56"/>
        <v>1997</v>
      </c>
      <c r="T478" s="9">
        <v>1997</v>
      </c>
      <c r="U478" s="9">
        <f t="shared" si="57"/>
        <v>25</v>
      </c>
      <c r="V478" s="8">
        <v>1997</v>
      </c>
      <c r="W478" t="s">
        <v>628</v>
      </c>
      <c r="X478" s="2">
        <v>1.64</v>
      </c>
      <c r="Y478" s="7">
        <f t="shared" si="58"/>
        <v>4.3778863351218597E-2</v>
      </c>
      <c r="AA478" t="s">
        <v>627</v>
      </c>
      <c r="AB478">
        <v>18446</v>
      </c>
      <c r="AD478" t="s">
        <v>1</v>
      </c>
      <c r="AE478">
        <v>290</v>
      </c>
      <c r="AF478">
        <v>1</v>
      </c>
      <c r="AH478" t="s">
        <v>3365</v>
      </c>
      <c r="AI478" t="s">
        <v>3364</v>
      </c>
      <c r="AJ478" t="s">
        <v>3363</v>
      </c>
      <c r="AK478" t="s">
        <v>3362</v>
      </c>
      <c r="AL478">
        <v>36</v>
      </c>
      <c r="AM478" s="5">
        <f t="shared" si="59"/>
        <v>1.44</v>
      </c>
      <c r="AN478" s="4">
        <f t="shared" si="60"/>
        <v>2.18099204846649E-3</v>
      </c>
      <c r="AO478" s="3"/>
      <c r="AP478">
        <v>0</v>
      </c>
      <c r="AQ478" t="s">
        <v>124</v>
      </c>
      <c r="AR478" t="s">
        <v>704</v>
      </c>
      <c r="AS478" t="s">
        <v>123</v>
      </c>
      <c r="AT478" s="2">
        <v>5.2489999999999997</v>
      </c>
      <c r="AU478" s="1">
        <f t="shared" si="61"/>
        <v>3.1299501960392959</v>
      </c>
      <c r="AV478" s="1">
        <f t="shared" si="62"/>
        <v>2.2979927699842544</v>
      </c>
      <c r="AW478" s="1">
        <f t="shared" si="63"/>
        <v>1.4660353439292122</v>
      </c>
    </row>
    <row r="479" spans="1:49" x14ac:dyDescent="0.2">
      <c r="A479">
        <v>477</v>
      </c>
      <c r="B479" t="s">
        <v>3361</v>
      </c>
      <c r="C479" t="s">
        <v>3360</v>
      </c>
      <c r="E479">
        <v>9363891</v>
      </c>
      <c r="F479" t="s">
        <v>3359</v>
      </c>
      <c r="G479" t="s">
        <v>4</v>
      </c>
      <c r="H479" t="s">
        <v>3</v>
      </c>
      <c r="I479" t="s">
        <v>3358</v>
      </c>
      <c r="J479" t="s">
        <v>3357</v>
      </c>
      <c r="K479" t="s">
        <v>3356</v>
      </c>
      <c r="L479" t="s">
        <v>3355</v>
      </c>
      <c r="M479" t="s">
        <v>63</v>
      </c>
      <c r="N479">
        <v>4</v>
      </c>
      <c r="O479" t="s">
        <v>3354</v>
      </c>
      <c r="P479" t="s">
        <v>3353</v>
      </c>
      <c r="Q479" t="s">
        <v>3352</v>
      </c>
      <c r="R479" s="8">
        <v>35740</v>
      </c>
      <c r="S479" s="9">
        <f t="shared" si="56"/>
        <v>1997</v>
      </c>
      <c r="T479" s="9">
        <v>1997</v>
      </c>
      <c r="U479" s="9">
        <f t="shared" si="57"/>
        <v>25</v>
      </c>
      <c r="V479" s="8">
        <v>35740</v>
      </c>
      <c r="W479" t="s">
        <v>3351</v>
      </c>
      <c r="X479" s="2">
        <v>15.993</v>
      </c>
      <c r="Y479" s="7">
        <f t="shared" si="58"/>
        <v>0.42692400096099947</v>
      </c>
      <c r="AA479">
        <v>280836</v>
      </c>
      <c r="AB479">
        <v>21206</v>
      </c>
      <c r="AD479" t="s">
        <v>1</v>
      </c>
      <c r="AE479">
        <v>390</v>
      </c>
      <c r="AF479">
        <v>6655</v>
      </c>
      <c r="AH479" t="s">
        <v>3350</v>
      </c>
      <c r="AI479" t="s">
        <v>3349</v>
      </c>
      <c r="AK479" t="s">
        <v>3348</v>
      </c>
      <c r="AL479">
        <v>690</v>
      </c>
      <c r="AM479" s="5">
        <f t="shared" si="59"/>
        <v>27.6</v>
      </c>
      <c r="AN479" s="4">
        <f t="shared" si="60"/>
        <v>4.1802347595607726E-2</v>
      </c>
      <c r="AO479" s="3"/>
      <c r="AP479">
        <v>0</v>
      </c>
      <c r="AR479" t="s">
        <v>0</v>
      </c>
      <c r="AT479" s="2">
        <v>49.962000000000003</v>
      </c>
      <c r="AU479" s="1">
        <f t="shared" si="61"/>
        <v>31.13875049513819</v>
      </c>
      <c r="AV479" s="1">
        <f t="shared" si="62"/>
        <v>23.43631742783036</v>
      </c>
      <c r="AW479" s="1">
        <f t="shared" si="63"/>
        <v>15.733884360522524</v>
      </c>
    </row>
    <row r="480" spans="1:49" x14ac:dyDescent="0.2">
      <c r="A480">
        <v>478</v>
      </c>
      <c r="B480" t="s">
        <v>3347</v>
      </c>
      <c r="C480" t="s">
        <v>3346</v>
      </c>
      <c r="D480" t="s">
        <v>3345</v>
      </c>
      <c r="F480" t="s">
        <v>3344</v>
      </c>
      <c r="G480" t="s">
        <v>4</v>
      </c>
      <c r="H480" t="s">
        <v>3</v>
      </c>
      <c r="I480" t="s">
        <v>3343</v>
      </c>
      <c r="J480" t="s">
        <v>3342</v>
      </c>
      <c r="K480" t="s">
        <v>3341</v>
      </c>
      <c r="L480" t="s">
        <v>3340</v>
      </c>
      <c r="M480" t="s">
        <v>128</v>
      </c>
      <c r="N480">
        <v>3</v>
      </c>
      <c r="O480" t="s">
        <v>3339</v>
      </c>
      <c r="P480" t="s">
        <v>3338</v>
      </c>
      <c r="Q480" t="s">
        <v>3337</v>
      </c>
      <c r="R480" s="8">
        <v>35740</v>
      </c>
      <c r="S480" s="9">
        <f t="shared" si="56"/>
        <v>1997</v>
      </c>
      <c r="T480" s="9">
        <v>1997</v>
      </c>
      <c r="U480" s="9">
        <f t="shared" si="57"/>
        <v>25</v>
      </c>
      <c r="V480" s="8">
        <v>35740</v>
      </c>
      <c r="W480" t="s">
        <v>3336</v>
      </c>
      <c r="X480" s="2">
        <v>1.3149999999999999</v>
      </c>
      <c r="Y480" s="7">
        <f t="shared" si="58"/>
        <v>3.5103173967592965E-2</v>
      </c>
      <c r="AA480" t="s">
        <v>3335</v>
      </c>
      <c r="AB480">
        <v>13030</v>
      </c>
      <c r="AD480" t="s">
        <v>1</v>
      </c>
      <c r="AE480">
        <v>207</v>
      </c>
      <c r="AF480">
        <v>4</v>
      </c>
      <c r="AH480" t="s">
        <v>3334</v>
      </c>
      <c r="AI480" t="s">
        <v>3333</v>
      </c>
      <c r="AK480" t="s">
        <v>3332</v>
      </c>
      <c r="AL480">
        <v>24</v>
      </c>
      <c r="AM480" s="5">
        <f t="shared" si="59"/>
        <v>0.96</v>
      </c>
      <c r="AN480" s="4">
        <f t="shared" si="60"/>
        <v>1.4539946989776599E-3</v>
      </c>
      <c r="AO480" s="3"/>
      <c r="AP480">
        <v>0</v>
      </c>
      <c r="AR480" t="s">
        <v>0</v>
      </c>
      <c r="AT480" s="2">
        <v>3.6549999999999998</v>
      </c>
      <c r="AU480" s="1">
        <f t="shared" si="61"/>
        <v>2.5008420187008373</v>
      </c>
      <c r="AV480" s="1">
        <f t="shared" si="62"/>
        <v>1.8278584333285313</v>
      </c>
      <c r="AW480" s="1">
        <f t="shared" si="63"/>
        <v>1.154874847956225</v>
      </c>
    </row>
    <row r="481" spans="1:49" x14ac:dyDescent="0.2">
      <c r="A481">
        <v>479</v>
      </c>
      <c r="B481" t="s">
        <v>3331</v>
      </c>
      <c r="C481" t="s">
        <v>3330</v>
      </c>
      <c r="F481" t="s">
        <v>3329</v>
      </c>
      <c r="G481" t="s">
        <v>4</v>
      </c>
      <c r="H481" t="s">
        <v>3</v>
      </c>
      <c r="I481" t="s">
        <v>3328</v>
      </c>
      <c r="J481">
        <v>60007328</v>
      </c>
      <c r="K481" t="s">
        <v>3327</v>
      </c>
      <c r="L481" t="s">
        <v>3326</v>
      </c>
      <c r="M481" t="s">
        <v>701</v>
      </c>
      <c r="N481">
        <v>2</v>
      </c>
      <c r="O481" t="s">
        <v>3325</v>
      </c>
      <c r="P481" t="s">
        <v>3324</v>
      </c>
      <c r="Q481" t="s">
        <v>3323</v>
      </c>
      <c r="R481" s="8">
        <v>35736</v>
      </c>
      <c r="S481" s="9">
        <f t="shared" si="56"/>
        <v>1997</v>
      </c>
      <c r="T481" s="9">
        <v>1997</v>
      </c>
      <c r="U481" s="9">
        <f t="shared" si="57"/>
        <v>25</v>
      </c>
      <c r="V481" s="8">
        <v>35736</v>
      </c>
      <c r="W481" t="s">
        <v>689</v>
      </c>
      <c r="X481" s="2" t="s">
        <v>5</v>
      </c>
      <c r="Y481" s="7" t="e">
        <f t="shared" si="58"/>
        <v>#VALUE!</v>
      </c>
      <c r="AA481">
        <v>3650138</v>
      </c>
      <c r="AB481">
        <v>80347</v>
      </c>
      <c r="AD481" t="s">
        <v>1</v>
      </c>
      <c r="AE481">
        <v>126</v>
      </c>
      <c r="AF481">
        <v>1</v>
      </c>
      <c r="AH481" s="10">
        <v>41334</v>
      </c>
      <c r="AI481" t="s">
        <v>3322</v>
      </c>
      <c r="AJ481" t="s">
        <v>3321</v>
      </c>
      <c r="AK481" t="s">
        <v>3320</v>
      </c>
      <c r="AL481">
        <v>23</v>
      </c>
      <c r="AM481" s="5">
        <f t="shared" si="59"/>
        <v>0.92</v>
      </c>
      <c r="AN481" s="4">
        <f t="shared" si="60"/>
        <v>1.3934115865202575E-3</v>
      </c>
      <c r="AO481" s="3"/>
      <c r="AP481">
        <v>1</v>
      </c>
      <c r="AR481" t="s">
        <v>0</v>
      </c>
      <c r="AT481" s="2" t="s">
        <v>5</v>
      </c>
      <c r="AU481" s="1" t="e">
        <f t="shared" si="61"/>
        <v>#VALUE!</v>
      </c>
      <c r="AV481" s="1" t="e">
        <f t="shared" si="62"/>
        <v>#VALUE!</v>
      </c>
      <c r="AW481" s="1" t="e">
        <f t="shared" si="63"/>
        <v>#VALUE!</v>
      </c>
    </row>
    <row r="482" spans="1:49" x14ac:dyDescent="0.2">
      <c r="A482">
        <v>480</v>
      </c>
      <c r="B482" t="s">
        <v>3319</v>
      </c>
      <c r="C482" t="s">
        <v>3318</v>
      </c>
      <c r="F482" t="s">
        <v>3317</v>
      </c>
      <c r="G482" t="s">
        <v>4</v>
      </c>
      <c r="H482" t="s">
        <v>3</v>
      </c>
      <c r="I482" t="s">
        <v>3316</v>
      </c>
      <c r="J482">
        <v>60012059</v>
      </c>
      <c r="K482" t="s">
        <v>3315</v>
      </c>
      <c r="L482" t="s">
        <v>3314</v>
      </c>
      <c r="M482" t="s">
        <v>74</v>
      </c>
      <c r="N482">
        <v>4</v>
      </c>
      <c r="O482" t="s">
        <v>3313</v>
      </c>
      <c r="P482" t="s">
        <v>3312</v>
      </c>
      <c r="Q482" t="s">
        <v>3311</v>
      </c>
      <c r="R482" s="8">
        <v>35735</v>
      </c>
      <c r="S482" s="9">
        <f t="shared" si="56"/>
        <v>1997</v>
      </c>
      <c r="T482" s="9">
        <v>1997</v>
      </c>
      <c r="U482" s="9">
        <f t="shared" si="57"/>
        <v>25</v>
      </c>
      <c r="V482" s="8">
        <v>35735</v>
      </c>
      <c r="W482" t="s">
        <v>534</v>
      </c>
      <c r="X482" s="2">
        <v>0.318</v>
      </c>
      <c r="Y482" s="7">
        <f t="shared" si="58"/>
        <v>8.4888283815167786E-3</v>
      </c>
      <c r="AA482">
        <v>338443</v>
      </c>
      <c r="AB482">
        <v>27160</v>
      </c>
      <c r="AC482">
        <v>15739120</v>
      </c>
      <c r="AD482" t="s">
        <v>1</v>
      </c>
      <c r="AE482">
        <v>40</v>
      </c>
      <c r="AF482">
        <v>11</v>
      </c>
      <c r="AH482" t="s">
        <v>3310</v>
      </c>
      <c r="AI482" t="s">
        <v>3309</v>
      </c>
      <c r="AK482" t="s">
        <v>3308</v>
      </c>
      <c r="AL482">
        <v>0</v>
      </c>
      <c r="AM482" s="5">
        <f t="shared" si="59"/>
        <v>0</v>
      </c>
      <c r="AN482" s="4">
        <f t="shared" si="60"/>
        <v>0</v>
      </c>
      <c r="AO482" s="3"/>
      <c r="AP482">
        <v>0</v>
      </c>
      <c r="AQ482" t="s">
        <v>3307</v>
      </c>
      <c r="AR482" t="s">
        <v>3306</v>
      </c>
      <c r="AS482" t="s">
        <v>3305</v>
      </c>
      <c r="AT482" s="2">
        <v>0.77</v>
      </c>
      <c r="AU482" s="1">
        <f t="shared" si="61"/>
        <v>0.59421798670617454</v>
      </c>
      <c r="AV482" s="1">
        <f t="shared" si="62"/>
        <v>0.42444141907583893</v>
      </c>
      <c r="AW482" s="1">
        <f t="shared" si="63"/>
        <v>0.25466485144550338</v>
      </c>
    </row>
    <row r="483" spans="1:49" x14ac:dyDescent="0.2">
      <c r="A483">
        <v>481</v>
      </c>
      <c r="B483" t="s">
        <v>3304</v>
      </c>
      <c r="F483" t="s">
        <v>3303</v>
      </c>
      <c r="G483" t="s">
        <v>4</v>
      </c>
      <c r="H483" t="s">
        <v>3</v>
      </c>
      <c r="I483" t="s">
        <v>3302</v>
      </c>
      <c r="J483">
        <v>60011774</v>
      </c>
      <c r="K483" t="s">
        <v>490</v>
      </c>
      <c r="L483" t="s">
        <v>75</v>
      </c>
      <c r="M483" t="s">
        <v>74</v>
      </c>
      <c r="N483">
        <v>4</v>
      </c>
      <c r="O483" t="s">
        <v>3301</v>
      </c>
      <c r="P483" t="s">
        <v>3300</v>
      </c>
      <c r="Q483" t="s">
        <v>1015</v>
      </c>
      <c r="R483" s="8">
        <v>35735</v>
      </c>
      <c r="S483" s="9">
        <f t="shared" si="56"/>
        <v>1997</v>
      </c>
      <c r="T483" s="9">
        <v>1997</v>
      </c>
      <c r="U483" s="9">
        <f t="shared" si="57"/>
        <v>25</v>
      </c>
      <c r="V483" s="8">
        <v>35735</v>
      </c>
      <c r="W483" t="s">
        <v>489</v>
      </c>
      <c r="X483" s="2">
        <v>0.32500000000000001</v>
      </c>
      <c r="Y483" s="7">
        <f t="shared" si="58"/>
        <v>8.6756893836256385E-3</v>
      </c>
      <c r="AA483">
        <v>10637710</v>
      </c>
      <c r="AB483">
        <v>12922</v>
      </c>
      <c r="AD483" t="s">
        <v>1</v>
      </c>
      <c r="AE483">
        <v>43</v>
      </c>
      <c r="AF483">
        <v>6</v>
      </c>
      <c r="AH483" t="s">
        <v>3299</v>
      </c>
      <c r="AI483" t="s">
        <v>3298</v>
      </c>
      <c r="AK483" t="s">
        <v>3297</v>
      </c>
      <c r="AL483">
        <v>9</v>
      </c>
      <c r="AM483" s="5">
        <f t="shared" si="59"/>
        <v>0.36</v>
      </c>
      <c r="AN483" s="4">
        <f t="shared" si="60"/>
        <v>5.4524801211662251E-4</v>
      </c>
      <c r="AO483" s="3"/>
      <c r="AP483">
        <v>0</v>
      </c>
      <c r="AR483" t="s">
        <v>0</v>
      </c>
      <c r="AT483" s="2">
        <v>0.85599999999999998</v>
      </c>
      <c r="AU483" s="1">
        <f t="shared" si="61"/>
        <v>0.62365569721729341</v>
      </c>
      <c r="AV483" s="1">
        <f t="shared" si="62"/>
        <v>0.46104686978711301</v>
      </c>
      <c r="AW483" s="1">
        <f t="shared" si="63"/>
        <v>0.29843804235693272</v>
      </c>
    </row>
    <row r="484" spans="1:49" x14ac:dyDescent="0.2">
      <c r="A484">
        <v>482</v>
      </c>
      <c r="B484" t="s">
        <v>3296</v>
      </c>
      <c r="F484" t="s">
        <v>3295</v>
      </c>
      <c r="G484" t="s">
        <v>4</v>
      </c>
      <c r="H484" t="s">
        <v>3</v>
      </c>
      <c r="I484" t="s">
        <v>3294</v>
      </c>
      <c r="J484">
        <v>60110439</v>
      </c>
      <c r="K484" t="s">
        <v>3293</v>
      </c>
      <c r="L484" t="s">
        <v>438</v>
      </c>
      <c r="M484" t="s">
        <v>74</v>
      </c>
      <c r="N484">
        <v>1</v>
      </c>
      <c r="O484" t="s">
        <v>3292</v>
      </c>
      <c r="P484">
        <v>57219249750</v>
      </c>
      <c r="Q484">
        <v>60110439</v>
      </c>
      <c r="R484" s="8">
        <v>35735</v>
      </c>
      <c r="S484" s="9">
        <f t="shared" si="56"/>
        <v>1997</v>
      </c>
      <c r="T484" s="9">
        <v>1997</v>
      </c>
      <c r="U484" s="9">
        <f t="shared" si="57"/>
        <v>25</v>
      </c>
      <c r="V484" s="8">
        <v>35735</v>
      </c>
      <c r="W484" t="s">
        <v>489</v>
      </c>
      <c r="X484" s="2">
        <v>0.32500000000000001</v>
      </c>
      <c r="Y484" s="7">
        <f t="shared" si="58"/>
        <v>8.6756893836256385E-3</v>
      </c>
      <c r="AA484">
        <v>10637710</v>
      </c>
      <c r="AB484">
        <v>12922</v>
      </c>
      <c r="AD484" t="s">
        <v>1</v>
      </c>
      <c r="AE484">
        <v>43</v>
      </c>
      <c r="AF484">
        <v>6</v>
      </c>
      <c r="AH484" t="s">
        <v>3291</v>
      </c>
      <c r="AI484" t="s">
        <v>3290</v>
      </c>
      <c r="AK484" t="s">
        <v>3289</v>
      </c>
      <c r="AL484">
        <v>4</v>
      </c>
      <c r="AM484" s="5">
        <f t="shared" si="59"/>
        <v>0.16</v>
      </c>
      <c r="AN484" s="4">
        <f t="shared" si="60"/>
        <v>2.4233244982961E-4</v>
      </c>
      <c r="AO484" s="3"/>
      <c r="AP484">
        <v>0</v>
      </c>
      <c r="AR484" t="s">
        <v>0</v>
      </c>
      <c r="AT484" s="2">
        <v>0.85599999999999998</v>
      </c>
      <c r="AU484" s="1">
        <f t="shared" si="61"/>
        <v>0.61456823034868302</v>
      </c>
      <c r="AV484" s="1">
        <f t="shared" si="62"/>
        <v>0.44590109167276248</v>
      </c>
      <c r="AW484" s="1">
        <f t="shared" si="63"/>
        <v>0.27723395299684184</v>
      </c>
    </row>
    <row r="485" spans="1:49" x14ac:dyDescent="0.2">
      <c r="A485">
        <v>483</v>
      </c>
      <c r="B485" t="s">
        <v>3288</v>
      </c>
      <c r="F485" t="s">
        <v>3287</v>
      </c>
      <c r="G485" t="s">
        <v>4</v>
      </c>
      <c r="H485" t="s">
        <v>3</v>
      </c>
      <c r="I485" t="s">
        <v>1009</v>
      </c>
      <c r="J485">
        <v>100420920</v>
      </c>
      <c r="K485" t="s">
        <v>3286</v>
      </c>
      <c r="L485" t="s">
        <v>1007</v>
      </c>
      <c r="M485" t="s">
        <v>74</v>
      </c>
      <c r="N485">
        <v>2</v>
      </c>
      <c r="O485" t="s">
        <v>3285</v>
      </c>
      <c r="P485" t="s">
        <v>3284</v>
      </c>
      <c r="Q485" t="s">
        <v>3283</v>
      </c>
      <c r="R485" s="8">
        <v>35735</v>
      </c>
      <c r="S485" s="9">
        <f t="shared" si="56"/>
        <v>1997</v>
      </c>
      <c r="T485" s="9">
        <v>1997</v>
      </c>
      <c r="U485" s="9">
        <f t="shared" si="57"/>
        <v>25</v>
      </c>
      <c r="V485" s="8">
        <v>35735</v>
      </c>
      <c r="W485" t="s">
        <v>489</v>
      </c>
      <c r="X485" s="2">
        <v>0.32500000000000001</v>
      </c>
      <c r="Y485" s="7">
        <f t="shared" si="58"/>
        <v>8.6756893836256385E-3</v>
      </c>
      <c r="AA485">
        <v>10637710</v>
      </c>
      <c r="AB485">
        <v>12922</v>
      </c>
      <c r="AD485" t="s">
        <v>1</v>
      </c>
      <c r="AE485">
        <v>43</v>
      </c>
      <c r="AF485">
        <v>6</v>
      </c>
      <c r="AH485" t="s">
        <v>3282</v>
      </c>
      <c r="AI485" t="s">
        <v>3281</v>
      </c>
      <c r="AK485" t="s">
        <v>3280</v>
      </c>
      <c r="AL485">
        <v>0</v>
      </c>
      <c r="AM485" s="5">
        <f t="shared" si="59"/>
        <v>0</v>
      </c>
      <c r="AN485" s="4">
        <f t="shared" si="60"/>
        <v>0</v>
      </c>
      <c r="AO485" s="3"/>
      <c r="AP485">
        <v>0</v>
      </c>
      <c r="AR485" t="s">
        <v>0</v>
      </c>
      <c r="AT485" s="2">
        <v>0.85599999999999998</v>
      </c>
      <c r="AU485" s="1">
        <f t="shared" si="61"/>
        <v>0.60729825685379468</v>
      </c>
      <c r="AV485" s="1">
        <f t="shared" si="62"/>
        <v>0.43378446918128194</v>
      </c>
      <c r="AW485" s="1">
        <f t="shared" si="63"/>
        <v>0.26027068150876914</v>
      </c>
    </row>
    <row r="486" spans="1:49" x14ac:dyDescent="0.2">
      <c r="A486">
        <v>484</v>
      </c>
      <c r="B486" t="s">
        <v>3279</v>
      </c>
      <c r="C486" t="s">
        <v>3278</v>
      </c>
      <c r="F486" t="s">
        <v>3277</v>
      </c>
      <c r="G486" t="s">
        <v>4</v>
      </c>
      <c r="H486" t="s">
        <v>3</v>
      </c>
      <c r="I486" t="s">
        <v>3276</v>
      </c>
      <c r="J486">
        <v>60024485</v>
      </c>
      <c r="K486" t="s">
        <v>3275</v>
      </c>
      <c r="L486" t="s">
        <v>457</v>
      </c>
      <c r="M486" t="s">
        <v>50</v>
      </c>
      <c r="N486">
        <v>1</v>
      </c>
      <c r="O486" t="s">
        <v>3274</v>
      </c>
      <c r="P486">
        <v>6602890807</v>
      </c>
      <c r="Q486">
        <v>60024485</v>
      </c>
      <c r="R486" s="8">
        <v>35735</v>
      </c>
      <c r="S486" s="9">
        <f t="shared" si="56"/>
        <v>1997</v>
      </c>
      <c r="T486" s="9">
        <v>1997</v>
      </c>
      <c r="U486" s="9">
        <f t="shared" si="57"/>
        <v>25</v>
      </c>
      <c r="V486" s="8">
        <v>35735</v>
      </c>
      <c r="W486" t="s">
        <v>3273</v>
      </c>
      <c r="X486" s="2" t="s">
        <v>5</v>
      </c>
      <c r="Y486" s="7" t="e">
        <f t="shared" si="58"/>
        <v>#VALUE!</v>
      </c>
      <c r="AA486">
        <v>785326</v>
      </c>
      <c r="AB486">
        <v>12953</v>
      </c>
      <c r="AD486" t="s">
        <v>1</v>
      </c>
      <c r="AE486">
        <v>47</v>
      </c>
      <c r="AF486">
        <v>2</v>
      </c>
      <c r="AH486" t="s">
        <v>3272</v>
      </c>
      <c r="AI486" t="s">
        <v>3271</v>
      </c>
      <c r="AJ486" t="s">
        <v>3270</v>
      </c>
      <c r="AK486" t="s">
        <v>3269</v>
      </c>
      <c r="AL486">
        <v>1</v>
      </c>
      <c r="AM486" s="5">
        <f t="shared" si="59"/>
        <v>0.04</v>
      </c>
      <c r="AN486" s="4">
        <f t="shared" si="60"/>
        <v>6.05831124574025E-5</v>
      </c>
      <c r="AO486" s="3"/>
      <c r="AP486">
        <v>0</v>
      </c>
      <c r="AR486" t="s">
        <v>0</v>
      </c>
      <c r="AT486" s="2" t="s">
        <v>5</v>
      </c>
      <c r="AU486" s="1" t="e">
        <f t="shared" si="61"/>
        <v>#VALUE!</v>
      </c>
      <c r="AV486" s="1" t="e">
        <f t="shared" si="62"/>
        <v>#VALUE!</v>
      </c>
      <c r="AW486" s="1" t="e">
        <f t="shared" si="63"/>
        <v>#VALUE!</v>
      </c>
    </row>
    <row r="487" spans="1:49" x14ac:dyDescent="0.2">
      <c r="A487">
        <v>485</v>
      </c>
      <c r="B487" t="s">
        <v>3268</v>
      </c>
      <c r="F487" t="s">
        <v>3267</v>
      </c>
      <c r="G487" t="s">
        <v>4</v>
      </c>
      <c r="H487" t="s">
        <v>3</v>
      </c>
      <c r="I487" t="s">
        <v>3266</v>
      </c>
      <c r="J487">
        <v>60007457</v>
      </c>
      <c r="K487" t="s">
        <v>509</v>
      </c>
      <c r="L487" t="s">
        <v>173</v>
      </c>
      <c r="M487" t="s">
        <v>74</v>
      </c>
      <c r="N487">
        <v>2</v>
      </c>
      <c r="O487" t="s">
        <v>3265</v>
      </c>
      <c r="P487" t="s">
        <v>3264</v>
      </c>
      <c r="Q487" t="s">
        <v>721</v>
      </c>
      <c r="R487" s="8">
        <v>35735</v>
      </c>
      <c r="S487" s="9">
        <f t="shared" si="56"/>
        <v>1997</v>
      </c>
      <c r="T487" s="9">
        <v>1997</v>
      </c>
      <c r="U487" s="9">
        <f t="shared" si="57"/>
        <v>25</v>
      </c>
      <c r="V487" s="8">
        <v>35735</v>
      </c>
      <c r="W487" t="s">
        <v>720</v>
      </c>
      <c r="X487" s="2">
        <v>0.217</v>
      </c>
      <c r="Y487" s="7">
        <f t="shared" si="58"/>
        <v>5.7926910653746562E-3</v>
      </c>
      <c r="AA487">
        <v>268933</v>
      </c>
      <c r="AB487">
        <v>14153</v>
      </c>
      <c r="AD487" t="s">
        <v>1</v>
      </c>
      <c r="AE487">
        <v>31</v>
      </c>
      <c r="AF487">
        <v>6</v>
      </c>
      <c r="AH487" t="s">
        <v>522</v>
      </c>
      <c r="AI487" t="s">
        <v>3263</v>
      </c>
      <c r="AJ487" t="s">
        <v>3262</v>
      </c>
      <c r="AK487" t="s">
        <v>3261</v>
      </c>
      <c r="AL487">
        <v>2</v>
      </c>
      <c r="AM487" s="5">
        <f t="shared" si="59"/>
        <v>0.08</v>
      </c>
      <c r="AN487" s="4">
        <f t="shared" si="60"/>
        <v>1.21166224914805E-4</v>
      </c>
      <c r="AO487" s="3"/>
      <c r="AP487">
        <v>0</v>
      </c>
      <c r="AR487" t="s">
        <v>0</v>
      </c>
      <c r="AT487" s="2">
        <v>1.3740000000000001</v>
      </c>
      <c r="AU487" s="1">
        <f t="shared" si="61"/>
        <v>0.40912336132367005</v>
      </c>
      <c r="AV487" s="1">
        <f t="shared" si="62"/>
        <v>0.29569286451447307</v>
      </c>
      <c r="AW487" s="1">
        <f t="shared" si="63"/>
        <v>0.18226236770527601</v>
      </c>
    </row>
    <row r="488" spans="1:49" x14ac:dyDescent="0.2">
      <c r="A488">
        <v>486</v>
      </c>
      <c r="B488" t="s">
        <v>3260</v>
      </c>
      <c r="F488" t="s">
        <v>3259</v>
      </c>
      <c r="G488" t="s">
        <v>4</v>
      </c>
      <c r="H488" t="s">
        <v>3</v>
      </c>
      <c r="I488" t="s">
        <v>3258</v>
      </c>
      <c r="J488">
        <v>60075230</v>
      </c>
      <c r="K488" t="s">
        <v>3257</v>
      </c>
      <c r="L488" t="s">
        <v>173</v>
      </c>
      <c r="M488" t="s">
        <v>74</v>
      </c>
      <c r="N488">
        <v>2</v>
      </c>
      <c r="O488" t="s">
        <v>3256</v>
      </c>
      <c r="P488" t="s">
        <v>3255</v>
      </c>
      <c r="Q488" t="s">
        <v>3254</v>
      </c>
      <c r="R488" s="8">
        <v>35735</v>
      </c>
      <c r="S488" s="9">
        <f t="shared" si="56"/>
        <v>1997</v>
      </c>
      <c r="T488" s="9">
        <v>1997</v>
      </c>
      <c r="U488" s="9">
        <f t="shared" si="57"/>
        <v>25</v>
      </c>
      <c r="V488" s="8">
        <v>35735</v>
      </c>
      <c r="W488" t="s">
        <v>3253</v>
      </c>
      <c r="X488" s="2">
        <v>0.42599999999999999</v>
      </c>
      <c r="Y488" s="7">
        <f t="shared" si="58"/>
        <v>1.1371826699767759E-2</v>
      </c>
      <c r="AA488">
        <v>14370</v>
      </c>
      <c r="AB488">
        <v>28420</v>
      </c>
      <c r="AD488" t="s">
        <v>1</v>
      </c>
      <c r="AE488">
        <v>37</v>
      </c>
      <c r="AF488">
        <v>6</v>
      </c>
      <c r="AH488" t="s">
        <v>3252</v>
      </c>
      <c r="AI488" t="s">
        <v>3251</v>
      </c>
      <c r="AK488" t="s">
        <v>3250</v>
      </c>
      <c r="AL488">
        <v>0</v>
      </c>
      <c r="AM488" s="5">
        <f t="shared" si="59"/>
        <v>0</v>
      </c>
      <c r="AN488" s="4">
        <f t="shared" si="60"/>
        <v>0</v>
      </c>
      <c r="AO488" s="3"/>
      <c r="AP488">
        <v>0</v>
      </c>
      <c r="AR488" t="s">
        <v>0</v>
      </c>
      <c r="AT488" s="2">
        <v>0.69399999999999995</v>
      </c>
      <c r="AU488" s="1">
        <f t="shared" si="61"/>
        <v>0.79602786898374311</v>
      </c>
      <c r="AV488" s="1">
        <f t="shared" si="62"/>
        <v>0.56859133498838799</v>
      </c>
      <c r="AW488" s="1">
        <f t="shared" si="63"/>
        <v>0.34115480099303275</v>
      </c>
    </row>
    <row r="489" spans="1:49" x14ac:dyDescent="0.2">
      <c r="A489">
        <v>487</v>
      </c>
      <c r="B489" t="s">
        <v>3249</v>
      </c>
      <c r="C489" t="s">
        <v>3248</v>
      </c>
      <c r="F489" t="s">
        <v>3247</v>
      </c>
      <c r="G489" t="s">
        <v>4</v>
      </c>
      <c r="H489" t="s">
        <v>3</v>
      </c>
      <c r="I489" t="s">
        <v>3246</v>
      </c>
      <c r="J489">
        <v>60014313</v>
      </c>
      <c r="K489" t="s">
        <v>2690</v>
      </c>
      <c r="L489" t="s">
        <v>2689</v>
      </c>
      <c r="M489" t="s">
        <v>2</v>
      </c>
      <c r="N489">
        <v>1</v>
      </c>
      <c r="O489" t="s">
        <v>3245</v>
      </c>
      <c r="P489">
        <v>7006061921</v>
      </c>
      <c r="Q489">
        <v>60014313</v>
      </c>
      <c r="R489" s="8">
        <v>35735</v>
      </c>
      <c r="S489" s="9">
        <f t="shared" si="56"/>
        <v>1997</v>
      </c>
      <c r="T489" s="9">
        <v>1997</v>
      </c>
      <c r="U489" s="9">
        <f t="shared" si="57"/>
        <v>25</v>
      </c>
      <c r="V489" s="8">
        <v>35735</v>
      </c>
      <c r="W489" t="s">
        <v>231</v>
      </c>
      <c r="X489" s="2">
        <v>2.383</v>
      </c>
      <c r="Y489" s="7">
        <f t="shared" si="58"/>
        <v>6.3612824003630442E-2</v>
      </c>
      <c r="AA489">
        <v>189219</v>
      </c>
      <c r="AB489">
        <v>17915</v>
      </c>
      <c r="AD489" t="s">
        <v>1</v>
      </c>
      <c r="AE489">
        <v>85</v>
      </c>
      <c r="AF489">
        <v>11</v>
      </c>
      <c r="AH489" t="s">
        <v>3244</v>
      </c>
      <c r="AI489" t="s">
        <v>3243</v>
      </c>
      <c r="AK489" t="s">
        <v>3242</v>
      </c>
      <c r="AL489">
        <v>13</v>
      </c>
      <c r="AM489" s="5">
        <f t="shared" si="59"/>
        <v>0.52</v>
      </c>
      <c r="AN489" s="4">
        <f t="shared" si="60"/>
        <v>7.8758046194623253E-4</v>
      </c>
      <c r="AO489" s="3"/>
      <c r="AP489">
        <v>0</v>
      </c>
      <c r="AR489" t="s">
        <v>0</v>
      </c>
      <c r="AT489" s="2">
        <v>10.961</v>
      </c>
      <c r="AU489" s="1">
        <f t="shared" si="61"/>
        <v>4.4765250941125174</v>
      </c>
      <c r="AV489" s="1">
        <f t="shared" si="62"/>
        <v>3.2200202232788335</v>
      </c>
      <c r="AW489" s="1">
        <f t="shared" si="63"/>
        <v>1.9635153524451494</v>
      </c>
    </row>
    <row r="490" spans="1:49" x14ac:dyDescent="0.2">
      <c r="A490">
        <v>488</v>
      </c>
      <c r="B490" t="s">
        <v>3241</v>
      </c>
      <c r="C490" t="s">
        <v>3240</v>
      </c>
      <c r="D490" t="s">
        <v>3239</v>
      </c>
      <c r="F490" t="s">
        <v>3238</v>
      </c>
      <c r="G490" t="s">
        <v>4</v>
      </c>
      <c r="H490" t="s">
        <v>3</v>
      </c>
      <c r="I490" t="s">
        <v>3237</v>
      </c>
      <c r="J490" t="s">
        <v>3236</v>
      </c>
      <c r="K490" t="s">
        <v>3235</v>
      </c>
      <c r="L490" t="s">
        <v>668</v>
      </c>
      <c r="M490" t="s">
        <v>481</v>
      </c>
      <c r="N490">
        <v>4</v>
      </c>
      <c r="O490" t="s">
        <v>3234</v>
      </c>
      <c r="P490" t="s">
        <v>3233</v>
      </c>
      <c r="Q490" t="s">
        <v>3232</v>
      </c>
      <c r="R490" s="8">
        <v>35735</v>
      </c>
      <c r="S490" s="9">
        <f t="shared" si="56"/>
        <v>1997</v>
      </c>
      <c r="T490" s="9">
        <v>1997</v>
      </c>
      <c r="U490" s="9">
        <f t="shared" si="57"/>
        <v>25</v>
      </c>
      <c r="V490" s="8">
        <v>35735</v>
      </c>
      <c r="W490" t="s">
        <v>158</v>
      </c>
      <c r="X490" s="2">
        <v>0.81</v>
      </c>
      <c r="Y490" s="7">
        <f t="shared" si="58"/>
        <v>2.1622487386882359E-2</v>
      </c>
      <c r="AA490">
        <v>10411135</v>
      </c>
      <c r="AB490">
        <v>12116</v>
      </c>
      <c r="AD490" t="s">
        <v>1</v>
      </c>
      <c r="AE490">
        <v>9</v>
      </c>
      <c r="AF490">
        <v>11</v>
      </c>
      <c r="AH490" t="s">
        <v>3231</v>
      </c>
      <c r="AI490" t="s">
        <v>3230</v>
      </c>
      <c r="AJ490" t="s">
        <v>3229</v>
      </c>
      <c r="AK490" t="s">
        <v>3228</v>
      </c>
      <c r="AL490">
        <v>101</v>
      </c>
      <c r="AM490" s="5">
        <f t="shared" si="59"/>
        <v>4.04</v>
      </c>
      <c r="AN490" s="4">
        <f t="shared" si="60"/>
        <v>6.1188943581976527E-3</v>
      </c>
      <c r="AO490" s="3"/>
      <c r="AP490">
        <v>0</v>
      </c>
      <c r="AQ490" t="s">
        <v>1404</v>
      </c>
      <c r="AR490" t="s">
        <v>3227</v>
      </c>
      <c r="AS490" t="s">
        <v>1402</v>
      </c>
      <c r="AT490" s="2">
        <v>2.468</v>
      </c>
      <c r="AU490" s="1">
        <f t="shared" si="61"/>
        <v>1.6971409478276946</v>
      </c>
      <c r="AV490" s="1">
        <f t="shared" si="62"/>
        <v>1.3870690872540006</v>
      </c>
      <c r="AW490" s="1">
        <f t="shared" si="63"/>
        <v>1.0769972266803065</v>
      </c>
    </row>
    <row r="491" spans="1:49" x14ac:dyDescent="0.2">
      <c r="A491">
        <v>489</v>
      </c>
      <c r="B491" t="s">
        <v>3226</v>
      </c>
      <c r="C491" t="s">
        <v>3225</v>
      </c>
      <c r="F491" t="s">
        <v>3224</v>
      </c>
      <c r="G491" t="s">
        <v>4</v>
      </c>
      <c r="H491" t="s">
        <v>3</v>
      </c>
      <c r="I491" t="s">
        <v>3223</v>
      </c>
      <c r="J491">
        <v>60010491</v>
      </c>
      <c r="K491" t="s">
        <v>613</v>
      </c>
      <c r="L491" t="s">
        <v>612</v>
      </c>
      <c r="M491" t="s">
        <v>2</v>
      </c>
      <c r="N491">
        <v>4</v>
      </c>
      <c r="O491" t="s">
        <v>3222</v>
      </c>
      <c r="P491" t="s">
        <v>3221</v>
      </c>
      <c r="Q491" t="s">
        <v>3220</v>
      </c>
      <c r="R491" s="8">
        <v>35735</v>
      </c>
      <c r="S491" s="9">
        <f t="shared" si="56"/>
        <v>1997</v>
      </c>
      <c r="T491" s="9">
        <v>1997</v>
      </c>
      <c r="U491" s="9">
        <f t="shared" si="57"/>
        <v>25</v>
      </c>
      <c r="V491" s="8">
        <v>35735</v>
      </c>
      <c r="W491" t="s">
        <v>167</v>
      </c>
      <c r="X491" s="2">
        <v>0.22500000000000001</v>
      </c>
      <c r="Y491" s="7">
        <f t="shared" si="58"/>
        <v>6.0062464963562111E-3</v>
      </c>
      <c r="AA491">
        <v>2726343</v>
      </c>
      <c r="AB491">
        <v>16128</v>
      </c>
      <c r="AC491" t="s">
        <v>166</v>
      </c>
      <c r="AD491" t="s">
        <v>1</v>
      </c>
      <c r="AE491">
        <v>17</v>
      </c>
      <c r="AF491">
        <v>6</v>
      </c>
      <c r="AH491" t="s">
        <v>3219</v>
      </c>
      <c r="AI491" t="s">
        <v>3218</v>
      </c>
      <c r="AK491" t="s">
        <v>3217</v>
      </c>
      <c r="AL491">
        <v>1</v>
      </c>
      <c r="AM491" s="5">
        <f t="shared" si="59"/>
        <v>0.04</v>
      </c>
      <c r="AN491" s="4">
        <f t="shared" si="60"/>
        <v>6.05831124574025E-5</v>
      </c>
      <c r="AO491" s="3"/>
      <c r="AP491">
        <v>0</v>
      </c>
      <c r="AR491" t="s">
        <v>0</v>
      </c>
      <c r="AT491" s="2">
        <v>1.099</v>
      </c>
      <c r="AU491" s="1">
        <f t="shared" si="61"/>
        <v>0.42225474811865682</v>
      </c>
      <c r="AV491" s="1">
        <f t="shared" si="62"/>
        <v>0.30334148044068066</v>
      </c>
      <c r="AW491" s="1">
        <f t="shared" si="63"/>
        <v>0.18442821276270449</v>
      </c>
    </row>
    <row r="492" spans="1:49" x14ac:dyDescent="0.2">
      <c r="A492">
        <v>490</v>
      </c>
      <c r="B492" t="s">
        <v>3216</v>
      </c>
      <c r="C492" t="s">
        <v>3215</v>
      </c>
      <c r="D492" t="s">
        <v>3214</v>
      </c>
      <c r="F492" t="s">
        <v>3213</v>
      </c>
      <c r="G492" t="s">
        <v>4</v>
      </c>
      <c r="H492" t="s">
        <v>3</v>
      </c>
      <c r="I492" t="s">
        <v>3212</v>
      </c>
      <c r="J492" t="s">
        <v>3211</v>
      </c>
      <c r="K492" t="s">
        <v>3210</v>
      </c>
      <c r="L492" t="s">
        <v>3209</v>
      </c>
      <c r="M492" t="s">
        <v>63</v>
      </c>
      <c r="N492">
        <v>5</v>
      </c>
      <c r="O492" t="s">
        <v>3208</v>
      </c>
      <c r="P492" t="s">
        <v>3207</v>
      </c>
      <c r="Q492" t="s">
        <v>3206</v>
      </c>
      <c r="R492" s="8">
        <v>35735</v>
      </c>
      <c r="S492" s="9">
        <f t="shared" si="56"/>
        <v>1997</v>
      </c>
      <c r="T492" s="9">
        <v>1997</v>
      </c>
      <c r="U492" s="9">
        <f t="shared" si="57"/>
        <v>25</v>
      </c>
      <c r="V492" s="8">
        <v>35735</v>
      </c>
      <c r="W492" t="s">
        <v>189</v>
      </c>
      <c r="X492" s="2">
        <v>0.94</v>
      </c>
      <c r="Y492" s="7">
        <f t="shared" si="58"/>
        <v>2.5092763140332611E-2</v>
      </c>
      <c r="AA492">
        <v>10518207</v>
      </c>
      <c r="AB492">
        <v>63372</v>
      </c>
      <c r="AD492" t="s">
        <v>1</v>
      </c>
      <c r="AE492">
        <v>7</v>
      </c>
      <c r="AF492">
        <v>11</v>
      </c>
      <c r="AH492" t="s">
        <v>3205</v>
      </c>
      <c r="AI492" t="s">
        <v>3204</v>
      </c>
      <c r="AJ492" t="s">
        <v>3203</v>
      </c>
      <c r="AK492" t="s">
        <v>3202</v>
      </c>
      <c r="AL492">
        <v>5</v>
      </c>
      <c r="AM492" s="5">
        <f t="shared" si="59"/>
        <v>0.2</v>
      </c>
      <c r="AN492" s="4">
        <f t="shared" si="60"/>
        <v>3.0291556228701253E-4</v>
      </c>
      <c r="AO492" s="3"/>
      <c r="AP492">
        <v>0</v>
      </c>
      <c r="AQ492" t="s">
        <v>683</v>
      </c>
      <c r="AR492" t="s">
        <v>3201</v>
      </c>
      <c r="AS492" t="s">
        <v>682</v>
      </c>
      <c r="AT492" s="2" t="s">
        <v>5</v>
      </c>
      <c r="AU492" s="1">
        <f t="shared" si="61"/>
        <v>1.7655808866918932</v>
      </c>
      <c r="AV492" s="1">
        <f t="shared" si="62"/>
        <v>1.2697839351309812</v>
      </c>
      <c r="AW492" s="1">
        <f t="shared" si="63"/>
        <v>0.77398698357006912</v>
      </c>
    </row>
    <row r="493" spans="1:49" x14ac:dyDescent="0.2">
      <c r="A493">
        <v>491</v>
      </c>
      <c r="B493" t="s">
        <v>3200</v>
      </c>
      <c r="F493" t="s">
        <v>3199</v>
      </c>
      <c r="G493" t="s">
        <v>4</v>
      </c>
      <c r="H493" t="s">
        <v>3</v>
      </c>
      <c r="I493" t="s">
        <v>695</v>
      </c>
      <c r="J493" t="s">
        <v>3198</v>
      </c>
      <c r="K493" t="s">
        <v>3197</v>
      </c>
      <c r="L493" t="s">
        <v>3196</v>
      </c>
      <c r="M493" t="s">
        <v>66</v>
      </c>
      <c r="N493">
        <v>4</v>
      </c>
      <c r="O493" t="s">
        <v>3195</v>
      </c>
      <c r="P493" t="s">
        <v>3194</v>
      </c>
      <c r="Q493" t="s">
        <v>3193</v>
      </c>
      <c r="R493" s="8">
        <v>35735</v>
      </c>
      <c r="S493" s="9">
        <f t="shared" si="56"/>
        <v>1997</v>
      </c>
      <c r="T493" s="9">
        <v>1997</v>
      </c>
      <c r="U493" s="9">
        <f t="shared" si="57"/>
        <v>25</v>
      </c>
      <c r="V493" s="8">
        <v>35735</v>
      </c>
      <c r="W493" t="s">
        <v>640</v>
      </c>
      <c r="X493" s="2">
        <v>0.216</v>
      </c>
      <c r="Y493" s="7">
        <f t="shared" si="58"/>
        <v>5.765996636501962E-3</v>
      </c>
      <c r="AA493">
        <v>10544887</v>
      </c>
      <c r="AB493">
        <v>13200</v>
      </c>
      <c r="AD493" t="s">
        <v>1</v>
      </c>
      <c r="AE493">
        <v>12</v>
      </c>
      <c r="AF493">
        <v>3</v>
      </c>
      <c r="AH493" t="s">
        <v>3192</v>
      </c>
      <c r="AI493" t="s">
        <v>3191</v>
      </c>
      <c r="AK493" t="s">
        <v>3190</v>
      </c>
      <c r="AL493">
        <v>0</v>
      </c>
      <c r="AM493" s="5">
        <f t="shared" si="59"/>
        <v>0</v>
      </c>
      <c r="AN493" s="4">
        <f t="shared" si="60"/>
        <v>0</v>
      </c>
      <c r="AO493" s="3"/>
      <c r="AP493">
        <v>0</v>
      </c>
      <c r="AR493" t="s">
        <v>0</v>
      </c>
      <c r="AT493" s="2" t="s">
        <v>5</v>
      </c>
      <c r="AU493" s="1">
        <f t="shared" si="61"/>
        <v>0.40361976455513726</v>
      </c>
      <c r="AV493" s="1">
        <f t="shared" si="62"/>
        <v>0.28829983182509811</v>
      </c>
      <c r="AW493" s="1">
        <f t="shared" si="63"/>
        <v>0.17297989909505887</v>
      </c>
    </row>
    <row r="494" spans="1:49" x14ac:dyDescent="0.2">
      <c r="A494">
        <v>492</v>
      </c>
      <c r="B494" t="s">
        <v>3189</v>
      </c>
      <c r="F494" t="s">
        <v>3188</v>
      </c>
      <c r="G494" t="s">
        <v>4</v>
      </c>
      <c r="H494" t="s">
        <v>3</v>
      </c>
      <c r="I494" t="s">
        <v>384</v>
      </c>
      <c r="J494">
        <v>100326510</v>
      </c>
      <c r="K494" t="s">
        <v>3187</v>
      </c>
      <c r="L494" t="s">
        <v>3144</v>
      </c>
      <c r="M494" t="s">
        <v>111</v>
      </c>
      <c r="N494">
        <v>1</v>
      </c>
      <c r="O494" t="s">
        <v>3186</v>
      </c>
      <c r="P494">
        <v>7103322075</v>
      </c>
      <c r="Q494">
        <v>100326510</v>
      </c>
      <c r="R494" s="8">
        <v>35735</v>
      </c>
      <c r="S494" s="9">
        <f t="shared" si="56"/>
        <v>1997</v>
      </c>
      <c r="T494" s="9">
        <v>1997</v>
      </c>
      <c r="U494" s="9">
        <f t="shared" si="57"/>
        <v>25</v>
      </c>
      <c r="V494" s="8">
        <v>35735</v>
      </c>
      <c r="W494" t="s">
        <v>633</v>
      </c>
      <c r="X494" s="2" t="s">
        <v>5</v>
      </c>
      <c r="Y494" s="7" t="e">
        <f t="shared" si="58"/>
        <v>#VALUE!</v>
      </c>
      <c r="AA494">
        <v>9149260</v>
      </c>
      <c r="AB494">
        <v>23105</v>
      </c>
      <c r="AD494" t="s">
        <v>1</v>
      </c>
      <c r="AE494">
        <v>44</v>
      </c>
      <c r="AF494">
        <v>3</v>
      </c>
      <c r="AH494" t="s">
        <v>3185</v>
      </c>
      <c r="AI494" t="s">
        <v>3184</v>
      </c>
      <c r="AJ494" t="s">
        <v>3183</v>
      </c>
      <c r="AK494" t="s">
        <v>3182</v>
      </c>
      <c r="AL494">
        <v>0</v>
      </c>
      <c r="AM494" s="5">
        <f t="shared" si="59"/>
        <v>0</v>
      </c>
      <c r="AN494" s="4">
        <f t="shared" si="60"/>
        <v>0</v>
      </c>
      <c r="AO494" s="3"/>
      <c r="AP494">
        <v>0</v>
      </c>
      <c r="AR494" t="s">
        <v>0</v>
      </c>
      <c r="AT494" s="2" t="s">
        <v>5</v>
      </c>
      <c r="AU494" s="1" t="e">
        <f t="shared" si="61"/>
        <v>#VALUE!</v>
      </c>
      <c r="AV494" s="1" t="e">
        <f t="shared" si="62"/>
        <v>#VALUE!</v>
      </c>
      <c r="AW494" s="1" t="e">
        <f t="shared" si="63"/>
        <v>#VALUE!</v>
      </c>
    </row>
    <row r="495" spans="1:49" x14ac:dyDescent="0.2">
      <c r="A495">
        <v>493</v>
      </c>
      <c r="B495" t="s">
        <v>3181</v>
      </c>
      <c r="C495" t="s">
        <v>3180</v>
      </c>
      <c r="F495" t="s">
        <v>3179</v>
      </c>
      <c r="G495" t="s">
        <v>4</v>
      </c>
      <c r="H495" t="s">
        <v>3</v>
      </c>
      <c r="I495" t="s">
        <v>3178</v>
      </c>
      <c r="N495">
        <v>1</v>
      </c>
      <c r="O495" t="s">
        <v>3177</v>
      </c>
      <c r="P495">
        <v>57225662103</v>
      </c>
      <c r="R495" s="8">
        <v>35735</v>
      </c>
      <c r="S495" s="9">
        <f t="shared" si="56"/>
        <v>1997</v>
      </c>
      <c r="T495" s="9">
        <v>1997</v>
      </c>
      <c r="U495" s="9">
        <f t="shared" si="57"/>
        <v>25</v>
      </c>
      <c r="V495" s="8">
        <v>35735</v>
      </c>
      <c r="W495" t="s">
        <v>231</v>
      </c>
      <c r="X495" s="2">
        <v>2.383</v>
      </c>
      <c r="Y495" s="7">
        <f t="shared" si="58"/>
        <v>6.3612824003630442E-2</v>
      </c>
      <c r="AA495">
        <v>189219</v>
      </c>
      <c r="AB495">
        <v>17915</v>
      </c>
      <c r="AD495" t="s">
        <v>1</v>
      </c>
      <c r="AE495">
        <v>85</v>
      </c>
      <c r="AF495">
        <v>11</v>
      </c>
      <c r="AH495" t="s">
        <v>3176</v>
      </c>
      <c r="AI495" t="s">
        <v>3175</v>
      </c>
      <c r="AK495" t="s">
        <v>3174</v>
      </c>
      <c r="AL495">
        <v>13</v>
      </c>
      <c r="AM495" s="5">
        <f t="shared" si="59"/>
        <v>0.52</v>
      </c>
      <c r="AN495" s="4">
        <f t="shared" si="60"/>
        <v>7.8758046194623253E-4</v>
      </c>
      <c r="AO495" s="3"/>
      <c r="AP495">
        <v>0</v>
      </c>
      <c r="AR495" t="s">
        <v>0</v>
      </c>
      <c r="AT495" s="2">
        <v>10.961</v>
      </c>
      <c r="AU495" s="1">
        <f t="shared" si="61"/>
        <v>4.4765250941125174</v>
      </c>
      <c r="AV495" s="1">
        <f t="shared" si="62"/>
        <v>3.2200202232788335</v>
      </c>
      <c r="AW495" s="1">
        <f t="shared" si="63"/>
        <v>1.9635153524451494</v>
      </c>
    </row>
    <row r="496" spans="1:49" x14ac:dyDescent="0.2">
      <c r="A496">
        <v>494</v>
      </c>
      <c r="B496" t="s">
        <v>3173</v>
      </c>
      <c r="F496" t="s">
        <v>3172</v>
      </c>
      <c r="G496" t="s">
        <v>4</v>
      </c>
      <c r="H496" t="s">
        <v>3</v>
      </c>
      <c r="I496" t="s">
        <v>3171</v>
      </c>
      <c r="J496">
        <v>100726060</v>
      </c>
      <c r="K496" t="s">
        <v>3170</v>
      </c>
      <c r="L496" t="s">
        <v>184</v>
      </c>
      <c r="M496" t="s">
        <v>26</v>
      </c>
      <c r="N496">
        <v>4</v>
      </c>
      <c r="O496" t="s">
        <v>3169</v>
      </c>
      <c r="P496" t="s">
        <v>3168</v>
      </c>
      <c r="Q496" t="s">
        <v>3167</v>
      </c>
      <c r="R496" s="8">
        <v>35735</v>
      </c>
      <c r="S496" s="9">
        <f t="shared" si="56"/>
        <v>1997</v>
      </c>
      <c r="T496" s="9">
        <v>1997</v>
      </c>
      <c r="U496" s="9">
        <f t="shared" si="57"/>
        <v>25</v>
      </c>
      <c r="V496" s="8">
        <v>35735</v>
      </c>
      <c r="W496" t="s">
        <v>718</v>
      </c>
      <c r="X496" s="2">
        <v>0.1</v>
      </c>
      <c r="Y496" s="7">
        <f t="shared" si="58"/>
        <v>2.6694428872694269E-3</v>
      </c>
      <c r="AA496">
        <v>1266209</v>
      </c>
      <c r="AB496">
        <v>22394</v>
      </c>
      <c r="AD496" t="s">
        <v>1</v>
      </c>
      <c r="AF496">
        <v>173</v>
      </c>
      <c r="AH496" s="10">
        <v>45717</v>
      </c>
      <c r="AI496" t="s">
        <v>3166</v>
      </c>
      <c r="AK496" t="s">
        <v>3165</v>
      </c>
      <c r="AL496">
        <v>0</v>
      </c>
      <c r="AM496" s="5">
        <f t="shared" si="59"/>
        <v>0</v>
      </c>
      <c r="AN496" s="4">
        <f t="shared" si="60"/>
        <v>0</v>
      </c>
      <c r="AO496" s="3"/>
      <c r="AP496">
        <v>0</v>
      </c>
      <c r="AR496" t="s">
        <v>0</v>
      </c>
      <c r="AT496" s="2" t="s">
        <v>5</v>
      </c>
      <c r="AU496" s="1">
        <f t="shared" si="61"/>
        <v>0.18686100210885986</v>
      </c>
      <c r="AV496" s="1">
        <f t="shared" si="62"/>
        <v>0.13347214436347135</v>
      </c>
      <c r="AW496" s="1">
        <f t="shared" si="63"/>
        <v>8.0083286618082811E-2</v>
      </c>
    </row>
    <row r="497" spans="1:49" x14ac:dyDescent="0.2">
      <c r="A497">
        <v>495</v>
      </c>
      <c r="B497" t="s">
        <v>3164</v>
      </c>
      <c r="F497" t="s">
        <v>3163</v>
      </c>
      <c r="G497" t="s">
        <v>4</v>
      </c>
      <c r="H497" t="s">
        <v>3</v>
      </c>
      <c r="I497" t="s">
        <v>132</v>
      </c>
      <c r="N497">
        <v>1</v>
      </c>
      <c r="O497" t="s">
        <v>131</v>
      </c>
      <c r="P497">
        <v>1</v>
      </c>
      <c r="R497" s="8">
        <v>35735</v>
      </c>
      <c r="S497" s="9">
        <f t="shared" si="56"/>
        <v>1997</v>
      </c>
      <c r="T497" s="9">
        <v>1997</v>
      </c>
      <c r="U497" s="9">
        <f t="shared" si="57"/>
        <v>25</v>
      </c>
      <c r="V497" s="8">
        <v>35735</v>
      </c>
      <c r="W497" t="s">
        <v>3151</v>
      </c>
      <c r="X497" s="2">
        <v>0.128</v>
      </c>
      <c r="Y497" s="7">
        <f t="shared" si="58"/>
        <v>3.4168868957048667E-3</v>
      </c>
      <c r="AA497">
        <v>10750207</v>
      </c>
      <c r="AB497">
        <v>18722</v>
      </c>
      <c r="AD497" t="s">
        <v>1</v>
      </c>
      <c r="AE497">
        <v>9</v>
      </c>
      <c r="AF497">
        <v>6</v>
      </c>
      <c r="AH497">
        <v>94</v>
      </c>
      <c r="AI497" t="s">
        <v>3162</v>
      </c>
      <c r="AK497" t="s">
        <v>3161</v>
      </c>
      <c r="AL497">
        <v>0</v>
      </c>
      <c r="AM497" s="5">
        <f t="shared" si="59"/>
        <v>0</v>
      </c>
      <c r="AN497" s="4">
        <f t="shared" si="60"/>
        <v>0</v>
      </c>
      <c r="AO497" s="3"/>
      <c r="AP497">
        <v>0</v>
      </c>
      <c r="AR497" t="s">
        <v>0</v>
      </c>
      <c r="AT497" s="2" t="s">
        <v>5</v>
      </c>
      <c r="AU497" s="1">
        <f t="shared" si="61"/>
        <v>0.23918208269934066</v>
      </c>
      <c r="AV497" s="1">
        <f t="shared" si="62"/>
        <v>0.17084434478524332</v>
      </c>
      <c r="AW497" s="1">
        <f t="shared" si="63"/>
        <v>0.10250660687114599</v>
      </c>
    </row>
    <row r="498" spans="1:49" x14ac:dyDescent="0.2">
      <c r="A498">
        <v>496</v>
      </c>
      <c r="B498" t="s">
        <v>3160</v>
      </c>
      <c r="F498" t="s">
        <v>3159</v>
      </c>
      <c r="G498" t="s">
        <v>4</v>
      </c>
      <c r="H498" t="s">
        <v>3</v>
      </c>
      <c r="I498" t="s">
        <v>3158</v>
      </c>
      <c r="J498" t="s">
        <v>3157</v>
      </c>
      <c r="K498" t="s">
        <v>3156</v>
      </c>
      <c r="L498" t="s">
        <v>3155</v>
      </c>
      <c r="M498" t="s">
        <v>3154</v>
      </c>
      <c r="N498">
        <v>1</v>
      </c>
      <c r="O498" t="s">
        <v>3153</v>
      </c>
      <c r="P498">
        <v>7005794256</v>
      </c>
      <c r="Q498" t="s">
        <v>3152</v>
      </c>
      <c r="R498" s="8">
        <v>35735</v>
      </c>
      <c r="S498" s="9">
        <f t="shared" si="56"/>
        <v>1997</v>
      </c>
      <c r="T498" s="9">
        <v>1997</v>
      </c>
      <c r="U498" s="9">
        <f t="shared" si="57"/>
        <v>25</v>
      </c>
      <c r="V498" s="8">
        <v>35735</v>
      </c>
      <c r="W498" t="s">
        <v>3151</v>
      </c>
      <c r="X498" s="2">
        <v>0.128</v>
      </c>
      <c r="Y498" s="7">
        <f t="shared" si="58"/>
        <v>3.4168868957048667E-3</v>
      </c>
      <c r="AA498">
        <v>10750207</v>
      </c>
      <c r="AB498">
        <v>18722</v>
      </c>
      <c r="AD498" t="s">
        <v>1</v>
      </c>
      <c r="AE498">
        <v>9</v>
      </c>
      <c r="AF498">
        <v>6</v>
      </c>
      <c r="AH498" t="s">
        <v>3150</v>
      </c>
      <c r="AI498" t="s">
        <v>3149</v>
      </c>
      <c r="AK498" t="s">
        <v>3148</v>
      </c>
      <c r="AL498">
        <v>31</v>
      </c>
      <c r="AM498" s="5">
        <f t="shared" si="59"/>
        <v>1.24</v>
      </c>
      <c r="AN498" s="4">
        <f t="shared" si="60"/>
        <v>1.8780764861794775E-3</v>
      </c>
      <c r="AO498" s="3"/>
      <c r="AP498">
        <v>0</v>
      </c>
      <c r="AR498" t="s">
        <v>0</v>
      </c>
      <c r="AT498" s="2" t="s">
        <v>5</v>
      </c>
      <c r="AU498" s="1">
        <f t="shared" si="61"/>
        <v>0.29552437728472497</v>
      </c>
      <c r="AV498" s="1">
        <f t="shared" si="62"/>
        <v>0.26474816909421722</v>
      </c>
      <c r="AW498" s="1">
        <f t="shared" si="63"/>
        <v>0.23397196090370939</v>
      </c>
    </row>
    <row r="499" spans="1:49" x14ac:dyDescent="0.2">
      <c r="A499">
        <v>497</v>
      </c>
      <c r="B499" t="s">
        <v>3147</v>
      </c>
      <c r="C499" t="s">
        <v>3146</v>
      </c>
      <c r="F499" t="s">
        <v>566</v>
      </c>
      <c r="G499" t="s">
        <v>4</v>
      </c>
      <c r="H499" t="s">
        <v>3</v>
      </c>
      <c r="I499" t="s">
        <v>565</v>
      </c>
      <c r="J499">
        <v>60004176</v>
      </c>
      <c r="K499" t="s">
        <v>3145</v>
      </c>
      <c r="L499" t="s">
        <v>3144</v>
      </c>
      <c r="M499" t="s">
        <v>111</v>
      </c>
      <c r="N499">
        <v>3</v>
      </c>
      <c r="O499" t="s">
        <v>564</v>
      </c>
      <c r="P499" t="s">
        <v>563</v>
      </c>
      <c r="Q499" t="s">
        <v>3143</v>
      </c>
      <c r="R499" s="8">
        <v>35735</v>
      </c>
      <c r="S499" s="9">
        <f t="shared" si="56"/>
        <v>1997</v>
      </c>
      <c r="T499" s="9">
        <v>1997</v>
      </c>
      <c r="U499" s="9">
        <f t="shared" si="57"/>
        <v>25</v>
      </c>
      <c r="V499" s="8">
        <v>35735</v>
      </c>
      <c r="W499" t="s">
        <v>104</v>
      </c>
      <c r="X499" s="2">
        <v>0.111</v>
      </c>
      <c r="Y499" s="7">
        <f t="shared" si="58"/>
        <v>2.9630816048690639E-3</v>
      </c>
      <c r="AA499">
        <v>87566621</v>
      </c>
      <c r="AB499">
        <v>24890</v>
      </c>
      <c r="AD499" t="s">
        <v>1</v>
      </c>
      <c r="AE499">
        <v>80</v>
      </c>
      <c r="AF499">
        <v>11</v>
      </c>
      <c r="AH499" s="6">
        <v>44470</v>
      </c>
      <c r="AI499" t="s">
        <v>3142</v>
      </c>
      <c r="AK499" t="s">
        <v>562</v>
      </c>
      <c r="AL499">
        <v>2</v>
      </c>
      <c r="AM499" s="5">
        <f t="shared" si="59"/>
        <v>0.08</v>
      </c>
      <c r="AN499" s="4">
        <f t="shared" si="60"/>
        <v>1.21166224914805E-4</v>
      </c>
      <c r="AO499" s="3"/>
      <c r="AP499">
        <v>0</v>
      </c>
      <c r="AR499" t="s">
        <v>0</v>
      </c>
      <c r="AT499" s="2" t="s">
        <v>5</v>
      </c>
      <c r="AU499" s="1">
        <f t="shared" si="61"/>
        <v>0.21105069908827859</v>
      </c>
      <c r="AV499" s="1">
        <f t="shared" si="62"/>
        <v>0.15421239148919344</v>
      </c>
      <c r="AW499" s="1">
        <f t="shared" si="63"/>
        <v>9.7374083890108251E-2</v>
      </c>
    </row>
    <row r="500" spans="1:49" x14ac:dyDescent="0.2">
      <c r="A500">
        <v>498</v>
      </c>
      <c r="B500" t="s">
        <v>3141</v>
      </c>
      <c r="F500" t="s">
        <v>3140</v>
      </c>
      <c r="G500" t="s">
        <v>4</v>
      </c>
      <c r="H500" t="s">
        <v>3</v>
      </c>
      <c r="I500" t="s">
        <v>3139</v>
      </c>
      <c r="N500">
        <v>6</v>
      </c>
      <c r="O500" t="s">
        <v>3138</v>
      </c>
      <c r="P500" t="s">
        <v>3137</v>
      </c>
      <c r="Q500" t="s">
        <v>3136</v>
      </c>
      <c r="R500" s="8">
        <v>35735</v>
      </c>
      <c r="S500" s="9">
        <f t="shared" si="56"/>
        <v>1997</v>
      </c>
      <c r="T500" s="9">
        <v>1997</v>
      </c>
      <c r="U500" s="9">
        <f t="shared" si="57"/>
        <v>25</v>
      </c>
      <c r="V500" s="8">
        <v>35735</v>
      </c>
      <c r="W500" t="s">
        <v>633</v>
      </c>
      <c r="X500" s="2" t="s">
        <v>5</v>
      </c>
      <c r="Y500" s="7" t="e">
        <f t="shared" si="58"/>
        <v>#VALUE!</v>
      </c>
      <c r="AA500">
        <v>9149260</v>
      </c>
      <c r="AB500">
        <v>23105</v>
      </c>
      <c r="AD500" t="s">
        <v>1</v>
      </c>
      <c r="AE500">
        <v>44</v>
      </c>
      <c r="AF500">
        <v>3</v>
      </c>
      <c r="AH500" t="s">
        <v>3135</v>
      </c>
      <c r="AI500" t="s">
        <v>3134</v>
      </c>
      <c r="AJ500" t="s">
        <v>3133</v>
      </c>
      <c r="AK500" t="s">
        <v>3132</v>
      </c>
      <c r="AL500">
        <v>0</v>
      </c>
      <c r="AM500" s="5">
        <f t="shared" si="59"/>
        <v>0</v>
      </c>
      <c r="AN500" s="4">
        <f t="shared" si="60"/>
        <v>0</v>
      </c>
      <c r="AO500" s="3"/>
      <c r="AP500">
        <v>0</v>
      </c>
      <c r="AR500" t="s">
        <v>0</v>
      </c>
      <c r="AT500" s="2" t="s">
        <v>5</v>
      </c>
      <c r="AU500" s="1" t="e">
        <f t="shared" si="61"/>
        <v>#VALUE!</v>
      </c>
      <c r="AV500" s="1" t="e">
        <f t="shared" si="62"/>
        <v>#VALUE!</v>
      </c>
      <c r="AW500" s="1" t="e">
        <f t="shared" si="63"/>
        <v>#VALUE!</v>
      </c>
    </row>
    <row r="501" spans="1:49" x14ac:dyDescent="0.2">
      <c r="A501">
        <v>499</v>
      </c>
      <c r="B501" t="s">
        <v>3131</v>
      </c>
      <c r="F501" t="s">
        <v>3130</v>
      </c>
      <c r="G501" t="s">
        <v>4</v>
      </c>
      <c r="H501" t="s">
        <v>3</v>
      </c>
      <c r="I501" t="s">
        <v>3129</v>
      </c>
      <c r="N501">
        <v>1</v>
      </c>
      <c r="O501" t="s">
        <v>3128</v>
      </c>
      <c r="P501">
        <v>7401828589</v>
      </c>
      <c r="R501" s="8">
        <v>35735</v>
      </c>
      <c r="S501" s="9">
        <f t="shared" si="56"/>
        <v>1997</v>
      </c>
      <c r="T501" s="9">
        <v>1997</v>
      </c>
      <c r="U501" s="9">
        <f t="shared" si="57"/>
        <v>25</v>
      </c>
      <c r="V501" s="8">
        <v>35735</v>
      </c>
      <c r="W501" t="s">
        <v>641</v>
      </c>
      <c r="X501" s="2" t="s">
        <v>5</v>
      </c>
      <c r="Y501" s="7" t="e">
        <f t="shared" si="58"/>
        <v>#VALUE!</v>
      </c>
      <c r="AA501">
        <v>1477439</v>
      </c>
      <c r="AB501">
        <v>53559</v>
      </c>
      <c r="AD501" t="s">
        <v>1</v>
      </c>
      <c r="AE501">
        <v>21</v>
      </c>
      <c r="AF501">
        <v>11</v>
      </c>
      <c r="AH501" t="s">
        <v>3127</v>
      </c>
      <c r="AI501" t="s">
        <v>3126</v>
      </c>
      <c r="AK501" t="s">
        <v>3125</v>
      </c>
      <c r="AL501">
        <v>0</v>
      </c>
      <c r="AM501" s="5">
        <f t="shared" si="59"/>
        <v>0</v>
      </c>
      <c r="AN501" s="4">
        <f t="shared" si="60"/>
        <v>0</v>
      </c>
      <c r="AO501" s="3"/>
      <c r="AP501">
        <v>0</v>
      </c>
      <c r="AR501" t="s">
        <v>0</v>
      </c>
      <c r="AT501" s="2" t="s">
        <v>5</v>
      </c>
      <c r="AU501" s="1" t="e">
        <f t="shared" si="61"/>
        <v>#VALUE!</v>
      </c>
      <c r="AV501" s="1" t="e">
        <f t="shared" si="62"/>
        <v>#VALUE!</v>
      </c>
      <c r="AW501" s="1" t="e">
        <f t="shared" si="63"/>
        <v>#VALUE!</v>
      </c>
    </row>
    <row r="502" spans="1:49" x14ac:dyDescent="0.2">
      <c r="A502">
        <v>500</v>
      </c>
      <c r="B502" t="s">
        <v>3124</v>
      </c>
      <c r="F502" t="s">
        <v>3123</v>
      </c>
      <c r="G502" t="s">
        <v>4</v>
      </c>
      <c r="H502" t="s">
        <v>3</v>
      </c>
      <c r="I502" t="s">
        <v>3122</v>
      </c>
      <c r="N502">
        <v>1</v>
      </c>
      <c r="O502" t="s">
        <v>3121</v>
      </c>
      <c r="P502">
        <v>7004043728</v>
      </c>
      <c r="R502" s="8">
        <v>35735</v>
      </c>
      <c r="S502" s="9">
        <f t="shared" si="56"/>
        <v>1997</v>
      </c>
      <c r="T502" s="9">
        <v>1997</v>
      </c>
      <c r="U502" s="9">
        <f t="shared" si="57"/>
        <v>25</v>
      </c>
      <c r="V502" s="8">
        <v>35735</v>
      </c>
      <c r="W502" t="s">
        <v>641</v>
      </c>
      <c r="X502" s="2" t="s">
        <v>5</v>
      </c>
      <c r="Y502" s="7" t="e">
        <f t="shared" si="58"/>
        <v>#VALUE!</v>
      </c>
      <c r="AA502">
        <v>1477439</v>
      </c>
      <c r="AB502">
        <v>53559</v>
      </c>
      <c r="AD502" t="s">
        <v>1</v>
      </c>
      <c r="AE502">
        <v>21</v>
      </c>
      <c r="AF502">
        <v>11</v>
      </c>
      <c r="AH502" t="s">
        <v>3120</v>
      </c>
      <c r="AI502" t="s">
        <v>3119</v>
      </c>
      <c r="AK502" t="s">
        <v>3118</v>
      </c>
      <c r="AL502">
        <v>0</v>
      </c>
      <c r="AM502" s="5">
        <f t="shared" si="59"/>
        <v>0</v>
      </c>
      <c r="AN502" s="4">
        <f t="shared" si="60"/>
        <v>0</v>
      </c>
      <c r="AO502" s="3"/>
      <c r="AP502">
        <v>0</v>
      </c>
      <c r="AR502" t="s">
        <v>0</v>
      </c>
      <c r="AT502" s="2" t="s">
        <v>5</v>
      </c>
      <c r="AU502" s="1" t="e">
        <f t="shared" si="61"/>
        <v>#VALUE!</v>
      </c>
      <c r="AV502" s="1" t="e">
        <f t="shared" si="62"/>
        <v>#VALUE!</v>
      </c>
      <c r="AW502" s="1" t="e">
        <f t="shared" si="63"/>
        <v>#VALUE!</v>
      </c>
    </row>
    <row r="503" spans="1:49" x14ac:dyDescent="0.2">
      <c r="A503">
        <v>501</v>
      </c>
      <c r="B503" t="s">
        <v>3117</v>
      </c>
      <c r="C503" t="s">
        <v>3116</v>
      </c>
      <c r="F503" t="s">
        <v>3115</v>
      </c>
      <c r="G503" t="s">
        <v>4</v>
      </c>
      <c r="H503" t="s">
        <v>3</v>
      </c>
      <c r="I503" t="s">
        <v>3114</v>
      </c>
      <c r="J503" t="s">
        <v>3113</v>
      </c>
      <c r="K503" t="s">
        <v>3112</v>
      </c>
      <c r="L503" t="s">
        <v>3111</v>
      </c>
      <c r="M503" t="s">
        <v>3110</v>
      </c>
      <c r="N503">
        <v>5</v>
      </c>
      <c r="O503" t="s">
        <v>3109</v>
      </c>
      <c r="P503" t="s">
        <v>3108</v>
      </c>
      <c r="Q503" t="s">
        <v>3107</v>
      </c>
      <c r="R503" s="8">
        <v>35733</v>
      </c>
      <c r="S503" s="9">
        <f t="shared" si="56"/>
        <v>1997</v>
      </c>
      <c r="T503" s="9">
        <v>1997</v>
      </c>
      <c r="U503" s="9">
        <f t="shared" si="57"/>
        <v>25</v>
      </c>
      <c r="V503" s="8">
        <v>35733</v>
      </c>
      <c r="W503" t="s">
        <v>585</v>
      </c>
      <c r="X503" s="2">
        <v>0.86399999999999999</v>
      </c>
      <c r="Y503" s="7">
        <f t="shared" si="58"/>
        <v>2.3063986546007848E-2</v>
      </c>
      <c r="AA503">
        <v>15206106</v>
      </c>
      <c r="AB503">
        <v>26970</v>
      </c>
      <c r="AD503" t="s">
        <v>1</v>
      </c>
      <c r="AE503">
        <v>101</v>
      </c>
      <c r="AF503">
        <v>44</v>
      </c>
      <c r="AH503" t="s">
        <v>3106</v>
      </c>
      <c r="AI503" t="s">
        <v>3105</v>
      </c>
      <c r="AK503" t="s">
        <v>3104</v>
      </c>
      <c r="AL503">
        <v>107</v>
      </c>
      <c r="AM503" s="5">
        <f t="shared" si="59"/>
        <v>4.28</v>
      </c>
      <c r="AN503" s="4">
        <f t="shared" si="60"/>
        <v>6.4823930329420678E-3</v>
      </c>
      <c r="AO503" s="3"/>
      <c r="AP503">
        <v>0</v>
      </c>
      <c r="AR503" t="s">
        <v>0</v>
      </c>
      <c r="AT503" s="2">
        <v>2.9910000000000001</v>
      </c>
      <c r="AU503" s="1">
        <f t="shared" si="61"/>
        <v>1.8089508492088111</v>
      </c>
      <c r="AV503" s="1">
        <f t="shared" si="62"/>
        <v>1.4773189789474959</v>
      </c>
      <c r="AW503" s="1">
        <f t="shared" si="63"/>
        <v>1.1456871086861802</v>
      </c>
    </row>
    <row r="504" spans="1:49" x14ac:dyDescent="0.2">
      <c r="A504">
        <v>502</v>
      </c>
      <c r="B504" t="s">
        <v>3103</v>
      </c>
      <c r="C504" t="s">
        <v>3102</v>
      </c>
      <c r="D504" t="s">
        <v>3101</v>
      </c>
      <c r="F504" t="s">
        <v>3100</v>
      </c>
      <c r="G504" t="s">
        <v>4</v>
      </c>
      <c r="H504" t="s">
        <v>3</v>
      </c>
      <c r="I504" t="s">
        <v>3099</v>
      </c>
      <c r="J504" t="s">
        <v>3098</v>
      </c>
      <c r="K504" t="s">
        <v>3097</v>
      </c>
      <c r="L504" t="s">
        <v>3096</v>
      </c>
      <c r="M504" t="s">
        <v>122</v>
      </c>
      <c r="N504">
        <v>4</v>
      </c>
      <c r="O504" t="s">
        <v>3095</v>
      </c>
      <c r="P504" t="s">
        <v>3094</v>
      </c>
      <c r="Q504" t="s">
        <v>3093</v>
      </c>
      <c r="R504" s="8">
        <v>35730</v>
      </c>
      <c r="S504" s="9">
        <f t="shared" si="56"/>
        <v>1997</v>
      </c>
      <c r="T504" s="9">
        <v>1997</v>
      </c>
      <c r="U504" s="9">
        <f t="shared" si="57"/>
        <v>25</v>
      </c>
      <c r="V504" s="8">
        <v>35730</v>
      </c>
      <c r="W504" t="s">
        <v>577</v>
      </c>
      <c r="X504" s="2">
        <v>0.54100000000000004</v>
      </c>
      <c r="Y504" s="7">
        <f t="shared" si="58"/>
        <v>1.4441686020127601E-2</v>
      </c>
      <c r="AA504">
        <v>404039</v>
      </c>
      <c r="AB504">
        <v>26514</v>
      </c>
      <c r="AD504" t="s">
        <v>1</v>
      </c>
      <c r="AE504">
        <v>38</v>
      </c>
      <c r="AF504">
        <v>43</v>
      </c>
      <c r="AH504" t="s">
        <v>3092</v>
      </c>
      <c r="AI504" t="s">
        <v>3091</v>
      </c>
      <c r="AK504" t="s">
        <v>3090</v>
      </c>
      <c r="AL504">
        <v>47</v>
      </c>
      <c r="AM504" s="5">
        <f t="shared" si="59"/>
        <v>1.88</v>
      </c>
      <c r="AN504" s="4">
        <f t="shared" si="60"/>
        <v>2.8474062854979172E-3</v>
      </c>
      <c r="AO504" s="3"/>
      <c r="AP504">
        <v>0</v>
      </c>
      <c r="AR504" t="s">
        <v>0</v>
      </c>
      <c r="AT504" s="2">
        <v>2.415</v>
      </c>
      <c r="AU504" s="1">
        <f t="shared" si="61"/>
        <v>1.0963402099738695</v>
      </c>
      <c r="AV504" s="1">
        <f t="shared" si="62"/>
        <v>0.86445461528127587</v>
      </c>
      <c r="AW504" s="1">
        <f t="shared" si="63"/>
        <v>0.63256902058868214</v>
      </c>
    </row>
    <row r="505" spans="1:49" x14ac:dyDescent="0.2">
      <c r="A505">
        <v>503</v>
      </c>
      <c r="B505" t="s">
        <v>3089</v>
      </c>
      <c r="C505" t="s">
        <v>3088</v>
      </c>
      <c r="F505" t="s">
        <v>3087</v>
      </c>
      <c r="G505" t="s">
        <v>4</v>
      </c>
      <c r="H505" t="s">
        <v>3</v>
      </c>
      <c r="I505" t="s">
        <v>651</v>
      </c>
      <c r="J505">
        <v>60011357</v>
      </c>
      <c r="K505" t="s">
        <v>292</v>
      </c>
      <c r="L505" t="s">
        <v>291</v>
      </c>
      <c r="M505" t="s">
        <v>250</v>
      </c>
      <c r="N505">
        <v>2</v>
      </c>
      <c r="O505" t="s">
        <v>2878</v>
      </c>
      <c r="P505" t="s">
        <v>2877</v>
      </c>
      <c r="Q505" t="s">
        <v>288</v>
      </c>
      <c r="R505" s="8">
        <v>35726</v>
      </c>
      <c r="S505" s="9">
        <f t="shared" si="56"/>
        <v>1997</v>
      </c>
      <c r="T505" s="9">
        <v>1997</v>
      </c>
      <c r="U505" s="9">
        <f t="shared" si="57"/>
        <v>25</v>
      </c>
      <c r="V505" s="8">
        <v>35726</v>
      </c>
      <c r="W505" t="s">
        <v>493</v>
      </c>
      <c r="X505" s="2">
        <v>0.375</v>
      </c>
      <c r="Y505" s="7">
        <f t="shared" si="58"/>
        <v>1.0010410827260351E-2</v>
      </c>
      <c r="AA505">
        <v>135194</v>
      </c>
      <c r="AB505">
        <v>24918</v>
      </c>
      <c r="AD505" t="s">
        <v>1</v>
      </c>
      <c r="AE505">
        <v>33</v>
      </c>
      <c r="AF505">
        <v>22</v>
      </c>
      <c r="AH505" t="s">
        <v>3086</v>
      </c>
      <c r="AI505" t="s">
        <v>3085</v>
      </c>
      <c r="AJ505" t="s">
        <v>3084</v>
      </c>
      <c r="AK505" t="s">
        <v>3083</v>
      </c>
      <c r="AL505">
        <v>124</v>
      </c>
      <c r="AM505" s="5">
        <f t="shared" si="59"/>
        <v>4.96</v>
      </c>
      <c r="AN505" s="4">
        <f t="shared" si="60"/>
        <v>7.5123059447179102E-3</v>
      </c>
      <c r="AO505" s="3"/>
      <c r="AP505">
        <v>0</v>
      </c>
      <c r="AR505" t="s">
        <v>0</v>
      </c>
      <c r="AT505" s="2">
        <v>1.3140000000000001</v>
      </c>
      <c r="AU505" s="1">
        <f t="shared" si="61"/>
        <v>0.92609793624976178</v>
      </c>
      <c r="AV505" s="1">
        <f t="shared" si="62"/>
        <v>0.87613583859891297</v>
      </c>
      <c r="AW505" s="1">
        <f t="shared" si="63"/>
        <v>0.82617374094806417</v>
      </c>
    </row>
    <row r="506" spans="1:49" x14ac:dyDescent="0.2">
      <c r="A506">
        <v>504</v>
      </c>
      <c r="B506" t="s">
        <v>3082</v>
      </c>
      <c r="C506" t="s">
        <v>3081</v>
      </c>
      <c r="F506" t="s">
        <v>3080</v>
      </c>
      <c r="G506" t="s">
        <v>4</v>
      </c>
      <c r="H506" t="s">
        <v>3</v>
      </c>
      <c r="I506" t="s">
        <v>3079</v>
      </c>
      <c r="J506">
        <v>60110693</v>
      </c>
      <c r="K506" t="s">
        <v>28</v>
      </c>
      <c r="L506" t="s">
        <v>27</v>
      </c>
      <c r="M506" t="s">
        <v>26</v>
      </c>
      <c r="N506">
        <v>4</v>
      </c>
      <c r="O506" t="s">
        <v>3078</v>
      </c>
      <c r="P506" t="s">
        <v>3077</v>
      </c>
      <c r="Q506" t="s">
        <v>3076</v>
      </c>
      <c r="R506" s="8">
        <v>35726</v>
      </c>
      <c r="S506" s="9">
        <f t="shared" si="56"/>
        <v>1997</v>
      </c>
      <c r="T506" s="9">
        <v>1997</v>
      </c>
      <c r="U506" s="9">
        <f t="shared" si="57"/>
        <v>25</v>
      </c>
      <c r="V506" s="8">
        <v>35726</v>
      </c>
      <c r="W506" t="s">
        <v>493</v>
      </c>
      <c r="X506" s="2">
        <v>0.375</v>
      </c>
      <c r="Y506" s="7">
        <f t="shared" si="58"/>
        <v>1.0010410827260351E-2</v>
      </c>
      <c r="AA506">
        <v>135194</v>
      </c>
      <c r="AB506">
        <v>24918</v>
      </c>
      <c r="AD506" t="s">
        <v>1</v>
      </c>
      <c r="AE506">
        <v>33</v>
      </c>
      <c r="AF506">
        <v>22</v>
      </c>
      <c r="AH506" t="s">
        <v>3075</v>
      </c>
      <c r="AI506" t="s">
        <v>3074</v>
      </c>
      <c r="AJ506" t="s">
        <v>3073</v>
      </c>
      <c r="AK506" t="s">
        <v>3072</v>
      </c>
      <c r="AL506">
        <v>15</v>
      </c>
      <c r="AM506" s="5">
        <f t="shared" si="59"/>
        <v>0.6</v>
      </c>
      <c r="AN506" s="4">
        <f t="shared" si="60"/>
        <v>9.0874668686103744E-4</v>
      </c>
      <c r="AO506" s="3"/>
      <c r="AP506">
        <v>0</v>
      </c>
      <c r="AR506" t="s">
        <v>0</v>
      </c>
      <c r="AT506" s="2">
        <v>1.3140000000000001</v>
      </c>
      <c r="AU506" s="1">
        <f t="shared" si="61"/>
        <v>0.72799115851405571</v>
      </c>
      <c r="AV506" s="1">
        <f t="shared" si="62"/>
        <v>0.54595787570606946</v>
      </c>
      <c r="AW506" s="1">
        <f t="shared" si="63"/>
        <v>0.3639245928980831</v>
      </c>
    </row>
    <row r="507" spans="1:49" x14ac:dyDescent="0.2">
      <c r="A507">
        <v>505</v>
      </c>
      <c r="B507" t="s">
        <v>3071</v>
      </c>
      <c r="C507" t="s">
        <v>3070</v>
      </c>
      <c r="F507" t="s">
        <v>3069</v>
      </c>
      <c r="G507" t="s">
        <v>4</v>
      </c>
      <c r="H507" t="s">
        <v>3</v>
      </c>
      <c r="I507" t="s">
        <v>1226</v>
      </c>
      <c r="J507">
        <v>60011362</v>
      </c>
      <c r="K507" t="s">
        <v>1225</v>
      </c>
      <c r="L507" t="s">
        <v>278</v>
      </c>
      <c r="M507" t="s">
        <v>50</v>
      </c>
      <c r="N507">
        <v>1</v>
      </c>
      <c r="O507" t="s">
        <v>1224</v>
      </c>
      <c r="P507">
        <v>35478779700</v>
      </c>
      <c r="Q507">
        <v>60011362</v>
      </c>
      <c r="R507" s="8">
        <v>35726</v>
      </c>
      <c r="S507" s="9">
        <f t="shared" si="56"/>
        <v>1997</v>
      </c>
      <c r="T507" s="9">
        <v>1997</v>
      </c>
      <c r="U507" s="9">
        <f t="shared" si="57"/>
        <v>25</v>
      </c>
      <c r="V507" s="8">
        <v>35726</v>
      </c>
      <c r="W507" t="s">
        <v>493</v>
      </c>
      <c r="X507" s="2">
        <v>0.375</v>
      </c>
      <c r="Y507" s="7">
        <f t="shared" si="58"/>
        <v>1.0010410827260351E-2</v>
      </c>
      <c r="AA507">
        <v>135194</v>
      </c>
      <c r="AB507">
        <v>24918</v>
      </c>
      <c r="AD507" t="s">
        <v>1</v>
      </c>
      <c r="AE507">
        <v>33</v>
      </c>
      <c r="AF507">
        <v>22</v>
      </c>
      <c r="AH507" t="s">
        <v>3068</v>
      </c>
      <c r="AI507" t="s">
        <v>3067</v>
      </c>
      <c r="AJ507" t="s">
        <v>3066</v>
      </c>
      <c r="AK507" t="s">
        <v>3065</v>
      </c>
      <c r="AL507">
        <v>13</v>
      </c>
      <c r="AM507" s="5">
        <f t="shared" si="59"/>
        <v>0.52</v>
      </c>
      <c r="AN507" s="4">
        <f t="shared" si="60"/>
        <v>7.8758046194623253E-4</v>
      </c>
      <c r="AO507" s="3"/>
      <c r="AP507">
        <v>0</v>
      </c>
      <c r="AR507" t="s">
        <v>0</v>
      </c>
      <c r="AT507" s="2">
        <v>1.3140000000000001</v>
      </c>
      <c r="AU507" s="1">
        <f t="shared" si="61"/>
        <v>0.7243561717666116</v>
      </c>
      <c r="AV507" s="1">
        <f t="shared" si="62"/>
        <v>0.53989956446032916</v>
      </c>
      <c r="AW507" s="1">
        <f t="shared" si="63"/>
        <v>0.35544295715404678</v>
      </c>
    </row>
    <row r="508" spans="1:49" x14ac:dyDescent="0.2">
      <c r="A508">
        <v>506</v>
      </c>
      <c r="B508" t="s">
        <v>3064</v>
      </c>
      <c r="C508" t="s">
        <v>3063</v>
      </c>
      <c r="F508" t="s">
        <v>3062</v>
      </c>
      <c r="G508" t="s">
        <v>4</v>
      </c>
      <c r="H508" t="s">
        <v>3</v>
      </c>
      <c r="I508" t="s">
        <v>665</v>
      </c>
      <c r="J508">
        <v>60019702</v>
      </c>
      <c r="K508" t="s">
        <v>382</v>
      </c>
      <c r="L508" t="s">
        <v>381</v>
      </c>
      <c r="M508" t="s">
        <v>8</v>
      </c>
      <c r="N508">
        <v>3</v>
      </c>
      <c r="O508" t="s">
        <v>664</v>
      </c>
      <c r="P508" t="s">
        <v>663</v>
      </c>
      <c r="Q508" t="s">
        <v>378</v>
      </c>
      <c r="R508" s="8">
        <v>35726</v>
      </c>
      <c r="S508" s="9">
        <f t="shared" si="56"/>
        <v>1997</v>
      </c>
      <c r="T508" s="9">
        <v>1997</v>
      </c>
      <c r="U508" s="9">
        <f t="shared" si="57"/>
        <v>25</v>
      </c>
      <c r="V508" s="8">
        <v>35726</v>
      </c>
      <c r="W508" t="s">
        <v>493</v>
      </c>
      <c r="X508" s="2">
        <v>0.375</v>
      </c>
      <c r="Y508" s="7">
        <f t="shared" si="58"/>
        <v>1.0010410827260351E-2</v>
      </c>
      <c r="AA508">
        <v>135194</v>
      </c>
      <c r="AB508">
        <v>24918</v>
      </c>
      <c r="AD508" t="s">
        <v>1</v>
      </c>
      <c r="AE508">
        <v>33</v>
      </c>
      <c r="AF508">
        <v>22</v>
      </c>
      <c r="AH508" t="s">
        <v>3061</v>
      </c>
      <c r="AI508" t="s">
        <v>3060</v>
      </c>
      <c r="AJ508" t="s">
        <v>3059</v>
      </c>
      <c r="AK508" t="s">
        <v>3058</v>
      </c>
      <c r="AL508">
        <v>23</v>
      </c>
      <c r="AM508" s="5">
        <f t="shared" si="59"/>
        <v>0.92</v>
      </c>
      <c r="AN508" s="4">
        <f t="shared" si="60"/>
        <v>1.3934115865202575E-3</v>
      </c>
      <c r="AO508" s="3"/>
      <c r="AP508">
        <v>0</v>
      </c>
      <c r="AR508" t="s">
        <v>0</v>
      </c>
      <c r="AT508" s="2">
        <v>1.3140000000000001</v>
      </c>
      <c r="AU508" s="1">
        <f t="shared" si="61"/>
        <v>0.74253110550383228</v>
      </c>
      <c r="AV508" s="1">
        <f t="shared" si="62"/>
        <v>0.57019112068903044</v>
      </c>
      <c r="AW508" s="1">
        <f t="shared" si="63"/>
        <v>0.39785113587422855</v>
      </c>
    </row>
    <row r="509" spans="1:49" x14ac:dyDescent="0.2">
      <c r="A509">
        <v>507</v>
      </c>
      <c r="B509" t="s">
        <v>3057</v>
      </c>
      <c r="C509" t="s">
        <v>3056</v>
      </c>
      <c r="F509" t="s">
        <v>3055</v>
      </c>
      <c r="G509" t="s">
        <v>4</v>
      </c>
      <c r="H509" t="s">
        <v>3</v>
      </c>
      <c r="I509" t="s">
        <v>3054</v>
      </c>
      <c r="J509">
        <v>60025153</v>
      </c>
      <c r="K509" t="s">
        <v>479</v>
      </c>
      <c r="L509" t="s">
        <v>478</v>
      </c>
      <c r="M509" t="s">
        <v>116</v>
      </c>
      <c r="N509">
        <v>3</v>
      </c>
      <c r="O509" t="s">
        <v>3053</v>
      </c>
      <c r="P509" t="s">
        <v>3052</v>
      </c>
      <c r="Q509" t="s">
        <v>3051</v>
      </c>
      <c r="R509" s="8">
        <v>35726</v>
      </c>
      <c r="S509" s="9">
        <f t="shared" si="56"/>
        <v>1997</v>
      </c>
      <c r="T509" s="9">
        <v>1997</v>
      </c>
      <c r="U509" s="9">
        <f t="shared" si="57"/>
        <v>25</v>
      </c>
      <c r="V509" s="8">
        <v>35726</v>
      </c>
      <c r="W509" t="s">
        <v>493</v>
      </c>
      <c r="X509" s="2">
        <v>0.375</v>
      </c>
      <c r="Y509" s="7">
        <f t="shared" si="58"/>
        <v>1.0010410827260351E-2</v>
      </c>
      <c r="AA509">
        <v>135194</v>
      </c>
      <c r="AB509">
        <v>24918</v>
      </c>
      <c r="AD509" t="s">
        <v>1</v>
      </c>
      <c r="AE509">
        <v>33</v>
      </c>
      <c r="AF509">
        <v>22</v>
      </c>
      <c r="AH509" t="s">
        <v>3050</v>
      </c>
      <c r="AI509" t="s">
        <v>3049</v>
      </c>
      <c r="AJ509" t="s">
        <v>3048</v>
      </c>
      <c r="AK509" t="s">
        <v>3047</v>
      </c>
      <c r="AL509">
        <v>49</v>
      </c>
      <c r="AM509" s="5">
        <f t="shared" si="59"/>
        <v>1.96</v>
      </c>
      <c r="AN509" s="4">
        <f t="shared" si="60"/>
        <v>2.9685725104127226E-3</v>
      </c>
      <c r="AO509" s="3"/>
      <c r="AP509">
        <v>0</v>
      </c>
      <c r="AR509" t="s">
        <v>0</v>
      </c>
      <c r="AT509" s="2">
        <v>1.3140000000000001</v>
      </c>
      <c r="AU509" s="1">
        <f t="shared" si="61"/>
        <v>0.78978593322060631</v>
      </c>
      <c r="AV509" s="1">
        <f t="shared" si="62"/>
        <v>0.64894916688365367</v>
      </c>
      <c r="AW509" s="1">
        <f t="shared" si="63"/>
        <v>0.50811240054670104</v>
      </c>
    </row>
    <row r="510" spans="1:49" x14ac:dyDescent="0.2">
      <c r="A510">
        <v>508</v>
      </c>
      <c r="B510" t="s">
        <v>3046</v>
      </c>
      <c r="C510" t="s">
        <v>3045</v>
      </c>
      <c r="E510">
        <v>9335559</v>
      </c>
      <c r="F510" t="s">
        <v>3044</v>
      </c>
      <c r="G510" t="s">
        <v>4</v>
      </c>
      <c r="H510" t="s">
        <v>3</v>
      </c>
      <c r="I510" t="s">
        <v>3043</v>
      </c>
      <c r="J510" t="s">
        <v>3042</v>
      </c>
      <c r="K510" t="s">
        <v>3041</v>
      </c>
      <c r="L510" t="s">
        <v>3040</v>
      </c>
      <c r="M510" t="s">
        <v>3039</v>
      </c>
      <c r="N510">
        <v>8</v>
      </c>
      <c r="O510" t="s">
        <v>3038</v>
      </c>
      <c r="P510" t="s">
        <v>3037</v>
      </c>
      <c r="Q510" t="s">
        <v>3036</v>
      </c>
      <c r="R510" s="8">
        <v>35724</v>
      </c>
      <c r="S510" s="9">
        <f t="shared" si="56"/>
        <v>1997</v>
      </c>
      <c r="T510" s="9">
        <v>1997</v>
      </c>
      <c r="U510" s="9">
        <f t="shared" si="57"/>
        <v>25</v>
      </c>
      <c r="V510" s="8">
        <v>35724</v>
      </c>
      <c r="W510" t="s">
        <v>587</v>
      </c>
      <c r="X510" s="2">
        <v>1.43</v>
      </c>
      <c r="Y510" s="7">
        <f t="shared" si="58"/>
        <v>3.8173033287952803E-2</v>
      </c>
      <c r="AA510">
        <v>62960</v>
      </c>
      <c r="AB510">
        <v>16867</v>
      </c>
      <c r="AD510" t="s">
        <v>1</v>
      </c>
      <c r="AE510">
        <v>36</v>
      </c>
      <c r="AF510">
        <v>42</v>
      </c>
      <c r="AH510" t="s">
        <v>3035</v>
      </c>
      <c r="AI510" t="s">
        <v>3034</v>
      </c>
      <c r="AK510" t="s">
        <v>3033</v>
      </c>
      <c r="AL510">
        <v>62</v>
      </c>
      <c r="AM510" s="5">
        <f t="shared" si="59"/>
        <v>2.48</v>
      </c>
      <c r="AN510" s="4">
        <f t="shared" si="60"/>
        <v>3.7561529723589551E-3</v>
      </c>
      <c r="AO510" s="3"/>
      <c r="AP510">
        <v>0</v>
      </c>
      <c r="AR510" t="s">
        <v>0</v>
      </c>
      <c r="AT510" s="2">
        <v>3.1619999999999999</v>
      </c>
      <c r="AU510" s="1">
        <f t="shared" si="61"/>
        <v>2.7847969193274649</v>
      </c>
      <c r="AV510" s="1">
        <f t="shared" si="62"/>
        <v>2.096459313015588</v>
      </c>
      <c r="AW510" s="1">
        <f t="shared" si="63"/>
        <v>1.4081217067037108</v>
      </c>
    </row>
    <row r="511" spans="1:49" x14ac:dyDescent="0.2">
      <c r="A511">
        <v>509</v>
      </c>
      <c r="B511" t="s">
        <v>3032</v>
      </c>
      <c r="C511" t="s">
        <v>3031</v>
      </c>
      <c r="F511" t="s">
        <v>3030</v>
      </c>
      <c r="G511" t="s">
        <v>4</v>
      </c>
      <c r="H511" t="s">
        <v>3</v>
      </c>
      <c r="I511" t="s">
        <v>129</v>
      </c>
      <c r="J511">
        <v>60025488</v>
      </c>
      <c r="K511" t="s">
        <v>755</v>
      </c>
      <c r="L511" t="s">
        <v>754</v>
      </c>
      <c r="M511" t="s">
        <v>2</v>
      </c>
      <c r="N511">
        <v>1</v>
      </c>
      <c r="O511" t="s">
        <v>3029</v>
      </c>
      <c r="P511">
        <v>7006422314</v>
      </c>
      <c r="Q511">
        <v>60025488</v>
      </c>
      <c r="R511" s="8">
        <v>35723</v>
      </c>
      <c r="S511" s="9">
        <f t="shared" si="56"/>
        <v>1997</v>
      </c>
      <c r="T511" s="9">
        <v>1997</v>
      </c>
      <c r="U511" s="9">
        <f t="shared" si="57"/>
        <v>25</v>
      </c>
      <c r="V511" s="8">
        <v>35723</v>
      </c>
      <c r="W511" t="s">
        <v>125</v>
      </c>
      <c r="X511" s="2">
        <v>0.30399999999999999</v>
      </c>
      <c r="Y511" s="7">
        <f t="shared" si="58"/>
        <v>8.115106377299057E-3</v>
      </c>
      <c r="AA511">
        <v>8952477</v>
      </c>
      <c r="AB511">
        <v>12250</v>
      </c>
      <c r="AD511" t="s">
        <v>1</v>
      </c>
      <c r="AE511">
        <v>16</v>
      </c>
      <c r="AF511">
        <v>3</v>
      </c>
      <c r="AH511" t="s">
        <v>3028</v>
      </c>
      <c r="AI511" t="s">
        <v>3027</v>
      </c>
      <c r="AJ511" t="s">
        <v>3026</v>
      </c>
      <c r="AK511" t="s">
        <v>3025</v>
      </c>
      <c r="AL511">
        <v>0</v>
      </c>
      <c r="AM511" s="5">
        <f t="shared" si="59"/>
        <v>0</v>
      </c>
      <c r="AN511" s="4">
        <f t="shared" si="60"/>
        <v>0</v>
      </c>
      <c r="AO511" s="3"/>
      <c r="AP511">
        <v>0</v>
      </c>
      <c r="AR511" t="s">
        <v>0</v>
      </c>
      <c r="AT511" s="2" t="s">
        <v>5</v>
      </c>
      <c r="AU511" s="1">
        <f t="shared" si="61"/>
        <v>0.56805744641093392</v>
      </c>
      <c r="AV511" s="1">
        <f t="shared" si="62"/>
        <v>0.40575531886495286</v>
      </c>
      <c r="AW511" s="1">
        <f t="shared" si="63"/>
        <v>0.24345319131897172</v>
      </c>
    </row>
    <row r="512" spans="1:49" x14ac:dyDescent="0.2">
      <c r="A512">
        <v>510</v>
      </c>
      <c r="B512" t="s">
        <v>3024</v>
      </c>
      <c r="C512" t="s">
        <v>3023</v>
      </c>
      <c r="F512" t="s">
        <v>3022</v>
      </c>
      <c r="G512" t="s">
        <v>4</v>
      </c>
      <c r="H512" t="s">
        <v>3</v>
      </c>
      <c r="I512" t="s">
        <v>344</v>
      </c>
      <c r="J512">
        <v>60003480</v>
      </c>
      <c r="K512" t="s">
        <v>343</v>
      </c>
      <c r="L512" t="s">
        <v>342</v>
      </c>
      <c r="M512" t="s">
        <v>50</v>
      </c>
      <c r="N512">
        <v>1</v>
      </c>
      <c r="O512" t="s">
        <v>341</v>
      </c>
      <c r="P512">
        <v>7006159446</v>
      </c>
      <c r="Q512">
        <v>60003480</v>
      </c>
      <c r="R512" s="8">
        <v>35723</v>
      </c>
      <c r="S512" s="9">
        <f t="shared" si="56"/>
        <v>1997</v>
      </c>
      <c r="T512" s="9">
        <v>1997</v>
      </c>
      <c r="U512" s="9">
        <f t="shared" si="57"/>
        <v>25</v>
      </c>
      <c r="V512" s="8">
        <v>35723</v>
      </c>
      <c r="W512" t="s">
        <v>125</v>
      </c>
      <c r="X512" s="2">
        <v>0.30399999999999999</v>
      </c>
      <c r="Y512" s="7">
        <f t="shared" si="58"/>
        <v>8.115106377299057E-3</v>
      </c>
      <c r="AA512">
        <v>8952477</v>
      </c>
      <c r="AB512">
        <v>12250</v>
      </c>
      <c r="AD512" t="s">
        <v>1</v>
      </c>
      <c r="AE512">
        <v>16</v>
      </c>
      <c r="AF512">
        <v>3</v>
      </c>
      <c r="AH512" t="s">
        <v>299</v>
      </c>
      <c r="AI512" t="s">
        <v>3021</v>
      </c>
      <c r="AJ512" t="s">
        <v>3020</v>
      </c>
      <c r="AK512" t="s">
        <v>3019</v>
      </c>
      <c r="AL512">
        <v>2</v>
      </c>
      <c r="AM512" s="5">
        <f t="shared" si="59"/>
        <v>0.08</v>
      </c>
      <c r="AN512" s="4">
        <f t="shared" si="60"/>
        <v>1.21166224914805E-4</v>
      </c>
      <c r="AO512" s="3"/>
      <c r="AP512">
        <v>0</v>
      </c>
      <c r="AR512" t="s">
        <v>0</v>
      </c>
      <c r="AT512" s="2" t="s">
        <v>5</v>
      </c>
      <c r="AU512" s="1">
        <f t="shared" si="61"/>
        <v>0.57169243315837814</v>
      </c>
      <c r="AV512" s="1">
        <f t="shared" si="62"/>
        <v>0.41181363011069305</v>
      </c>
      <c r="AW512" s="1">
        <f t="shared" si="63"/>
        <v>0.25193482706300807</v>
      </c>
    </row>
    <row r="513" spans="1:49" x14ac:dyDescent="0.2">
      <c r="A513">
        <v>511</v>
      </c>
      <c r="B513" t="s">
        <v>3018</v>
      </c>
      <c r="C513" t="s">
        <v>3017</v>
      </c>
      <c r="F513" t="s">
        <v>3016</v>
      </c>
      <c r="G513" t="s">
        <v>4</v>
      </c>
      <c r="H513" t="s">
        <v>3</v>
      </c>
      <c r="I513" t="s">
        <v>3015</v>
      </c>
      <c r="J513" t="s">
        <v>3014</v>
      </c>
      <c r="K513" t="s">
        <v>3013</v>
      </c>
      <c r="L513" t="s">
        <v>3012</v>
      </c>
      <c r="M513" t="s">
        <v>18</v>
      </c>
      <c r="N513">
        <v>4</v>
      </c>
      <c r="O513" t="s">
        <v>3011</v>
      </c>
      <c r="P513" t="s">
        <v>3010</v>
      </c>
      <c r="Q513" t="s">
        <v>3009</v>
      </c>
      <c r="R513" s="8">
        <v>35723</v>
      </c>
      <c r="S513" s="9">
        <f t="shared" si="56"/>
        <v>1997</v>
      </c>
      <c r="T513" s="9">
        <v>1997</v>
      </c>
      <c r="U513" s="9">
        <f t="shared" si="57"/>
        <v>25</v>
      </c>
      <c r="V513" s="8">
        <v>35723</v>
      </c>
      <c r="W513" t="s">
        <v>606</v>
      </c>
      <c r="X513" s="2">
        <v>1.1819999999999999</v>
      </c>
      <c r="Y513" s="7">
        <f t="shared" si="58"/>
        <v>3.1552814927524625E-2</v>
      </c>
      <c r="AA513">
        <v>36951</v>
      </c>
      <c r="AB513">
        <v>27030</v>
      </c>
      <c r="AD513" t="s">
        <v>1</v>
      </c>
      <c r="AE513">
        <v>71</v>
      </c>
      <c r="AF513">
        <v>16</v>
      </c>
      <c r="AH513" t="s">
        <v>3008</v>
      </c>
      <c r="AI513" t="s">
        <v>3007</v>
      </c>
      <c r="AK513" t="s">
        <v>3006</v>
      </c>
      <c r="AL513">
        <v>13</v>
      </c>
      <c r="AM513" s="5">
        <f t="shared" si="59"/>
        <v>0.52</v>
      </c>
      <c r="AN513" s="4">
        <f t="shared" si="60"/>
        <v>7.8758046194623253E-4</v>
      </c>
      <c r="AO513" s="3"/>
      <c r="AP513">
        <v>0</v>
      </c>
      <c r="AR513" t="s">
        <v>0</v>
      </c>
      <c r="AT513" s="2">
        <v>3.7909999999999999</v>
      </c>
      <c r="AU513" s="1">
        <f t="shared" si="61"/>
        <v>2.2323244587851105</v>
      </c>
      <c r="AV513" s="1">
        <f t="shared" si="62"/>
        <v>1.6170197694735429</v>
      </c>
      <c r="AW513" s="1">
        <f t="shared" si="63"/>
        <v>1.001715080161975</v>
      </c>
    </row>
    <row r="514" spans="1:49" x14ac:dyDescent="0.2">
      <c r="A514">
        <v>512</v>
      </c>
      <c r="B514" t="s">
        <v>3005</v>
      </c>
      <c r="C514" t="s">
        <v>3004</v>
      </c>
      <c r="D514" t="s">
        <v>3003</v>
      </c>
      <c r="F514" t="s">
        <v>3002</v>
      </c>
      <c r="G514" t="s">
        <v>4</v>
      </c>
      <c r="H514" t="s">
        <v>3</v>
      </c>
      <c r="I514" t="s">
        <v>3001</v>
      </c>
      <c r="J514" t="s">
        <v>3000</v>
      </c>
      <c r="K514" t="s">
        <v>2999</v>
      </c>
      <c r="L514" t="s">
        <v>2918</v>
      </c>
      <c r="M514" t="s">
        <v>89</v>
      </c>
      <c r="N514">
        <v>7</v>
      </c>
      <c r="O514" t="s">
        <v>2998</v>
      </c>
      <c r="P514" t="s">
        <v>2997</v>
      </c>
      <c r="Q514" t="s">
        <v>2996</v>
      </c>
      <c r="R514" s="8">
        <v>35723</v>
      </c>
      <c r="S514" s="9">
        <f t="shared" ref="S514:S577" si="64">YEAR(R514)</f>
        <v>1997</v>
      </c>
      <c r="T514" s="9">
        <v>1997</v>
      </c>
      <c r="U514" s="9">
        <f t="shared" ref="U514:U577" si="65">2022-T514</f>
        <v>25</v>
      </c>
      <c r="V514" s="8">
        <v>35723</v>
      </c>
      <c r="W514" t="s">
        <v>579</v>
      </c>
      <c r="X514" s="2">
        <v>1.59</v>
      </c>
      <c r="Y514" s="7">
        <f t="shared" ref="Y514:Y577" si="66">(X514-$Z$3)/($Z$2-$Z$3)</f>
        <v>4.2444141907583888E-2</v>
      </c>
      <c r="AA514">
        <v>52728</v>
      </c>
      <c r="AB514">
        <v>16791</v>
      </c>
      <c r="AD514" t="s">
        <v>1</v>
      </c>
      <c r="AE514">
        <v>1321</v>
      </c>
      <c r="AF514">
        <v>3</v>
      </c>
      <c r="AH514" t="s">
        <v>2995</v>
      </c>
      <c r="AI514" t="s">
        <v>2994</v>
      </c>
      <c r="AJ514" t="s">
        <v>2993</v>
      </c>
      <c r="AK514" t="s">
        <v>2992</v>
      </c>
      <c r="AL514">
        <v>17</v>
      </c>
      <c r="AM514" s="5">
        <f t="shared" ref="AM514:AM577" si="67">AL514/U514</f>
        <v>0.68</v>
      </c>
      <c r="AN514" s="4">
        <f t="shared" ref="AN514:AN577" si="68">(AM514-$AO$3)/($AO$2-$AO$3)</f>
        <v>1.0299129117758426E-3</v>
      </c>
      <c r="AO514" s="3"/>
      <c r="AP514">
        <v>1</v>
      </c>
      <c r="AQ514" t="s">
        <v>124</v>
      </c>
      <c r="AR514" t="s">
        <v>2991</v>
      </c>
      <c r="AS514" t="s">
        <v>123</v>
      </c>
      <c r="AT514" s="2" t="s">
        <v>5</v>
      </c>
      <c r="AU514" s="1">
        <f t="shared" ref="AU514:AU577" si="69">(Y514*0.7+AN514*0.3)*100</f>
        <v>3.0019873208841474</v>
      </c>
      <c r="AV514" s="1">
        <f t="shared" ref="AV514:AV577" si="70">(Y514*0.5+AN514*0.5)*100</f>
        <v>2.1737027409679865</v>
      </c>
      <c r="AW514" s="1">
        <f t="shared" ref="AW514:AW577" si="71">(Y514*0.3+AN514*0.7)*100</f>
        <v>1.3454181610518254</v>
      </c>
    </row>
    <row r="515" spans="1:49" x14ac:dyDescent="0.2">
      <c r="A515">
        <v>513</v>
      </c>
      <c r="B515" t="s">
        <v>2990</v>
      </c>
      <c r="C515" t="s">
        <v>2989</v>
      </c>
      <c r="F515" t="s">
        <v>2988</v>
      </c>
      <c r="G515" t="s">
        <v>4</v>
      </c>
      <c r="H515" t="s">
        <v>3</v>
      </c>
      <c r="I515" t="s">
        <v>2987</v>
      </c>
      <c r="J515" t="s">
        <v>2986</v>
      </c>
      <c r="K515" t="s">
        <v>2985</v>
      </c>
      <c r="L515" t="s">
        <v>2984</v>
      </c>
      <c r="M515" t="s">
        <v>18</v>
      </c>
      <c r="N515">
        <v>3</v>
      </c>
      <c r="O515" t="s">
        <v>2983</v>
      </c>
      <c r="P515" t="s">
        <v>2982</v>
      </c>
      <c r="Q515" t="s">
        <v>2981</v>
      </c>
      <c r="R515" s="8">
        <v>35723</v>
      </c>
      <c r="S515" s="9">
        <f t="shared" si="64"/>
        <v>1997</v>
      </c>
      <c r="T515" s="9">
        <v>1997</v>
      </c>
      <c r="U515" s="9">
        <f t="shared" si="65"/>
        <v>25</v>
      </c>
      <c r="V515" s="8">
        <v>35723</v>
      </c>
      <c r="W515" t="s">
        <v>606</v>
      </c>
      <c r="X515" s="2">
        <v>1.1819999999999999</v>
      </c>
      <c r="Y515" s="7">
        <f t="shared" si="66"/>
        <v>3.1552814927524625E-2</v>
      </c>
      <c r="AA515">
        <v>36951</v>
      </c>
      <c r="AB515">
        <v>27030</v>
      </c>
      <c r="AD515" t="s">
        <v>1</v>
      </c>
      <c r="AE515">
        <v>71</v>
      </c>
      <c r="AF515">
        <v>16</v>
      </c>
      <c r="AH515" t="s">
        <v>2980</v>
      </c>
      <c r="AI515" t="s">
        <v>2979</v>
      </c>
      <c r="AK515" t="s">
        <v>2978</v>
      </c>
      <c r="AL515">
        <v>13</v>
      </c>
      <c r="AM515" s="5">
        <f t="shared" si="67"/>
        <v>0.52</v>
      </c>
      <c r="AN515" s="4">
        <f t="shared" si="68"/>
        <v>7.8758046194623253E-4</v>
      </c>
      <c r="AO515" s="3"/>
      <c r="AP515">
        <v>0</v>
      </c>
      <c r="AR515" t="s">
        <v>0</v>
      </c>
      <c r="AT515" s="2">
        <v>3.7909999999999999</v>
      </c>
      <c r="AU515" s="1">
        <f t="shared" si="69"/>
        <v>2.2323244587851105</v>
      </c>
      <c r="AV515" s="1">
        <f t="shared" si="70"/>
        <v>1.6170197694735429</v>
      </c>
      <c r="AW515" s="1">
        <f t="shared" si="71"/>
        <v>1.001715080161975</v>
      </c>
    </row>
    <row r="516" spans="1:49" x14ac:dyDescent="0.2">
      <c r="A516">
        <v>514</v>
      </c>
      <c r="B516" t="s">
        <v>2977</v>
      </c>
      <c r="C516" t="s">
        <v>2976</v>
      </c>
      <c r="F516" t="s">
        <v>2975</v>
      </c>
      <c r="G516" t="s">
        <v>4</v>
      </c>
      <c r="H516" t="s">
        <v>3</v>
      </c>
      <c r="I516" t="s">
        <v>1822</v>
      </c>
      <c r="J516" t="s">
        <v>308</v>
      </c>
      <c r="K516" t="s">
        <v>307</v>
      </c>
      <c r="L516" t="s">
        <v>306</v>
      </c>
      <c r="M516" t="s">
        <v>64</v>
      </c>
      <c r="N516">
        <v>4</v>
      </c>
      <c r="O516" t="s">
        <v>2974</v>
      </c>
      <c r="P516" t="s">
        <v>2973</v>
      </c>
      <c r="Q516" t="s">
        <v>2972</v>
      </c>
      <c r="R516" s="8">
        <v>35723</v>
      </c>
      <c r="S516" s="9">
        <f t="shared" si="64"/>
        <v>1997</v>
      </c>
      <c r="T516" s="9">
        <v>1997</v>
      </c>
      <c r="U516" s="9">
        <f t="shared" si="65"/>
        <v>25</v>
      </c>
      <c r="V516" s="8">
        <v>35723</v>
      </c>
      <c r="W516" t="s">
        <v>617</v>
      </c>
      <c r="X516" s="2">
        <v>0.66800000000000004</v>
      </c>
      <c r="Y516" s="7">
        <f t="shared" si="66"/>
        <v>1.7831878486959774E-2</v>
      </c>
      <c r="AA516" t="s">
        <v>616</v>
      </c>
      <c r="AB516">
        <v>29593</v>
      </c>
      <c r="AC516">
        <v>21553165</v>
      </c>
      <c r="AD516" t="s">
        <v>1</v>
      </c>
      <c r="AE516">
        <v>36</v>
      </c>
      <c r="AF516">
        <v>30</v>
      </c>
      <c r="AH516" t="s">
        <v>2971</v>
      </c>
      <c r="AI516" t="s">
        <v>2970</v>
      </c>
      <c r="AJ516" t="s">
        <v>2969</v>
      </c>
      <c r="AK516" t="s">
        <v>2968</v>
      </c>
      <c r="AL516">
        <v>372</v>
      </c>
      <c r="AM516" s="5">
        <f t="shared" si="67"/>
        <v>14.88</v>
      </c>
      <c r="AN516" s="4">
        <f t="shared" si="68"/>
        <v>2.2536917834153732E-2</v>
      </c>
      <c r="AO516" s="3"/>
      <c r="AP516">
        <v>0</v>
      </c>
      <c r="AR516" t="s">
        <v>0</v>
      </c>
      <c r="AT516" s="2">
        <v>1.98</v>
      </c>
      <c r="AU516" s="1">
        <f t="shared" si="69"/>
        <v>1.9243390291117959</v>
      </c>
      <c r="AV516" s="1">
        <f t="shared" si="70"/>
        <v>2.0184398160556754</v>
      </c>
      <c r="AW516" s="1">
        <f t="shared" si="71"/>
        <v>2.1125406029995539</v>
      </c>
    </row>
    <row r="517" spans="1:49" x14ac:dyDescent="0.2">
      <c r="A517">
        <v>515</v>
      </c>
      <c r="B517" t="s">
        <v>2967</v>
      </c>
      <c r="C517" t="s">
        <v>2966</v>
      </c>
      <c r="D517" t="s">
        <v>2965</v>
      </c>
      <c r="F517" t="s">
        <v>2964</v>
      </c>
      <c r="G517" t="s">
        <v>4</v>
      </c>
      <c r="H517" t="s">
        <v>3</v>
      </c>
      <c r="I517" t="s">
        <v>2963</v>
      </c>
      <c r="J517">
        <v>60014761</v>
      </c>
      <c r="K517" t="s">
        <v>2962</v>
      </c>
      <c r="L517" t="s">
        <v>2961</v>
      </c>
      <c r="M517" t="s">
        <v>214</v>
      </c>
      <c r="N517">
        <v>3</v>
      </c>
      <c r="O517" t="s">
        <v>2960</v>
      </c>
      <c r="P517" t="s">
        <v>2959</v>
      </c>
      <c r="Q517" t="s">
        <v>2958</v>
      </c>
      <c r="R517" s="8">
        <v>35718</v>
      </c>
      <c r="S517" s="9">
        <f t="shared" si="64"/>
        <v>1997</v>
      </c>
      <c r="T517" s="9">
        <v>1997</v>
      </c>
      <c r="U517" s="9">
        <f t="shared" si="65"/>
        <v>25</v>
      </c>
      <c r="V517" s="8">
        <v>35718</v>
      </c>
      <c r="W517" t="s">
        <v>2957</v>
      </c>
      <c r="X517" s="2">
        <v>0.437</v>
      </c>
      <c r="Y517" s="7">
        <f t="shared" si="66"/>
        <v>1.1665465417367396E-2</v>
      </c>
      <c r="AA517">
        <v>201693</v>
      </c>
      <c r="AB517">
        <v>25270</v>
      </c>
      <c r="AD517" t="s">
        <v>1</v>
      </c>
      <c r="AE517">
        <v>263</v>
      </c>
      <c r="AF517" s="6">
        <v>44228</v>
      </c>
      <c r="AH517" t="s">
        <v>2956</v>
      </c>
      <c r="AI517" t="s">
        <v>2955</v>
      </c>
      <c r="AJ517" t="s">
        <v>2954</v>
      </c>
      <c r="AK517" t="s">
        <v>2953</v>
      </c>
      <c r="AL517">
        <v>58</v>
      </c>
      <c r="AM517" s="5">
        <f t="shared" si="67"/>
        <v>2.3199999999999998</v>
      </c>
      <c r="AN517" s="4">
        <f t="shared" si="68"/>
        <v>3.5138205225293448E-3</v>
      </c>
      <c r="AO517" s="3"/>
      <c r="AP517">
        <v>0</v>
      </c>
      <c r="AQ517" t="s">
        <v>2952</v>
      </c>
      <c r="AR517" t="s">
        <v>0</v>
      </c>
      <c r="AS517" t="s">
        <v>2951</v>
      </c>
      <c r="AT517" s="2">
        <v>2.5449999999999999</v>
      </c>
      <c r="AU517" s="1">
        <f t="shared" si="69"/>
        <v>0.92199719489159793</v>
      </c>
      <c r="AV517" s="1">
        <f t="shared" si="70"/>
        <v>0.75896429699483703</v>
      </c>
      <c r="AW517" s="1">
        <f t="shared" si="71"/>
        <v>0.59593139909807602</v>
      </c>
    </row>
    <row r="518" spans="1:49" x14ac:dyDescent="0.2">
      <c r="A518">
        <v>516</v>
      </c>
      <c r="B518" t="s">
        <v>2950</v>
      </c>
      <c r="C518" t="s">
        <v>2949</v>
      </c>
      <c r="E518">
        <v>9326680</v>
      </c>
      <c r="F518" t="s">
        <v>2948</v>
      </c>
      <c r="G518" t="s">
        <v>4</v>
      </c>
      <c r="H518" t="s">
        <v>3</v>
      </c>
      <c r="I518" t="s">
        <v>2947</v>
      </c>
      <c r="J518">
        <v>60000179</v>
      </c>
      <c r="K518" t="s">
        <v>2946</v>
      </c>
      <c r="L518" t="s">
        <v>184</v>
      </c>
      <c r="M518" t="s">
        <v>26</v>
      </c>
      <c r="N518">
        <v>2</v>
      </c>
      <c r="O518" t="s">
        <v>2945</v>
      </c>
      <c r="P518" t="s">
        <v>2944</v>
      </c>
      <c r="Q518" t="s">
        <v>2943</v>
      </c>
      <c r="R518" s="8">
        <v>35717</v>
      </c>
      <c r="S518" s="9">
        <f t="shared" si="64"/>
        <v>1997</v>
      </c>
      <c r="T518" s="9">
        <v>1997</v>
      </c>
      <c r="U518" s="9">
        <f t="shared" si="65"/>
        <v>25</v>
      </c>
      <c r="V518" s="8">
        <v>35717</v>
      </c>
      <c r="W518" t="s">
        <v>1152</v>
      </c>
      <c r="X518" s="2">
        <v>5.0110000000000001</v>
      </c>
      <c r="Y518" s="7">
        <f t="shared" si="66"/>
        <v>0.13376578308107098</v>
      </c>
      <c r="AA518">
        <v>278424</v>
      </c>
      <c r="AB518">
        <v>21121</v>
      </c>
      <c r="AD518" t="s">
        <v>1</v>
      </c>
      <c r="AE518">
        <v>94</v>
      </c>
      <c r="AF518">
        <v>21</v>
      </c>
      <c r="AH518" t="s">
        <v>2942</v>
      </c>
      <c r="AI518" t="s">
        <v>2941</v>
      </c>
      <c r="AJ518" t="s">
        <v>2940</v>
      </c>
      <c r="AK518" t="s">
        <v>2939</v>
      </c>
      <c r="AL518">
        <v>56</v>
      </c>
      <c r="AM518" s="5">
        <f t="shared" si="67"/>
        <v>2.2400000000000002</v>
      </c>
      <c r="AN518" s="4">
        <f t="shared" si="68"/>
        <v>3.3926542976145404E-3</v>
      </c>
      <c r="AO518" s="3"/>
      <c r="AP518">
        <v>1</v>
      </c>
      <c r="AR518" t="s">
        <v>0</v>
      </c>
      <c r="AT518" s="2" t="s">
        <v>5</v>
      </c>
      <c r="AU518" s="1">
        <f t="shared" si="69"/>
        <v>9.465384444603405</v>
      </c>
      <c r="AV518" s="1">
        <f t="shared" si="70"/>
        <v>6.8579218689342758</v>
      </c>
      <c r="AW518" s="1">
        <f t="shared" si="71"/>
        <v>4.2504592932651475</v>
      </c>
    </row>
    <row r="519" spans="1:49" x14ac:dyDescent="0.2">
      <c r="A519">
        <v>517</v>
      </c>
      <c r="B519" t="s">
        <v>2938</v>
      </c>
      <c r="C519" t="s">
        <v>2937</v>
      </c>
      <c r="F519" t="s">
        <v>2936</v>
      </c>
      <c r="G519" t="s">
        <v>4</v>
      </c>
      <c r="H519" t="s">
        <v>3</v>
      </c>
      <c r="I519" t="s">
        <v>2935</v>
      </c>
      <c r="J519" t="s">
        <v>2934</v>
      </c>
      <c r="K519" t="s">
        <v>2933</v>
      </c>
      <c r="L519" t="s">
        <v>2932</v>
      </c>
      <c r="M519" t="s">
        <v>18</v>
      </c>
      <c r="N519">
        <v>6</v>
      </c>
      <c r="O519" t="s">
        <v>2931</v>
      </c>
      <c r="P519" t="s">
        <v>2930</v>
      </c>
      <c r="Q519" t="s">
        <v>2929</v>
      </c>
      <c r="R519" s="8">
        <v>35716</v>
      </c>
      <c r="S519" s="9">
        <f t="shared" si="64"/>
        <v>1997</v>
      </c>
      <c r="T519" s="9">
        <v>1997</v>
      </c>
      <c r="U519" s="9">
        <f t="shared" si="65"/>
        <v>25</v>
      </c>
      <c r="V519" s="8">
        <v>35716</v>
      </c>
      <c r="W519" t="s">
        <v>606</v>
      </c>
      <c r="X519" s="2">
        <v>1.1819999999999999</v>
      </c>
      <c r="Y519" s="7">
        <f t="shared" si="66"/>
        <v>3.1552814927524625E-2</v>
      </c>
      <c r="AA519">
        <v>36951</v>
      </c>
      <c r="AB519">
        <v>27030</v>
      </c>
      <c r="AD519" t="s">
        <v>1</v>
      </c>
      <c r="AE519">
        <v>71</v>
      </c>
      <c r="AF519">
        <v>15</v>
      </c>
      <c r="AH519" t="s">
        <v>2928</v>
      </c>
      <c r="AI519" t="s">
        <v>2927</v>
      </c>
      <c r="AK519" t="s">
        <v>2926</v>
      </c>
      <c r="AL519">
        <v>119</v>
      </c>
      <c r="AM519" s="5">
        <f t="shared" si="67"/>
        <v>4.76</v>
      </c>
      <c r="AN519" s="4">
        <f t="shared" si="68"/>
        <v>7.2093903824308973E-3</v>
      </c>
      <c r="AO519" s="3"/>
      <c r="AP519">
        <v>0</v>
      </c>
      <c r="AR519" t="s">
        <v>0</v>
      </c>
      <c r="AT519" s="2">
        <v>3.7909999999999999</v>
      </c>
      <c r="AU519" s="1">
        <f t="shared" si="69"/>
        <v>2.4249787563996503</v>
      </c>
      <c r="AV519" s="1">
        <f t="shared" si="70"/>
        <v>1.938110265497776</v>
      </c>
      <c r="AW519" s="1">
        <f t="shared" si="71"/>
        <v>1.4512417745959016</v>
      </c>
    </row>
    <row r="520" spans="1:49" x14ac:dyDescent="0.2">
      <c r="A520">
        <v>518</v>
      </c>
      <c r="B520" t="s">
        <v>2925</v>
      </c>
      <c r="C520" t="s">
        <v>2924</v>
      </c>
      <c r="D520" t="s">
        <v>2923</v>
      </c>
      <c r="E520">
        <v>9368655</v>
      </c>
      <c r="F520" t="s">
        <v>2922</v>
      </c>
      <c r="G520" t="s">
        <v>4</v>
      </c>
      <c r="H520" t="s">
        <v>3</v>
      </c>
      <c r="I520" t="s">
        <v>2921</v>
      </c>
      <c r="J520" t="s">
        <v>2920</v>
      </c>
      <c r="K520" t="s">
        <v>2919</v>
      </c>
      <c r="L520" t="s">
        <v>2918</v>
      </c>
      <c r="M520" t="s">
        <v>89</v>
      </c>
      <c r="N520">
        <v>6</v>
      </c>
      <c r="O520" t="s">
        <v>2917</v>
      </c>
      <c r="P520" t="s">
        <v>2916</v>
      </c>
      <c r="Q520" t="s">
        <v>2915</v>
      </c>
      <c r="R520" s="8">
        <v>35713</v>
      </c>
      <c r="S520" s="9">
        <f t="shared" si="64"/>
        <v>1997</v>
      </c>
      <c r="T520" s="9">
        <v>1997</v>
      </c>
      <c r="U520" s="9">
        <f t="shared" si="65"/>
        <v>25</v>
      </c>
      <c r="V520" s="8">
        <v>35713</v>
      </c>
      <c r="W520" t="s">
        <v>2914</v>
      </c>
      <c r="X520" s="2">
        <v>3.1890000000000001</v>
      </c>
      <c r="Y520" s="7">
        <f t="shared" si="66"/>
        <v>8.5128533675022031E-2</v>
      </c>
      <c r="AA520">
        <v>222836</v>
      </c>
      <c r="AB520">
        <v>17618</v>
      </c>
      <c r="AD520" t="s">
        <v>1</v>
      </c>
      <c r="AE520">
        <v>272</v>
      </c>
      <c r="AF520">
        <v>5</v>
      </c>
      <c r="AH520" t="s">
        <v>2913</v>
      </c>
      <c r="AI520" t="s">
        <v>2912</v>
      </c>
      <c r="AJ520" t="s">
        <v>2911</v>
      </c>
      <c r="AK520" t="s">
        <v>2910</v>
      </c>
      <c r="AL520">
        <v>221</v>
      </c>
      <c r="AM520" s="5">
        <f t="shared" si="67"/>
        <v>8.84</v>
      </c>
      <c r="AN520" s="4">
        <f t="shared" si="68"/>
        <v>1.3388867853085951E-2</v>
      </c>
      <c r="AO520" s="3"/>
      <c r="AP520">
        <v>0</v>
      </c>
      <c r="AQ520" t="s">
        <v>2909</v>
      </c>
      <c r="AR520" t="s">
        <v>0</v>
      </c>
      <c r="AS520" t="s">
        <v>2908</v>
      </c>
      <c r="AT520" s="2">
        <v>5.4690000000000003</v>
      </c>
      <c r="AU520" s="1">
        <f t="shared" si="69"/>
        <v>6.3606633928441196</v>
      </c>
      <c r="AV520" s="1">
        <f t="shared" si="70"/>
        <v>4.9258700764053991</v>
      </c>
      <c r="AW520" s="1">
        <f t="shared" si="71"/>
        <v>3.4910767599666777</v>
      </c>
    </row>
    <row r="521" spans="1:49" x14ac:dyDescent="0.2">
      <c r="A521">
        <v>519</v>
      </c>
      <c r="B521" t="s">
        <v>2907</v>
      </c>
      <c r="C521" t="s">
        <v>2906</v>
      </c>
      <c r="F521" t="s">
        <v>2905</v>
      </c>
      <c r="G521" t="s">
        <v>4</v>
      </c>
      <c r="H521" t="s">
        <v>3</v>
      </c>
      <c r="I521" t="s">
        <v>2904</v>
      </c>
      <c r="J521">
        <v>60025209</v>
      </c>
      <c r="K521" t="s">
        <v>256</v>
      </c>
      <c r="L521" t="s">
        <v>72</v>
      </c>
      <c r="M521" t="s">
        <v>2</v>
      </c>
      <c r="N521">
        <v>2</v>
      </c>
      <c r="O521" t="s">
        <v>2903</v>
      </c>
      <c r="P521" t="s">
        <v>2902</v>
      </c>
      <c r="Q521" t="s">
        <v>2901</v>
      </c>
      <c r="R521" s="8">
        <v>35713</v>
      </c>
      <c r="S521" s="9">
        <f t="shared" si="64"/>
        <v>1997</v>
      </c>
      <c r="T521" s="9">
        <v>1997</v>
      </c>
      <c r="U521" s="9">
        <f t="shared" si="65"/>
        <v>25</v>
      </c>
      <c r="V521" s="8">
        <v>35713</v>
      </c>
      <c r="W521" t="s">
        <v>617</v>
      </c>
      <c r="X521" s="2">
        <v>0.66800000000000004</v>
      </c>
      <c r="Y521" s="7">
        <f t="shared" si="66"/>
        <v>1.7831878486959774E-2</v>
      </c>
      <c r="AA521" t="s">
        <v>616</v>
      </c>
      <c r="AB521">
        <v>29593</v>
      </c>
      <c r="AC521">
        <v>21553165</v>
      </c>
      <c r="AD521" t="s">
        <v>1</v>
      </c>
      <c r="AE521">
        <v>36</v>
      </c>
      <c r="AF521">
        <v>29</v>
      </c>
      <c r="AH521" t="s">
        <v>2900</v>
      </c>
      <c r="AI521" t="s">
        <v>2899</v>
      </c>
      <c r="AJ521" t="s">
        <v>2898</v>
      </c>
      <c r="AK521" t="s">
        <v>2897</v>
      </c>
      <c r="AL521">
        <v>20</v>
      </c>
      <c r="AM521" s="5">
        <f t="shared" si="67"/>
        <v>0.8</v>
      </c>
      <c r="AN521" s="4">
        <f t="shared" si="68"/>
        <v>1.2116622491480501E-3</v>
      </c>
      <c r="AO521" s="3"/>
      <c r="AP521">
        <v>0</v>
      </c>
      <c r="AR521" t="s">
        <v>0</v>
      </c>
      <c r="AT521" s="2">
        <v>1.98</v>
      </c>
      <c r="AU521" s="1">
        <f t="shared" si="69"/>
        <v>1.2845813615616255</v>
      </c>
      <c r="AV521" s="1">
        <f t="shared" si="70"/>
        <v>0.95217703680539123</v>
      </c>
      <c r="AW521" s="1">
        <f t="shared" si="71"/>
        <v>0.61977271204915663</v>
      </c>
    </row>
    <row r="522" spans="1:49" x14ac:dyDescent="0.2">
      <c r="A522">
        <v>520</v>
      </c>
      <c r="B522" t="s">
        <v>2896</v>
      </c>
      <c r="F522" t="s">
        <v>2895</v>
      </c>
      <c r="G522" t="s">
        <v>4</v>
      </c>
      <c r="H522" t="s">
        <v>3</v>
      </c>
      <c r="I522" t="s">
        <v>2894</v>
      </c>
      <c r="J522" t="s">
        <v>2893</v>
      </c>
      <c r="K522" t="s">
        <v>2892</v>
      </c>
      <c r="L522" t="s">
        <v>2891</v>
      </c>
      <c r="M522" t="s">
        <v>2890</v>
      </c>
      <c r="N522">
        <v>3</v>
      </c>
      <c r="O522" t="s">
        <v>2889</v>
      </c>
      <c r="P522" t="s">
        <v>2888</v>
      </c>
      <c r="Q522" t="s">
        <v>2887</v>
      </c>
      <c r="R522" s="8">
        <v>35713</v>
      </c>
      <c r="S522" s="9">
        <f t="shared" si="64"/>
        <v>1997</v>
      </c>
      <c r="T522" s="9">
        <v>1997</v>
      </c>
      <c r="U522" s="9">
        <f t="shared" si="65"/>
        <v>25</v>
      </c>
      <c r="V522" s="8">
        <v>35713</v>
      </c>
      <c r="W522" t="s">
        <v>2886</v>
      </c>
      <c r="X522" s="2">
        <v>0.16</v>
      </c>
      <c r="Y522" s="7">
        <f t="shared" si="66"/>
        <v>4.2711086196310834E-3</v>
      </c>
      <c r="AA522">
        <v>12696935</v>
      </c>
      <c r="AB522">
        <v>25495</v>
      </c>
      <c r="AD522" t="s">
        <v>1</v>
      </c>
      <c r="AE522">
        <v>31</v>
      </c>
      <c r="AF522">
        <v>6</v>
      </c>
      <c r="AH522" t="s">
        <v>2885</v>
      </c>
      <c r="AI522" t="s">
        <v>2884</v>
      </c>
      <c r="AJ522" t="s">
        <v>2883</v>
      </c>
      <c r="AK522" t="s">
        <v>2882</v>
      </c>
      <c r="AL522">
        <v>20</v>
      </c>
      <c r="AM522" s="5">
        <f t="shared" si="67"/>
        <v>0.8</v>
      </c>
      <c r="AN522" s="4">
        <f t="shared" si="68"/>
        <v>1.2116622491480501E-3</v>
      </c>
      <c r="AO522" s="3"/>
      <c r="AP522">
        <v>0</v>
      </c>
      <c r="AR522" t="s">
        <v>0</v>
      </c>
      <c r="AT522" s="2" t="s">
        <v>5</v>
      </c>
      <c r="AU522" s="1">
        <f t="shared" si="69"/>
        <v>0.3353274708486173</v>
      </c>
      <c r="AV522" s="1">
        <f t="shared" si="70"/>
        <v>0.27413854343895666</v>
      </c>
      <c r="AW522" s="1">
        <f t="shared" si="71"/>
        <v>0.21294961602929602</v>
      </c>
    </row>
    <row r="523" spans="1:49" x14ac:dyDescent="0.2">
      <c r="A523">
        <v>521</v>
      </c>
      <c r="B523" t="s">
        <v>2881</v>
      </c>
      <c r="C523" t="s">
        <v>2880</v>
      </c>
      <c r="F523" t="s">
        <v>2879</v>
      </c>
      <c r="G523" t="s">
        <v>4</v>
      </c>
      <c r="H523" t="s">
        <v>3</v>
      </c>
      <c r="I523" t="s">
        <v>651</v>
      </c>
      <c r="J523">
        <v>60011357</v>
      </c>
      <c r="K523" t="s">
        <v>292</v>
      </c>
      <c r="L523" t="s">
        <v>291</v>
      </c>
      <c r="M523" t="s">
        <v>250</v>
      </c>
      <c r="N523">
        <v>2</v>
      </c>
      <c r="O523" t="s">
        <v>2878</v>
      </c>
      <c r="P523" t="s">
        <v>2877</v>
      </c>
      <c r="Q523" t="s">
        <v>288</v>
      </c>
      <c r="R523" s="8">
        <v>35712</v>
      </c>
      <c r="S523" s="9">
        <f t="shared" si="64"/>
        <v>1997</v>
      </c>
      <c r="T523" s="9">
        <v>1997</v>
      </c>
      <c r="U523" s="9">
        <f t="shared" si="65"/>
        <v>25</v>
      </c>
      <c r="V523" s="8">
        <v>35712</v>
      </c>
      <c r="W523" t="s">
        <v>493</v>
      </c>
      <c r="X523" s="2">
        <v>0.375</v>
      </c>
      <c r="Y523" s="7">
        <f t="shared" si="66"/>
        <v>1.0010410827260351E-2</v>
      </c>
      <c r="AA523">
        <v>135194</v>
      </c>
      <c r="AB523">
        <v>24918</v>
      </c>
      <c r="AD523" t="s">
        <v>1</v>
      </c>
      <c r="AE523">
        <v>33</v>
      </c>
      <c r="AF523">
        <v>21</v>
      </c>
      <c r="AH523" t="s">
        <v>2876</v>
      </c>
      <c r="AI523" t="s">
        <v>2875</v>
      </c>
      <c r="AJ523" t="s">
        <v>495</v>
      </c>
      <c r="AK523" t="s">
        <v>2874</v>
      </c>
      <c r="AL523">
        <v>15</v>
      </c>
      <c r="AM523" s="5">
        <f t="shared" si="67"/>
        <v>0.6</v>
      </c>
      <c r="AN523" s="4">
        <f t="shared" si="68"/>
        <v>9.0874668686103744E-4</v>
      </c>
      <c r="AO523" s="3"/>
      <c r="AP523">
        <v>0</v>
      </c>
      <c r="AR523" t="s">
        <v>0</v>
      </c>
      <c r="AT523" s="2">
        <v>1.3140000000000001</v>
      </c>
      <c r="AU523" s="1">
        <f t="shared" si="69"/>
        <v>0.72799115851405571</v>
      </c>
      <c r="AV523" s="1">
        <f t="shared" si="70"/>
        <v>0.54595787570606946</v>
      </c>
      <c r="AW523" s="1">
        <f t="shared" si="71"/>
        <v>0.3639245928980831</v>
      </c>
    </row>
    <row r="524" spans="1:49" x14ac:dyDescent="0.2">
      <c r="A524">
        <v>522</v>
      </c>
      <c r="B524" t="s">
        <v>2873</v>
      </c>
      <c r="C524" t="s">
        <v>2872</v>
      </c>
      <c r="F524" t="s">
        <v>2871</v>
      </c>
      <c r="G524" t="s">
        <v>4</v>
      </c>
      <c r="H524" t="s">
        <v>3</v>
      </c>
      <c r="I524" t="s">
        <v>2498</v>
      </c>
      <c r="J524" t="s">
        <v>2870</v>
      </c>
      <c r="K524" t="s">
        <v>2869</v>
      </c>
      <c r="L524" t="s">
        <v>2868</v>
      </c>
      <c r="M524" t="s">
        <v>144</v>
      </c>
      <c r="N524">
        <v>5</v>
      </c>
      <c r="O524" t="s">
        <v>2867</v>
      </c>
      <c r="P524" t="s">
        <v>2866</v>
      </c>
      <c r="Q524" t="s">
        <v>2865</v>
      </c>
      <c r="R524" s="8">
        <v>35712</v>
      </c>
      <c r="S524" s="9">
        <f t="shared" si="64"/>
        <v>1997</v>
      </c>
      <c r="T524" s="9">
        <v>1997</v>
      </c>
      <c r="U524" s="9">
        <f t="shared" si="65"/>
        <v>25</v>
      </c>
      <c r="V524" s="8">
        <v>35712</v>
      </c>
      <c r="W524" t="s">
        <v>585</v>
      </c>
      <c r="X524" s="2">
        <v>0.86399999999999999</v>
      </c>
      <c r="Y524" s="7">
        <f t="shared" si="66"/>
        <v>2.3063986546007848E-2</v>
      </c>
      <c r="AA524">
        <v>15206106</v>
      </c>
      <c r="AB524">
        <v>26970</v>
      </c>
      <c r="AD524" t="s">
        <v>1</v>
      </c>
      <c r="AE524">
        <v>101</v>
      </c>
      <c r="AF524">
        <v>41</v>
      </c>
      <c r="AH524" t="s">
        <v>2864</v>
      </c>
      <c r="AI524" t="s">
        <v>2863</v>
      </c>
      <c r="AK524" t="s">
        <v>2862</v>
      </c>
      <c r="AL524">
        <v>56</v>
      </c>
      <c r="AM524" s="5">
        <f t="shared" si="67"/>
        <v>2.2400000000000002</v>
      </c>
      <c r="AN524" s="4">
        <f t="shared" si="68"/>
        <v>3.3926542976145404E-3</v>
      </c>
      <c r="AO524" s="3"/>
      <c r="AP524">
        <v>0</v>
      </c>
      <c r="AR524" t="s">
        <v>0</v>
      </c>
      <c r="AT524" s="2">
        <v>2.9910000000000001</v>
      </c>
      <c r="AU524" s="1">
        <f t="shared" si="69"/>
        <v>1.7162586871489853</v>
      </c>
      <c r="AV524" s="1">
        <f t="shared" si="70"/>
        <v>1.3228320421811193</v>
      </c>
      <c r="AW524" s="1">
        <f t="shared" si="71"/>
        <v>0.92940539721325321</v>
      </c>
    </row>
    <row r="525" spans="1:49" x14ac:dyDescent="0.2">
      <c r="A525">
        <v>523</v>
      </c>
      <c r="B525" t="s">
        <v>2861</v>
      </c>
      <c r="C525" t="s">
        <v>2860</v>
      </c>
      <c r="F525" t="s">
        <v>2859</v>
      </c>
      <c r="G525" t="s">
        <v>4</v>
      </c>
      <c r="H525" t="s">
        <v>3</v>
      </c>
      <c r="I525" t="s">
        <v>665</v>
      </c>
      <c r="J525">
        <v>60019702</v>
      </c>
      <c r="K525" t="s">
        <v>382</v>
      </c>
      <c r="L525" t="s">
        <v>381</v>
      </c>
      <c r="M525" t="s">
        <v>8</v>
      </c>
      <c r="N525">
        <v>3</v>
      </c>
      <c r="O525" t="s">
        <v>664</v>
      </c>
      <c r="P525" t="s">
        <v>663</v>
      </c>
      <c r="Q525" t="s">
        <v>378</v>
      </c>
      <c r="R525" s="8">
        <v>35712</v>
      </c>
      <c r="S525" s="9">
        <f t="shared" si="64"/>
        <v>1997</v>
      </c>
      <c r="T525" s="9">
        <v>1997</v>
      </c>
      <c r="U525" s="9">
        <f t="shared" si="65"/>
        <v>25</v>
      </c>
      <c r="V525" s="8">
        <v>35712</v>
      </c>
      <c r="W525" t="s">
        <v>493</v>
      </c>
      <c r="X525" s="2">
        <v>0.375</v>
      </c>
      <c r="Y525" s="7">
        <f t="shared" si="66"/>
        <v>1.0010410827260351E-2</v>
      </c>
      <c r="AA525">
        <v>135194</v>
      </c>
      <c r="AB525">
        <v>24918</v>
      </c>
      <c r="AD525" t="s">
        <v>1</v>
      </c>
      <c r="AE525">
        <v>33</v>
      </c>
      <c r="AF525">
        <v>21</v>
      </c>
      <c r="AH525" t="s">
        <v>2858</v>
      </c>
      <c r="AI525" t="s">
        <v>2857</v>
      </c>
      <c r="AJ525" t="s">
        <v>662</v>
      </c>
      <c r="AK525" t="s">
        <v>2856</v>
      </c>
      <c r="AL525">
        <v>4</v>
      </c>
      <c r="AM525" s="5">
        <f t="shared" si="67"/>
        <v>0.16</v>
      </c>
      <c r="AN525" s="4">
        <f t="shared" si="68"/>
        <v>2.4233244982961E-4</v>
      </c>
      <c r="AO525" s="3"/>
      <c r="AP525">
        <v>0</v>
      </c>
      <c r="AR525" t="s">
        <v>0</v>
      </c>
      <c r="AT525" s="2">
        <v>1.3140000000000001</v>
      </c>
      <c r="AU525" s="1">
        <f t="shared" si="69"/>
        <v>0.70799873140311287</v>
      </c>
      <c r="AV525" s="1">
        <f t="shared" si="70"/>
        <v>0.51263716385449809</v>
      </c>
      <c r="AW525" s="1">
        <f t="shared" si="71"/>
        <v>0.3172755963058832</v>
      </c>
    </row>
    <row r="526" spans="1:49" x14ac:dyDescent="0.2">
      <c r="A526">
        <v>524</v>
      </c>
      <c r="B526" t="s">
        <v>2855</v>
      </c>
      <c r="C526" t="s">
        <v>2854</v>
      </c>
      <c r="F526" t="s">
        <v>2853</v>
      </c>
      <c r="G526" t="s">
        <v>4</v>
      </c>
      <c r="H526" t="s">
        <v>3</v>
      </c>
      <c r="I526" t="s">
        <v>2852</v>
      </c>
      <c r="J526" t="s">
        <v>2851</v>
      </c>
      <c r="K526" t="s">
        <v>2850</v>
      </c>
      <c r="L526" t="s">
        <v>2849</v>
      </c>
      <c r="M526" t="s">
        <v>64</v>
      </c>
      <c r="N526">
        <v>8</v>
      </c>
      <c r="O526" t="s">
        <v>2848</v>
      </c>
      <c r="P526" t="s">
        <v>2847</v>
      </c>
      <c r="Q526" t="s">
        <v>2846</v>
      </c>
      <c r="R526" s="8">
        <v>35712</v>
      </c>
      <c r="S526" s="9">
        <f t="shared" si="64"/>
        <v>1997</v>
      </c>
      <c r="T526" s="9">
        <v>1997</v>
      </c>
      <c r="U526" s="9">
        <f t="shared" si="65"/>
        <v>25</v>
      </c>
      <c r="V526" s="8">
        <v>35712</v>
      </c>
      <c r="W526" t="s">
        <v>493</v>
      </c>
      <c r="X526" s="2">
        <v>0.375</v>
      </c>
      <c r="Y526" s="7">
        <f t="shared" si="66"/>
        <v>1.0010410827260351E-2</v>
      </c>
      <c r="AA526">
        <v>135194</v>
      </c>
      <c r="AB526">
        <v>24918</v>
      </c>
      <c r="AD526" t="s">
        <v>1</v>
      </c>
      <c r="AE526">
        <v>33</v>
      </c>
      <c r="AF526">
        <v>21</v>
      </c>
      <c r="AH526" t="s">
        <v>2845</v>
      </c>
      <c r="AI526" t="s">
        <v>2844</v>
      </c>
      <c r="AJ526" t="s">
        <v>2843</v>
      </c>
      <c r="AK526" t="s">
        <v>2842</v>
      </c>
      <c r="AL526">
        <v>10</v>
      </c>
      <c r="AM526" s="5">
        <f t="shared" si="67"/>
        <v>0.4</v>
      </c>
      <c r="AN526" s="4">
        <f t="shared" si="68"/>
        <v>6.0583112457402507E-4</v>
      </c>
      <c r="AO526" s="3"/>
      <c r="AP526">
        <v>0</v>
      </c>
      <c r="AR526" t="s">
        <v>0</v>
      </c>
      <c r="AT526" s="2">
        <v>1.3140000000000001</v>
      </c>
      <c r="AU526" s="1">
        <f t="shared" si="69"/>
        <v>0.71890369164544532</v>
      </c>
      <c r="AV526" s="1">
        <f t="shared" si="70"/>
        <v>0.53081209759171888</v>
      </c>
      <c r="AW526" s="1">
        <f t="shared" si="71"/>
        <v>0.34272050353799227</v>
      </c>
    </row>
    <row r="527" spans="1:49" x14ac:dyDescent="0.2">
      <c r="A527">
        <v>525</v>
      </c>
      <c r="B527" t="s">
        <v>2841</v>
      </c>
      <c r="C527" t="s">
        <v>2840</v>
      </c>
      <c r="D527" t="s">
        <v>2839</v>
      </c>
      <c r="F527" t="s">
        <v>2838</v>
      </c>
      <c r="G527" t="s">
        <v>4</v>
      </c>
      <c r="H527" t="s">
        <v>3</v>
      </c>
      <c r="I527" t="s">
        <v>2837</v>
      </c>
      <c r="J527">
        <v>60028419</v>
      </c>
      <c r="K527" t="s">
        <v>611</v>
      </c>
      <c r="L527" t="s">
        <v>610</v>
      </c>
      <c r="M527" t="s">
        <v>39</v>
      </c>
      <c r="N527">
        <v>2</v>
      </c>
      <c r="O527" t="s">
        <v>2836</v>
      </c>
      <c r="P527" t="s">
        <v>2835</v>
      </c>
      <c r="Q527" t="s">
        <v>1115</v>
      </c>
      <c r="R527" s="8">
        <v>35712</v>
      </c>
      <c r="S527" s="9">
        <f t="shared" si="64"/>
        <v>1997</v>
      </c>
      <c r="T527" s="9">
        <v>1997</v>
      </c>
      <c r="U527" s="9">
        <f t="shared" si="65"/>
        <v>25</v>
      </c>
      <c r="V527" s="8">
        <v>35712</v>
      </c>
      <c r="W527" t="s">
        <v>2115</v>
      </c>
      <c r="X527" s="2">
        <v>2.093</v>
      </c>
      <c r="Y527" s="7">
        <f t="shared" si="66"/>
        <v>5.5871439630549108E-2</v>
      </c>
      <c r="AA527">
        <v>3702693</v>
      </c>
      <c r="AB527">
        <v>29482</v>
      </c>
      <c r="AD527" t="s">
        <v>1</v>
      </c>
      <c r="AE527">
        <v>411</v>
      </c>
      <c r="AF527" s="6">
        <v>44228</v>
      </c>
      <c r="AH527" t="s">
        <v>516</v>
      </c>
      <c r="AI527" t="s">
        <v>2834</v>
      </c>
      <c r="AJ527" t="s">
        <v>2833</v>
      </c>
      <c r="AK527" t="s">
        <v>2832</v>
      </c>
      <c r="AL527">
        <v>93</v>
      </c>
      <c r="AM527" s="5">
        <f t="shared" si="67"/>
        <v>3.72</v>
      </c>
      <c r="AN527" s="4">
        <f t="shared" si="68"/>
        <v>5.6342294585384331E-3</v>
      </c>
      <c r="AO527" s="3"/>
      <c r="AP527">
        <v>0</v>
      </c>
      <c r="AQ527" t="s">
        <v>1404</v>
      </c>
      <c r="AR527" t="s">
        <v>2831</v>
      </c>
      <c r="AS527" t="s">
        <v>1402</v>
      </c>
      <c r="AT527" s="2" t="s">
        <v>5</v>
      </c>
      <c r="AU527" s="1">
        <f t="shared" si="69"/>
        <v>4.0800276578945898</v>
      </c>
      <c r="AV527" s="1">
        <f t="shared" si="70"/>
        <v>3.075283454454377</v>
      </c>
      <c r="AW527" s="1">
        <f t="shared" si="71"/>
        <v>2.0705392510141634</v>
      </c>
    </row>
    <row r="528" spans="1:49" x14ac:dyDescent="0.2">
      <c r="A528">
        <v>526</v>
      </c>
      <c r="B528" t="s">
        <v>2830</v>
      </c>
      <c r="C528" t="s">
        <v>2829</v>
      </c>
      <c r="F528" t="s">
        <v>2828</v>
      </c>
      <c r="G528" t="s">
        <v>4</v>
      </c>
      <c r="H528" t="s">
        <v>3</v>
      </c>
      <c r="I528" t="s">
        <v>2827</v>
      </c>
      <c r="J528" t="s">
        <v>2826</v>
      </c>
      <c r="K528" t="s">
        <v>2825</v>
      </c>
      <c r="L528" t="s">
        <v>2824</v>
      </c>
      <c r="M528" t="s">
        <v>2823</v>
      </c>
      <c r="N528">
        <v>6</v>
      </c>
      <c r="O528" t="s">
        <v>2822</v>
      </c>
      <c r="P528" t="s">
        <v>2821</v>
      </c>
      <c r="Q528" t="s">
        <v>2820</v>
      </c>
      <c r="R528" s="8">
        <v>35711</v>
      </c>
      <c r="S528" s="9">
        <f t="shared" si="64"/>
        <v>1997</v>
      </c>
      <c r="T528" s="9">
        <v>1997</v>
      </c>
      <c r="U528" s="9">
        <f t="shared" si="65"/>
        <v>25</v>
      </c>
      <c r="V528" s="8">
        <v>35711</v>
      </c>
      <c r="W528" t="s">
        <v>2153</v>
      </c>
      <c r="X528" s="2">
        <v>1.071</v>
      </c>
      <c r="Y528" s="7">
        <f t="shared" si="66"/>
        <v>2.8589733322655561E-2</v>
      </c>
      <c r="AA528">
        <v>219606</v>
      </c>
      <c r="AB528">
        <v>28134</v>
      </c>
      <c r="AD528" t="s">
        <v>1</v>
      </c>
      <c r="AE528">
        <v>107</v>
      </c>
      <c r="AF528">
        <v>14</v>
      </c>
      <c r="AH528" t="s">
        <v>2819</v>
      </c>
      <c r="AI528" t="s">
        <v>2818</v>
      </c>
      <c r="AK528" t="s">
        <v>2817</v>
      </c>
      <c r="AL528">
        <v>489</v>
      </c>
      <c r="AM528" s="5">
        <f t="shared" si="67"/>
        <v>19.559999999999999</v>
      </c>
      <c r="AN528" s="4">
        <f t="shared" si="68"/>
        <v>2.962514199166982E-2</v>
      </c>
      <c r="AO528" s="3"/>
      <c r="AP528">
        <v>0</v>
      </c>
      <c r="AR528" t="s">
        <v>0</v>
      </c>
      <c r="AT528" s="2">
        <v>3.488</v>
      </c>
      <c r="AU528" s="1">
        <f t="shared" si="69"/>
        <v>2.8900355923359839</v>
      </c>
      <c r="AV528" s="1">
        <f t="shared" si="70"/>
        <v>2.9107437657162691</v>
      </c>
      <c r="AW528" s="1">
        <f t="shared" si="71"/>
        <v>2.9314519390965543</v>
      </c>
    </row>
    <row r="529" spans="1:49" x14ac:dyDescent="0.2">
      <c r="A529">
        <v>527</v>
      </c>
      <c r="B529" t="s">
        <v>2816</v>
      </c>
      <c r="C529" t="s">
        <v>2815</v>
      </c>
      <c r="F529" t="s">
        <v>2814</v>
      </c>
      <c r="G529" t="s">
        <v>4</v>
      </c>
      <c r="H529" t="s">
        <v>3</v>
      </c>
      <c r="I529" t="s">
        <v>2813</v>
      </c>
      <c r="J529">
        <v>60010818</v>
      </c>
      <c r="K529" t="s">
        <v>693</v>
      </c>
      <c r="L529" t="s">
        <v>692</v>
      </c>
      <c r="M529" t="s">
        <v>8</v>
      </c>
      <c r="N529">
        <v>3</v>
      </c>
      <c r="O529" t="s">
        <v>2812</v>
      </c>
      <c r="P529" t="s">
        <v>2811</v>
      </c>
      <c r="Q529" t="s">
        <v>2810</v>
      </c>
      <c r="R529" s="8">
        <v>35708</v>
      </c>
      <c r="S529" s="9">
        <f t="shared" si="64"/>
        <v>1997</v>
      </c>
      <c r="T529" s="9">
        <v>1997</v>
      </c>
      <c r="U529" s="9">
        <f t="shared" si="65"/>
        <v>25</v>
      </c>
      <c r="V529" s="8">
        <v>35708</v>
      </c>
      <c r="W529" t="s">
        <v>125</v>
      </c>
      <c r="X529" s="2">
        <v>0.30399999999999999</v>
      </c>
      <c r="Y529" s="7">
        <f t="shared" si="66"/>
        <v>8.115106377299057E-3</v>
      </c>
      <c r="AA529">
        <v>8952477</v>
      </c>
      <c r="AB529">
        <v>12250</v>
      </c>
      <c r="AD529" t="s">
        <v>1</v>
      </c>
      <c r="AE529">
        <v>16</v>
      </c>
      <c r="AF529">
        <v>2</v>
      </c>
      <c r="AH529" t="s">
        <v>2809</v>
      </c>
      <c r="AI529" t="s">
        <v>2808</v>
      </c>
      <c r="AJ529" t="s">
        <v>2807</v>
      </c>
      <c r="AK529" t="s">
        <v>2806</v>
      </c>
      <c r="AL529">
        <v>21</v>
      </c>
      <c r="AM529" s="5">
        <f t="shared" si="67"/>
        <v>0.84</v>
      </c>
      <c r="AN529" s="4">
        <f t="shared" si="68"/>
        <v>1.2722453616054524E-3</v>
      </c>
      <c r="AO529" s="3"/>
      <c r="AP529">
        <v>0</v>
      </c>
      <c r="AR529" t="s">
        <v>0</v>
      </c>
      <c r="AT529" s="2" t="s">
        <v>5</v>
      </c>
      <c r="AU529" s="1">
        <f t="shared" si="69"/>
        <v>0.60622480725909755</v>
      </c>
      <c r="AV529" s="1">
        <f t="shared" si="70"/>
        <v>0.46936758694522546</v>
      </c>
      <c r="AW529" s="1">
        <f t="shared" si="71"/>
        <v>0.33251036663135336</v>
      </c>
    </row>
    <row r="530" spans="1:49" x14ac:dyDescent="0.2">
      <c r="A530">
        <v>528</v>
      </c>
      <c r="B530" t="s">
        <v>2805</v>
      </c>
      <c r="C530" t="s">
        <v>2804</v>
      </c>
      <c r="F530" t="s">
        <v>2803</v>
      </c>
      <c r="G530" t="s">
        <v>4</v>
      </c>
      <c r="H530" t="s">
        <v>3</v>
      </c>
      <c r="I530" t="s">
        <v>2802</v>
      </c>
      <c r="J530">
        <v>60008447</v>
      </c>
      <c r="K530" t="s">
        <v>527</v>
      </c>
      <c r="L530" t="s">
        <v>526</v>
      </c>
      <c r="M530" t="s">
        <v>26</v>
      </c>
      <c r="N530">
        <v>3</v>
      </c>
      <c r="O530" t="s">
        <v>2801</v>
      </c>
      <c r="P530" t="s">
        <v>2800</v>
      </c>
      <c r="Q530" t="s">
        <v>1520</v>
      </c>
      <c r="R530" s="8">
        <v>35708</v>
      </c>
      <c r="S530" s="9">
        <f t="shared" si="64"/>
        <v>1997</v>
      </c>
      <c r="T530" s="9">
        <v>1997</v>
      </c>
      <c r="U530" s="9">
        <f t="shared" si="65"/>
        <v>25</v>
      </c>
      <c r="V530" s="8">
        <v>35708</v>
      </c>
      <c r="W530" t="s">
        <v>125</v>
      </c>
      <c r="X530" s="2">
        <v>0.30399999999999999</v>
      </c>
      <c r="Y530" s="7">
        <f t="shared" si="66"/>
        <v>8.115106377299057E-3</v>
      </c>
      <c r="AA530">
        <v>8952477</v>
      </c>
      <c r="AB530">
        <v>12250</v>
      </c>
      <c r="AD530" t="s">
        <v>1</v>
      </c>
      <c r="AE530">
        <v>16</v>
      </c>
      <c r="AF530">
        <v>2</v>
      </c>
      <c r="AH530" t="s">
        <v>44</v>
      </c>
      <c r="AI530" t="s">
        <v>2799</v>
      </c>
      <c r="AJ530" t="s">
        <v>2798</v>
      </c>
      <c r="AK530" t="s">
        <v>2797</v>
      </c>
      <c r="AL530">
        <v>8</v>
      </c>
      <c r="AM530" s="5">
        <f t="shared" si="67"/>
        <v>0.32</v>
      </c>
      <c r="AN530" s="4">
        <f t="shared" si="68"/>
        <v>4.8466489965922E-4</v>
      </c>
      <c r="AO530" s="3"/>
      <c r="AP530">
        <v>0</v>
      </c>
      <c r="AR530" t="s">
        <v>0</v>
      </c>
      <c r="AT530" s="2" t="s">
        <v>5</v>
      </c>
      <c r="AU530" s="1">
        <f t="shared" si="69"/>
        <v>0.58259739340071048</v>
      </c>
      <c r="AV530" s="1">
        <f t="shared" si="70"/>
        <v>0.42998856384791384</v>
      </c>
      <c r="AW530" s="1">
        <f t="shared" si="71"/>
        <v>0.27737973429511709</v>
      </c>
    </row>
    <row r="531" spans="1:49" x14ac:dyDescent="0.2">
      <c r="A531">
        <v>529</v>
      </c>
      <c r="B531" t="s">
        <v>2796</v>
      </c>
      <c r="C531" t="s">
        <v>2795</v>
      </c>
      <c r="F531" t="s">
        <v>2794</v>
      </c>
      <c r="G531" t="s">
        <v>4</v>
      </c>
      <c r="H531" t="s">
        <v>3</v>
      </c>
      <c r="I531" t="s">
        <v>350</v>
      </c>
      <c r="J531">
        <v>60015763</v>
      </c>
      <c r="K531" t="s">
        <v>349</v>
      </c>
      <c r="L531" t="s">
        <v>348</v>
      </c>
      <c r="M531" t="s">
        <v>250</v>
      </c>
      <c r="N531">
        <v>2</v>
      </c>
      <c r="O531" t="s">
        <v>347</v>
      </c>
      <c r="P531" t="s">
        <v>346</v>
      </c>
      <c r="Q531" t="s">
        <v>345</v>
      </c>
      <c r="R531" s="8">
        <v>35708</v>
      </c>
      <c r="S531" s="9">
        <f t="shared" si="64"/>
        <v>1997</v>
      </c>
      <c r="T531" s="9">
        <v>1997</v>
      </c>
      <c r="U531" s="9">
        <f t="shared" si="65"/>
        <v>25</v>
      </c>
      <c r="V531" s="8">
        <v>35708</v>
      </c>
      <c r="W531" t="s">
        <v>125</v>
      </c>
      <c r="X531" s="2">
        <v>0.30399999999999999</v>
      </c>
      <c r="Y531" s="7">
        <f t="shared" si="66"/>
        <v>8.115106377299057E-3</v>
      </c>
      <c r="AA531">
        <v>8952477</v>
      </c>
      <c r="AB531">
        <v>12250</v>
      </c>
      <c r="AD531" t="s">
        <v>1</v>
      </c>
      <c r="AE531">
        <v>16</v>
      </c>
      <c r="AF531">
        <v>2</v>
      </c>
      <c r="AH531" t="s">
        <v>2793</v>
      </c>
      <c r="AI531" t="s">
        <v>2792</v>
      </c>
      <c r="AJ531" t="s">
        <v>2791</v>
      </c>
      <c r="AK531" t="s">
        <v>2790</v>
      </c>
      <c r="AL531">
        <v>16</v>
      </c>
      <c r="AM531" s="5">
        <f t="shared" si="67"/>
        <v>0.64</v>
      </c>
      <c r="AN531" s="4">
        <f t="shared" si="68"/>
        <v>9.6932979931844E-4</v>
      </c>
      <c r="AO531" s="3"/>
      <c r="AP531">
        <v>0</v>
      </c>
      <c r="AR531" t="s">
        <v>0</v>
      </c>
      <c r="AT531" s="2" t="s">
        <v>5</v>
      </c>
      <c r="AU531" s="1">
        <f t="shared" si="69"/>
        <v>0.59713734039048716</v>
      </c>
      <c r="AV531" s="1">
        <f t="shared" si="70"/>
        <v>0.45422180883087482</v>
      </c>
      <c r="AW531" s="1">
        <f t="shared" si="71"/>
        <v>0.31130627727126248</v>
      </c>
    </row>
    <row r="532" spans="1:49" x14ac:dyDescent="0.2">
      <c r="A532">
        <v>530</v>
      </c>
      <c r="B532" t="s">
        <v>2789</v>
      </c>
      <c r="C532" t="s">
        <v>2788</v>
      </c>
      <c r="F532" t="s">
        <v>2787</v>
      </c>
      <c r="G532" t="s">
        <v>4</v>
      </c>
      <c r="H532" t="s">
        <v>3</v>
      </c>
      <c r="I532" t="s">
        <v>257</v>
      </c>
      <c r="J532">
        <v>100565703</v>
      </c>
      <c r="K532" t="s">
        <v>2786</v>
      </c>
      <c r="L532" t="s">
        <v>2785</v>
      </c>
      <c r="M532" t="s">
        <v>2</v>
      </c>
      <c r="N532">
        <v>1</v>
      </c>
      <c r="O532" t="s">
        <v>287</v>
      </c>
      <c r="P532">
        <v>7404814748</v>
      </c>
      <c r="Q532">
        <v>100565703</v>
      </c>
      <c r="R532" s="8">
        <v>35708</v>
      </c>
      <c r="S532" s="9">
        <f t="shared" si="64"/>
        <v>1997</v>
      </c>
      <c r="T532" s="9">
        <v>1997</v>
      </c>
      <c r="U532" s="9">
        <f t="shared" si="65"/>
        <v>25</v>
      </c>
      <c r="V532" s="8">
        <v>35708</v>
      </c>
      <c r="W532" t="s">
        <v>125</v>
      </c>
      <c r="X532" s="2">
        <v>0.30399999999999999</v>
      </c>
      <c r="Y532" s="7">
        <f t="shared" si="66"/>
        <v>8.115106377299057E-3</v>
      </c>
      <c r="AA532">
        <v>8952477</v>
      </c>
      <c r="AB532">
        <v>12250</v>
      </c>
      <c r="AD532" t="s">
        <v>1</v>
      </c>
      <c r="AE532">
        <v>16</v>
      </c>
      <c r="AF532">
        <v>2</v>
      </c>
      <c r="AH532" t="s">
        <v>2784</v>
      </c>
      <c r="AI532" t="s">
        <v>2783</v>
      </c>
      <c r="AJ532" t="s">
        <v>2782</v>
      </c>
      <c r="AK532" t="s">
        <v>2781</v>
      </c>
      <c r="AL532">
        <v>0</v>
      </c>
      <c r="AM532" s="5">
        <f t="shared" si="67"/>
        <v>0</v>
      </c>
      <c r="AN532" s="4">
        <f t="shared" si="68"/>
        <v>0</v>
      </c>
      <c r="AO532" s="3"/>
      <c r="AP532">
        <v>0</v>
      </c>
      <c r="AR532" t="s">
        <v>0</v>
      </c>
      <c r="AT532" s="2" t="s">
        <v>5</v>
      </c>
      <c r="AU532" s="1">
        <f t="shared" si="69"/>
        <v>0.56805744641093392</v>
      </c>
      <c r="AV532" s="1">
        <f t="shared" si="70"/>
        <v>0.40575531886495286</v>
      </c>
      <c r="AW532" s="1">
        <f t="shared" si="71"/>
        <v>0.24345319131897172</v>
      </c>
    </row>
    <row r="533" spans="1:49" x14ac:dyDescent="0.2">
      <c r="A533">
        <v>531</v>
      </c>
      <c r="B533" t="s">
        <v>2780</v>
      </c>
      <c r="C533" t="s">
        <v>2779</v>
      </c>
      <c r="F533" t="s">
        <v>2778</v>
      </c>
      <c r="G533" t="s">
        <v>4</v>
      </c>
      <c r="H533" t="s">
        <v>3</v>
      </c>
      <c r="I533" t="s">
        <v>2777</v>
      </c>
      <c r="J533">
        <v>60028186</v>
      </c>
      <c r="K533" t="s">
        <v>427</v>
      </c>
      <c r="L533" t="s">
        <v>426</v>
      </c>
      <c r="M533" t="s">
        <v>81</v>
      </c>
      <c r="N533">
        <v>3</v>
      </c>
      <c r="O533" t="s">
        <v>2776</v>
      </c>
      <c r="P533" t="s">
        <v>2775</v>
      </c>
      <c r="Q533" t="s">
        <v>425</v>
      </c>
      <c r="R533" s="8">
        <v>35708</v>
      </c>
      <c r="S533" s="9">
        <f t="shared" si="64"/>
        <v>1997</v>
      </c>
      <c r="T533" s="9">
        <v>1997</v>
      </c>
      <c r="U533" s="9">
        <f t="shared" si="65"/>
        <v>25</v>
      </c>
      <c r="V533" s="8">
        <v>35708</v>
      </c>
      <c r="W533" t="s">
        <v>125</v>
      </c>
      <c r="X533" s="2">
        <v>0.30399999999999999</v>
      </c>
      <c r="Y533" s="7">
        <f t="shared" si="66"/>
        <v>8.115106377299057E-3</v>
      </c>
      <c r="AA533">
        <v>8952477</v>
      </c>
      <c r="AB533">
        <v>12250</v>
      </c>
      <c r="AD533" t="s">
        <v>1</v>
      </c>
      <c r="AE533">
        <v>16</v>
      </c>
      <c r="AF533">
        <v>2</v>
      </c>
      <c r="AH533" t="s">
        <v>2774</v>
      </c>
      <c r="AI533" t="s">
        <v>2773</v>
      </c>
      <c r="AJ533" t="s">
        <v>2772</v>
      </c>
      <c r="AK533" t="s">
        <v>2771</v>
      </c>
      <c r="AL533">
        <v>8</v>
      </c>
      <c r="AM533" s="5">
        <f t="shared" si="67"/>
        <v>0.32</v>
      </c>
      <c r="AN533" s="4">
        <f t="shared" si="68"/>
        <v>4.8466489965922E-4</v>
      </c>
      <c r="AO533" s="3"/>
      <c r="AP533">
        <v>0</v>
      </c>
      <c r="AR533" t="s">
        <v>0</v>
      </c>
      <c r="AT533" s="2" t="s">
        <v>5</v>
      </c>
      <c r="AU533" s="1">
        <f t="shared" si="69"/>
        <v>0.58259739340071048</v>
      </c>
      <c r="AV533" s="1">
        <f t="shared" si="70"/>
        <v>0.42998856384791384</v>
      </c>
      <c r="AW533" s="1">
        <f t="shared" si="71"/>
        <v>0.27737973429511709</v>
      </c>
    </row>
    <row r="534" spans="1:49" x14ac:dyDescent="0.2">
      <c r="A534">
        <v>532</v>
      </c>
      <c r="B534" t="s">
        <v>2770</v>
      </c>
      <c r="C534" t="s">
        <v>2769</v>
      </c>
      <c r="F534" t="s">
        <v>2768</v>
      </c>
      <c r="G534" t="s">
        <v>4</v>
      </c>
      <c r="H534" t="s">
        <v>3</v>
      </c>
      <c r="I534" t="s">
        <v>2767</v>
      </c>
      <c r="J534" t="s">
        <v>2766</v>
      </c>
      <c r="K534" t="s">
        <v>2765</v>
      </c>
      <c r="L534" t="s">
        <v>2764</v>
      </c>
      <c r="M534" t="s">
        <v>2763</v>
      </c>
      <c r="N534">
        <v>3</v>
      </c>
      <c r="O534" t="s">
        <v>2762</v>
      </c>
      <c r="P534" t="s">
        <v>2761</v>
      </c>
      <c r="Q534" t="s">
        <v>2760</v>
      </c>
      <c r="R534" s="8">
        <v>35704</v>
      </c>
      <c r="S534" s="9">
        <f t="shared" si="64"/>
        <v>1997</v>
      </c>
      <c r="T534" s="9">
        <v>1997</v>
      </c>
      <c r="U534" s="9">
        <f t="shared" si="65"/>
        <v>25</v>
      </c>
      <c r="V534" s="8">
        <v>35704</v>
      </c>
      <c r="W534" t="s">
        <v>439</v>
      </c>
      <c r="X534" s="2">
        <v>0.88100000000000001</v>
      </c>
      <c r="Y534" s="7">
        <f t="shared" si="66"/>
        <v>2.3517791836843653E-2</v>
      </c>
      <c r="AA534">
        <v>10459243</v>
      </c>
      <c r="AB534">
        <v>17248</v>
      </c>
      <c r="AD534" t="s">
        <v>1</v>
      </c>
      <c r="AE534">
        <v>39</v>
      </c>
      <c r="AF534">
        <v>5</v>
      </c>
      <c r="AH534" s="6">
        <v>44507</v>
      </c>
      <c r="AI534" t="s">
        <v>2759</v>
      </c>
      <c r="AJ534" t="s">
        <v>2758</v>
      </c>
      <c r="AK534" t="s">
        <v>2757</v>
      </c>
      <c r="AL534">
        <v>55</v>
      </c>
      <c r="AM534" s="5">
        <f t="shared" si="67"/>
        <v>2.2000000000000002</v>
      </c>
      <c r="AN534" s="4">
        <f t="shared" si="68"/>
        <v>3.3320711851571377E-3</v>
      </c>
      <c r="AO534" s="3"/>
      <c r="AP534">
        <v>0</v>
      </c>
      <c r="AR534" t="s">
        <v>0</v>
      </c>
      <c r="AT534" s="2" t="s">
        <v>5</v>
      </c>
      <c r="AU534" s="1">
        <f t="shared" si="69"/>
        <v>1.74620756413377</v>
      </c>
      <c r="AV534" s="1">
        <f t="shared" si="70"/>
        <v>1.3424931511000395</v>
      </c>
      <c r="AW534" s="1">
        <f t="shared" si="71"/>
        <v>0.93877873806630907</v>
      </c>
    </row>
    <row r="535" spans="1:49" x14ac:dyDescent="0.2">
      <c r="A535">
        <v>533</v>
      </c>
      <c r="B535" t="s">
        <v>2756</v>
      </c>
      <c r="C535" t="s">
        <v>2755</v>
      </c>
      <c r="F535" t="s">
        <v>2754</v>
      </c>
      <c r="G535" t="s">
        <v>4</v>
      </c>
      <c r="H535" t="s">
        <v>3</v>
      </c>
      <c r="I535" t="s">
        <v>2632</v>
      </c>
      <c r="J535" t="s">
        <v>2631</v>
      </c>
      <c r="K535" t="s">
        <v>2630</v>
      </c>
      <c r="L535" t="s">
        <v>2629</v>
      </c>
      <c r="M535" t="s">
        <v>676</v>
      </c>
      <c r="N535">
        <v>2</v>
      </c>
      <c r="O535" t="s">
        <v>2628</v>
      </c>
      <c r="P535" t="s">
        <v>2627</v>
      </c>
      <c r="Q535" t="s">
        <v>2626</v>
      </c>
      <c r="R535" s="8">
        <v>35704</v>
      </c>
      <c r="S535" s="9">
        <f t="shared" si="64"/>
        <v>1997</v>
      </c>
      <c r="T535" s="9">
        <v>1997</v>
      </c>
      <c r="U535" s="9">
        <f t="shared" si="65"/>
        <v>25</v>
      </c>
      <c r="V535" s="8">
        <v>35704</v>
      </c>
      <c r="W535" t="s">
        <v>742</v>
      </c>
      <c r="X535" s="2">
        <v>0.69899999999999995</v>
      </c>
      <c r="Y535" s="7">
        <f t="shared" si="66"/>
        <v>1.8659405782013295E-2</v>
      </c>
      <c r="AA535">
        <v>218979</v>
      </c>
      <c r="AB535">
        <v>28132</v>
      </c>
      <c r="AD535" t="s">
        <v>1</v>
      </c>
      <c r="AE535">
        <v>82</v>
      </c>
      <c r="AF535">
        <v>7</v>
      </c>
      <c r="AH535" t="s">
        <v>2753</v>
      </c>
      <c r="AI535" t="s">
        <v>2752</v>
      </c>
      <c r="AK535" t="s">
        <v>2751</v>
      </c>
      <c r="AL535">
        <v>20</v>
      </c>
      <c r="AM535" s="5">
        <f t="shared" si="67"/>
        <v>0.8</v>
      </c>
      <c r="AN535" s="4">
        <f t="shared" si="68"/>
        <v>1.2116622491480501E-3</v>
      </c>
      <c r="AO535" s="3"/>
      <c r="AP535">
        <v>0</v>
      </c>
      <c r="AR535" t="s">
        <v>0</v>
      </c>
      <c r="AT535" s="2">
        <v>2.5459999999999998</v>
      </c>
      <c r="AU535" s="1">
        <f t="shared" si="69"/>
        <v>1.3425082722153721</v>
      </c>
      <c r="AV535" s="1">
        <f t="shared" si="70"/>
        <v>0.99355340155806737</v>
      </c>
      <c r="AW535" s="1">
        <f t="shared" si="71"/>
        <v>0.64459853090076225</v>
      </c>
    </row>
    <row r="536" spans="1:49" x14ac:dyDescent="0.2">
      <c r="A536">
        <v>534</v>
      </c>
      <c r="B536" t="s">
        <v>2750</v>
      </c>
      <c r="F536" t="s">
        <v>2749</v>
      </c>
      <c r="G536" t="s">
        <v>4</v>
      </c>
      <c r="H536" t="s">
        <v>3</v>
      </c>
      <c r="R536" s="8">
        <v>35704</v>
      </c>
      <c r="S536" s="9">
        <f t="shared" si="64"/>
        <v>1997</v>
      </c>
      <c r="T536" s="9">
        <v>1997</v>
      </c>
      <c r="U536" s="9">
        <f t="shared" si="65"/>
        <v>25</v>
      </c>
      <c r="V536" s="8">
        <v>35704</v>
      </c>
      <c r="W536" t="s">
        <v>648</v>
      </c>
      <c r="X536" s="2" t="s">
        <v>5</v>
      </c>
      <c r="Y536" s="7" t="e">
        <f t="shared" si="66"/>
        <v>#VALUE!</v>
      </c>
      <c r="AA536">
        <v>13654675</v>
      </c>
      <c r="AB536">
        <v>58615</v>
      </c>
      <c r="AD536" t="s">
        <v>1</v>
      </c>
      <c r="AE536">
        <v>103</v>
      </c>
      <c r="AF536">
        <v>1738</v>
      </c>
      <c r="AH536" t="s">
        <v>2748</v>
      </c>
      <c r="AI536" t="s">
        <v>2747</v>
      </c>
      <c r="AK536" t="s">
        <v>2746</v>
      </c>
      <c r="AL536">
        <v>7</v>
      </c>
      <c r="AM536" s="5">
        <f t="shared" si="67"/>
        <v>0.28000000000000003</v>
      </c>
      <c r="AN536" s="4">
        <f t="shared" si="68"/>
        <v>4.2408178720181755E-4</v>
      </c>
      <c r="AO536" s="3"/>
      <c r="AP536">
        <v>0</v>
      </c>
      <c r="AR536" t="s">
        <v>0</v>
      </c>
      <c r="AT536" s="2" t="s">
        <v>5</v>
      </c>
      <c r="AU536" s="1" t="e">
        <f t="shared" si="69"/>
        <v>#VALUE!</v>
      </c>
      <c r="AV536" s="1" t="e">
        <f t="shared" si="70"/>
        <v>#VALUE!</v>
      </c>
      <c r="AW536" s="1" t="e">
        <f t="shared" si="71"/>
        <v>#VALUE!</v>
      </c>
    </row>
    <row r="537" spans="1:49" x14ac:dyDescent="0.2">
      <c r="A537">
        <v>535</v>
      </c>
      <c r="B537" t="s">
        <v>2745</v>
      </c>
      <c r="F537" t="s">
        <v>2744</v>
      </c>
      <c r="G537" t="s">
        <v>4</v>
      </c>
      <c r="H537" t="s">
        <v>3</v>
      </c>
      <c r="I537" t="s">
        <v>2743</v>
      </c>
      <c r="J537">
        <v>100885066</v>
      </c>
      <c r="K537" t="s">
        <v>2742</v>
      </c>
      <c r="L537" t="s">
        <v>2741</v>
      </c>
      <c r="M537" t="s">
        <v>2</v>
      </c>
      <c r="N537">
        <v>2</v>
      </c>
      <c r="O537" t="s">
        <v>2740</v>
      </c>
      <c r="P537" t="s">
        <v>2739</v>
      </c>
      <c r="Q537" t="s">
        <v>2738</v>
      </c>
      <c r="R537" s="8">
        <v>35704</v>
      </c>
      <c r="S537" s="9">
        <f t="shared" si="64"/>
        <v>1997</v>
      </c>
      <c r="T537" s="9">
        <v>1997</v>
      </c>
      <c r="U537" s="9">
        <f t="shared" si="65"/>
        <v>25</v>
      </c>
      <c r="V537" s="8">
        <v>35704</v>
      </c>
      <c r="W537" t="s">
        <v>130</v>
      </c>
      <c r="X537" s="2">
        <v>0.13800000000000001</v>
      </c>
      <c r="Y537" s="7">
        <f t="shared" si="66"/>
        <v>3.6838311844318095E-3</v>
      </c>
      <c r="AA537">
        <v>1926225</v>
      </c>
      <c r="AB537">
        <v>18580</v>
      </c>
      <c r="AD537" t="s">
        <v>1</v>
      </c>
      <c r="AE537">
        <v>40</v>
      </c>
      <c r="AF537">
        <v>10</v>
      </c>
      <c r="AI537" t="s">
        <v>2737</v>
      </c>
      <c r="AK537" t="s">
        <v>2736</v>
      </c>
      <c r="AL537">
        <v>0</v>
      </c>
      <c r="AM537" s="5">
        <f t="shared" si="67"/>
        <v>0</v>
      </c>
      <c r="AN537" s="4">
        <f t="shared" si="68"/>
        <v>0</v>
      </c>
      <c r="AO537" s="3"/>
      <c r="AP537">
        <v>0</v>
      </c>
      <c r="AR537" t="s">
        <v>0</v>
      </c>
      <c r="AT537" s="2">
        <v>0.30599999999999999</v>
      </c>
      <c r="AU537" s="1">
        <f t="shared" si="69"/>
        <v>0.25786818291022667</v>
      </c>
      <c r="AV537" s="1">
        <f t="shared" si="70"/>
        <v>0.18419155922159047</v>
      </c>
      <c r="AW537" s="1">
        <f t="shared" si="71"/>
        <v>0.11051493553295429</v>
      </c>
    </row>
    <row r="538" spans="1:49" x14ac:dyDescent="0.2">
      <c r="A538">
        <v>536</v>
      </c>
      <c r="B538" t="s">
        <v>2735</v>
      </c>
      <c r="C538" t="s">
        <v>2734</v>
      </c>
      <c r="D538" t="s">
        <v>2733</v>
      </c>
      <c r="F538" t="s">
        <v>2732</v>
      </c>
      <c r="G538" t="s">
        <v>4</v>
      </c>
      <c r="H538" t="s">
        <v>3</v>
      </c>
      <c r="I538" t="s">
        <v>1783</v>
      </c>
      <c r="J538" t="s">
        <v>1782</v>
      </c>
      <c r="K538" t="s">
        <v>1781</v>
      </c>
      <c r="L538" t="s">
        <v>1780</v>
      </c>
      <c r="M538" t="s">
        <v>18</v>
      </c>
      <c r="N538">
        <v>3</v>
      </c>
      <c r="O538" t="s">
        <v>2731</v>
      </c>
      <c r="P538" t="s">
        <v>2730</v>
      </c>
      <c r="Q538" t="s">
        <v>1777</v>
      </c>
      <c r="R538" s="8">
        <v>35704</v>
      </c>
      <c r="S538" s="9">
        <f t="shared" si="64"/>
        <v>1997</v>
      </c>
      <c r="T538" s="9">
        <v>1997</v>
      </c>
      <c r="U538" s="9">
        <f t="shared" si="65"/>
        <v>25</v>
      </c>
      <c r="V538" s="8">
        <v>35704</v>
      </c>
      <c r="W538" t="s">
        <v>599</v>
      </c>
      <c r="X538" s="2">
        <v>1.337</v>
      </c>
      <c r="Y538" s="7">
        <f t="shared" si="66"/>
        <v>3.5690451402792235E-2</v>
      </c>
      <c r="AA538">
        <v>7413106</v>
      </c>
      <c r="AB538">
        <v>26005</v>
      </c>
      <c r="AD538" t="s">
        <v>1</v>
      </c>
      <c r="AE538">
        <v>18</v>
      </c>
      <c r="AF538">
        <v>10</v>
      </c>
      <c r="AH538" t="s">
        <v>2729</v>
      </c>
      <c r="AI538" t="s">
        <v>2728</v>
      </c>
      <c r="AK538" t="s">
        <v>2727</v>
      </c>
      <c r="AL538">
        <v>10</v>
      </c>
      <c r="AM538" s="5">
        <f t="shared" si="67"/>
        <v>0.4</v>
      </c>
      <c r="AN538" s="4">
        <f t="shared" si="68"/>
        <v>6.0583112457402507E-4</v>
      </c>
      <c r="AO538" s="3"/>
      <c r="AP538">
        <v>0</v>
      </c>
      <c r="AQ538" t="s">
        <v>1773</v>
      </c>
      <c r="AR538" t="s">
        <v>0</v>
      </c>
      <c r="AS538" t="s">
        <v>507</v>
      </c>
      <c r="AT538" s="2">
        <v>4.1870000000000003</v>
      </c>
      <c r="AU538" s="1">
        <f t="shared" si="69"/>
        <v>2.5165065319326771</v>
      </c>
      <c r="AV538" s="1">
        <f t="shared" si="70"/>
        <v>1.8148141263683131</v>
      </c>
      <c r="AW538" s="1">
        <f t="shared" si="71"/>
        <v>1.1131217208039488</v>
      </c>
    </row>
    <row r="539" spans="1:49" x14ac:dyDescent="0.2">
      <c r="A539">
        <v>537</v>
      </c>
      <c r="B539" t="s">
        <v>2726</v>
      </c>
      <c r="F539" t="s">
        <v>2725</v>
      </c>
      <c r="G539" t="s">
        <v>4</v>
      </c>
      <c r="H539" t="s">
        <v>3</v>
      </c>
      <c r="I539" t="s">
        <v>132</v>
      </c>
      <c r="N539">
        <v>1</v>
      </c>
      <c r="O539" t="s">
        <v>131</v>
      </c>
      <c r="P539">
        <v>1</v>
      </c>
      <c r="R539" s="8">
        <v>35704</v>
      </c>
      <c r="S539" s="9">
        <f t="shared" si="64"/>
        <v>1997</v>
      </c>
      <c r="T539" s="9">
        <v>1997</v>
      </c>
      <c r="U539" s="9">
        <f t="shared" si="65"/>
        <v>25</v>
      </c>
      <c r="V539" s="8">
        <v>35704</v>
      </c>
      <c r="W539" t="s">
        <v>130</v>
      </c>
      <c r="X539" s="2">
        <v>0.13800000000000001</v>
      </c>
      <c r="Y539" s="7">
        <f t="shared" si="66"/>
        <v>3.6838311844318095E-3</v>
      </c>
      <c r="AA539">
        <v>1926225</v>
      </c>
      <c r="AB539">
        <v>18580</v>
      </c>
      <c r="AD539" t="s">
        <v>1</v>
      </c>
      <c r="AE539">
        <v>40</v>
      </c>
      <c r="AF539">
        <v>10</v>
      </c>
      <c r="AI539" t="s">
        <v>2724</v>
      </c>
      <c r="AK539" t="s">
        <v>2723</v>
      </c>
      <c r="AL539">
        <v>0</v>
      </c>
      <c r="AM539" s="5">
        <f t="shared" si="67"/>
        <v>0</v>
      </c>
      <c r="AN539" s="4">
        <f t="shared" si="68"/>
        <v>0</v>
      </c>
      <c r="AO539" s="3"/>
      <c r="AP539">
        <v>0</v>
      </c>
      <c r="AR539" t="s">
        <v>0</v>
      </c>
      <c r="AT539" s="2">
        <v>0.30599999999999999</v>
      </c>
      <c r="AU539" s="1">
        <f t="shared" si="69"/>
        <v>0.25786818291022667</v>
      </c>
      <c r="AV539" s="1">
        <f t="shared" si="70"/>
        <v>0.18419155922159047</v>
      </c>
      <c r="AW539" s="1">
        <f t="shared" si="71"/>
        <v>0.11051493553295429</v>
      </c>
    </row>
    <row r="540" spans="1:49" x14ac:dyDescent="0.2">
      <c r="A540">
        <v>538</v>
      </c>
      <c r="B540" t="s">
        <v>2722</v>
      </c>
      <c r="C540" t="s">
        <v>2721</v>
      </c>
      <c r="D540" t="s">
        <v>2720</v>
      </c>
      <c r="F540" t="s">
        <v>2719</v>
      </c>
      <c r="G540" t="s">
        <v>4</v>
      </c>
      <c r="H540" t="s">
        <v>3</v>
      </c>
      <c r="I540" t="s">
        <v>2718</v>
      </c>
      <c r="J540">
        <v>60029507</v>
      </c>
      <c r="K540" t="s">
        <v>241</v>
      </c>
      <c r="L540" t="s">
        <v>240</v>
      </c>
      <c r="M540" t="s">
        <v>7</v>
      </c>
      <c r="N540">
        <v>2</v>
      </c>
      <c r="O540" t="s">
        <v>2717</v>
      </c>
      <c r="P540" t="s">
        <v>2716</v>
      </c>
      <c r="Q540" t="s">
        <v>2715</v>
      </c>
      <c r="R540" s="8">
        <v>35704</v>
      </c>
      <c r="S540" s="9">
        <f t="shared" si="64"/>
        <v>1997</v>
      </c>
      <c r="T540" s="9">
        <v>1997</v>
      </c>
      <c r="U540" s="9">
        <f t="shared" si="65"/>
        <v>25</v>
      </c>
      <c r="V540" s="8">
        <v>35704</v>
      </c>
      <c r="W540" t="s">
        <v>502</v>
      </c>
      <c r="X540" s="2">
        <v>0.89900000000000002</v>
      </c>
      <c r="Y540" s="7">
        <f t="shared" si="66"/>
        <v>2.399829155655215E-2</v>
      </c>
      <c r="AA540">
        <v>221910</v>
      </c>
      <c r="AB540">
        <v>20487</v>
      </c>
      <c r="AD540" t="s">
        <v>1</v>
      </c>
      <c r="AE540">
        <v>43</v>
      </c>
      <c r="AF540">
        <v>11</v>
      </c>
      <c r="AH540" t="s">
        <v>2714</v>
      </c>
      <c r="AI540" t="s">
        <v>2713</v>
      </c>
      <c r="AJ540" t="s">
        <v>2712</v>
      </c>
      <c r="AK540" t="s">
        <v>2711</v>
      </c>
      <c r="AL540">
        <v>13</v>
      </c>
      <c r="AM540" s="5">
        <f t="shared" si="67"/>
        <v>0.52</v>
      </c>
      <c r="AN540" s="4">
        <f t="shared" si="68"/>
        <v>7.8758046194623253E-4</v>
      </c>
      <c r="AO540" s="3"/>
      <c r="AP540">
        <v>0</v>
      </c>
      <c r="AQ540" t="s">
        <v>124</v>
      </c>
      <c r="AR540" t="s">
        <v>2710</v>
      </c>
      <c r="AS540" t="s">
        <v>123</v>
      </c>
      <c r="AT540" s="2">
        <v>2.3540000000000001</v>
      </c>
      <c r="AU540" s="1">
        <f t="shared" si="69"/>
        <v>1.7035078228170371</v>
      </c>
      <c r="AV540" s="1">
        <f t="shared" si="70"/>
        <v>1.2392936009249191</v>
      </c>
      <c r="AW540" s="1">
        <f t="shared" si="71"/>
        <v>0.77507937903280066</v>
      </c>
    </row>
    <row r="541" spans="1:49" x14ac:dyDescent="0.2">
      <c r="A541">
        <v>539</v>
      </c>
      <c r="B541" t="s">
        <v>2709</v>
      </c>
      <c r="C541" t="s">
        <v>2708</v>
      </c>
      <c r="D541" t="s">
        <v>2707</v>
      </c>
      <c r="F541" t="s">
        <v>2706</v>
      </c>
      <c r="G541" t="s">
        <v>4</v>
      </c>
      <c r="H541" t="s">
        <v>3</v>
      </c>
      <c r="I541" t="s">
        <v>2705</v>
      </c>
      <c r="J541" t="s">
        <v>2704</v>
      </c>
      <c r="K541" t="s">
        <v>2703</v>
      </c>
      <c r="L541" t="s">
        <v>2702</v>
      </c>
      <c r="M541" t="s">
        <v>470</v>
      </c>
      <c r="N541">
        <v>4</v>
      </c>
      <c r="O541" t="s">
        <v>2701</v>
      </c>
      <c r="P541" t="s">
        <v>2700</v>
      </c>
      <c r="Q541" t="s">
        <v>2699</v>
      </c>
      <c r="R541" s="8">
        <v>35704</v>
      </c>
      <c r="S541" s="9">
        <f t="shared" si="64"/>
        <v>1997</v>
      </c>
      <c r="T541" s="9">
        <v>1997</v>
      </c>
      <c r="U541" s="9">
        <f t="shared" si="65"/>
        <v>25</v>
      </c>
      <c r="V541" s="8">
        <v>35704</v>
      </c>
      <c r="W541" t="s">
        <v>591</v>
      </c>
      <c r="X541" s="2">
        <v>3.6110000000000002</v>
      </c>
      <c r="Y541" s="7">
        <f t="shared" si="66"/>
        <v>9.639358265929901E-2</v>
      </c>
      <c r="AA541">
        <v>344257</v>
      </c>
      <c r="AB541">
        <v>12503</v>
      </c>
      <c r="AD541" t="s">
        <v>1</v>
      </c>
      <c r="AE541">
        <v>62</v>
      </c>
      <c r="AF541">
        <v>1</v>
      </c>
      <c r="AH541" t="s">
        <v>2698</v>
      </c>
      <c r="AI541" t="s">
        <v>2697</v>
      </c>
      <c r="AK541" t="s">
        <v>2696</v>
      </c>
      <c r="AL541">
        <v>21</v>
      </c>
      <c r="AM541" s="5">
        <f t="shared" si="67"/>
        <v>0.84</v>
      </c>
      <c r="AN541" s="4">
        <f t="shared" si="68"/>
        <v>1.2722453616054524E-3</v>
      </c>
      <c r="AO541" s="3"/>
      <c r="AP541">
        <v>0</v>
      </c>
      <c r="AR541" t="s">
        <v>0</v>
      </c>
      <c r="AT541" s="2">
        <v>10.164</v>
      </c>
      <c r="AU541" s="1">
        <f t="shared" si="69"/>
        <v>6.7857181469990939</v>
      </c>
      <c r="AV541" s="1">
        <f t="shared" si="70"/>
        <v>4.8832914010452235</v>
      </c>
      <c r="AW541" s="1">
        <f t="shared" si="71"/>
        <v>2.9808646550913518</v>
      </c>
    </row>
    <row r="542" spans="1:49" x14ac:dyDescent="0.2">
      <c r="A542">
        <v>540</v>
      </c>
      <c r="B542" t="s">
        <v>2695</v>
      </c>
      <c r="C542" t="s">
        <v>2694</v>
      </c>
      <c r="D542" t="s">
        <v>2693</v>
      </c>
      <c r="F542" t="s">
        <v>2692</v>
      </c>
      <c r="G542" t="s">
        <v>4</v>
      </c>
      <c r="H542" t="s">
        <v>3</v>
      </c>
      <c r="I542" t="s">
        <v>2691</v>
      </c>
      <c r="J542">
        <v>60014313</v>
      </c>
      <c r="K542" t="s">
        <v>2690</v>
      </c>
      <c r="L542" t="s">
        <v>2689</v>
      </c>
      <c r="M542" t="s">
        <v>2</v>
      </c>
      <c r="N542">
        <v>2</v>
      </c>
      <c r="O542" t="s">
        <v>2688</v>
      </c>
      <c r="P542" t="s">
        <v>2687</v>
      </c>
      <c r="Q542" t="s">
        <v>2686</v>
      </c>
      <c r="R542" s="8">
        <v>35704</v>
      </c>
      <c r="S542" s="9">
        <f t="shared" si="64"/>
        <v>1997</v>
      </c>
      <c r="T542" s="9">
        <v>1997</v>
      </c>
      <c r="U542" s="9">
        <f t="shared" si="65"/>
        <v>25</v>
      </c>
      <c r="V542" s="8">
        <v>35704</v>
      </c>
      <c r="W542" t="s">
        <v>502</v>
      </c>
      <c r="X542" s="2">
        <v>0.89900000000000002</v>
      </c>
      <c r="Y542" s="7">
        <f t="shared" si="66"/>
        <v>2.399829155655215E-2</v>
      </c>
      <c r="AA542">
        <v>221910</v>
      </c>
      <c r="AB542">
        <v>20487</v>
      </c>
      <c r="AD542" t="s">
        <v>1</v>
      </c>
      <c r="AE542">
        <v>43</v>
      </c>
      <c r="AF542">
        <v>11</v>
      </c>
      <c r="AH542" t="s">
        <v>2685</v>
      </c>
      <c r="AI542" t="s">
        <v>2684</v>
      </c>
      <c r="AJ542" t="s">
        <v>2683</v>
      </c>
      <c r="AK542" t="s">
        <v>2682</v>
      </c>
      <c r="AL542">
        <v>7</v>
      </c>
      <c r="AM542" s="5">
        <f t="shared" si="67"/>
        <v>0.28000000000000003</v>
      </c>
      <c r="AN542" s="4">
        <f t="shared" si="68"/>
        <v>4.2408178720181755E-4</v>
      </c>
      <c r="AO542" s="3"/>
      <c r="AP542">
        <v>0</v>
      </c>
      <c r="AR542" t="s">
        <v>0</v>
      </c>
      <c r="AS542" t="s">
        <v>2681</v>
      </c>
      <c r="AT542" s="2">
        <v>2.3540000000000001</v>
      </c>
      <c r="AU542" s="1">
        <f t="shared" si="69"/>
        <v>1.6926028625747047</v>
      </c>
      <c r="AV542" s="1">
        <f t="shared" si="70"/>
        <v>1.2211186671876983</v>
      </c>
      <c r="AW542" s="1">
        <f t="shared" si="71"/>
        <v>0.74963447180069165</v>
      </c>
    </row>
    <row r="543" spans="1:49" x14ac:dyDescent="0.2">
      <c r="A543">
        <v>541</v>
      </c>
      <c r="B543" t="s">
        <v>2680</v>
      </c>
      <c r="C543" t="s">
        <v>2679</v>
      </c>
      <c r="F543" t="s">
        <v>2678</v>
      </c>
      <c r="G543" t="s">
        <v>4</v>
      </c>
      <c r="H543" t="s">
        <v>3</v>
      </c>
      <c r="I543" t="s">
        <v>2677</v>
      </c>
      <c r="J543" t="s">
        <v>2676</v>
      </c>
      <c r="K543" t="s">
        <v>2675</v>
      </c>
      <c r="L543" t="s">
        <v>2674</v>
      </c>
      <c r="M543" t="s">
        <v>18</v>
      </c>
      <c r="N543">
        <v>3</v>
      </c>
      <c r="O543" t="s">
        <v>2673</v>
      </c>
      <c r="P543" t="s">
        <v>2672</v>
      </c>
      <c r="Q543" t="s">
        <v>2671</v>
      </c>
      <c r="R543" s="8">
        <v>35704</v>
      </c>
      <c r="S543" s="9">
        <f t="shared" si="64"/>
        <v>1997</v>
      </c>
      <c r="T543" s="9">
        <v>1997</v>
      </c>
      <c r="U543" s="9">
        <f t="shared" si="65"/>
        <v>25</v>
      </c>
      <c r="V543" s="8">
        <v>35704</v>
      </c>
      <c r="W543" t="s">
        <v>594</v>
      </c>
      <c r="X543" s="2">
        <v>1.774</v>
      </c>
      <c r="Y543" s="7">
        <f t="shared" si="66"/>
        <v>4.7355916820159633E-2</v>
      </c>
      <c r="AA543">
        <v>295515</v>
      </c>
      <c r="AB543">
        <v>29066</v>
      </c>
      <c r="AD543" t="s">
        <v>1</v>
      </c>
      <c r="AE543">
        <v>37</v>
      </c>
      <c r="AF543">
        <v>10</v>
      </c>
      <c r="AH543" t="s">
        <v>2670</v>
      </c>
      <c r="AI543" t="s">
        <v>2669</v>
      </c>
      <c r="AK543" t="s">
        <v>2668</v>
      </c>
      <c r="AL543">
        <v>9</v>
      </c>
      <c r="AM543" s="5">
        <f t="shared" si="67"/>
        <v>0.36</v>
      </c>
      <c r="AN543" s="4">
        <f t="shared" si="68"/>
        <v>5.4524801211662251E-4</v>
      </c>
      <c r="AO543" s="3"/>
      <c r="AP543">
        <v>0</v>
      </c>
      <c r="AR543" t="s">
        <v>0</v>
      </c>
      <c r="AT543" s="2">
        <v>3.1789999999999998</v>
      </c>
      <c r="AU543" s="1">
        <f t="shared" si="69"/>
        <v>3.3312716177746724</v>
      </c>
      <c r="AV543" s="1">
        <f t="shared" si="70"/>
        <v>2.3950582416138131</v>
      </c>
      <c r="AW543" s="1">
        <f t="shared" si="71"/>
        <v>1.4588448654529524</v>
      </c>
    </row>
    <row r="544" spans="1:49" x14ac:dyDescent="0.2">
      <c r="A544">
        <v>542</v>
      </c>
      <c r="B544" t="s">
        <v>2667</v>
      </c>
      <c r="C544" t="s">
        <v>2666</v>
      </c>
      <c r="F544" t="s">
        <v>2665</v>
      </c>
      <c r="G544" t="s">
        <v>4</v>
      </c>
      <c r="H544" t="s">
        <v>3</v>
      </c>
      <c r="I544" t="s">
        <v>220</v>
      </c>
      <c r="J544">
        <v>60004354</v>
      </c>
      <c r="K544" t="s">
        <v>476</v>
      </c>
      <c r="L544" t="s">
        <v>475</v>
      </c>
      <c r="M544" t="s">
        <v>2</v>
      </c>
      <c r="N544">
        <v>3</v>
      </c>
      <c r="O544" t="s">
        <v>216</v>
      </c>
      <c r="P544" t="s">
        <v>215</v>
      </c>
      <c r="Q544" t="s">
        <v>2664</v>
      </c>
      <c r="R544" s="8">
        <v>35704</v>
      </c>
      <c r="S544" s="9">
        <f t="shared" si="64"/>
        <v>1997</v>
      </c>
      <c r="T544" s="9">
        <v>1997</v>
      </c>
      <c r="U544" s="9">
        <f t="shared" si="65"/>
        <v>25</v>
      </c>
      <c r="V544" s="8">
        <v>35431</v>
      </c>
      <c r="W544" t="s">
        <v>585</v>
      </c>
      <c r="X544" s="2">
        <v>0.86399999999999999</v>
      </c>
      <c r="Y544" s="7">
        <f t="shared" si="66"/>
        <v>2.3063986546007848E-2</v>
      </c>
      <c r="AA544">
        <v>10895647</v>
      </c>
      <c r="AB544">
        <v>26970</v>
      </c>
      <c r="AD544" t="s">
        <v>1</v>
      </c>
      <c r="AE544">
        <v>101</v>
      </c>
      <c r="AF544">
        <v>42</v>
      </c>
      <c r="AH544" t="s">
        <v>2663</v>
      </c>
      <c r="AI544" t="s">
        <v>2662</v>
      </c>
      <c r="AK544" t="s">
        <v>2661</v>
      </c>
      <c r="AL544">
        <v>10</v>
      </c>
      <c r="AM544" s="5">
        <f t="shared" si="67"/>
        <v>0.4</v>
      </c>
      <c r="AN544" s="4">
        <f t="shared" si="68"/>
        <v>6.0583112457402507E-4</v>
      </c>
      <c r="AO544" s="3"/>
      <c r="AP544">
        <v>0</v>
      </c>
      <c r="AR544" t="s">
        <v>0</v>
      </c>
      <c r="AT544" s="2">
        <v>2.9910000000000001</v>
      </c>
      <c r="AU544" s="1">
        <f t="shared" si="69"/>
        <v>1.6326539919577701</v>
      </c>
      <c r="AV544" s="1">
        <f t="shared" si="70"/>
        <v>1.1834908835290936</v>
      </c>
      <c r="AW544" s="1">
        <f t="shared" si="71"/>
        <v>0.73432777510041713</v>
      </c>
    </row>
    <row r="545" spans="1:49" x14ac:dyDescent="0.2">
      <c r="A545">
        <v>543</v>
      </c>
      <c r="B545" t="s">
        <v>2660</v>
      </c>
      <c r="C545" t="s">
        <v>2659</v>
      </c>
      <c r="F545" t="s">
        <v>2658</v>
      </c>
      <c r="G545" t="s">
        <v>4</v>
      </c>
      <c r="H545" t="s">
        <v>3</v>
      </c>
      <c r="I545" t="s">
        <v>561</v>
      </c>
      <c r="J545">
        <v>60025997</v>
      </c>
      <c r="K545" t="s">
        <v>113</v>
      </c>
      <c r="L545" t="s">
        <v>112</v>
      </c>
      <c r="M545" t="s">
        <v>111</v>
      </c>
      <c r="N545">
        <v>4</v>
      </c>
      <c r="O545" t="s">
        <v>560</v>
      </c>
      <c r="P545" t="s">
        <v>559</v>
      </c>
      <c r="Q545" t="s">
        <v>2657</v>
      </c>
      <c r="R545" s="8">
        <v>35704</v>
      </c>
      <c r="S545" s="9">
        <f t="shared" si="64"/>
        <v>1997</v>
      </c>
      <c r="T545" s="9">
        <v>1997</v>
      </c>
      <c r="U545" s="9">
        <f t="shared" si="65"/>
        <v>25</v>
      </c>
      <c r="V545" s="8">
        <v>35704</v>
      </c>
      <c r="W545" t="s">
        <v>104</v>
      </c>
      <c r="X545" s="2">
        <v>0.111</v>
      </c>
      <c r="Y545" s="7">
        <f t="shared" si="66"/>
        <v>2.9630816048690639E-3</v>
      </c>
      <c r="AA545">
        <v>87566621</v>
      </c>
      <c r="AB545">
        <v>24890</v>
      </c>
      <c r="AD545" t="s">
        <v>1</v>
      </c>
      <c r="AE545">
        <v>80</v>
      </c>
      <c r="AF545">
        <v>10</v>
      </c>
      <c r="AH545" s="6">
        <v>44440</v>
      </c>
      <c r="AI545" t="s">
        <v>2656</v>
      </c>
      <c r="AK545" t="s">
        <v>558</v>
      </c>
      <c r="AL545">
        <v>7</v>
      </c>
      <c r="AM545" s="5">
        <f t="shared" si="67"/>
        <v>0.28000000000000003</v>
      </c>
      <c r="AN545" s="4">
        <f t="shared" si="68"/>
        <v>4.2408178720181755E-4</v>
      </c>
      <c r="AO545" s="3"/>
      <c r="AP545">
        <v>0</v>
      </c>
      <c r="AR545" t="s">
        <v>0</v>
      </c>
      <c r="AT545" s="2" t="s">
        <v>5</v>
      </c>
      <c r="AU545" s="1">
        <f t="shared" si="69"/>
        <v>0.22013816595688895</v>
      </c>
      <c r="AV545" s="1">
        <f t="shared" si="70"/>
        <v>0.16935816960354405</v>
      </c>
      <c r="AW545" s="1">
        <f t="shared" si="71"/>
        <v>0.11857817325019912</v>
      </c>
    </row>
    <row r="546" spans="1:49" x14ac:dyDescent="0.2">
      <c r="A546">
        <v>544</v>
      </c>
      <c r="B546" t="s">
        <v>2655</v>
      </c>
      <c r="C546" t="s">
        <v>2654</v>
      </c>
      <c r="D546" t="s">
        <v>2653</v>
      </c>
      <c r="F546" t="s">
        <v>876</v>
      </c>
      <c r="G546" t="s">
        <v>4</v>
      </c>
      <c r="H546" t="s">
        <v>3</v>
      </c>
      <c r="I546" t="s">
        <v>875</v>
      </c>
      <c r="J546" t="s">
        <v>2652</v>
      </c>
      <c r="K546" t="s">
        <v>2651</v>
      </c>
      <c r="L546" t="s">
        <v>2650</v>
      </c>
      <c r="M546" t="s">
        <v>2649</v>
      </c>
      <c r="N546">
        <v>2</v>
      </c>
      <c r="O546" t="s">
        <v>870</v>
      </c>
      <c r="P546" t="s">
        <v>869</v>
      </c>
      <c r="Q546" t="s">
        <v>2648</v>
      </c>
      <c r="R546" s="8">
        <v>35704</v>
      </c>
      <c r="S546" s="9">
        <f t="shared" si="64"/>
        <v>1997</v>
      </c>
      <c r="T546" s="9">
        <v>1997</v>
      </c>
      <c r="U546" s="9">
        <f t="shared" si="65"/>
        <v>25</v>
      </c>
      <c r="V546" s="8">
        <v>35704</v>
      </c>
      <c r="W546" t="s">
        <v>681</v>
      </c>
      <c r="X546" s="2">
        <v>0.752</v>
      </c>
      <c r="Y546" s="7">
        <f t="shared" si="66"/>
        <v>2.0074210512266089E-2</v>
      </c>
      <c r="AA546">
        <v>3649059</v>
      </c>
      <c r="AB546">
        <v>17277</v>
      </c>
      <c r="AD546" t="s">
        <v>1</v>
      </c>
      <c r="AE546">
        <v>22</v>
      </c>
      <c r="AF546">
        <v>4</v>
      </c>
      <c r="AH546" t="s">
        <v>2647</v>
      </c>
      <c r="AI546" t="s">
        <v>2646</v>
      </c>
      <c r="AJ546" t="s">
        <v>2645</v>
      </c>
      <c r="AK546" t="s">
        <v>2644</v>
      </c>
      <c r="AL546">
        <v>39</v>
      </c>
      <c r="AM546" s="5">
        <f t="shared" si="67"/>
        <v>1.56</v>
      </c>
      <c r="AN546" s="4">
        <f t="shared" si="68"/>
        <v>2.3627413858386976E-3</v>
      </c>
      <c r="AO546" s="3"/>
      <c r="AP546">
        <v>0</v>
      </c>
      <c r="AQ546" t="s">
        <v>53</v>
      </c>
      <c r="AR546" t="s">
        <v>863</v>
      </c>
      <c r="AS546" t="s">
        <v>52</v>
      </c>
      <c r="AT546" s="2">
        <v>3.5539999999999998</v>
      </c>
      <c r="AU546" s="1">
        <f t="shared" si="69"/>
        <v>1.4760769774337872</v>
      </c>
      <c r="AV546" s="1">
        <f t="shared" si="70"/>
        <v>1.1218475949052393</v>
      </c>
      <c r="AW546" s="1">
        <f t="shared" si="71"/>
        <v>0.76761821237669148</v>
      </c>
    </row>
    <row r="547" spans="1:49" x14ac:dyDescent="0.2">
      <c r="A547">
        <v>545</v>
      </c>
      <c r="B547" t="s">
        <v>2643</v>
      </c>
      <c r="C547" t="s">
        <v>2642</v>
      </c>
      <c r="F547" t="s">
        <v>2641</v>
      </c>
      <c r="G547" t="s">
        <v>4</v>
      </c>
      <c r="H547" t="s">
        <v>3</v>
      </c>
      <c r="I547" t="s">
        <v>2640</v>
      </c>
      <c r="J547">
        <v>60023053</v>
      </c>
      <c r="K547" t="s">
        <v>2639</v>
      </c>
      <c r="L547" t="s">
        <v>2638</v>
      </c>
      <c r="M547" t="s">
        <v>2</v>
      </c>
      <c r="N547">
        <v>1</v>
      </c>
      <c r="O547" t="s">
        <v>2637</v>
      </c>
      <c r="P547">
        <v>7201841610</v>
      </c>
      <c r="Q547">
        <v>60023053</v>
      </c>
      <c r="R547" s="8">
        <v>35704</v>
      </c>
      <c r="S547" s="9">
        <f t="shared" si="64"/>
        <v>1997</v>
      </c>
      <c r="T547" s="9">
        <v>1997</v>
      </c>
      <c r="U547" s="9">
        <f t="shared" si="65"/>
        <v>25</v>
      </c>
      <c r="V547" s="8">
        <v>35704</v>
      </c>
      <c r="W547" t="s">
        <v>439</v>
      </c>
      <c r="X547" s="2">
        <v>0.88100000000000001</v>
      </c>
      <c r="Y547" s="7">
        <f t="shared" si="66"/>
        <v>2.3517791836843653E-2</v>
      </c>
      <c r="AA547">
        <v>10459243</v>
      </c>
      <c r="AB547">
        <v>17248</v>
      </c>
      <c r="AD547" t="s">
        <v>1</v>
      </c>
      <c r="AE547">
        <v>39</v>
      </c>
      <c r="AF547">
        <v>5</v>
      </c>
      <c r="AH547" t="s">
        <v>2636</v>
      </c>
      <c r="AL547">
        <v>5</v>
      </c>
      <c r="AM547" s="5">
        <f t="shared" si="67"/>
        <v>0.2</v>
      </c>
      <c r="AN547" s="4">
        <f t="shared" si="68"/>
        <v>3.0291556228701253E-4</v>
      </c>
      <c r="AO547" s="3"/>
      <c r="AP547">
        <v>0</v>
      </c>
      <c r="AR547" t="s">
        <v>0</v>
      </c>
      <c r="AT547" s="2" t="s">
        <v>5</v>
      </c>
      <c r="AU547" s="1">
        <f t="shared" si="69"/>
        <v>1.655332895447666</v>
      </c>
      <c r="AV547" s="1">
        <f t="shared" si="70"/>
        <v>1.1910353699565333</v>
      </c>
      <c r="AW547" s="1">
        <f t="shared" si="71"/>
        <v>0.72673784446540046</v>
      </c>
    </row>
    <row r="548" spans="1:49" x14ac:dyDescent="0.2">
      <c r="A548">
        <v>546</v>
      </c>
      <c r="B548" t="s">
        <v>2635</v>
      </c>
      <c r="C548" t="s">
        <v>2634</v>
      </c>
      <c r="F548" t="s">
        <v>2633</v>
      </c>
      <c r="G548" t="s">
        <v>4</v>
      </c>
      <c r="H548" t="s">
        <v>3</v>
      </c>
      <c r="I548" t="s">
        <v>2632</v>
      </c>
      <c r="J548" t="s">
        <v>2631</v>
      </c>
      <c r="K548" t="s">
        <v>2630</v>
      </c>
      <c r="L548" t="s">
        <v>2629</v>
      </c>
      <c r="M548" t="s">
        <v>676</v>
      </c>
      <c r="N548">
        <v>2</v>
      </c>
      <c r="O548" t="s">
        <v>2628</v>
      </c>
      <c r="P548" t="s">
        <v>2627</v>
      </c>
      <c r="Q548" t="s">
        <v>2626</v>
      </c>
      <c r="R548" s="8">
        <v>35704</v>
      </c>
      <c r="S548" s="9">
        <f t="shared" si="64"/>
        <v>1997</v>
      </c>
      <c r="T548" s="9">
        <v>1997</v>
      </c>
      <c r="U548" s="9">
        <f t="shared" si="65"/>
        <v>25</v>
      </c>
      <c r="V548" s="8">
        <v>35704</v>
      </c>
      <c r="W548" t="s">
        <v>742</v>
      </c>
      <c r="X548" s="2">
        <v>0.69899999999999995</v>
      </c>
      <c r="Y548" s="7">
        <f t="shared" si="66"/>
        <v>1.8659405782013295E-2</v>
      </c>
      <c r="AA548">
        <v>218979</v>
      </c>
      <c r="AB548">
        <v>28132</v>
      </c>
      <c r="AD548" t="s">
        <v>1</v>
      </c>
      <c r="AE548">
        <v>82</v>
      </c>
      <c r="AF548">
        <v>7</v>
      </c>
      <c r="AH548" t="s">
        <v>2625</v>
      </c>
      <c r="AI548" t="s">
        <v>2624</v>
      </c>
      <c r="AK548" t="s">
        <v>2623</v>
      </c>
      <c r="AL548">
        <v>31</v>
      </c>
      <c r="AM548" s="5">
        <f t="shared" si="67"/>
        <v>1.24</v>
      </c>
      <c r="AN548" s="4">
        <f t="shared" si="68"/>
        <v>1.8780764861794775E-3</v>
      </c>
      <c r="AO548" s="3"/>
      <c r="AP548">
        <v>0</v>
      </c>
      <c r="AR548" t="s">
        <v>0</v>
      </c>
      <c r="AT548" s="2">
        <v>2.5459999999999998</v>
      </c>
      <c r="AU548" s="1">
        <f t="shared" si="69"/>
        <v>1.3625006993263147</v>
      </c>
      <c r="AV548" s="1">
        <f t="shared" si="70"/>
        <v>1.0268741134096386</v>
      </c>
      <c r="AW548" s="1">
        <f t="shared" si="71"/>
        <v>0.69124752749296214</v>
      </c>
    </row>
    <row r="549" spans="1:49" x14ac:dyDescent="0.2">
      <c r="A549">
        <v>547</v>
      </c>
      <c r="B549" t="s">
        <v>2622</v>
      </c>
      <c r="C549" t="s">
        <v>2621</v>
      </c>
      <c r="F549" t="s">
        <v>2620</v>
      </c>
      <c r="G549" t="s">
        <v>4</v>
      </c>
      <c r="H549" t="s">
        <v>3</v>
      </c>
      <c r="I549" t="s">
        <v>2619</v>
      </c>
      <c r="J549" t="s">
        <v>2618</v>
      </c>
      <c r="K549" t="s">
        <v>2617</v>
      </c>
      <c r="L549" t="s">
        <v>2616</v>
      </c>
      <c r="M549" t="s">
        <v>255</v>
      </c>
      <c r="N549">
        <v>2</v>
      </c>
      <c r="O549" t="s">
        <v>2615</v>
      </c>
      <c r="P549" t="s">
        <v>2614</v>
      </c>
      <c r="Q549" t="s">
        <v>2613</v>
      </c>
      <c r="R549" s="8">
        <v>35704</v>
      </c>
      <c r="S549" s="9">
        <f t="shared" si="64"/>
        <v>1997</v>
      </c>
      <c r="T549" s="9">
        <v>1997</v>
      </c>
      <c r="U549" s="9">
        <f t="shared" si="65"/>
        <v>25</v>
      </c>
      <c r="V549" s="8">
        <v>35704</v>
      </c>
      <c r="W549" t="s">
        <v>56</v>
      </c>
      <c r="X549" s="2">
        <v>2.823</v>
      </c>
      <c r="Y549" s="7">
        <f t="shared" si="66"/>
        <v>7.5358372707615917E-2</v>
      </c>
      <c r="AA549">
        <v>1636804</v>
      </c>
      <c r="AB549">
        <v>17249</v>
      </c>
      <c r="AD549" t="s">
        <v>1</v>
      </c>
      <c r="AE549">
        <v>35</v>
      </c>
      <c r="AF549">
        <v>10</v>
      </c>
      <c r="AH549" t="s">
        <v>2612</v>
      </c>
      <c r="AI549" t="s">
        <v>2611</v>
      </c>
      <c r="AK549" t="s">
        <v>2610</v>
      </c>
      <c r="AL549">
        <v>16</v>
      </c>
      <c r="AM549" s="5">
        <f t="shared" si="67"/>
        <v>0.64</v>
      </c>
      <c r="AN549" s="4">
        <f t="shared" si="68"/>
        <v>9.6932979931844E-4</v>
      </c>
      <c r="AO549" s="3"/>
      <c r="AP549">
        <v>0</v>
      </c>
      <c r="AR549" t="s">
        <v>0</v>
      </c>
      <c r="AT549" s="2">
        <v>9.6189999999999998</v>
      </c>
      <c r="AU549" s="1">
        <f t="shared" si="69"/>
        <v>5.3041659835126671</v>
      </c>
      <c r="AV549" s="1">
        <f t="shared" si="70"/>
        <v>3.8163851253467178</v>
      </c>
      <c r="AW549" s="1">
        <f t="shared" si="71"/>
        <v>2.3286042671807681</v>
      </c>
    </row>
    <row r="550" spans="1:49" x14ac:dyDescent="0.2">
      <c r="A550">
        <v>548</v>
      </c>
      <c r="B550" t="s">
        <v>2609</v>
      </c>
      <c r="C550" t="s">
        <v>2608</v>
      </c>
      <c r="F550" t="s">
        <v>2607</v>
      </c>
      <c r="G550" t="s">
        <v>4</v>
      </c>
      <c r="H550" t="s">
        <v>3</v>
      </c>
      <c r="I550" t="s">
        <v>741</v>
      </c>
      <c r="J550" t="s">
        <v>2606</v>
      </c>
      <c r="K550" t="s">
        <v>2605</v>
      </c>
      <c r="L550" t="s">
        <v>2604</v>
      </c>
      <c r="M550" t="s">
        <v>2603</v>
      </c>
      <c r="N550">
        <v>3</v>
      </c>
      <c r="O550" t="s">
        <v>2602</v>
      </c>
      <c r="P550" t="s">
        <v>2601</v>
      </c>
      <c r="Q550" t="s">
        <v>2600</v>
      </c>
      <c r="R550" s="8">
        <v>35704</v>
      </c>
      <c r="S550" s="9">
        <f t="shared" si="64"/>
        <v>1997</v>
      </c>
      <c r="T550" s="9">
        <v>1997</v>
      </c>
      <c r="U550" s="9">
        <f t="shared" si="65"/>
        <v>25</v>
      </c>
      <c r="V550" s="8">
        <v>35704</v>
      </c>
      <c r="W550" t="s">
        <v>594</v>
      </c>
      <c r="X550" s="2">
        <v>1.774</v>
      </c>
      <c r="Y550" s="7">
        <f t="shared" si="66"/>
        <v>4.7355916820159633E-2</v>
      </c>
      <c r="AA550">
        <v>295515</v>
      </c>
      <c r="AB550">
        <v>29066</v>
      </c>
      <c r="AD550" t="s">
        <v>1</v>
      </c>
      <c r="AE550">
        <v>37</v>
      </c>
      <c r="AF550">
        <v>10</v>
      </c>
      <c r="AH550" t="s">
        <v>2599</v>
      </c>
      <c r="AI550" t="s">
        <v>2598</v>
      </c>
      <c r="AK550" t="s">
        <v>2597</v>
      </c>
      <c r="AL550">
        <v>2</v>
      </c>
      <c r="AM550" s="5">
        <f t="shared" si="67"/>
        <v>0.08</v>
      </c>
      <c r="AN550" s="4">
        <f t="shared" si="68"/>
        <v>1.21166224914805E-4</v>
      </c>
      <c r="AO550" s="3"/>
      <c r="AP550">
        <v>0</v>
      </c>
      <c r="AR550" t="s">
        <v>0</v>
      </c>
      <c r="AT550" s="2">
        <v>3.1789999999999998</v>
      </c>
      <c r="AU550" s="1">
        <f t="shared" si="69"/>
        <v>3.3185491641586182</v>
      </c>
      <c r="AV550" s="1">
        <f t="shared" si="70"/>
        <v>2.3738541522537222</v>
      </c>
      <c r="AW550" s="1">
        <f t="shared" si="71"/>
        <v>1.4291591403488253</v>
      </c>
    </row>
    <row r="551" spans="1:49" x14ac:dyDescent="0.2">
      <c r="A551">
        <v>549</v>
      </c>
      <c r="B551" t="s">
        <v>2596</v>
      </c>
      <c r="C551" t="s">
        <v>2595</v>
      </c>
      <c r="F551" t="s">
        <v>2594</v>
      </c>
      <c r="G551" t="s">
        <v>4</v>
      </c>
      <c r="H551" t="s">
        <v>3</v>
      </c>
      <c r="I551" t="s">
        <v>2593</v>
      </c>
      <c r="J551" t="s">
        <v>2592</v>
      </c>
      <c r="K551" t="s">
        <v>2591</v>
      </c>
      <c r="L551" t="s">
        <v>2590</v>
      </c>
      <c r="M551" t="s">
        <v>64</v>
      </c>
      <c r="N551">
        <v>4</v>
      </c>
      <c r="O551" t="s">
        <v>2589</v>
      </c>
      <c r="P551" t="s">
        <v>2588</v>
      </c>
      <c r="Q551" t="s">
        <v>2587</v>
      </c>
      <c r="R551" s="8">
        <v>35704</v>
      </c>
      <c r="S551" s="9">
        <f t="shared" si="64"/>
        <v>1997</v>
      </c>
      <c r="T551" s="9">
        <v>1997</v>
      </c>
      <c r="U551" s="9">
        <f t="shared" si="65"/>
        <v>25</v>
      </c>
      <c r="V551" s="8">
        <v>35704</v>
      </c>
      <c r="W551" t="s">
        <v>2326</v>
      </c>
      <c r="X551" s="2">
        <v>1.276</v>
      </c>
      <c r="Y551" s="7">
        <f t="shared" si="66"/>
        <v>3.4062091241557887E-2</v>
      </c>
      <c r="AA551">
        <v>214922</v>
      </c>
      <c r="AB551">
        <v>75087</v>
      </c>
      <c r="AD551" t="s">
        <v>1</v>
      </c>
      <c r="AE551">
        <v>36</v>
      </c>
      <c r="AF551" t="s">
        <v>2586</v>
      </c>
      <c r="AI551" t="s">
        <v>2585</v>
      </c>
      <c r="AJ551" t="s">
        <v>2584</v>
      </c>
      <c r="AK551" t="s">
        <v>2583</v>
      </c>
      <c r="AL551">
        <v>1</v>
      </c>
      <c r="AM551" s="5">
        <f t="shared" si="67"/>
        <v>0.04</v>
      </c>
      <c r="AN551" s="4">
        <f t="shared" si="68"/>
        <v>6.05831124574025E-5</v>
      </c>
      <c r="AO551" s="3"/>
      <c r="AP551">
        <v>0</v>
      </c>
      <c r="AR551" t="s">
        <v>0</v>
      </c>
      <c r="AT551" s="2" t="s">
        <v>5</v>
      </c>
      <c r="AU551" s="1">
        <f t="shared" si="69"/>
        <v>2.3861638802827745</v>
      </c>
      <c r="AV551" s="1">
        <f t="shared" si="70"/>
        <v>1.7061337177007645</v>
      </c>
      <c r="AW551" s="1">
        <f t="shared" si="71"/>
        <v>1.0261035551187547</v>
      </c>
    </row>
    <row r="552" spans="1:49" x14ac:dyDescent="0.2">
      <c r="A552">
        <v>550</v>
      </c>
      <c r="B552" t="s">
        <v>2582</v>
      </c>
      <c r="C552" t="s">
        <v>2581</v>
      </c>
      <c r="F552" t="s">
        <v>2580</v>
      </c>
      <c r="G552" t="s">
        <v>4</v>
      </c>
      <c r="H552" t="s">
        <v>3</v>
      </c>
      <c r="I552" t="s">
        <v>2579</v>
      </c>
      <c r="J552" t="s">
        <v>2578</v>
      </c>
      <c r="K552" t="s">
        <v>2577</v>
      </c>
      <c r="L552" t="s">
        <v>2576</v>
      </c>
      <c r="M552" t="s">
        <v>2575</v>
      </c>
      <c r="N552">
        <v>2</v>
      </c>
      <c r="O552" t="s">
        <v>2574</v>
      </c>
      <c r="P552" t="s">
        <v>2573</v>
      </c>
      <c r="Q552" t="s">
        <v>2572</v>
      </c>
      <c r="R552" s="8">
        <v>35704</v>
      </c>
      <c r="S552" s="9">
        <f t="shared" si="64"/>
        <v>1997</v>
      </c>
      <c r="T552" s="9">
        <v>1997</v>
      </c>
      <c r="U552" s="9">
        <f t="shared" si="65"/>
        <v>25</v>
      </c>
      <c r="V552" s="8">
        <v>35704</v>
      </c>
      <c r="W552" t="s">
        <v>439</v>
      </c>
      <c r="X552" s="2">
        <v>0.88100000000000001</v>
      </c>
      <c r="Y552" s="7">
        <f t="shared" si="66"/>
        <v>2.3517791836843653E-2</v>
      </c>
      <c r="AA552">
        <v>10459243</v>
      </c>
      <c r="AB552">
        <v>17248</v>
      </c>
      <c r="AD552" t="s">
        <v>1</v>
      </c>
      <c r="AE552">
        <v>39</v>
      </c>
      <c r="AF552">
        <v>5</v>
      </c>
      <c r="AH552" t="s">
        <v>2571</v>
      </c>
      <c r="AI552" t="s">
        <v>2570</v>
      </c>
      <c r="AJ552" t="s">
        <v>2569</v>
      </c>
      <c r="AK552" t="s">
        <v>2568</v>
      </c>
      <c r="AL552">
        <v>4</v>
      </c>
      <c r="AM552" s="5">
        <f t="shared" si="67"/>
        <v>0.16</v>
      </c>
      <c r="AN552" s="4">
        <f t="shared" si="68"/>
        <v>2.4233244982961E-4</v>
      </c>
      <c r="AO552" s="3"/>
      <c r="AP552">
        <v>0</v>
      </c>
      <c r="AR552" t="s">
        <v>0</v>
      </c>
      <c r="AT552" s="2" t="s">
        <v>5</v>
      </c>
      <c r="AU552" s="1">
        <f t="shared" si="69"/>
        <v>1.6535154020739438</v>
      </c>
      <c r="AV552" s="1">
        <f t="shared" si="70"/>
        <v>1.1880062143336632</v>
      </c>
      <c r="AW552" s="1">
        <f t="shared" si="71"/>
        <v>0.72249702659338222</v>
      </c>
    </row>
    <row r="553" spans="1:49" x14ac:dyDescent="0.2">
      <c r="A553">
        <v>551</v>
      </c>
      <c r="B553" t="s">
        <v>2567</v>
      </c>
      <c r="C553" t="s">
        <v>2566</v>
      </c>
      <c r="F553" t="s">
        <v>2565</v>
      </c>
      <c r="G553" t="s">
        <v>4</v>
      </c>
      <c r="H553" t="s">
        <v>3</v>
      </c>
      <c r="I553" t="s">
        <v>2564</v>
      </c>
      <c r="J553" t="s">
        <v>2563</v>
      </c>
      <c r="K553" t="s">
        <v>2562</v>
      </c>
      <c r="L553" t="s">
        <v>2561</v>
      </c>
      <c r="M553" t="s">
        <v>119</v>
      </c>
      <c r="N553">
        <v>3</v>
      </c>
      <c r="O553" t="s">
        <v>2560</v>
      </c>
      <c r="P553" t="s">
        <v>2559</v>
      </c>
      <c r="Q553" t="s">
        <v>2558</v>
      </c>
      <c r="R553" s="8">
        <v>35704</v>
      </c>
      <c r="S553" s="9">
        <f t="shared" si="64"/>
        <v>1997</v>
      </c>
      <c r="T553" s="9">
        <v>1997</v>
      </c>
      <c r="U553" s="9">
        <f t="shared" si="65"/>
        <v>25</v>
      </c>
      <c r="V553" s="8">
        <v>35704</v>
      </c>
      <c r="W553" t="s">
        <v>439</v>
      </c>
      <c r="X553" s="2">
        <v>0.88100000000000001</v>
      </c>
      <c r="Y553" s="7">
        <f t="shared" si="66"/>
        <v>2.3517791836843653E-2</v>
      </c>
      <c r="AA553">
        <v>10459243</v>
      </c>
      <c r="AB553">
        <v>17248</v>
      </c>
      <c r="AD553" t="s">
        <v>1</v>
      </c>
      <c r="AE553">
        <v>39</v>
      </c>
      <c r="AF553">
        <v>5</v>
      </c>
      <c r="AH553" t="s">
        <v>520</v>
      </c>
      <c r="AJ553" t="s">
        <v>2557</v>
      </c>
      <c r="AL553">
        <v>5</v>
      </c>
      <c r="AM553" s="5">
        <f t="shared" si="67"/>
        <v>0.2</v>
      </c>
      <c r="AN553" s="4">
        <f t="shared" si="68"/>
        <v>3.0291556228701253E-4</v>
      </c>
      <c r="AO553" s="3"/>
      <c r="AP553">
        <v>0</v>
      </c>
      <c r="AR553" t="s">
        <v>0</v>
      </c>
      <c r="AT553" s="2" t="s">
        <v>5</v>
      </c>
      <c r="AU553" s="1">
        <f t="shared" si="69"/>
        <v>1.655332895447666</v>
      </c>
      <c r="AV553" s="1">
        <f t="shared" si="70"/>
        <v>1.1910353699565333</v>
      </c>
      <c r="AW553" s="1">
        <f t="shared" si="71"/>
        <v>0.72673784446540046</v>
      </c>
    </row>
    <row r="554" spans="1:49" x14ac:dyDescent="0.2">
      <c r="A554">
        <v>552</v>
      </c>
      <c r="B554" t="s">
        <v>2556</v>
      </c>
      <c r="C554" t="s">
        <v>2555</v>
      </c>
      <c r="F554" t="s">
        <v>2554</v>
      </c>
      <c r="G554" t="s">
        <v>4</v>
      </c>
      <c r="H554" t="s">
        <v>3</v>
      </c>
      <c r="I554" t="s">
        <v>2553</v>
      </c>
      <c r="J554">
        <v>60011604</v>
      </c>
      <c r="K554" t="s">
        <v>2552</v>
      </c>
      <c r="L554" t="s">
        <v>36</v>
      </c>
      <c r="M554" t="s">
        <v>7</v>
      </c>
      <c r="N554">
        <v>4</v>
      </c>
      <c r="O554" t="s">
        <v>2551</v>
      </c>
      <c r="P554" t="s">
        <v>2550</v>
      </c>
      <c r="Q554" t="s">
        <v>2549</v>
      </c>
      <c r="R554" s="8">
        <v>35704</v>
      </c>
      <c r="S554" s="9">
        <f t="shared" si="64"/>
        <v>1997</v>
      </c>
      <c r="T554" s="9">
        <v>1997</v>
      </c>
      <c r="U554" s="9">
        <f t="shared" si="65"/>
        <v>25</v>
      </c>
      <c r="V554" s="8">
        <v>35704</v>
      </c>
      <c r="W554" t="s">
        <v>602</v>
      </c>
      <c r="X554" s="2">
        <v>0.8</v>
      </c>
      <c r="Y554" s="7">
        <f t="shared" si="66"/>
        <v>2.1355543098155415E-2</v>
      </c>
      <c r="AA554">
        <v>3407594</v>
      </c>
      <c r="AB554">
        <v>23456</v>
      </c>
      <c r="AD554" t="s">
        <v>1</v>
      </c>
      <c r="AE554">
        <v>181</v>
      </c>
      <c r="AF554">
        <v>4</v>
      </c>
      <c r="AH554" t="s">
        <v>2548</v>
      </c>
      <c r="AI554" t="s">
        <v>2547</v>
      </c>
      <c r="AJ554" t="s">
        <v>2546</v>
      </c>
      <c r="AK554" t="s">
        <v>2545</v>
      </c>
      <c r="AL554">
        <v>40</v>
      </c>
      <c r="AM554" s="5">
        <f t="shared" si="67"/>
        <v>1.6</v>
      </c>
      <c r="AN554" s="4">
        <f t="shared" si="68"/>
        <v>2.4233244982961003E-3</v>
      </c>
      <c r="AO554" s="3"/>
      <c r="AP554">
        <v>0</v>
      </c>
      <c r="AQ554" t="s">
        <v>124</v>
      </c>
      <c r="AR554" t="s">
        <v>2544</v>
      </c>
      <c r="AS554" t="s">
        <v>123</v>
      </c>
      <c r="AT554" s="2" t="s">
        <v>5</v>
      </c>
      <c r="AU554" s="1">
        <f t="shared" si="69"/>
        <v>1.5675877518197618</v>
      </c>
      <c r="AV554" s="1">
        <f t="shared" si="70"/>
        <v>1.1889433798225757</v>
      </c>
      <c r="AW554" s="1">
        <f t="shared" si="71"/>
        <v>0.81029900782538933</v>
      </c>
    </row>
    <row r="555" spans="1:49" x14ac:dyDescent="0.2">
      <c r="A555">
        <v>553</v>
      </c>
      <c r="B555" t="s">
        <v>2543</v>
      </c>
      <c r="C555" t="s">
        <v>2542</v>
      </c>
      <c r="D555" t="s">
        <v>2541</v>
      </c>
      <c r="F555" t="s">
        <v>2540</v>
      </c>
      <c r="G555" t="s">
        <v>4</v>
      </c>
      <c r="H555" t="s">
        <v>3</v>
      </c>
      <c r="I555" t="s">
        <v>2539</v>
      </c>
      <c r="J555" t="s">
        <v>2538</v>
      </c>
      <c r="K555" t="s">
        <v>2537</v>
      </c>
      <c r="L555" t="s">
        <v>2536</v>
      </c>
      <c r="M555" t="s">
        <v>2535</v>
      </c>
      <c r="N555">
        <v>6</v>
      </c>
      <c r="O555" t="s">
        <v>2534</v>
      </c>
      <c r="P555" t="s">
        <v>2533</v>
      </c>
      <c r="Q555" t="s">
        <v>2532</v>
      </c>
      <c r="R555" s="8">
        <v>35703</v>
      </c>
      <c r="S555" s="9">
        <f t="shared" si="64"/>
        <v>1997</v>
      </c>
      <c r="T555" s="9">
        <v>1997</v>
      </c>
      <c r="U555" s="9">
        <f t="shared" si="65"/>
        <v>25</v>
      </c>
      <c r="V555" s="8">
        <v>35703</v>
      </c>
      <c r="W555" t="s">
        <v>607</v>
      </c>
      <c r="X555" s="2">
        <v>0.96499999999999997</v>
      </c>
      <c r="Y555" s="7">
        <f t="shared" si="66"/>
        <v>2.5760123862149969E-2</v>
      </c>
      <c r="AA555">
        <v>220981</v>
      </c>
      <c r="AB555">
        <v>29606</v>
      </c>
      <c r="AD555" t="s">
        <v>1</v>
      </c>
      <c r="AE555">
        <v>217</v>
      </c>
      <c r="AF555">
        <v>1</v>
      </c>
      <c r="AH555" t="s">
        <v>2531</v>
      </c>
      <c r="AI555" t="s">
        <v>2530</v>
      </c>
      <c r="AJ555" t="s">
        <v>2529</v>
      </c>
      <c r="AK555" t="s">
        <v>2528</v>
      </c>
      <c r="AL555">
        <v>33</v>
      </c>
      <c r="AM555" s="5">
        <f t="shared" si="67"/>
        <v>1.32</v>
      </c>
      <c r="AN555" s="4">
        <f t="shared" si="68"/>
        <v>1.9992427110942824E-3</v>
      </c>
      <c r="AO555" s="3"/>
      <c r="AP555">
        <v>0</v>
      </c>
      <c r="AR555" t="s">
        <v>0</v>
      </c>
      <c r="AT555" s="2" t="s">
        <v>5</v>
      </c>
      <c r="AU555" s="1">
        <f t="shared" si="69"/>
        <v>1.863185951683326</v>
      </c>
      <c r="AV555" s="1">
        <f t="shared" si="70"/>
        <v>1.3879683286622126</v>
      </c>
      <c r="AW555" s="1">
        <f t="shared" si="71"/>
        <v>0.91275070564109884</v>
      </c>
    </row>
    <row r="556" spans="1:49" x14ac:dyDescent="0.2">
      <c r="A556">
        <v>554</v>
      </c>
      <c r="B556" t="s">
        <v>2527</v>
      </c>
      <c r="C556" t="s">
        <v>2526</v>
      </c>
      <c r="F556" t="s">
        <v>2525</v>
      </c>
      <c r="G556" t="s">
        <v>4</v>
      </c>
      <c r="H556" t="s">
        <v>3</v>
      </c>
      <c r="I556" t="s">
        <v>2524</v>
      </c>
      <c r="J556">
        <v>60000635</v>
      </c>
      <c r="K556" t="s">
        <v>109</v>
      </c>
      <c r="L556" t="s">
        <v>108</v>
      </c>
      <c r="M556" t="s">
        <v>2</v>
      </c>
      <c r="N556">
        <v>3</v>
      </c>
      <c r="O556" t="s">
        <v>2523</v>
      </c>
      <c r="P556" t="s">
        <v>2522</v>
      </c>
      <c r="Q556" t="s">
        <v>2521</v>
      </c>
      <c r="R556" s="8">
        <v>35699</v>
      </c>
      <c r="S556" s="9">
        <f t="shared" si="64"/>
        <v>1997</v>
      </c>
      <c r="T556" s="9">
        <v>1997</v>
      </c>
      <c r="U556" s="9">
        <f t="shared" si="65"/>
        <v>25</v>
      </c>
      <c r="V556" s="8">
        <v>1997</v>
      </c>
      <c r="W556" t="s">
        <v>139</v>
      </c>
      <c r="X556" s="2">
        <v>0.85499999999999998</v>
      </c>
      <c r="Y556" s="7">
        <f t="shared" si="66"/>
        <v>2.28237366861536E-2</v>
      </c>
      <c r="AA556">
        <v>980331</v>
      </c>
      <c r="AB556">
        <v>23342</v>
      </c>
      <c r="AD556" t="s">
        <v>1</v>
      </c>
      <c r="AE556">
        <v>23</v>
      </c>
      <c r="AF556">
        <v>9</v>
      </c>
      <c r="AH556" t="s">
        <v>2520</v>
      </c>
      <c r="AI556" t="s">
        <v>2519</v>
      </c>
      <c r="AJ556" t="s">
        <v>2518</v>
      </c>
      <c r="AK556" t="s">
        <v>2517</v>
      </c>
      <c r="AL556">
        <v>13</v>
      </c>
      <c r="AM556" s="5">
        <f t="shared" si="67"/>
        <v>0.52</v>
      </c>
      <c r="AN556" s="4">
        <f t="shared" si="68"/>
        <v>7.8758046194623253E-4</v>
      </c>
      <c r="AO556" s="3"/>
      <c r="AP556">
        <v>0</v>
      </c>
      <c r="AR556" t="s">
        <v>0</v>
      </c>
      <c r="AT556" s="2">
        <v>2.6259999999999999</v>
      </c>
      <c r="AU556" s="1">
        <f t="shared" si="69"/>
        <v>1.6212889818891387</v>
      </c>
      <c r="AV556" s="1">
        <f t="shared" si="70"/>
        <v>1.1805658574049915</v>
      </c>
      <c r="AW556" s="1">
        <f t="shared" si="71"/>
        <v>0.73984273292084424</v>
      </c>
    </row>
    <row r="557" spans="1:49" x14ac:dyDescent="0.2">
      <c r="A557">
        <v>555</v>
      </c>
      <c r="B557" t="s">
        <v>2516</v>
      </c>
      <c r="C557" t="s">
        <v>2515</v>
      </c>
      <c r="D557" t="s">
        <v>2514</v>
      </c>
      <c r="E557">
        <v>9374195</v>
      </c>
      <c r="F557" t="s">
        <v>2513</v>
      </c>
      <c r="G557" t="s">
        <v>4</v>
      </c>
      <c r="H557" t="s">
        <v>3</v>
      </c>
      <c r="I557" t="s">
        <v>2512</v>
      </c>
      <c r="J557" t="s">
        <v>2507</v>
      </c>
      <c r="K557" t="s">
        <v>2511</v>
      </c>
      <c r="L557" t="s">
        <v>2510</v>
      </c>
      <c r="M557" t="s">
        <v>89</v>
      </c>
      <c r="N557">
        <v>2</v>
      </c>
      <c r="O557" t="s">
        <v>2509</v>
      </c>
      <c r="P557" t="s">
        <v>2508</v>
      </c>
      <c r="Q557" t="s">
        <v>2507</v>
      </c>
      <c r="R557" s="8">
        <v>35699</v>
      </c>
      <c r="S557" s="9">
        <f t="shared" si="64"/>
        <v>1997</v>
      </c>
      <c r="T557" s="9">
        <v>1997</v>
      </c>
      <c r="U557" s="9">
        <f t="shared" si="65"/>
        <v>25</v>
      </c>
      <c r="V557" s="8">
        <v>35699</v>
      </c>
      <c r="W557" t="s">
        <v>2506</v>
      </c>
      <c r="X557" s="2">
        <v>1.0369999999999999</v>
      </c>
      <c r="Y557" s="7">
        <f t="shared" si="66"/>
        <v>2.7682122740983955E-2</v>
      </c>
      <c r="AA557">
        <v>68993</v>
      </c>
      <c r="AB557">
        <v>14346</v>
      </c>
      <c r="AD557" t="s">
        <v>1</v>
      </c>
      <c r="AE557">
        <v>769</v>
      </c>
      <c r="AF557">
        <v>2</v>
      </c>
      <c r="AH557" t="s">
        <v>2505</v>
      </c>
      <c r="AI557" t="s">
        <v>2504</v>
      </c>
      <c r="AJ557" t="s">
        <v>2503</v>
      </c>
      <c r="AK557" t="s">
        <v>2502</v>
      </c>
      <c r="AL557">
        <v>34</v>
      </c>
      <c r="AM557" s="5">
        <f t="shared" si="67"/>
        <v>1.36</v>
      </c>
      <c r="AN557" s="4">
        <f t="shared" si="68"/>
        <v>2.0598258235516851E-3</v>
      </c>
      <c r="AO557" s="3"/>
      <c r="AP557">
        <v>0</v>
      </c>
      <c r="AQ557" t="s">
        <v>124</v>
      </c>
      <c r="AR557" t="s">
        <v>0</v>
      </c>
      <c r="AS557" t="s">
        <v>123</v>
      </c>
      <c r="AT557" s="2">
        <v>3.2519999999999998</v>
      </c>
      <c r="AU557" s="1">
        <f t="shared" si="69"/>
        <v>1.9995433665754272</v>
      </c>
      <c r="AV557" s="1">
        <f t="shared" si="70"/>
        <v>1.4870974282267821</v>
      </c>
      <c r="AW557" s="1">
        <f t="shared" si="71"/>
        <v>0.97465148987813643</v>
      </c>
    </row>
    <row r="558" spans="1:49" x14ac:dyDescent="0.2">
      <c r="A558">
        <v>556</v>
      </c>
      <c r="B558" t="s">
        <v>2501</v>
      </c>
      <c r="C558" t="s">
        <v>2500</v>
      </c>
      <c r="F558" t="s">
        <v>2499</v>
      </c>
      <c r="G558" t="s">
        <v>4</v>
      </c>
      <c r="H558" t="s">
        <v>3</v>
      </c>
      <c r="I558" t="s">
        <v>2498</v>
      </c>
      <c r="J558" t="s">
        <v>2497</v>
      </c>
      <c r="K558" t="s">
        <v>2496</v>
      </c>
      <c r="L558" t="s">
        <v>2495</v>
      </c>
      <c r="M558" t="s">
        <v>2494</v>
      </c>
      <c r="N558">
        <v>6</v>
      </c>
      <c r="O558" t="s">
        <v>2493</v>
      </c>
      <c r="P558" t="s">
        <v>2492</v>
      </c>
      <c r="Q558" t="s">
        <v>2491</v>
      </c>
      <c r="R558" s="8">
        <v>35698</v>
      </c>
      <c r="S558" s="9">
        <f t="shared" si="64"/>
        <v>1997</v>
      </c>
      <c r="T558" s="9">
        <v>1997</v>
      </c>
      <c r="U558" s="9">
        <f t="shared" si="65"/>
        <v>25</v>
      </c>
      <c r="V558" s="8">
        <v>35698</v>
      </c>
      <c r="W558" t="s">
        <v>585</v>
      </c>
      <c r="X558" s="2">
        <v>0.86399999999999999</v>
      </c>
      <c r="Y558" s="7">
        <f t="shared" si="66"/>
        <v>2.3063986546007848E-2</v>
      </c>
      <c r="AA558">
        <v>15206106</v>
      </c>
      <c r="AB558">
        <v>26970</v>
      </c>
      <c r="AD558" t="s">
        <v>1</v>
      </c>
      <c r="AE558">
        <v>101</v>
      </c>
      <c r="AF558">
        <v>39</v>
      </c>
      <c r="AH558" t="s">
        <v>2490</v>
      </c>
      <c r="AI558" t="s">
        <v>2489</v>
      </c>
      <c r="AK558" t="s">
        <v>2488</v>
      </c>
      <c r="AL558">
        <v>66</v>
      </c>
      <c r="AM558" s="5">
        <f t="shared" si="67"/>
        <v>2.64</v>
      </c>
      <c r="AN558" s="4">
        <f t="shared" si="68"/>
        <v>3.9984854221885649E-3</v>
      </c>
      <c r="AO558" s="3"/>
      <c r="AP558">
        <v>0</v>
      </c>
      <c r="AR558" t="s">
        <v>0</v>
      </c>
      <c r="AT558" s="2">
        <v>2.9910000000000001</v>
      </c>
      <c r="AU558" s="1">
        <f t="shared" si="69"/>
        <v>1.7344336208862061</v>
      </c>
      <c r="AV558" s="1">
        <f t="shared" si="70"/>
        <v>1.3531235984098207</v>
      </c>
      <c r="AW558" s="1">
        <f t="shared" si="71"/>
        <v>0.97181357593343498</v>
      </c>
    </row>
    <row r="559" spans="1:49" x14ac:dyDescent="0.2">
      <c r="A559">
        <v>557</v>
      </c>
      <c r="B559" t="s">
        <v>2487</v>
      </c>
      <c r="C559" t="s">
        <v>2486</v>
      </c>
      <c r="F559" t="s">
        <v>2485</v>
      </c>
      <c r="G559" t="s">
        <v>4</v>
      </c>
      <c r="H559" t="s">
        <v>3</v>
      </c>
      <c r="I559" t="s">
        <v>630</v>
      </c>
      <c r="J559">
        <v>60013983</v>
      </c>
      <c r="K559" t="s">
        <v>245</v>
      </c>
      <c r="L559" t="s">
        <v>244</v>
      </c>
      <c r="M559" t="s">
        <v>243</v>
      </c>
      <c r="N559">
        <v>2</v>
      </c>
      <c r="O559" t="s">
        <v>751</v>
      </c>
      <c r="P559" t="s">
        <v>750</v>
      </c>
      <c r="Q559" t="s">
        <v>749</v>
      </c>
      <c r="R559" s="8">
        <v>35698</v>
      </c>
      <c r="S559" s="9">
        <f t="shared" si="64"/>
        <v>1997</v>
      </c>
      <c r="T559" s="9">
        <v>1997</v>
      </c>
      <c r="U559" s="9">
        <f t="shared" si="65"/>
        <v>25</v>
      </c>
      <c r="V559" s="8">
        <v>35698</v>
      </c>
      <c r="W559" t="s">
        <v>493</v>
      </c>
      <c r="X559" s="2">
        <v>0.375</v>
      </c>
      <c r="Y559" s="7">
        <f t="shared" si="66"/>
        <v>1.0010410827260351E-2</v>
      </c>
      <c r="AA559">
        <v>135194</v>
      </c>
      <c r="AB559">
        <v>24918</v>
      </c>
      <c r="AD559" t="s">
        <v>1</v>
      </c>
      <c r="AE559">
        <v>33</v>
      </c>
      <c r="AF559">
        <v>20</v>
      </c>
      <c r="AH559" t="s">
        <v>2484</v>
      </c>
      <c r="AI559" t="s">
        <v>2483</v>
      </c>
      <c r="AJ559" t="s">
        <v>652</v>
      </c>
      <c r="AK559" t="s">
        <v>2482</v>
      </c>
      <c r="AL559">
        <v>11</v>
      </c>
      <c r="AM559" s="5">
        <f t="shared" si="67"/>
        <v>0.44</v>
      </c>
      <c r="AN559" s="4">
        <f t="shared" si="68"/>
        <v>6.6641423703142752E-4</v>
      </c>
      <c r="AO559" s="3"/>
      <c r="AP559">
        <v>0</v>
      </c>
      <c r="AR559" t="s">
        <v>0</v>
      </c>
      <c r="AT559" s="2">
        <v>1.3140000000000001</v>
      </c>
      <c r="AU559" s="1">
        <f t="shared" si="69"/>
        <v>0.72072118501916738</v>
      </c>
      <c r="AV559" s="1">
        <f t="shared" si="70"/>
        <v>0.53384125321458897</v>
      </c>
      <c r="AW559" s="1">
        <f t="shared" si="71"/>
        <v>0.3469613214100104</v>
      </c>
    </row>
    <row r="560" spans="1:49" x14ac:dyDescent="0.2">
      <c r="A560">
        <v>558</v>
      </c>
      <c r="B560" t="s">
        <v>2481</v>
      </c>
      <c r="C560" t="s">
        <v>2480</v>
      </c>
      <c r="F560" t="s">
        <v>2479</v>
      </c>
      <c r="G560" t="s">
        <v>4</v>
      </c>
      <c r="H560" t="s">
        <v>3</v>
      </c>
      <c r="I560" t="s">
        <v>625</v>
      </c>
      <c r="J560" t="s">
        <v>624</v>
      </c>
      <c r="K560" t="s">
        <v>623</v>
      </c>
      <c r="L560" t="s">
        <v>622</v>
      </c>
      <c r="M560" t="s">
        <v>77</v>
      </c>
      <c r="N560">
        <v>3</v>
      </c>
      <c r="O560" t="s">
        <v>2478</v>
      </c>
      <c r="P560" t="s">
        <v>2477</v>
      </c>
      <c r="Q560" t="s">
        <v>621</v>
      </c>
      <c r="R560" s="8">
        <v>35698</v>
      </c>
      <c r="S560" s="9">
        <f t="shared" si="64"/>
        <v>1997</v>
      </c>
      <c r="T560" s="9">
        <v>1997</v>
      </c>
      <c r="U560" s="9">
        <f t="shared" si="65"/>
        <v>25</v>
      </c>
      <c r="V560" s="8">
        <v>35698</v>
      </c>
      <c r="W560" t="s">
        <v>493</v>
      </c>
      <c r="X560" s="2">
        <v>0.375</v>
      </c>
      <c r="Y560" s="7">
        <f t="shared" si="66"/>
        <v>1.0010410827260351E-2</v>
      </c>
      <c r="AA560">
        <v>135194</v>
      </c>
      <c r="AB560">
        <v>24918</v>
      </c>
      <c r="AD560" t="s">
        <v>1</v>
      </c>
      <c r="AE560">
        <v>33</v>
      </c>
      <c r="AF560">
        <v>20</v>
      </c>
      <c r="AH560" t="s">
        <v>2476</v>
      </c>
      <c r="AI560" t="s">
        <v>2475</v>
      </c>
      <c r="AJ560" t="s">
        <v>629</v>
      </c>
      <c r="AK560" t="s">
        <v>2474</v>
      </c>
      <c r="AL560">
        <v>4</v>
      </c>
      <c r="AM560" s="5">
        <f t="shared" si="67"/>
        <v>0.16</v>
      </c>
      <c r="AN560" s="4">
        <f t="shared" si="68"/>
        <v>2.4233244982961E-4</v>
      </c>
      <c r="AO560" s="3"/>
      <c r="AP560">
        <v>0</v>
      </c>
      <c r="AR560" t="s">
        <v>0</v>
      </c>
      <c r="AT560" s="2">
        <v>1.3140000000000001</v>
      </c>
      <c r="AU560" s="1">
        <f t="shared" si="69"/>
        <v>0.70799873140311287</v>
      </c>
      <c r="AV560" s="1">
        <f t="shared" si="70"/>
        <v>0.51263716385449809</v>
      </c>
      <c r="AW560" s="1">
        <f t="shared" si="71"/>
        <v>0.3172755963058832</v>
      </c>
    </row>
    <row r="561" spans="1:49" x14ac:dyDescent="0.2">
      <c r="A561">
        <v>559</v>
      </c>
      <c r="B561" t="s">
        <v>2473</v>
      </c>
      <c r="C561" t="s">
        <v>2472</v>
      </c>
      <c r="F561" t="s">
        <v>2471</v>
      </c>
      <c r="G561" t="s">
        <v>4</v>
      </c>
      <c r="H561" t="s">
        <v>3</v>
      </c>
      <c r="I561" t="s">
        <v>2470</v>
      </c>
      <c r="J561">
        <v>60015150</v>
      </c>
      <c r="K561" t="s">
        <v>2469</v>
      </c>
      <c r="L561" t="s">
        <v>49</v>
      </c>
      <c r="M561" t="s">
        <v>8</v>
      </c>
      <c r="N561">
        <v>3</v>
      </c>
      <c r="O561" t="s">
        <v>2468</v>
      </c>
      <c r="P561" t="s">
        <v>2467</v>
      </c>
      <c r="Q561" t="s">
        <v>2466</v>
      </c>
      <c r="R561" s="8">
        <v>35698</v>
      </c>
      <c r="S561" s="9">
        <f t="shared" si="64"/>
        <v>1997</v>
      </c>
      <c r="T561" s="9">
        <v>1997</v>
      </c>
      <c r="U561" s="9">
        <f t="shared" si="65"/>
        <v>25</v>
      </c>
      <c r="V561" s="8">
        <v>35698</v>
      </c>
      <c r="W561" t="s">
        <v>493</v>
      </c>
      <c r="X561" s="2">
        <v>0.375</v>
      </c>
      <c r="Y561" s="7">
        <f t="shared" si="66"/>
        <v>1.0010410827260351E-2</v>
      </c>
      <c r="AA561">
        <v>135194</v>
      </c>
      <c r="AB561">
        <v>24918</v>
      </c>
      <c r="AD561" t="s">
        <v>1</v>
      </c>
      <c r="AE561">
        <v>33</v>
      </c>
      <c r="AF561">
        <v>20</v>
      </c>
      <c r="AH561" t="s">
        <v>2465</v>
      </c>
      <c r="AI561" t="s">
        <v>2464</v>
      </c>
      <c r="AJ561" t="s">
        <v>2463</v>
      </c>
      <c r="AK561" t="s">
        <v>2462</v>
      </c>
      <c r="AL561">
        <v>0</v>
      </c>
      <c r="AM561" s="5">
        <f t="shared" si="67"/>
        <v>0</v>
      </c>
      <c r="AN561" s="4">
        <f t="shared" si="68"/>
        <v>0</v>
      </c>
      <c r="AO561" s="3"/>
      <c r="AP561">
        <v>0</v>
      </c>
      <c r="AR561" t="s">
        <v>0</v>
      </c>
      <c r="AT561" s="2">
        <v>1.3140000000000001</v>
      </c>
      <c r="AU561" s="1">
        <f t="shared" si="69"/>
        <v>0.70072875790822453</v>
      </c>
      <c r="AV561" s="1">
        <f t="shared" si="70"/>
        <v>0.5005205413630176</v>
      </c>
      <c r="AW561" s="1">
        <f t="shared" si="71"/>
        <v>0.30031232481781051</v>
      </c>
    </row>
    <row r="562" spans="1:49" x14ac:dyDescent="0.2">
      <c r="A562">
        <v>560</v>
      </c>
      <c r="B562" t="s">
        <v>2461</v>
      </c>
      <c r="C562" t="s">
        <v>2460</v>
      </c>
      <c r="E562">
        <v>9298954</v>
      </c>
      <c r="F562" t="s">
        <v>2459</v>
      </c>
      <c r="G562" t="s">
        <v>4</v>
      </c>
      <c r="H562" t="s">
        <v>3</v>
      </c>
      <c r="I562" t="s">
        <v>2458</v>
      </c>
      <c r="J562">
        <v>60005455</v>
      </c>
      <c r="K562" t="s">
        <v>604</v>
      </c>
      <c r="L562" t="s">
        <v>603</v>
      </c>
      <c r="M562" t="s">
        <v>2</v>
      </c>
      <c r="N562">
        <v>2</v>
      </c>
      <c r="O562" t="s">
        <v>2457</v>
      </c>
      <c r="P562" t="s">
        <v>2456</v>
      </c>
      <c r="Q562" t="s">
        <v>2455</v>
      </c>
      <c r="R562" s="8">
        <v>35696</v>
      </c>
      <c r="S562" s="9">
        <f t="shared" si="64"/>
        <v>1997</v>
      </c>
      <c r="T562" s="9">
        <v>1997</v>
      </c>
      <c r="U562" s="9">
        <f t="shared" si="65"/>
        <v>25</v>
      </c>
      <c r="V562" s="8">
        <v>35696</v>
      </c>
      <c r="W562" t="s">
        <v>587</v>
      </c>
      <c r="X562" s="2">
        <v>1.43</v>
      </c>
      <c r="Y562" s="7">
        <f t="shared" si="66"/>
        <v>3.8173033287952803E-2</v>
      </c>
      <c r="AA562">
        <v>62960</v>
      </c>
      <c r="AB562">
        <v>16867</v>
      </c>
      <c r="AD562" t="s">
        <v>1</v>
      </c>
      <c r="AE562">
        <v>36</v>
      </c>
      <c r="AF562">
        <v>38</v>
      </c>
      <c r="AH562" t="s">
        <v>2454</v>
      </c>
      <c r="AI562" t="s">
        <v>2453</v>
      </c>
      <c r="AK562" t="s">
        <v>2452</v>
      </c>
      <c r="AL562">
        <v>56</v>
      </c>
      <c r="AM562" s="5">
        <f t="shared" si="67"/>
        <v>2.2400000000000002</v>
      </c>
      <c r="AN562" s="4">
        <f t="shared" si="68"/>
        <v>3.3926542976145404E-3</v>
      </c>
      <c r="AO562" s="3"/>
      <c r="AP562">
        <v>0</v>
      </c>
      <c r="AQ562" t="s">
        <v>277</v>
      </c>
      <c r="AR562" t="s">
        <v>2451</v>
      </c>
      <c r="AS562" t="s">
        <v>276</v>
      </c>
      <c r="AT562" s="2">
        <v>3.1619999999999999</v>
      </c>
      <c r="AU562" s="1">
        <f t="shared" si="69"/>
        <v>2.7738919590851325</v>
      </c>
      <c r="AV562" s="1">
        <f t="shared" si="70"/>
        <v>2.078284379278367</v>
      </c>
      <c r="AW562" s="1">
        <f t="shared" si="71"/>
        <v>1.3826767994716018</v>
      </c>
    </row>
    <row r="563" spans="1:49" x14ac:dyDescent="0.2">
      <c r="A563">
        <v>561</v>
      </c>
      <c r="B563" t="s">
        <v>2450</v>
      </c>
      <c r="C563" t="s">
        <v>2449</v>
      </c>
      <c r="F563" t="s">
        <v>2448</v>
      </c>
      <c r="G563" t="s">
        <v>4</v>
      </c>
      <c r="H563" t="s">
        <v>3</v>
      </c>
      <c r="I563" t="s">
        <v>2447</v>
      </c>
      <c r="J563">
        <v>60121115</v>
      </c>
      <c r="K563" t="s">
        <v>79</v>
      </c>
      <c r="L563" t="s">
        <v>54</v>
      </c>
      <c r="M563" t="s">
        <v>8</v>
      </c>
      <c r="N563">
        <v>2</v>
      </c>
      <c r="O563" t="s">
        <v>2446</v>
      </c>
      <c r="P563" t="s">
        <v>2445</v>
      </c>
      <c r="Q563" t="s">
        <v>2444</v>
      </c>
      <c r="R563" s="8">
        <v>35695</v>
      </c>
      <c r="S563" s="9">
        <f t="shared" si="64"/>
        <v>1997</v>
      </c>
      <c r="T563" s="9">
        <v>1997</v>
      </c>
      <c r="U563" s="9">
        <f t="shared" si="65"/>
        <v>25</v>
      </c>
      <c r="V563" s="8">
        <v>35695</v>
      </c>
      <c r="W563" t="s">
        <v>606</v>
      </c>
      <c r="X563" s="2">
        <v>1.1819999999999999</v>
      </c>
      <c r="Y563" s="7">
        <f t="shared" si="66"/>
        <v>3.1552814927524625E-2</v>
      </c>
      <c r="AA563">
        <v>36951</v>
      </c>
      <c r="AB563">
        <v>27030</v>
      </c>
      <c r="AD563" t="s">
        <v>1</v>
      </c>
      <c r="AE563">
        <v>71</v>
      </c>
      <c r="AF563">
        <v>12</v>
      </c>
      <c r="AH563" t="s">
        <v>2443</v>
      </c>
      <c r="AI563" t="s">
        <v>2442</v>
      </c>
      <c r="AK563" t="s">
        <v>2441</v>
      </c>
      <c r="AL563">
        <v>33</v>
      </c>
      <c r="AM563" s="5">
        <f t="shared" si="67"/>
        <v>1.32</v>
      </c>
      <c r="AN563" s="4">
        <f t="shared" si="68"/>
        <v>1.9992427110942824E-3</v>
      </c>
      <c r="AO563" s="3"/>
      <c r="AP563">
        <v>0</v>
      </c>
      <c r="AR563" t="s">
        <v>0</v>
      </c>
      <c r="AT563" s="2">
        <v>3.7909999999999999</v>
      </c>
      <c r="AU563" s="1">
        <f t="shared" si="69"/>
        <v>2.2686743262595521</v>
      </c>
      <c r="AV563" s="1">
        <f t="shared" si="70"/>
        <v>1.6776028819309452</v>
      </c>
      <c r="AW563" s="1">
        <f t="shared" si="71"/>
        <v>1.0865314376023385</v>
      </c>
    </row>
    <row r="564" spans="1:49" x14ac:dyDescent="0.2">
      <c r="A564">
        <v>562</v>
      </c>
      <c r="B564" t="s">
        <v>2440</v>
      </c>
      <c r="C564" t="s">
        <v>2439</v>
      </c>
      <c r="F564" t="s">
        <v>2438</v>
      </c>
      <c r="G564" t="s">
        <v>4</v>
      </c>
      <c r="H564" t="s">
        <v>3</v>
      </c>
      <c r="I564" t="s">
        <v>2437</v>
      </c>
      <c r="J564">
        <v>60005273</v>
      </c>
      <c r="K564" t="s">
        <v>2436</v>
      </c>
      <c r="L564" t="s">
        <v>304</v>
      </c>
      <c r="M564" t="s">
        <v>303</v>
      </c>
      <c r="N564">
        <v>1</v>
      </c>
      <c r="O564" t="s">
        <v>2435</v>
      </c>
      <c r="P564">
        <v>34869409800</v>
      </c>
      <c r="Q564">
        <v>60005273</v>
      </c>
      <c r="R564" s="8">
        <v>35695</v>
      </c>
      <c r="S564" s="9">
        <f t="shared" si="64"/>
        <v>1997</v>
      </c>
      <c r="T564" s="9">
        <v>1997</v>
      </c>
      <c r="U564" s="9">
        <f t="shared" si="65"/>
        <v>25</v>
      </c>
      <c r="V564" s="8">
        <v>35695</v>
      </c>
      <c r="W564" t="s">
        <v>2153</v>
      </c>
      <c r="X564" s="2">
        <v>1.071</v>
      </c>
      <c r="Y564" s="7">
        <f t="shared" si="66"/>
        <v>2.8589733322655561E-2</v>
      </c>
      <c r="AA564">
        <v>219606</v>
      </c>
      <c r="AB564">
        <v>28134</v>
      </c>
      <c r="AD564" t="s">
        <v>1</v>
      </c>
      <c r="AE564">
        <v>107</v>
      </c>
      <c r="AF564">
        <v>12</v>
      </c>
      <c r="AH564" t="s">
        <v>2434</v>
      </c>
      <c r="AI564" t="s">
        <v>2433</v>
      </c>
      <c r="AK564" t="s">
        <v>2432</v>
      </c>
      <c r="AL564">
        <v>3</v>
      </c>
      <c r="AM564" s="5">
        <f t="shared" si="67"/>
        <v>0.12</v>
      </c>
      <c r="AN564" s="4">
        <f t="shared" si="68"/>
        <v>1.8174933737220749E-4</v>
      </c>
      <c r="AO564" s="3"/>
      <c r="AP564">
        <v>0</v>
      </c>
      <c r="AR564" t="s">
        <v>0</v>
      </c>
      <c r="AT564" s="2">
        <v>3.488</v>
      </c>
      <c r="AU564" s="1">
        <f t="shared" si="69"/>
        <v>2.0067338127070555</v>
      </c>
      <c r="AV564" s="1">
        <f t="shared" si="70"/>
        <v>1.4385741330013886</v>
      </c>
      <c r="AW564" s="1">
        <f t="shared" si="71"/>
        <v>0.87041445329572131</v>
      </c>
    </row>
    <row r="565" spans="1:49" x14ac:dyDescent="0.2">
      <c r="A565">
        <v>563</v>
      </c>
      <c r="B565" t="s">
        <v>2431</v>
      </c>
      <c r="C565" t="s">
        <v>2430</v>
      </c>
      <c r="F565" t="s">
        <v>2429</v>
      </c>
      <c r="G565" t="s">
        <v>4</v>
      </c>
      <c r="H565" t="s">
        <v>3</v>
      </c>
      <c r="I565" t="s">
        <v>2428</v>
      </c>
      <c r="J565" t="s">
        <v>2427</v>
      </c>
      <c r="K565" t="s">
        <v>2426</v>
      </c>
      <c r="L565" t="s">
        <v>2425</v>
      </c>
      <c r="M565" t="s">
        <v>2424</v>
      </c>
      <c r="N565">
        <v>2</v>
      </c>
      <c r="O565" t="s">
        <v>2423</v>
      </c>
      <c r="P565" t="s">
        <v>2422</v>
      </c>
      <c r="Q565" t="s">
        <v>2421</v>
      </c>
      <c r="R565" s="8">
        <v>35695</v>
      </c>
      <c r="S565" s="9">
        <f t="shared" si="64"/>
        <v>1997</v>
      </c>
      <c r="T565" s="9">
        <v>1997</v>
      </c>
      <c r="U565" s="9">
        <f t="shared" si="65"/>
        <v>25</v>
      </c>
      <c r="V565" s="8">
        <v>1997</v>
      </c>
      <c r="W565" t="s">
        <v>99</v>
      </c>
      <c r="X565" s="2">
        <v>1.1579999999999999</v>
      </c>
      <c r="Y565" s="7">
        <f t="shared" si="66"/>
        <v>3.0912148634579962E-2</v>
      </c>
      <c r="AA565">
        <v>1668595</v>
      </c>
      <c r="AB565">
        <v>14223</v>
      </c>
      <c r="AD565" t="s">
        <v>1</v>
      </c>
      <c r="AE565">
        <v>52</v>
      </c>
      <c r="AF565">
        <v>2</v>
      </c>
      <c r="AH565" t="s">
        <v>186</v>
      </c>
      <c r="AI565" t="s">
        <v>2420</v>
      </c>
      <c r="AJ565" t="s">
        <v>2419</v>
      </c>
      <c r="AK565" t="s">
        <v>2418</v>
      </c>
      <c r="AL565">
        <v>41</v>
      </c>
      <c r="AM565" s="5">
        <f t="shared" si="67"/>
        <v>1.64</v>
      </c>
      <c r="AN565" s="4">
        <f t="shared" si="68"/>
        <v>2.4839076107535025E-3</v>
      </c>
      <c r="AO565" s="3"/>
      <c r="AP565">
        <v>0</v>
      </c>
      <c r="AQ565" t="s">
        <v>2417</v>
      </c>
      <c r="AR565" t="s">
        <v>696</v>
      </c>
      <c r="AS565" t="s">
        <v>2416</v>
      </c>
      <c r="AT565" s="2">
        <v>3.573</v>
      </c>
      <c r="AU565" s="1">
        <f t="shared" si="69"/>
        <v>2.2383676327432021</v>
      </c>
      <c r="AV565" s="1">
        <f t="shared" si="70"/>
        <v>1.669802812266673</v>
      </c>
      <c r="AW565" s="1">
        <f t="shared" si="71"/>
        <v>1.101237991790144</v>
      </c>
    </row>
    <row r="566" spans="1:49" x14ac:dyDescent="0.2">
      <c r="A566">
        <v>564</v>
      </c>
      <c r="B566" t="s">
        <v>2415</v>
      </c>
      <c r="C566" t="s">
        <v>2414</v>
      </c>
      <c r="F566" t="s">
        <v>2413</v>
      </c>
      <c r="G566" t="s">
        <v>4</v>
      </c>
      <c r="H566" t="s">
        <v>3</v>
      </c>
      <c r="I566" t="s">
        <v>2412</v>
      </c>
      <c r="J566" t="s">
        <v>2411</v>
      </c>
      <c r="K566" t="s">
        <v>2410</v>
      </c>
      <c r="L566" t="s">
        <v>2409</v>
      </c>
      <c r="M566" t="s">
        <v>372</v>
      </c>
      <c r="N566">
        <v>3</v>
      </c>
      <c r="O566" t="s">
        <v>2408</v>
      </c>
      <c r="P566" t="s">
        <v>2407</v>
      </c>
      <c r="Q566" t="s">
        <v>2406</v>
      </c>
      <c r="R566" s="8">
        <v>35695</v>
      </c>
      <c r="S566" s="9">
        <f t="shared" si="64"/>
        <v>1997</v>
      </c>
      <c r="T566" s="9">
        <v>1997</v>
      </c>
      <c r="U566" s="9">
        <f t="shared" si="65"/>
        <v>25</v>
      </c>
      <c r="V566" s="8">
        <v>1997</v>
      </c>
      <c r="W566" t="s">
        <v>99</v>
      </c>
      <c r="X566" s="2">
        <v>1.1579999999999999</v>
      </c>
      <c r="Y566" s="7">
        <f t="shared" si="66"/>
        <v>3.0912148634579962E-2</v>
      </c>
      <c r="AA566">
        <v>1668595</v>
      </c>
      <c r="AB566">
        <v>14223</v>
      </c>
      <c r="AD566" t="s">
        <v>1</v>
      </c>
      <c r="AE566">
        <v>52</v>
      </c>
      <c r="AF566">
        <v>2</v>
      </c>
      <c r="AH566" t="s">
        <v>2405</v>
      </c>
      <c r="AI566" t="s">
        <v>2404</v>
      </c>
      <c r="AJ566" t="s">
        <v>2403</v>
      </c>
      <c r="AK566" t="s">
        <v>2402</v>
      </c>
      <c r="AL566">
        <v>18</v>
      </c>
      <c r="AM566" s="5">
        <f t="shared" si="67"/>
        <v>0.72</v>
      </c>
      <c r="AN566" s="4">
        <f t="shared" si="68"/>
        <v>1.090496024233245E-3</v>
      </c>
      <c r="AO566" s="3"/>
      <c r="AP566">
        <v>0</v>
      </c>
      <c r="AQ566" t="s">
        <v>2401</v>
      </c>
      <c r="AR566" t="s">
        <v>578</v>
      </c>
      <c r="AS566" t="s">
        <v>2400</v>
      </c>
      <c r="AT566" s="2">
        <v>3.573</v>
      </c>
      <c r="AU566" s="1">
        <f t="shared" si="69"/>
        <v>2.1965652851475945</v>
      </c>
      <c r="AV566" s="1">
        <f t="shared" si="70"/>
        <v>1.6001322329406604</v>
      </c>
      <c r="AW566" s="1">
        <f t="shared" si="71"/>
        <v>1.0036991807337259</v>
      </c>
    </row>
    <row r="567" spans="1:49" x14ac:dyDescent="0.2">
      <c r="A567">
        <v>565</v>
      </c>
      <c r="B567" t="s">
        <v>2399</v>
      </c>
      <c r="C567" t="s">
        <v>2398</v>
      </c>
      <c r="F567" t="s">
        <v>2397</v>
      </c>
      <c r="G567" t="s">
        <v>4</v>
      </c>
      <c r="H567" t="s">
        <v>3</v>
      </c>
      <c r="I567" t="s">
        <v>2396</v>
      </c>
      <c r="J567" t="s">
        <v>2395</v>
      </c>
      <c r="K567" t="s">
        <v>2394</v>
      </c>
      <c r="L567" t="s">
        <v>2393</v>
      </c>
      <c r="M567" t="s">
        <v>2392</v>
      </c>
      <c r="N567">
        <v>3</v>
      </c>
      <c r="O567" t="s">
        <v>2391</v>
      </c>
      <c r="P567" t="s">
        <v>2390</v>
      </c>
      <c r="Q567" t="s">
        <v>2389</v>
      </c>
      <c r="R567" s="8">
        <v>35695</v>
      </c>
      <c r="S567" s="9">
        <f t="shared" si="64"/>
        <v>1997</v>
      </c>
      <c r="T567" s="9">
        <v>1997</v>
      </c>
      <c r="U567" s="9">
        <f t="shared" si="65"/>
        <v>25</v>
      </c>
      <c r="V567" s="8">
        <v>1997</v>
      </c>
      <c r="W567" t="s">
        <v>99</v>
      </c>
      <c r="X567" s="2">
        <v>1.1579999999999999</v>
      </c>
      <c r="Y567" s="7">
        <f t="shared" si="66"/>
        <v>3.0912148634579962E-2</v>
      </c>
      <c r="AA567">
        <v>1668595</v>
      </c>
      <c r="AB567">
        <v>14223</v>
      </c>
      <c r="AD567" t="s">
        <v>1</v>
      </c>
      <c r="AE567">
        <v>52</v>
      </c>
      <c r="AF567">
        <v>2</v>
      </c>
      <c r="AH567" t="s">
        <v>2388</v>
      </c>
      <c r="AI567" t="s">
        <v>2387</v>
      </c>
      <c r="AJ567" t="s">
        <v>2386</v>
      </c>
      <c r="AK567" t="s">
        <v>2385</v>
      </c>
      <c r="AL567">
        <v>72</v>
      </c>
      <c r="AM567" s="5">
        <f t="shared" si="67"/>
        <v>2.88</v>
      </c>
      <c r="AN567" s="4">
        <f t="shared" si="68"/>
        <v>4.36198409693298E-3</v>
      </c>
      <c r="AO567" s="3"/>
      <c r="AP567">
        <v>0</v>
      </c>
      <c r="AQ567" t="s">
        <v>124</v>
      </c>
      <c r="AR567" t="s">
        <v>2384</v>
      </c>
      <c r="AS567" t="s">
        <v>123</v>
      </c>
      <c r="AT567" s="2">
        <v>3.573</v>
      </c>
      <c r="AU567" s="1">
        <f t="shared" si="69"/>
        <v>2.2947099273285865</v>
      </c>
      <c r="AV567" s="1">
        <f t="shared" si="70"/>
        <v>1.7637066365756471</v>
      </c>
      <c r="AW567" s="1">
        <f t="shared" si="71"/>
        <v>1.2327033458227075</v>
      </c>
    </row>
    <row r="568" spans="1:49" x14ac:dyDescent="0.2">
      <c r="A568">
        <v>566</v>
      </c>
      <c r="B568" t="s">
        <v>2383</v>
      </c>
      <c r="C568" t="s">
        <v>2382</v>
      </c>
      <c r="F568" t="s">
        <v>2381</v>
      </c>
      <c r="G568" t="s">
        <v>4</v>
      </c>
      <c r="H568" t="s">
        <v>3</v>
      </c>
      <c r="I568" t="s">
        <v>2380</v>
      </c>
      <c r="J568" t="s">
        <v>2379</v>
      </c>
      <c r="K568" t="s">
        <v>2378</v>
      </c>
      <c r="L568" t="s">
        <v>2377</v>
      </c>
      <c r="M568" t="s">
        <v>64</v>
      </c>
      <c r="N568">
        <v>3</v>
      </c>
      <c r="O568" t="s">
        <v>2376</v>
      </c>
      <c r="P568" t="s">
        <v>2375</v>
      </c>
      <c r="Q568" t="s">
        <v>2374</v>
      </c>
      <c r="R568" s="8">
        <v>35694</v>
      </c>
      <c r="S568" s="9">
        <f t="shared" si="64"/>
        <v>1997</v>
      </c>
      <c r="T568" s="9">
        <v>1997</v>
      </c>
      <c r="U568" s="9">
        <f t="shared" si="65"/>
        <v>25</v>
      </c>
      <c r="V568" s="8">
        <v>35694</v>
      </c>
      <c r="W568" t="s">
        <v>2373</v>
      </c>
      <c r="X568" s="2" t="s">
        <v>5</v>
      </c>
      <c r="Y568" s="7" t="e">
        <f t="shared" si="66"/>
        <v>#VALUE!</v>
      </c>
      <c r="AA568" t="s">
        <v>2372</v>
      </c>
      <c r="AB568">
        <v>96876</v>
      </c>
      <c r="AD568" t="s">
        <v>1</v>
      </c>
      <c r="AF568">
        <v>18</v>
      </c>
      <c r="AH568" t="s">
        <v>2371</v>
      </c>
      <c r="AI568" t="s">
        <v>2370</v>
      </c>
      <c r="AK568" t="s">
        <v>2369</v>
      </c>
      <c r="AL568">
        <v>10</v>
      </c>
      <c r="AM568" s="5">
        <f t="shared" si="67"/>
        <v>0.4</v>
      </c>
      <c r="AN568" s="4">
        <f t="shared" si="68"/>
        <v>6.0583112457402507E-4</v>
      </c>
      <c r="AO568" s="3"/>
      <c r="AP568">
        <v>0</v>
      </c>
      <c r="AR568" t="s">
        <v>0</v>
      </c>
      <c r="AT568" s="2" t="s">
        <v>5</v>
      </c>
      <c r="AU568" s="1" t="e">
        <f t="shared" si="69"/>
        <v>#VALUE!</v>
      </c>
      <c r="AV568" s="1" t="e">
        <f t="shared" si="70"/>
        <v>#VALUE!</v>
      </c>
      <c r="AW568" s="1" t="e">
        <f t="shared" si="71"/>
        <v>#VALUE!</v>
      </c>
    </row>
    <row r="569" spans="1:49" x14ac:dyDescent="0.2">
      <c r="A569">
        <v>567</v>
      </c>
      <c r="B569" t="s">
        <v>2368</v>
      </c>
      <c r="C569" t="s">
        <v>2367</v>
      </c>
      <c r="F569" t="s">
        <v>2366</v>
      </c>
      <c r="G569" t="s">
        <v>4</v>
      </c>
      <c r="H569" t="s">
        <v>3</v>
      </c>
      <c r="I569" t="s">
        <v>2365</v>
      </c>
      <c r="J569">
        <v>60025858</v>
      </c>
      <c r="K569" t="s">
        <v>165</v>
      </c>
      <c r="L569" t="s">
        <v>164</v>
      </c>
      <c r="M569" t="s">
        <v>81</v>
      </c>
      <c r="N569">
        <v>2</v>
      </c>
      <c r="O569" t="s">
        <v>2364</v>
      </c>
      <c r="P569" t="s">
        <v>2363</v>
      </c>
      <c r="Q569" t="s">
        <v>2362</v>
      </c>
      <c r="R569" s="8">
        <v>35693</v>
      </c>
      <c r="S569" s="9">
        <f t="shared" si="64"/>
        <v>1997</v>
      </c>
      <c r="T569" s="9">
        <v>1997</v>
      </c>
      <c r="U569" s="9">
        <f t="shared" si="65"/>
        <v>25</v>
      </c>
      <c r="V569" s="8">
        <v>35693</v>
      </c>
      <c r="W569" t="s">
        <v>2361</v>
      </c>
      <c r="X569" s="2">
        <v>1.1359999999999999</v>
      </c>
      <c r="Y569" s="7">
        <f t="shared" si="66"/>
        <v>3.0324871199380689E-2</v>
      </c>
      <c r="AA569">
        <v>63592</v>
      </c>
      <c r="AB569">
        <v>15477</v>
      </c>
      <c r="AD569" t="s">
        <v>1</v>
      </c>
      <c r="AE569">
        <v>55</v>
      </c>
      <c r="AF569">
        <v>6</v>
      </c>
      <c r="AH569" t="s">
        <v>2360</v>
      </c>
      <c r="AI569" t="s">
        <v>2359</v>
      </c>
      <c r="AJ569" t="s">
        <v>2358</v>
      </c>
      <c r="AK569" t="s">
        <v>2357</v>
      </c>
      <c r="AL569">
        <v>83</v>
      </c>
      <c r="AM569" s="5">
        <f t="shared" si="67"/>
        <v>3.32</v>
      </c>
      <c r="AN569" s="4">
        <f t="shared" si="68"/>
        <v>5.0283983339644072E-3</v>
      </c>
      <c r="AO569" s="3"/>
      <c r="AP569">
        <v>0</v>
      </c>
      <c r="AR569" t="s">
        <v>0</v>
      </c>
      <c r="AT569" s="2">
        <v>4.53</v>
      </c>
      <c r="AU569" s="1">
        <f t="shared" si="69"/>
        <v>2.2735929339755803</v>
      </c>
      <c r="AV569" s="1">
        <f t="shared" si="70"/>
        <v>1.7676634766672548</v>
      </c>
      <c r="AW569" s="1">
        <f t="shared" si="71"/>
        <v>1.261734019358929</v>
      </c>
    </row>
    <row r="570" spans="1:49" x14ac:dyDescent="0.2">
      <c r="A570">
        <v>568</v>
      </c>
      <c r="B570" t="s">
        <v>2356</v>
      </c>
      <c r="C570" t="s">
        <v>2355</v>
      </c>
      <c r="F570" t="s">
        <v>2354</v>
      </c>
      <c r="G570" t="s">
        <v>4</v>
      </c>
      <c r="H570" t="s">
        <v>3</v>
      </c>
      <c r="I570" t="s">
        <v>589</v>
      </c>
      <c r="J570" t="s">
        <v>2248</v>
      </c>
      <c r="K570" t="s">
        <v>2247</v>
      </c>
      <c r="L570" t="s">
        <v>2246</v>
      </c>
      <c r="M570" t="s">
        <v>2245</v>
      </c>
      <c r="N570">
        <v>2</v>
      </c>
      <c r="O570" t="s">
        <v>2353</v>
      </c>
      <c r="P570" t="s">
        <v>700</v>
      </c>
      <c r="Q570" t="s">
        <v>2352</v>
      </c>
      <c r="R570" s="8">
        <v>35691</v>
      </c>
      <c r="S570" s="9">
        <f t="shared" si="64"/>
        <v>1997</v>
      </c>
      <c r="T570" s="9">
        <v>1997</v>
      </c>
      <c r="U570" s="9">
        <f t="shared" si="65"/>
        <v>25</v>
      </c>
      <c r="V570" s="8">
        <v>35691</v>
      </c>
      <c r="W570" t="s">
        <v>2153</v>
      </c>
      <c r="X570" s="2">
        <v>1.071</v>
      </c>
      <c r="Y570" s="7">
        <f t="shared" si="66"/>
        <v>2.8589733322655561E-2</v>
      </c>
      <c r="AA570">
        <v>219606</v>
      </c>
      <c r="AB570">
        <v>28134</v>
      </c>
      <c r="AD570" t="s">
        <v>1</v>
      </c>
      <c r="AE570">
        <v>107</v>
      </c>
      <c r="AF570">
        <v>11</v>
      </c>
      <c r="AH570" t="s">
        <v>2351</v>
      </c>
      <c r="AI570" t="s">
        <v>2350</v>
      </c>
      <c r="AK570" t="s">
        <v>2349</v>
      </c>
      <c r="AL570">
        <v>147</v>
      </c>
      <c r="AM570" s="5">
        <f t="shared" si="67"/>
        <v>5.88</v>
      </c>
      <c r="AN570" s="4">
        <f t="shared" si="68"/>
        <v>8.9057175312381668E-3</v>
      </c>
      <c r="AO570" s="3"/>
      <c r="AP570">
        <v>0</v>
      </c>
      <c r="AR570" t="s">
        <v>0</v>
      </c>
      <c r="AT570" s="2">
        <v>3.488</v>
      </c>
      <c r="AU570" s="1">
        <f t="shared" si="69"/>
        <v>2.2684528585230344</v>
      </c>
      <c r="AV570" s="1">
        <f t="shared" si="70"/>
        <v>1.8747725426946864</v>
      </c>
      <c r="AW570" s="1">
        <f t="shared" si="71"/>
        <v>1.4810922268663385</v>
      </c>
    </row>
    <row r="571" spans="1:49" x14ac:dyDescent="0.2">
      <c r="A571">
        <v>569</v>
      </c>
      <c r="B571" t="s">
        <v>2348</v>
      </c>
      <c r="C571" t="s">
        <v>2347</v>
      </c>
      <c r="F571" t="s">
        <v>2346</v>
      </c>
      <c r="G571" t="s">
        <v>4</v>
      </c>
      <c r="H571" t="s">
        <v>3</v>
      </c>
      <c r="I571" t="s">
        <v>586</v>
      </c>
      <c r="J571" t="s">
        <v>2345</v>
      </c>
      <c r="K571" t="s">
        <v>2344</v>
      </c>
      <c r="L571" t="s">
        <v>2343</v>
      </c>
      <c r="M571" t="s">
        <v>2342</v>
      </c>
      <c r="N571">
        <v>5</v>
      </c>
      <c r="O571" t="s">
        <v>2341</v>
      </c>
      <c r="P571" t="s">
        <v>2340</v>
      </c>
      <c r="Q571" t="s">
        <v>2339</v>
      </c>
      <c r="R571" s="8">
        <v>35691</v>
      </c>
      <c r="S571" s="9">
        <f t="shared" si="64"/>
        <v>1997</v>
      </c>
      <c r="T571" s="9">
        <v>1997</v>
      </c>
      <c r="U571" s="9">
        <f t="shared" si="65"/>
        <v>25</v>
      </c>
      <c r="V571" s="8">
        <v>35691</v>
      </c>
      <c r="W571" t="s">
        <v>585</v>
      </c>
      <c r="X571" s="2">
        <v>0.86399999999999999</v>
      </c>
      <c r="Y571" s="7">
        <f t="shared" si="66"/>
        <v>2.3063986546007848E-2</v>
      </c>
      <c r="AA571">
        <v>15206106</v>
      </c>
      <c r="AB571">
        <v>26970</v>
      </c>
      <c r="AD571" t="s">
        <v>1</v>
      </c>
      <c r="AE571">
        <v>101</v>
      </c>
      <c r="AF571">
        <v>38</v>
      </c>
      <c r="AH571" t="s">
        <v>2338</v>
      </c>
      <c r="AI571" t="s">
        <v>2337</v>
      </c>
      <c r="AK571" t="s">
        <v>2336</v>
      </c>
      <c r="AL571">
        <v>93</v>
      </c>
      <c r="AM571" s="5">
        <f t="shared" si="67"/>
        <v>3.72</v>
      </c>
      <c r="AN571" s="4">
        <f t="shared" si="68"/>
        <v>5.6342294585384331E-3</v>
      </c>
      <c r="AO571" s="3"/>
      <c r="AP571">
        <v>0</v>
      </c>
      <c r="AR571" t="s">
        <v>0</v>
      </c>
      <c r="AT571" s="2">
        <v>2.9910000000000001</v>
      </c>
      <c r="AU571" s="1">
        <f t="shared" si="69"/>
        <v>1.7835059419767021</v>
      </c>
      <c r="AV571" s="1">
        <f t="shared" si="70"/>
        <v>1.4349108002273141</v>
      </c>
      <c r="AW571" s="1">
        <f t="shared" si="71"/>
        <v>1.0863156584779257</v>
      </c>
    </row>
    <row r="572" spans="1:49" x14ac:dyDescent="0.2">
      <c r="A572">
        <v>570</v>
      </c>
      <c r="B572" t="s">
        <v>2335</v>
      </c>
      <c r="C572" t="s">
        <v>2334</v>
      </c>
      <c r="F572" t="s">
        <v>2333</v>
      </c>
      <c r="G572" t="s">
        <v>4</v>
      </c>
      <c r="H572" t="s">
        <v>3</v>
      </c>
      <c r="I572" t="s">
        <v>1822</v>
      </c>
      <c r="J572" t="s">
        <v>2332</v>
      </c>
      <c r="K572" t="s">
        <v>2331</v>
      </c>
      <c r="L572" t="s">
        <v>2330</v>
      </c>
      <c r="M572" t="s">
        <v>64</v>
      </c>
      <c r="N572">
        <v>3</v>
      </c>
      <c r="O572" t="s">
        <v>2329</v>
      </c>
      <c r="P572" t="s">
        <v>2328</v>
      </c>
      <c r="Q572" t="s">
        <v>2327</v>
      </c>
      <c r="R572" s="8">
        <v>35688</v>
      </c>
      <c r="S572" s="9">
        <f t="shared" si="64"/>
        <v>1997</v>
      </c>
      <c r="T572" s="9">
        <v>1997</v>
      </c>
      <c r="U572" s="9">
        <f t="shared" si="65"/>
        <v>25</v>
      </c>
      <c r="V572" s="8">
        <v>35688</v>
      </c>
      <c r="W572" t="s">
        <v>2326</v>
      </c>
      <c r="X572" s="2">
        <v>1.276</v>
      </c>
      <c r="Y572" s="7">
        <f t="shared" si="66"/>
        <v>3.4062091241557887E-2</v>
      </c>
      <c r="AA572">
        <v>214922</v>
      </c>
      <c r="AB572">
        <v>75087</v>
      </c>
      <c r="AD572" t="s">
        <v>1</v>
      </c>
      <c r="AE572">
        <v>36</v>
      </c>
      <c r="AF572" t="s">
        <v>2325</v>
      </c>
      <c r="AI572" t="s">
        <v>2324</v>
      </c>
      <c r="AJ572" t="s">
        <v>2323</v>
      </c>
      <c r="AK572" t="s">
        <v>2322</v>
      </c>
      <c r="AL572">
        <v>79</v>
      </c>
      <c r="AM572" s="5">
        <f t="shared" si="67"/>
        <v>3.16</v>
      </c>
      <c r="AN572" s="4">
        <f t="shared" si="68"/>
        <v>4.7860658841347974E-3</v>
      </c>
      <c r="AO572" s="3"/>
      <c r="AP572">
        <v>0</v>
      </c>
      <c r="AR572" t="s">
        <v>0</v>
      </c>
      <c r="AT572" s="2" t="s">
        <v>5</v>
      </c>
      <c r="AU572" s="1">
        <f t="shared" si="69"/>
        <v>2.5279283634330958</v>
      </c>
      <c r="AV572" s="1">
        <f t="shared" si="70"/>
        <v>1.9424078562846343</v>
      </c>
      <c r="AW572" s="1">
        <f t="shared" si="71"/>
        <v>1.3568873491361724</v>
      </c>
    </row>
    <row r="573" spans="1:49" x14ac:dyDescent="0.2">
      <c r="A573">
        <v>571</v>
      </c>
      <c r="B573" t="s">
        <v>2321</v>
      </c>
      <c r="C573" t="s">
        <v>2320</v>
      </c>
      <c r="D573" t="s">
        <v>2319</v>
      </c>
      <c r="E573">
        <v>9323043</v>
      </c>
      <c r="F573" t="s">
        <v>2318</v>
      </c>
      <c r="G573" t="s">
        <v>4</v>
      </c>
      <c r="H573" t="s">
        <v>3</v>
      </c>
      <c r="I573" t="s">
        <v>2317</v>
      </c>
      <c r="J573" t="s">
        <v>2316</v>
      </c>
      <c r="K573" t="s">
        <v>2315</v>
      </c>
      <c r="L573" t="s">
        <v>2314</v>
      </c>
      <c r="M573" t="s">
        <v>122</v>
      </c>
      <c r="N573">
        <v>6</v>
      </c>
      <c r="O573" t="s">
        <v>2313</v>
      </c>
      <c r="P573" t="s">
        <v>2312</v>
      </c>
      <c r="Q573" t="s">
        <v>2311</v>
      </c>
      <c r="R573" s="8">
        <v>35688</v>
      </c>
      <c r="S573" s="9">
        <f t="shared" si="64"/>
        <v>1997</v>
      </c>
      <c r="T573" s="9">
        <v>1997</v>
      </c>
      <c r="U573" s="9">
        <f t="shared" si="65"/>
        <v>25</v>
      </c>
      <c r="V573" s="8">
        <v>35688</v>
      </c>
      <c r="W573" t="s">
        <v>759</v>
      </c>
      <c r="X573" s="2">
        <v>1.593</v>
      </c>
      <c r="Y573" s="7">
        <f t="shared" si="66"/>
        <v>4.2524225194201973E-2</v>
      </c>
      <c r="AA573">
        <v>145793</v>
      </c>
      <c r="AB573">
        <v>17481</v>
      </c>
      <c r="AD573" t="s">
        <v>1</v>
      </c>
      <c r="AE573">
        <v>414</v>
      </c>
      <c r="AF573">
        <v>3</v>
      </c>
      <c r="AH573" t="s">
        <v>2310</v>
      </c>
      <c r="AI573" t="s">
        <v>2309</v>
      </c>
      <c r="AJ573" t="s">
        <v>2308</v>
      </c>
      <c r="AK573" t="s">
        <v>2307</v>
      </c>
      <c r="AL573">
        <v>30</v>
      </c>
      <c r="AM573" s="5">
        <f t="shared" si="67"/>
        <v>1.2</v>
      </c>
      <c r="AN573" s="4">
        <f t="shared" si="68"/>
        <v>1.8174933737220749E-3</v>
      </c>
      <c r="AO573" s="3"/>
      <c r="AP573">
        <v>1</v>
      </c>
      <c r="AQ573" t="s">
        <v>2306</v>
      </c>
      <c r="AR573" t="s">
        <v>0</v>
      </c>
      <c r="AS573" t="s">
        <v>2305</v>
      </c>
      <c r="AT573" s="2">
        <v>4.1239999999999997</v>
      </c>
      <c r="AU573" s="1">
        <f t="shared" si="69"/>
        <v>3.0312205648058002</v>
      </c>
      <c r="AV573" s="1">
        <f t="shared" si="70"/>
        <v>2.2170859283962026</v>
      </c>
      <c r="AW573" s="1">
        <f t="shared" si="71"/>
        <v>1.4029512919866043</v>
      </c>
    </row>
    <row r="574" spans="1:49" x14ac:dyDescent="0.2">
      <c r="A574">
        <v>572</v>
      </c>
      <c r="B574" t="s">
        <v>2304</v>
      </c>
      <c r="C574" t="s">
        <v>2303</v>
      </c>
      <c r="F574" t="s">
        <v>2302</v>
      </c>
      <c r="G574" t="s">
        <v>4</v>
      </c>
      <c r="H574" t="s">
        <v>3</v>
      </c>
      <c r="I574" t="s">
        <v>2301</v>
      </c>
      <c r="J574">
        <v>60009037</v>
      </c>
      <c r="K574" t="s">
        <v>314</v>
      </c>
      <c r="L574" t="s">
        <v>313</v>
      </c>
      <c r="M574" t="s">
        <v>2</v>
      </c>
      <c r="N574">
        <v>5</v>
      </c>
      <c r="O574" t="s">
        <v>2300</v>
      </c>
      <c r="P574" t="s">
        <v>328</v>
      </c>
      <c r="Q574" t="s">
        <v>327</v>
      </c>
      <c r="R574" s="8">
        <v>35688</v>
      </c>
      <c r="S574" s="9">
        <f t="shared" si="64"/>
        <v>1997</v>
      </c>
      <c r="T574" s="9">
        <v>1997</v>
      </c>
      <c r="U574" s="9">
        <f t="shared" si="65"/>
        <v>25</v>
      </c>
      <c r="V574" s="8">
        <v>35688</v>
      </c>
      <c r="W574" t="s">
        <v>606</v>
      </c>
      <c r="X574" s="2">
        <v>1.1819999999999999</v>
      </c>
      <c r="Y574" s="7">
        <f t="shared" si="66"/>
        <v>3.1552814927524625E-2</v>
      </c>
      <c r="AA574">
        <v>36951</v>
      </c>
      <c r="AB574">
        <v>27030</v>
      </c>
      <c r="AD574" t="s">
        <v>1</v>
      </c>
      <c r="AE574">
        <v>71</v>
      </c>
      <c r="AF574">
        <v>11</v>
      </c>
      <c r="AH574" t="s">
        <v>2299</v>
      </c>
      <c r="AI574" t="s">
        <v>2298</v>
      </c>
      <c r="AK574" t="s">
        <v>2297</v>
      </c>
      <c r="AL574">
        <v>68</v>
      </c>
      <c r="AM574" s="5">
        <f t="shared" si="67"/>
        <v>2.72</v>
      </c>
      <c r="AN574" s="4">
        <f t="shared" si="68"/>
        <v>4.1196516471033702E-3</v>
      </c>
      <c r="AO574" s="3"/>
      <c r="AP574">
        <v>0</v>
      </c>
      <c r="AR574" t="s">
        <v>0</v>
      </c>
      <c r="AT574" s="2">
        <v>3.7909999999999999</v>
      </c>
      <c r="AU574" s="1">
        <f t="shared" si="69"/>
        <v>2.3322865943398248</v>
      </c>
      <c r="AV574" s="1">
        <f t="shared" si="70"/>
        <v>1.7836233287313998</v>
      </c>
      <c r="AW574" s="1">
        <f t="shared" si="71"/>
        <v>1.2349600631229747</v>
      </c>
    </row>
    <row r="575" spans="1:49" x14ac:dyDescent="0.2">
      <c r="A575">
        <v>573</v>
      </c>
      <c r="B575" t="s">
        <v>2296</v>
      </c>
      <c r="C575" t="s">
        <v>2295</v>
      </c>
      <c r="F575" t="s">
        <v>2294</v>
      </c>
      <c r="G575" t="s">
        <v>4</v>
      </c>
      <c r="H575" t="s">
        <v>3</v>
      </c>
      <c r="I575" t="s">
        <v>38</v>
      </c>
      <c r="J575">
        <v>60000762</v>
      </c>
      <c r="K575" t="s">
        <v>37</v>
      </c>
      <c r="L575" t="s">
        <v>36</v>
      </c>
      <c r="M575" t="s">
        <v>7</v>
      </c>
      <c r="N575">
        <v>2</v>
      </c>
      <c r="O575" t="s">
        <v>35</v>
      </c>
      <c r="P575" t="s">
        <v>34</v>
      </c>
      <c r="Q575" t="s">
        <v>33</v>
      </c>
      <c r="R575" s="8">
        <v>35684</v>
      </c>
      <c r="S575" s="9">
        <f t="shared" si="64"/>
        <v>1997</v>
      </c>
      <c r="T575" s="9">
        <v>1997</v>
      </c>
      <c r="U575" s="9">
        <f t="shared" si="65"/>
        <v>25</v>
      </c>
      <c r="V575" s="8">
        <v>35684</v>
      </c>
      <c r="W575" t="s">
        <v>585</v>
      </c>
      <c r="X575" s="2">
        <v>0.86399999999999999</v>
      </c>
      <c r="Y575" s="7">
        <f t="shared" si="66"/>
        <v>2.3063986546007848E-2</v>
      </c>
      <c r="AA575">
        <v>15206106</v>
      </c>
      <c r="AB575">
        <v>26970</v>
      </c>
      <c r="AD575" t="s">
        <v>1</v>
      </c>
      <c r="AE575">
        <v>101</v>
      </c>
      <c r="AF575">
        <v>37</v>
      </c>
      <c r="AH575" t="s">
        <v>2293</v>
      </c>
      <c r="AI575" t="s">
        <v>2292</v>
      </c>
      <c r="AK575" t="s">
        <v>2291</v>
      </c>
      <c r="AL575">
        <v>37</v>
      </c>
      <c r="AM575" s="5">
        <f t="shared" si="67"/>
        <v>1.48</v>
      </c>
      <c r="AN575" s="4">
        <f t="shared" si="68"/>
        <v>2.2415751609238923E-3</v>
      </c>
      <c r="AO575" s="3"/>
      <c r="AP575">
        <v>0</v>
      </c>
      <c r="AR575" t="s">
        <v>0</v>
      </c>
      <c r="AT575" s="2">
        <v>2.9910000000000001</v>
      </c>
      <c r="AU575" s="1">
        <f t="shared" si="69"/>
        <v>1.6817263130482658</v>
      </c>
      <c r="AV575" s="1">
        <f t="shared" si="70"/>
        <v>1.265278085346587</v>
      </c>
      <c r="AW575" s="1">
        <f t="shared" si="71"/>
        <v>0.84882985764490793</v>
      </c>
    </row>
    <row r="576" spans="1:49" x14ac:dyDescent="0.2">
      <c r="A576">
        <v>574</v>
      </c>
      <c r="B576" t="s">
        <v>2290</v>
      </c>
      <c r="C576" t="s">
        <v>2289</v>
      </c>
      <c r="F576" t="s">
        <v>2288</v>
      </c>
      <c r="G576" t="s">
        <v>4</v>
      </c>
      <c r="H576" t="s">
        <v>3</v>
      </c>
      <c r="I576" t="s">
        <v>530</v>
      </c>
      <c r="J576" t="s">
        <v>2287</v>
      </c>
      <c r="K576" t="s">
        <v>2286</v>
      </c>
      <c r="L576" t="s">
        <v>2285</v>
      </c>
      <c r="M576" t="s">
        <v>2284</v>
      </c>
      <c r="N576">
        <v>2</v>
      </c>
      <c r="O576" t="s">
        <v>2283</v>
      </c>
      <c r="P576" t="s">
        <v>529</v>
      </c>
      <c r="Q576" t="s">
        <v>2282</v>
      </c>
      <c r="R576" s="8">
        <v>35684</v>
      </c>
      <c r="S576" s="9">
        <f t="shared" si="64"/>
        <v>1997</v>
      </c>
      <c r="T576" s="9">
        <v>1997</v>
      </c>
      <c r="U576" s="9">
        <f t="shared" si="65"/>
        <v>25</v>
      </c>
      <c r="V576" s="8">
        <v>35684</v>
      </c>
      <c r="W576" t="s">
        <v>585</v>
      </c>
      <c r="X576" s="2">
        <v>0.86399999999999999</v>
      </c>
      <c r="Y576" s="7">
        <f t="shared" si="66"/>
        <v>2.3063986546007848E-2</v>
      </c>
      <c r="AA576">
        <v>15206106</v>
      </c>
      <c r="AB576">
        <v>26970</v>
      </c>
      <c r="AD576" t="s">
        <v>1</v>
      </c>
      <c r="AE576">
        <v>101</v>
      </c>
      <c r="AF576">
        <v>37</v>
      </c>
      <c r="AH576" t="s">
        <v>2281</v>
      </c>
      <c r="AI576" t="s">
        <v>2280</v>
      </c>
      <c r="AK576" t="s">
        <v>2279</v>
      </c>
      <c r="AL576">
        <v>5</v>
      </c>
      <c r="AM576" s="5">
        <f t="shared" si="67"/>
        <v>0.2</v>
      </c>
      <c r="AN576" s="4">
        <f t="shared" si="68"/>
        <v>3.0291556228701253E-4</v>
      </c>
      <c r="AO576" s="3"/>
      <c r="AP576">
        <v>0</v>
      </c>
      <c r="AR576" t="s">
        <v>0</v>
      </c>
      <c r="AT576" s="2">
        <v>2.9910000000000001</v>
      </c>
      <c r="AU576" s="1">
        <f t="shared" si="69"/>
        <v>1.6235665250891596</v>
      </c>
      <c r="AV576" s="1">
        <f t="shared" si="70"/>
        <v>1.1683451054147431</v>
      </c>
      <c r="AW576" s="1">
        <f t="shared" si="71"/>
        <v>0.71312368574032625</v>
      </c>
    </row>
    <row r="577" spans="1:49" x14ac:dyDescent="0.2">
      <c r="A577">
        <v>575</v>
      </c>
      <c r="B577" t="s">
        <v>2278</v>
      </c>
      <c r="C577" t="s">
        <v>2277</v>
      </c>
      <c r="F577" t="s">
        <v>2276</v>
      </c>
      <c r="G577" t="s">
        <v>4</v>
      </c>
      <c r="H577" t="s">
        <v>3</v>
      </c>
      <c r="I577" t="s">
        <v>2275</v>
      </c>
      <c r="J577">
        <v>60021182</v>
      </c>
      <c r="K577" t="s">
        <v>2274</v>
      </c>
      <c r="L577" t="s">
        <v>2273</v>
      </c>
      <c r="M577" t="s">
        <v>190</v>
      </c>
      <c r="N577">
        <v>2</v>
      </c>
      <c r="O577" t="s">
        <v>2272</v>
      </c>
      <c r="P577" t="s">
        <v>2271</v>
      </c>
      <c r="Q577" t="s">
        <v>2270</v>
      </c>
      <c r="R577" s="8">
        <v>35684</v>
      </c>
      <c r="S577" s="9">
        <f t="shared" si="64"/>
        <v>1997</v>
      </c>
      <c r="T577" s="9">
        <v>1997</v>
      </c>
      <c r="U577" s="9">
        <f t="shared" si="65"/>
        <v>25</v>
      </c>
      <c r="V577" s="8">
        <v>35684</v>
      </c>
      <c r="W577" t="s">
        <v>493</v>
      </c>
      <c r="X577" s="2">
        <v>0.375</v>
      </c>
      <c r="Y577" s="7">
        <f t="shared" si="66"/>
        <v>1.0010410827260351E-2</v>
      </c>
      <c r="AA577">
        <v>135194</v>
      </c>
      <c r="AB577">
        <v>24918</v>
      </c>
      <c r="AD577" t="s">
        <v>1</v>
      </c>
      <c r="AE577">
        <v>33</v>
      </c>
      <c r="AF577">
        <v>19</v>
      </c>
      <c r="AH577" t="s">
        <v>2269</v>
      </c>
      <c r="AI577" t="s">
        <v>2268</v>
      </c>
      <c r="AJ577" t="s">
        <v>2267</v>
      </c>
      <c r="AK577" t="s">
        <v>2266</v>
      </c>
      <c r="AL577">
        <v>11</v>
      </c>
      <c r="AM577" s="5">
        <f t="shared" si="67"/>
        <v>0.44</v>
      </c>
      <c r="AN577" s="4">
        <f t="shared" si="68"/>
        <v>6.6641423703142752E-4</v>
      </c>
      <c r="AO577" s="3"/>
      <c r="AP577">
        <v>0</v>
      </c>
      <c r="AR577" t="s">
        <v>0</v>
      </c>
      <c r="AT577" s="2">
        <v>1.3140000000000001</v>
      </c>
      <c r="AU577" s="1">
        <f t="shared" si="69"/>
        <v>0.72072118501916738</v>
      </c>
      <c r="AV577" s="1">
        <f t="shared" si="70"/>
        <v>0.53384125321458897</v>
      </c>
      <c r="AW577" s="1">
        <f t="shared" si="71"/>
        <v>0.3469613214100104</v>
      </c>
    </row>
    <row r="578" spans="1:49" x14ac:dyDescent="0.2">
      <c r="A578">
        <v>576</v>
      </c>
      <c r="B578" t="s">
        <v>2265</v>
      </c>
      <c r="C578" t="s">
        <v>2264</v>
      </c>
      <c r="F578" t="s">
        <v>2263</v>
      </c>
      <c r="G578" t="s">
        <v>4</v>
      </c>
      <c r="H578" t="s">
        <v>3</v>
      </c>
      <c r="I578" t="s">
        <v>2195</v>
      </c>
      <c r="J578" t="s">
        <v>2262</v>
      </c>
      <c r="K578" t="s">
        <v>2261</v>
      </c>
      <c r="L578" t="s">
        <v>2260</v>
      </c>
      <c r="M578" t="s">
        <v>2259</v>
      </c>
      <c r="N578">
        <v>7</v>
      </c>
      <c r="O578" t="s">
        <v>2258</v>
      </c>
      <c r="P578" t="s">
        <v>2257</v>
      </c>
      <c r="Q578" t="s">
        <v>2256</v>
      </c>
      <c r="R578" s="8">
        <v>35684</v>
      </c>
      <c r="S578" s="9">
        <f t="shared" ref="S578:S641" si="72">YEAR(R578)</f>
        <v>1997</v>
      </c>
      <c r="T578" s="9">
        <v>1997</v>
      </c>
      <c r="U578" s="9">
        <f t="shared" ref="U578:U641" si="73">2022-T578</f>
        <v>25</v>
      </c>
      <c r="V578" s="8">
        <v>35684</v>
      </c>
      <c r="W578" t="s">
        <v>585</v>
      </c>
      <c r="X578" s="2">
        <v>0.86399999999999999</v>
      </c>
      <c r="Y578" s="7">
        <f t="shared" ref="Y578:Y641" si="74">(X578-$Z$3)/($Z$2-$Z$3)</f>
        <v>2.3063986546007848E-2</v>
      </c>
      <c r="AA578">
        <v>15206106</v>
      </c>
      <c r="AB578">
        <v>26970</v>
      </c>
      <c r="AD578" t="s">
        <v>1</v>
      </c>
      <c r="AE578">
        <v>101</v>
      </c>
      <c r="AF578">
        <v>37</v>
      </c>
      <c r="AH578" t="s">
        <v>2255</v>
      </c>
      <c r="AI578" t="s">
        <v>2254</v>
      </c>
      <c r="AK578" t="s">
        <v>2253</v>
      </c>
      <c r="AL578">
        <v>69</v>
      </c>
      <c r="AM578" s="5">
        <f t="shared" ref="AM578:AM641" si="75">AL578/U578</f>
        <v>2.76</v>
      </c>
      <c r="AN578" s="4">
        <f t="shared" ref="AN578:AN641" si="76">(AM578-$AO$3)/($AO$2-$AO$3)</f>
        <v>4.1802347595607725E-3</v>
      </c>
      <c r="AO578" s="3"/>
      <c r="AP578">
        <v>0</v>
      </c>
      <c r="AR578" t="s">
        <v>0</v>
      </c>
      <c r="AT578" s="2">
        <v>2.9910000000000001</v>
      </c>
      <c r="AU578" s="1">
        <f t="shared" ref="AU578:AU641" si="77">(Y578*0.7+AN578*0.3)*100</f>
        <v>1.7398861010073721</v>
      </c>
      <c r="AV578" s="1">
        <f t="shared" ref="AV578:AV641" si="78">(Y578*0.5+AN578*0.5)*100</f>
        <v>1.3622110652784312</v>
      </c>
      <c r="AW578" s="1">
        <f t="shared" ref="AW578:AW641" si="79">(Y578*0.3+AN578*0.7)*100</f>
        <v>0.98453602954948949</v>
      </c>
    </row>
    <row r="579" spans="1:49" x14ac:dyDescent="0.2">
      <c r="A579">
        <v>577</v>
      </c>
      <c r="B579" t="s">
        <v>2252</v>
      </c>
      <c r="C579" t="s">
        <v>2251</v>
      </c>
      <c r="F579" t="s">
        <v>2250</v>
      </c>
      <c r="G579" t="s">
        <v>4</v>
      </c>
      <c r="H579" t="s">
        <v>3</v>
      </c>
      <c r="I579" t="s">
        <v>2249</v>
      </c>
      <c r="J579" t="s">
        <v>2248</v>
      </c>
      <c r="K579" t="s">
        <v>2247</v>
      </c>
      <c r="L579" t="s">
        <v>2246</v>
      </c>
      <c r="M579" t="s">
        <v>2245</v>
      </c>
      <c r="N579">
        <v>4</v>
      </c>
      <c r="O579" t="s">
        <v>2244</v>
      </c>
      <c r="P579" t="s">
        <v>2243</v>
      </c>
      <c r="Q579" t="s">
        <v>2242</v>
      </c>
      <c r="R579" s="8">
        <v>35684</v>
      </c>
      <c r="S579" s="9">
        <f t="shared" si="72"/>
        <v>1997</v>
      </c>
      <c r="T579" s="9">
        <v>1997</v>
      </c>
      <c r="U579" s="9">
        <f t="shared" si="73"/>
        <v>25</v>
      </c>
      <c r="V579" s="8">
        <v>35684</v>
      </c>
      <c r="W579" t="s">
        <v>585</v>
      </c>
      <c r="X579" s="2">
        <v>0.86399999999999999</v>
      </c>
      <c r="Y579" s="7">
        <f t="shared" si="74"/>
        <v>2.3063986546007848E-2</v>
      </c>
      <c r="AA579">
        <v>15206106</v>
      </c>
      <c r="AB579">
        <v>26970</v>
      </c>
      <c r="AD579" t="s">
        <v>1</v>
      </c>
      <c r="AE579">
        <v>101</v>
      </c>
      <c r="AF579">
        <v>37</v>
      </c>
      <c r="AH579" t="s">
        <v>2241</v>
      </c>
      <c r="AI579" t="s">
        <v>2240</v>
      </c>
      <c r="AK579" t="s">
        <v>2239</v>
      </c>
      <c r="AL579">
        <v>174</v>
      </c>
      <c r="AM579" s="5">
        <f t="shared" si="75"/>
        <v>6.96</v>
      </c>
      <c r="AN579" s="4">
        <f t="shared" si="76"/>
        <v>1.0541461567588034E-2</v>
      </c>
      <c r="AO579" s="3"/>
      <c r="AP579">
        <v>0</v>
      </c>
      <c r="AR579" t="s">
        <v>0</v>
      </c>
      <c r="AT579" s="2">
        <v>2.9910000000000001</v>
      </c>
      <c r="AU579" s="1">
        <f t="shared" si="77"/>
        <v>1.9307229052481902</v>
      </c>
      <c r="AV579" s="1">
        <f t="shared" si="78"/>
        <v>1.680272405679794</v>
      </c>
      <c r="AW579" s="1">
        <f t="shared" si="79"/>
        <v>1.4298219061113977</v>
      </c>
    </row>
    <row r="580" spans="1:49" x14ac:dyDescent="0.2">
      <c r="A580">
        <v>578</v>
      </c>
      <c r="B580" t="s">
        <v>2238</v>
      </c>
      <c r="C580" t="s">
        <v>2237</v>
      </c>
      <c r="F580" t="s">
        <v>2236</v>
      </c>
      <c r="G580" t="s">
        <v>4</v>
      </c>
      <c r="H580" t="s">
        <v>3</v>
      </c>
      <c r="I580" t="s">
        <v>2235</v>
      </c>
      <c r="J580">
        <v>60019615</v>
      </c>
      <c r="K580" t="s">
        <v>2234</v>
      </c>
      <c r="L580" t="s">
        <v>1322</v>
      </c>
      <c r="M580" t="s">
        <v>26</v>
      </c>
      <c r="N580">
        <v>2</v>
      </c>
      <c r="O580" t="s">
        <v>2233</v>
      </c>
      <c r="P580" t="s">
        <v>2232</v>
      </c>
      <c r="Q580" t="s">
        <v>2231</v>
      </c>
      <c r="R580" s="8">
        <v>35684</v>
      </c>
      <c r="S580" s="9">
        <f t="shared" si="72"/>
        <v>1997</v>
      </c>
      <c r="T580" s="9">
        <v>1997</v>
      </c>
      <c r="U580" s="9">
        <f t="shared" si="73"/>
        <v>25</v>
      </c>
      <c r="V580" s="8">
        <v>35684</v>
      </c>
      <c r="W580" t="s">
        <v>585</v>
      </c>
      <c r="X580" s="2">
        <v>0.86399999999999999</v>
      </c>
      <c r="Y580" s="7">
        <f t="shared" si="74"/>
        <v>2.3063986546007848E-2</v>
      </c>
      <c r="AA580">
        <v>15206106</v>
      </c>
      <c r="AB580">
        <v>26970</v>
      </c>
      <c r="AD580" t="s">
        <v>1</v>
      </c>
      <c r="AE580">
        <v>101</v>
      </c>
      <c r="AF580">
        <v>37</v>
      </c>
      <c r="AH580" t="s">
        <v>2230</v>
      </c>
      <c r="AI580" t="s">
        <v>2229</v>
      </c>
      <c r="AK580" t="s">
        <v>2228</v>
      </c>
      <c r="AL580">
        <v>51</v>
      </c>
      <c r="AM580" s="5">
        <f t="shared" si="75"/>
        <v>2.04</v>
      </c>
      <c r="AN580" s="4">
        <f t="shared" si="76"/>
        <v>3.0897387353275275E-3</v>
      </c>
      <c r="AO580" s="3"/>
      <c r="AP580">
        <v>0</v>
      </c>
      <c r="AR580" t="s">
        <v>0</v>
      </c>
      <c r="AT580" s="2">
        <v>2.9910000000000001</v>
      </c>
      <c r="AU580" s="1">
        <f t="shared" si="77"/>
        <v>1.7071712202803748</v>
      </c>
      <c r="AV580" s="1">
        <f t="shared" si="78"/>
        <v>1.3076862640667688</v>
      </c>
      <c r="AW580" s="1">
        <f t="shared" si="79"/>
        <v>0.90820130785316233</v>
      </c>
    </row>
    <row r="581" spans="1:49" x14ac:dyDescent="0.2">
      <c r="A581">
        <v>579</v>
      </c>
      <c r="B581" t="s">
        <v>2227</v>
      </c>
      <c r="C581" t="s">
        <v>2226</v>
      </c>
      <c r="F581" t="s">
        <v>2225</v>
      </c>
      <c r="G581" t="s">
        <v>4</v>
      </c>
      <c r="H581" t="s">
        <v>3</v>
      </c>
      <c r="I581" t="s">
        <v>2224</v>
      </c>
      <c r="J581">
        <v>60008734</v>
      </c>
      <c r="K581" t="s">
        <v>198</v>
      </c>
      <c r="L581" t="s">
        <v>197</v>
      </c>
      <c r="M581" t="s">
        <v>127</v>
      </c>
      <c r="N581">
        <v>4</v>
      </c>
      <c r="O581" t="s">
        <v>2223</v>
      </c>
      <c r="P581" t="s">
        <v>2222</v>
      </c>
      <c r="Q581" t="s">
        <v>196</v>
      </c>
      <c r="R581" s="8">
        <v>35684</v>
      </c>
      <c r="S581" s="9">
        <f t="shared" si="72"/>
        <v>1997</v>
      </c>
      <c r="T581" s="9">
        <v>1997</v>
      </c>
      <c r="U581" s="9">
        <f t="shared" si="73"/>
        <v>25</v>
      </c>
      <c r="V581" s="8">
        <v>35684</v>
      </c>
      <c r="W581" t="s">
        <v>585</v>
      </c>
      <c r="X581" s="2">
        <v>0.86399999999999999</v>
      </c>
      <c r="Y581" s="7">
        <f t="shared" si="74"/>
        <v>2.3063986546007848E-2</v>
      </c>
      <c r="AA581">
        <v>15206106</v>
      </c>
      <c r="AB581">
        <v>26970</v>
      </c>
      <c r="AD581" t="s">
        <v>1</v>
      </c>
      <c r="AE581">
        <v>101</v>
      </c>
      <c r="AF581">
        <v>37</v>
      </c>
      <c r="AH581" t="s">
        <v>2221</v>
      </c>
      <c r="AI581" t="s">
        <v>2220</v>
      </c>
      <c r="AK581" t="s">
        <v>2219</v>
      </c>
      <c r="AL581">
        <v>83</v>
      </c>
      <c r="AM581" s="5">
        <f t="shared" si="75"/>
        <v>3.32</v>
      </c>
      <c r="AN581" s="4">
        <f t="shared" si="76"/>
        <v>5.0283983339644072E-3</v>
      </c>
      <c r="AO581" s="3"/>
      <c r="AP581">
        <v>0</v>
      </c>
      <c r="AR581" t="s">
        <v>0</v>
      </c>
      <c r="AT581" s="2">
        <v>2.9910000000000001</v>
      </c>
      <c r="AU581" s="1">
        <f t="shared" si="77"/>
        <v>1.7653310082394811</v>
      </c>
      <c r="AV581" s="1">
        <f t="shared" si="78"/>
        <v>1.4046192439986127</v>
      </c>
      <c r="AW581" s="1">
        <f t="shared" si="79"/>
        <v>1.0439074797577439</v>
      </c>
    </row>
    <row r="582" spans="1:49" x14ac:dyDescent="0.2">
      <c r="A582">
        <v>580</v>
      </c>
      <c r="B582" t="s">
        <v>2218</v>
      </c>
      <c r="C582" t="s">
        <v>2217</v>
      </c>
      <c r="F582" t="s">
        <v>2216</v>
      </c>
      <c r="G582" t="s">
        <v>4</v>
      </c>
      <c r="H582" t="s">
        <v>3</v>
      </c>
      <c r="I582" t="s">
        <v>496</v>
      </c>
      <c r="J582">
        <v>60011357</v>
      </c>
      <c r="K582" t="s">
        <v>292</v>
      </c>
      <c r="L582" t="s">
        <v>291</v>
      </c>
      <c r="M582" t="s">
        <v>250</v>
      </c>
      <c r="N582">
        <v>2</v>
      </c>
      <c r="O582" t="s">
        <v>1554</v>
      </c>
      <c r="P582" t="s">
        <v>1553</v>
      </c>
      <c r="Q582" t="s">
        <v>288</v>
      </c>
      <c r="R582" s="8">
        <v>35684</v>
      </c>
      <c r="S582" s="9">
        <f t="shared" si="72"/>
        <v>1997</v>
      </c>
      <c r="T582" s="9">
        <v>1997</v>
      </c>
      <c r="U582" s="9">
        <f t="shared" si="73"/>
        <v>25</v>
      </c>
      <c r="V582" s="8">
        <v>35684</v>
      </c>
      <c r="W582" t="s">
        <v>493</v>
      </c>
      <c r="X582" s="2">
        <v>0.375</v>
      </c>
      <c r="Y582" s="7">
        <f t="shared" si="74"/>
        <v>1.0010410827260351E-2</v>
      </c>
      <c r="AA582">
        <v>135194</v>
      </c>
      <c r="AB582">
        <v>24918</v>
      </c>
      <c r="AD582" t="s">
        <v>1</v>
      </c>
      <c r="AE582">
        <v>33</v>
      </c>
      <c r="AF582">
        <v>19</v>
      </c>
      <c r="AH582" t="s">
        <v>2215</v>
      </c>
      <c r="AI582" t="s">
        <v>2214</v>
      </c>
      <c r="AJ582" t="s">
        <v>576</v>
      </c>
      <c r="AK582" t="s">
        <v>2213</v>
      </c>
      <c r="AL582">
        <v>126</v>
      </c>
      <c r="AM582" s="5">
        <f t="shared" si="75"/>
        <v>5.04</v>
      </c>
      <c r="AN582" s="4">
        <f t="shared" si="76"/>
        <v>7.6334721696327146E-3</v>
      </c>
      <c r="AO582" s="3"/>
      <c r="AP582">
        <v>0</v>
      </c>
      <c r="AR582" t="s">
        <v>0</v>
      </c>
      <c r="AT582" s="2">
        <v>1.3140000000000001</v>
      </c>
      <c r="AU582" s="1">
        <f t="shared" si="77"/>
        <v>0.929732922997206</v>
      </c>
      <c r="AV582" s="1">
        <f t="shared" si="78"/>
        <v>0.88219414984465339</v>
      </c>
      <c r="AW582" s="1">
        <f t="shared" si="79"/>
        <v>0.83465537669210055</v>
      </c>
    </row>
    <row r="583" spans="1:49" x14ac:dyDescent="0.2">
      <c r="A583">
        <v>581</v>
      </c>
      <c r="B583" t="s">
        <v>2212</v>
      </c>
      <c r="C583" t="s">
        <v>2211</v>
      </c>
      <c r="F583" t="s">
        <v>2210</v>
      </c>
      <c r="G583" t="s">
        <v>4</v>
      </c>
      <c r="H583" t="s">
        <v>3</v>
      </c>
      <c r="I583" t="s">
        <v>2209</v>
      </c>
      <c r="J583" t="s">
        <v>2208</v>
      </c>
      <c r="K583" t="s">
        <v>2207</v>
      </c>
      <c r="L583" t="s">
        <v>2206</v>
      </c>
      <c r="M583" t="s">
        <v>18</v>
      </c>
      <c r="N583">
        <v>3</v>
      </c>
      <c r="O583" t="s">
        <v>2205</v>
      </c>
      <c r="P583" t="s">
        <v>2204</v>
      </c>
      <c r="Q583" t="s">
        <v>2203</v>
      </c>
      <c r="R583" s="8">
        <v>35684</v>
      </c>
      <c r="S583" s="9">
        <f t="shared" si="72"/>
        <v>1997</v>
      </c>
      <c r="T583" s="9">
        <v>1997</v>
      </c>
      <c r="U583" s="9">
        <f t="shared" si="73"/>
        <v>25</v>
      </c>
      <c r="V583" s="8">
        <v>35684</v>
      </c>
      <c r="W583" t="s">
        <v>493</v>
      </c>
      <c r="X583" s="2">
        <v>0.375</v>
      </c>
      <c r="Y583" s="7">
        <f t="shared" si="74"/>
        <v>1.0010410827260351E-2</v>
      </c>
      <c r="AA583">
        <v>135194</v>
      </c>
      <c r="AB583">
        <v>24918</v>
      </c>
      <c r="AD583" t="s">
        <v>1</v>
      </c>
      <c r="AE583">
        <v>33</v>
      </c>
      <c r="AF583">
        <v>19</v>
      </c>
      <c r="AH583" t="s">
        <v>2202</v>
      </c>
      <c r="AI583" t="s">
        <v>2201</v>
      </c>
      <c r="AJ583" t="s">
        <v>2200</v>
      </c>
      <c r="AK583" t="s">
        <v>2199</v>
      </c>
      <c r="AL583">
        <v>39</v>
      </c>
      <c r="AM583" s="5">
        <f t="shared" si="75"/>
        <v>1.56</v>
      </c>
      <c r="AN583" s="4">
        <f t="shared" si="76"/>
        <v>2.3627413858386976E-3</v>
      </c>
      <c r="AO583" s="3"/>
      <c r="AP583">
        <v>0</v>
      </c>
      <c r="AR583" t="s">
        <v>0</v>
      </c>
      <c r="AT583" s="2">
        <v>1.3140000000000001</v>
      </c>
      <c r="AU583" s="1">
        <f t="shared" si="77"/>
        <v>0.77161099948338552</v>
      </c>
      <c r="AV583" s="1">
        <f t="shared" si="78"/>
        <v>0.61865761065495239</v>
      </c>
      <c r="AW583" s="1">
        <f t="shared" si="79"/>
        <v>0.46570422182651933</v>
      </c>
    </row>
    <row r="584" spans="1:49" x14ac:dyDescent="0.2">
      <c r="A584">
        <v>582</v>
      </c>
      <c r="B584" t="s">
        <v>2198</v>
      </c>
      <c r="C584" t="s">
        <v>2197</v>
      </c>
      <c r="F584" t="s">
        <v>2196</v>
      </c>
      <c r="G584" t="s">
        <v>4</v>
      </c>
      <c r="H584" t="s">
        <v>3</v>
      </c>
      <c r="I584" t="s">
        <v>2195</v>
      </c>
      <c r="J584" t="s">
        <v>2194</v>
      </c>
      <c r="K584" t="s">
        <v>2193</v>
      </c>
      <c r="L584" t="s">
        <v>2192</v>
      </c>
      <c r="M584" t="s">
        <v>2191</v>
      </c>
      <c r="N584">
        <v>8</v>
      </c>
      <c r="O584" t="s">
        <v>2190</v>
      </c>
      <c r="P584" t="s">
        <v>2189</v>
      </c>
      <c r="Q584" t="s">
        <v>2188</v>
      </c>
      <c r="R584" s="8">
        <v>35684</v>
      </c>
      <c r="S584" s="9">
        <f t="shared" si="72"/>
        <v>1997</v>
      </c>
      <c r="T584" s="9">
        <v>1997</v>
      </c>
      <c r="U584" s="9">
        <f t="shared" si="73"/>
        <v>25</v>
      </c>
      <c r="V584" s="8">
        <v>35684</v>
      </c>
      <c r="W584" t="s">
        <v>585</v>
      </c>
      <c r="X584" s="2">
        <v>0.86399999999999999</v>
      </c>
      <c r="Y584" s="7">
        <f t="shared" si="74"/>
        <v>2.3063986546007848E-2</v>
      </c>
      <c r="AA584">
        <v>15206106</v>
      </c>
      <c r="AB584">
        <v>26970</v>
      </c>
      <c r="AD584" t="s">
        <v>1</v>
      </c>
      <c r="AE584">
        <v>101</v>
      </c>
      <c r="AF584">
        <v>37</v>
      </c>
      <c r="AH584" t="s">
        <v>2187</v>
      </c>
      <c r="AI584" t="s">
        <v>2186</v>
      </c>
      <c r="AK584" t="s">
        <v>2185</v>
      </c>
      <c r="AL584">
        <v>81</v>
      </c>
      <c r="AM584" s="5">
        <f t="shared" si="75"/>
        <v>3.24</v>
      </c>
      <c r="AN584" s="4">
        <f t="shared" si="76"/>
        <v>4.9072321090496028E-3</v>
      </c>
      <c r="AO584" s="3"/>
      <c r="AP584">
        <v>0</v>
      </c>
      <c r="AR584" t="s">
        <v>0</v>
      </c>
      <c r="AT584" s="2">
        <v>2.9910000000000001</v>
      </c>
      <c r="AU584" s="1">
        <f t="shared" si="77"/>
        <v>1.761696021492037</v>
      </c>
      <c r="AV584" s="1">
        <f t="shared" si="78"/>
        <v>1.3985609327528725</v>
      </c>
      <c r="AW584" s="1">
        <f t="shared" si="79"/>
        <v>1.0354258440137076</v>
      </c>
    </row>
    <row r="585" spans="1:49" x14ac:dyDescent="0.2">
      <c r="A585">
        <v>583</v>
      </c>
      <c r="B585" t="s">
        <v>2184</v>
      </c>
      <c r="C585" t="s">
        <v>2183</v>
      </c>
      <c r="F585" t="s">
        <v>2182</v>
      </c>
      <c r="G585" t="s">
        <v>4</v>
      </c>
      <c r="H585" t="s">
        <v>3</v>
      </c>
      <c r="I585" t="s">
        <v>2158</v>
      </c>
      <c r="J585">
        <v>60027165</v>
      </c>
      <c r="K585" t="s">
        <v>2157</v>
      </c>
      <c r="L585" t="s">
        <v>102</v>
      </c>
      <c r="M585" t="s">
        <v>2</v>
      </c>
      <c r="N585">
        <v>3</v>
      </c>
      <c r="O585" t="s">
        <v>2181</v>
      </c>
      <c r="P585" t="s">
        <v>2180</v>
      </c>
      <c r="Q585" t="s">
        <v>2179</v>
      </c>
      <c r="R585" s="8">
        <v>35684</v>
      </c>
      <c r="S585" s="9">
        <f t="shared" si="72"/>
        <v>1997</v>
      </c>
      <c r="T585" s="9">
        <v>1997</v>
      </c>
      <c r="U585" s="9">
        <f t="shared" si="73"/>
        <v>25</v>
      </c>
      <c r="V585" s="8">
        <v>35684</v>
      </c>
      <c r="W585" t="s">
        <v>585</v>
      </c>
      <c r="X585" s="2">
        <v>0.86399999999999999</v>
      </c>
      <c r="Y585" s="7">
        <f t="shared" si="74"/>
        <v>2.3063986546007848E-2</v>
      </c>
      <c r="AA585">
        <v>15206106</v>
      </c>
      <c r="AB585">
        <v>26970</v>
      </c>
      <c r="AD585" t="s">
        <v>1</v>
      </c>
      <c r="AE585">
        <v>101</v>
      </c>
      <c r="AF585">
        <v>37</v>
      </c>
      <c r="AH585" t="s">
        <v>2178</v>
      </c>
      <c r="AI585" t="s">
        <v>2177</v>
      </c>
      <c r="AK585" t="s">
        <v>2176</v>
      </c>
      <c r="AL585">
        <v>169</v>
      </c>
      <c r="AM585" s="5">
        <f t="shared" si="75"/>
        <v>6.76</v>
      </c>
      <c r="AN585" s="4">
        <f t="shared" si="76"/>
        <v>1.0238546005301021E-2</v>
      </c>
      <c r="AO585" s="3"/>
      <c r="AP585">
        <v>0</v>
      </c>
      <c r="AR585" t="s">
        <v>0</v>
      </c>
      <c r="AT585" s="2">
        <v>2.9910000000000001</v>
      </c>
      <c r="AU585" s="1">
        <f t="shared" si="77"/>
        <v>1.92163543837958</v>
      </c>
      <c r="AV585" s="1">
        <f t="shared" si="78"/>
        <v>1.6651266275654435</v>
      </c>
      <c r="AW585" s="1">
        <f t="shared" si="79"/>
        <v>1.4086178167513068</v>
      </c>
    </row>
    <row r="586" spans="1:49" x14ac:dyDescent="0.2">
      <c r="A586">
        <v>584</v>
      </c>
      <c r="B586" t="s">
        <v>2175</v>
      </c>
      <c r="C586" t="s">
        <v>2174</v>
      </c>
      <c r="E586">
        <v>11542264</v>
      </c>
      <c r="F586" t="s">
        <v>2173</v>
      </c>
      <c r="G586" t="s">
        <v>4</v>
      </c>
      <c r="H586" t="s">
        <v>3</v>
      </c>
      <c r="I586" t="s">
        <v>2172</v>
      </c>
      <c r="J586" t="s">
        <v>2171</v>
      </c>
      <c r="K586" t="s">
        <v>2170</v>
      </c>
      <c r="L586" t="s">
        <v>2169</v>
      </c>
      <c r="M586" t="s">
        <v>2168</v>
      </c>
      <c r="N586">
        <v>4</v>
      </c>
      <c r="O586" t="s">
        <v>2167</v>
      </c>
      <c r="P586" t="s">
        <v>2166</v>
      </c>
      <c r="Q586" t="s">
        <v>2165</v>
      </c>
      <c r="R586" s="8">
        <v>35684</v>
      </c>
      <c r="S586" s="9">
        <f t="shared" si="72"/>
        <v>1997</v>
      </c>
      <c r="T586" s="9">
        <v>1997</v>
      </c>
      <c r="U586" s="9">
        <f t="shared" si="73"/>
        <v>25</v>
      </c>
      <c r="V586" s="8">
        <v>35684</v>
      </c>
      <c r="W586" t="s">
        <v>585</v>
      </c>
      <c r="X586" s="2">
        <v>0.86399999999999999</v>
      </c>
      <c r="Y586" s="7">
        <f t="shared" si="74"/>
        <v>2.3063986546007848E-2</v>
      </c>
      <c r="AA586">
        <v>15206106</v>
      </c>
      <c r="AB586">
        <v>26970</v>
      </c>
      <c r="AD586" t="s">
        <v>1</v>
      </c>
      <c r="AE586">
        <v>101</v>
      </c>
      <c r="AF586">
        <v>37</v>
      </c>
      <c r="AH586" t="s">
        <v>2164</v>
      </c>
      <c r="AI586" t="s">
        <v>2163</v>
      </c>
      <c r="AK586" t="s">
        <v>2162</v>
      </c>
      <c r="AL586">
        <v>43</v>
      </c>
      <c r="AM586" s="5">
        <f t="shared" si="75"/>
        <v>1.72</v>
      </c>
      <c r="AN586" s="4">
        <f t="shared" si="76"/>
        <v>2.6050738356683074E-3</v>
      </c>
      <c r="AO586" s="3"/>
      <c r="AP586">
        <v>0</v>
      </c>
      <c r="AR586" t="s">
        <v>0</v>
      </c>
      <c r="AT586" s="2">
        <v>2.9910000000000001</v>
      </c>
      <c r="AU586" s="1">
        <f t="shared" si="77"/>
        <v>1.6926312732905986</v>
      </c>
      <c r="AV586" s="1">
        <f t="shared" si="78"/>
        <v>1.2834530190838078</v>
      </c>
      <c r="AW586" s="1">
        <f t="shared" si="79"/>
        <v>0.87427476487701694</v>
      </c>
    </row>
    <row r="587" spans="1:49" x14ac:dyDescent="0.2">
      <c r="A587">
        <v>585</v>
      </c>
      <c r="B587" t="s">
        <v>2161</v>
      </c>
      <c r="C587" t="s">
        <v>2160</v>
      </c>
      <c r="F587" t="s">
        <v>2159</v>
      </c>
      <c r="G587" t="s">
        <v>4</v>
      </c>
      <c r="H587" t="s">
        <v>3</v>
      </c>
      <c r="I587" t="s">
        <v>2158</v>
      </c>
      <c r="J587">
        <v>60027165</v>
      </c>
      <c r="K587" t="s">
        <v>2157</v>
      </c>
      <c r="L587" t="s">
        <v>102</v>
      </c>
      <c r="M587" t="s">
        <v>2</v>
      </c>
      <c r="N587">
        <v>4</v>
      </c>
      <c r="O587" t="s">
        <v>2156</v>
      </c>
      <c r="P587" t="s">
        <v>2155</v>
      </c>
      <c r="Q587" t="s">
        <v>2154</v>
      </c>
      <c r="R587" s="8">
        <v>35681</v>
      </c>
      <c r="S587" s="9">
        <f t="shared" si="72"/>
        <v>1997</v>
      </c>
      <c r="T587" s="9">
        <v>1997</v>
      </c>
      <c r="U587" s="9">
        <f t="shared" si="73"/>
        <v>25</v>
      </c>
      <c r="V587" s="8">
        <v>35681</v>
      </c>
      <c r="W587" t="s">
        <v>2153</v>
      </c>
      <c r="X587" s="2">
        <v>1.071</v>
      </c>
      <c r="Y587" s="7">
        <f t="shared" si="74"/>
        <v>2.8589733322655561E-2</v>
      </c>
      <c r="AA587">
        <v>219606</v>
      </c>
      <c r="AB587">
        <v>28134</v>
      </c>
      <c r="AD587" t="s">
        <v>1</v>
      </c>
      <c r="AE587">
        <v>107</v>
      </c>
      <c r="AF587">
        <v>10</v>
      </c>
      <c r="AH587" t="s">
        <v>2152</v>
      </c>
      <c r="AI587" t="s">
        <v>2151</v>
      </c>
      <c r="AK587" t="s">
        <v>2150</v>
      </c>
      <c r="AL587">
        <v>164</v>
      </c>
      <c r="AM587" s="5">
        <f t="shared" si="75"/>
        <v>6.56</v>
      </c>
      <c r="AN587" s="4">
        <f t="shared" si="76"/>
        <v>9.93563044301401E-3</v>
      </c>
      <c r="AO587" s="3"/>
      <c r="AP587">
        <v>0</v>
      </c>
      <c r="AR587" t="s">
        <v>0</v>
      </c>
      <c r="AT587" s="2">
        <v>3.488</v>
      </c>
      <c r="AU587" s="1">
        <f t="shared" si="77"/>
        <v>2.2993502458763095</v>
      </c>
      <c r="AV587" s="1">
        <f t="shared" si="78"/>
        <v>1.9262681882834785</v>
      </c>
      <c r="AW587" s="1">
        <f t="shared" si="79"/>
        <v>1.5531861306906476</v>
      </c>
    </row>
    <row r="588" spans="1:49" x14ac:dyDescent="0.2">
      <c r="A588">
        <v>586</v>
      </c>
      <c r="B588" t="s">
        <v>2149</v>
      </c>
      <c r="C588" t="s">
        <v>2148</v>
      </c>
      <c r="D588" t="s">
        <v>2147</v>
      </c>
      <c r="E588">
        <v>9279906</v>
      </c>
      <c r="F588" t="s">
        <v>2146</v>
      </c>
      <c r="G588" t="s">
        <v>4</v>
      </c>
      <c r="H588" t="s">
        <v>3</v>
      </c>
      <c r="I588" t="s">
        <v>2145</v>
      </c>
      <c r="J588" t="s">
        <v>2144</v>
      </c>
      <c r="K588" t="s">
        <v>2143</v>
      </c>
      <c r="L588" t="s">
        <v>2142</v>
      </c>
      <c r="M588" t="s">
        <v>2141</v>
      </c>
      <c r="N588">
        <v>16</v>
      </c>
      <c r="O588" t="s">
        <v>2140</v>
      </c>
      <c r="P588" t="s">
        <v>2139</v>
      </c>
      <c r="Q588" t="s">
        <v>2138</v>
      </c>
      <c r="R588" s="8">
        <v>35679</v>
      </c>
      <c r="S588" s="9">
        <f t="shared" si="72"/>
        <v>1997</v>
      </c>
      <c r="T588" s="9">
        <v>1997</v>
      </c>
      <c r="U588" s="9">
        <f t="shared" si="73"/>
        <v>25</v>
      </c>
      <c r="V588" s="8">
        <v>1997</v>
      </c>
      <c r="W588" t="s">
        <v>806</v>
      </c>
      <c r="X588" s="2">
        <v>1.3120000000000001</v>
      </c>
      <c r="Y588" s="7">
        <f t="shared" si="74"/>
        <v>3.502309068097488E-2</v>
      </c>
      <c r="AA588">
        <v>319155</v>
      </c>
      <c r="AB588">
        <v>29203</v>
      </c>
      <c r="AD588" t="s">
        <v>1</v>
      </c>
      <c r="AE588">
        <v>42</v>
      </c>
      <c r="AF588">
        <v>8</v>
      </c>
      <c r="AH588" t="s">
        <v>2137</v>
      </c>
      <c r="AI588" t="s">
        <v>2136</v>
      </c>
      <c r="AK588" t="s">
        <v>2135</v>
      </c>
      <c r="AL588">
        <v>15</v>
      </c>
      <c r="AM588" s="5">
        <f t="shared" si="75"/>
        <v>0.6</v>
      </c>
      <c r="AN588" s="4">
        <f t="shared" si="76"/>
        <v>9.0874668686103744E-4</v>
      </c>
      <c r="AO588" s="3"/>
      <c r="AP588">
        <v>0</v>
      </c>
      <c r="AR588" t="s">
        <v>0</v>
      </c>
      <c r="AT588" s="2">
        <v>3.609</v>
      </c>
      <c r="AU588" s="1">
        <f t="shared" si="77"/>
        <v>2.4788787482740728</v>
      </c>
      <c r="AV588" s="1">
        <f t="shared" si="78"/>
        <v>1.7965918683917959</v>
      </c>
      <c r="AW588" s="1">
        <f t="shared" si="79"/>
        <v>1.1143049885095191</v>
      </c>
    </row>
    <row r="589" spans="1:49" x14ac:dyDescent="0.2">
      <c r="A589">
        <v>587</v>
      </c>
      <c r="B589" t="s">
        <v>2134</v>
      </c>
      <c r="C589" t="s">
        <v>2133</v>
      </c>
      <c r="D589" t="s">
        <v>2132</v>
      </c>
      <c r="E589">
        <v>9334940</v>
      </c>
      <c r="F589" t="s">
        <v>2131</v>
      </c>
      <c r="G589" t="s">
        <v>4</v>
      </c>
      <c r="H589" t="s">
        <v>3</v>
      </c>
      <c r="I589" t="s">
        <v>2130</v>
      </c>
      <c r="J589">
        <v>60030718</v>
      </c>
      <c r="K589" t="s">
        <v>517</v>
      </c>
      <c r="L589" t="s">
        <v>36</v>
      </c>
      <c r="M589" t="s">
        <v>7</v>
      </c>
      <c r="N589">
        <v>5</v>
      </c>
      <c r="O589" t="s">
        <v>2129</v>
      </c>
      <c r="P589" t="s">
        <v>2128</v>
      </c>
      <c r="Q589" t="s">
        <v>2127</v>
      </c>
      <c r="R589" s="8">
        <v>35678</v>
      </c>
      <c r="S589" s="9">
        <f t="shared" si="72"/>
        <v>1997</v>
      </c>
      <c r="T589" s="9">
        <v>1997</v>
      </c>
      <c r="U589" s="9">
        <f t="shared" si="73"/>
        <v>25</v>
      </c>
      <c r="V589" s="8">
        <v>35678</v>
      </c>
      <c r="W589" t="s">
        <v>2126</v>
      </c>
      <c r="X589" s="2">
        <v>0.98099999999999998</v>
      </c>
      <c r="Y589" s="7">
        <f t="shared" si="74"/>
        <v>2.6187234724113079E-2</v>
      </c>
      <c r="AA589">
        <v>1650270</v>
      </c>
      <c r="AB589">
        <v>16765</v>
      </c>
      <c r="AD589" t="s">
        <v>1</v>
      </c>
      <c r="AE589">
        <v>76</v>
      </c>
      <c r="AF589">
        <v>1</v>
      </c>
      <c r="AH589" t="s">
        <v>88</v>
      </c>
      <c r="AI589" t="s">
        <v>2125</v>
      </c>
      <c r="AJ589" t="s">
        <v>2124</v>
      </c>
      <c r="AK589" t="s">
        <v>2123</v>
      </c>
      <c r="AL589">
        <v>81</v>
      </c>
      <c r="AM589" s="5">
        <f t="shared" si="75"/>
        <v>3.24</v>
      </c>
      <c r="AN589" s="4">
        <f t="shared" si="76"/>
        <v>4.9072321090496028E-3</v>
      </c>
      <c r="AO589" s="3"/>
      <c r="AP589">
        <v>0</v>
      </c>
      <c r="AR589" t="s">
        <v>0</v>
      </c>
      <c r="AT589" s="2">
        <v>2.39</v>
      </c>
      <c r="AU589" s="1">
        <f t="shared" si="77"/>
        <v>1.9803233939594034</v>
      </c>
      <c r="AV589" s="1">
        <f t="shared" si="78"/>
        <v>1.5547233416581341</v>
      </c>
      <c r="AW589" s="1">
        <f t="shared" si="79"/>
        <v>1.1291232893568643</v>
      </c>
    </row>
    <row r="590" spans="1:49" x14ac:dyDescent="0.2">
      <c r="A590">
        <v>588</v>
      </c>
      <c r="B590" t="s">
        <v>2122</v>
      </c>
      <c r="C590" t="s">
        <v>2121</v>
      </c>
      <c r="D590" t="s">
        <v>2120</v>
      </c>
      <c r="F590" t="s">
        <v>2119</v>
      </c>
      <c r="G590" t="s">
        <v>4</v>
      </c>
      <c r="H590" t="s">
        <v>3</v>
      </c>
      <c r="I590" t="s">
        <v>2118</v>
      </c>
      <c r="J590">
        <v>60022175</v>
      </c>
      <c r="K590" t="s">
        <v>61</v>
      </c>
      <c r="L590" t="s">
        <v>60</v>
      </c>
      <c r="M590" t="s">
        <v>8</v>
      </c>
      <c r="N590">
        <v>2</v>
      </c>
      <c r="O590" t="s">
        <v>2117</v>
      </c>
      <c r="P590" t="s">
        <v>2116</v>
      </c>
      <c r="Q590" t="s">
        <v>59</v>
      </c>
      <c r="R590" s="8">
        <v>35677</v>
      </c>
      <c r="S590" s="9">
        <f t="shared" si="72"/>
        <v>1997</v>
      </c>
      <c r="T590" s="9">
        <v>1997</v>
      </c>
      <c r="U590" s="9">
        <f t="shared" si="73"/>
        <v>25</v>
      </c>
      <c r="V590" s="8">
        <v>35677</v>
      </c>
      <c r="W590" t="s">
        <v>2115</v>
      </c>
      <c r="X590" s="2">
        <v>2.093</v>
      </c>
      <c r="Y590" s="7">
        <f t="shared" si="74"/>
        <v>5.5871439630549108E-2</v>
      </c>
      <c r="AA590">
        <v>3702693</v>
      </c>
      <c r="AB590">
        <v>29482</v>
      </c>
      <c r="AD590" t="s">
        <v>1</v>
      </c>
      <c r="AE590">
        <v>407</v>
      </c>
      <c r="AF590" s="6">
        <v>44289</v>
      </c>
      <c r="AH590" t="s">
        <v>2114</v>
      </c>
      <c r="AI590" t="s">
        <v>2113</v>
      </c>
      <c r="AK590" t="s">
        <v>2112</v>
      </c>
      <c r="AL590">
        <v>10</v>
      </c>
      <c r="AM590" s="5">
        <f t="shared" si="75"/>
        <v>0.4</v>
      </c>
      <c r="AN590" s="4">
        <f t="shared" si="76"/>
        <v>6.0583112457402507E-4</v>
      </c>
      <c r="AO590" s="3"/>
      <c r="AP590">
        <v>0</v>
      </c>
      <c r="AR590" t="s">
        <v>2111</v>
      </c>
      <c r="AT590" s="2" t="s">
        <v>5</v>
      </c>
      <c r="AU590" s="1">
        <f t="shared" si="77"/>
        <v>3.929175707875658</v>
      </c>
      <c r="AV590" s="1">
        <f t="shared" si="78"/>
        <v>2.8238635377561567</v>
      </c>
      <c r="AW590" s="1">
        <f t="shared" si="79"/>
        <v>1.7185513676366548</v>
      </c>
    </row>
    <row r="591" spans="1:49" x14ac:dyDescent="0.2">
      <c r="A591">
        <v>589</v>
      </c>
      <c r="B591" t="s">
        <v>2110</v>
      </c>
      <c r="C591" t="s">
        <v>2109</v>
      </c>
      <c r="F591" t="s">
        <v>2108</v>
      </c>
      <c r="G591" t="s">
        <v>4</v>
      </c>
      <c r="H591" t="s">
        <v>3</v>
      </c>
      <c r="I591" t="s">
        <v>2107</v>
      </c>
      <c r="J591" t="s">
        <v>2106</v>
      </c>
      <c r="K591" t="s">
        <v>2105</v>
      </c>
      <c r="L591" t="s">
        <v>2104</v>
      </c>
      <c r="M591" t="s">
        <v>2103</v>
      </c>
      <c r="N591">
        <v>3</v>
      </c>
      <c r="O591" t="s">
        <v>2102</v>
      </c>
      <c r="P591" t="s">
        <v>2101</v>
      </c>
      <c r="Q591" t="s">
        <v>2100</v>
      </c>
      <c r="R591" s="8">
        <v>35674</v>
      </c>
      <c r="S591" s="9">
        <f t="shared" si="72"/>
        <v>1997</v>
      </c>
      <c r="T591" s="9">
        <v>1997</v>
      </c>
      <c r="U591" s="9">
        <f t="shared" si="73"/>
        <v>25</v>
      </c>
      <c r="V591" s="8">
        <v>35674</v>
      </c>
      <c r="W591" t="s">
        <v>534</v>
      </c>
      <c r="X591" s="2">
        <v>0.318</v>
      </c>
      <c r="Y591" s="7">
        <f t="shared" si="74"/>
        <v>8.4888283815167786E-3</v>
      </c>
      <c r="AA591">
        <v>338443</v>
      </c>
      <c r="AB591">
        <v>27160</v>
      </c>
      <c r="AC591">
        <v>15739120</v>
      </c>
      <c r="AD591" t="s">
        <v>1</v>
      </c>
      <c r="AE591">
        <v>40</v>
      </c>
      <c r="AF591">
        <v>9</v>
      </c>
      <c r="AH591" t="s">
        <v>2099</v>
      </c>
      <c r="AI591" t="s">
        <v>2098</v>
      </c>
      <c r="AK591" t="s">
        <v>2097</v>
      </c>
      <c r="AL591">
        <v>1</v>
      </c>
      <c r="AM591" s="5">
        <f t="shared" si="75"/>
        <v>0.04</v>
      </c>
      <c r="AN591" s="4">
        <f t="shared" si="76"/>
        <v>6.05831124574025E-5</v>
      </c>
      <c r="AO591" s="3"/>
      <c r="AP591">
        <v>0</v>
      </c>
      <c r="AR591" t="s">
        <v>0</v>
      </c>
      <c r="AT591" s="2">
        <v>0.77</v>
      </c>
      <c r="AU591" s="1">
        <f t="shared" si="77"/>
        <v>0.5960354800798966</v>
      </c>
      <c r="AV591" s="1">
        <f t="shared" si="78"/>
        <v>0.42747057469870903</v>
      </c>
      <c r="AW591" s="1">
        <f t="shared" si="79"/>
        <v>0.25890566931752151</v>
      </c>
    </row>
    <row r="592" spans="1:49" x14ac:dyDescent="0.2">
      <c r="A592">
        <v>590</v>
      </c>
      <c r="B592" t="s">
        <v>2096</v>
      </c>
      <c r="F592" t="s">
        <v>2095</v>
      </c>
      <c r="G592" t="s">
        <v>4</v>
      </c>
      <c r="H592" t="s">
        <v>3</v>
      </c>
      <c r="I592" t="s">
        <v>2094</v>
      </c>
      <c r="J592" t="s">
        <v>2093</v>
      </c>
      <c r="K592" t="s">
        <v>2092</v>
      </c>
      <c r="L592" t="s">
        <v>2091</v>
      </c>
      <c r="M592" t="s">
        <v>2090</v>
      </c>
      <c r="N592">
        <v>3</v>
      </c>
      <c r="O592" t="s">
        <v>2089</v>
      </c>
      <c r="P592" t="s">
        <v>2088</v>
      </c>
      <c r="Q592" t="s">
        <v>2087</v>
      </c>
      <c r="R592" s="8">
        <v>35674</v>
      </c>
      <c r="S592" s="9">
        <f t="shared" si="72"/>
        <v>1997</v>
      </c>
      <c r="T592" s="9">
        <v>1997</v>
      </c>
      <c r="U592" s="9">
        <f t="shared" si="73"/>
        <v>25</v>
      </c>
      <c r="V592" s="8">
        <v>35674</v>
      </c>
      <c r="W592" t="s">
        <v>2086</v>
      </c>
      <c r="X592" s="2" t="s">
        <v>5</v>
      </c>
      <c r="Y592" s="7" t="e">
        <f t="shared" si="74"/>
        <v>#VALUE!</v>
      </c>
      <c r="AA592">
        <v>10631674</v>
      </c>
      <c r="AB592">
        <v>26144</v>
      </c>
      <c r="AD592" t="s">
        <v>1</v>
      </c>
      <c r="AE592">
        <v>20</v>
      </c>
      <c r="AF592">
        <v>3</v>
      </c>
      <c r="AH592" t="s">
        <v>2085</v>
      </c>
      <c r="AI592" t="s">
        <v>2084</v>
      </c>
      <c r="AJ592" t="s">
        <v>2083</v>
      </c>
      <c r="AK592" t="s">
        <v>2082</v>
      </c>
      <c r="AL592">
        <v>1</v>
      </c>
      <c r="AM592" s="5">
        <f t="shared" si="75"/>
        <v>0.04</v>
      </c>
      <c r="AN592" s="4">
        <f t="shared" si="76"/>
        <v>6.05831124574025E-5</v>
      </c>
      <c r="AO592" s="3"/>
      <c r="AP592">
        <v>0</v>
      </c>
      <c r="AR592" t="s">
        <v>0</v>
      </c>
      <c r="AT592" s="2" t="s">
        <v>5</v>
      </c>
      <c r="AU592" s="1" t="e">
        <f t="shared" si="77"/>
        <v>#VALUE!</v>
      </c>
      <c r="AV592" s="1" t="e">
        <f t="shared" si="78"/>
        <v>#VALUE!</v>
      </c>
      <c r="AW592" s="1" t="e">
        <f t="shared" si="79"/>
        <v>#VALUE!</v>
      </c>
    </row>
    <row r="593" spans="1:49" x14ac:dyDescent="0.2">
      <c r="A593">
        <v>591</v>
      </c>
      <c r="B593" t="s">
        <v>2081</v>
      </c>
      <c r="F593" t="s">
        <v>2080</v>
      </c>
      <c r="G593" t="s">
        <v>4</v>
      </c>
      <c r="H593" t="s">
        <v>3</v>
      </c>
      <c r="I593" t="s">
        <v>2079</v>
      </c>
      <c r="J593">
        <v>60008408</v>
      </c>
      <c r="K593" t="s">
        <v>1920</v>
      </c>
      <c r="L593" t="s">
        <v>1919</v>
      </c>
      <c r="M593" t="s">
        <v>1918</v>
      </c>
      <c r="N593">
        <v>2</v>
      </c>
      <c r="O593" t="s">
        <v>2078</v>
      </c>
      <c r="P593" t="s">
        <v>1916</v>
      </c>
      <c r="Q593" t="s">
        <v>1915</v>
      </c>
      <c r="R593" s="8">
        <v>35674</v>
      </c>
      <c r="S593" s="9">
        <f t="shared" si="72"/>
        <v>1997</v>
      </c>
      <c r="T593" s="9">
        <v>1997</v>
      </c>
      <c r="U593" s="9">
        <f t="shared" si="73"/>
        <v>25</v>
      </c>
      <c r="V593" s="8">
        <v>35674</v>
      </c>
      <c r="W593" t="s">
        <v>130</v>
      </c>
      <c r="X593" s="2">
        <v>0.13800000000000001</v>
      </c>
      <c r="Y593" s="7">
        <f t="shared" si="74"/>
        <v>3.6838311844318095E-3</v>
      </c>
      <c r="AA593">
        <v>1926225</v>
      </c>
      <c r="AB593">
        <v>18580</v>
      </c>
      <c r="AD593" t="s">
        <v>1</v>
      </c>
      <c r="AE593">
        <v>40</v>
      </c>
      <c r="AF593">
        <v>9</v>
      </c>
      <c r="AH593" t="s">
        <v>2077</v>
      </c>
      <c r="AI593" t="s">
        <v>2076</v>
      </c>
      <c r="AK593" t="s">
        <v>2075</v>
      </c>
      <c r="AL593">
        <v>0</v>
      </c>
      <c r="AM593" s="5">
        <f t="shared" si="75"/>
        <v>0</v>
      </c>
      <c r="AN593" s="4">
        <f t="shared" si="76"/>
        <v>0</v>
      </c>
      <c r="AO593" s="3"/>
      <c r="AP593">
        <v>0</v>
      </c>
      <c r="AR593" t="s">
        <v>0</v>
      </c>
      <c r="AT593" s="2">
        <v>0.30599999999999999</v>
      </c>
      <c r="AU593" s="1">
        <f t="shared" si="77"/>
        <v>0.25786818291022667</v>
      </c>
      <c r="AV593" s="1">
        <f t="shared" si="78"/>
        <v>0.18419155922159047</v>
      </c>
      <c r="AW593" s="1">
        <f t="shared" si="79"/>
        <v>0.11051493553295429</v>
      </c>
    </row>
    <row r="594" spans="1:49" x14ac:dyDescent="0.2">
      <c r="A594">
        <v>592</v>
      </c>
      <c r="B594" t="s">
        <v>2074</v>
      </c>
      <c r="F594" t="s">
        <v>2073</v>
      </c>
      <c r="G594" t="s">
        <v>4</v>
      </c>
      <c r="H594" t="s">
        <v>3</v>
      </c>
      <c r="I594" t="s">
        <v>658</v>
      </c>
      <c r="J594" t="s">
        <v>657</v>
      </c>
      <c r="K594" t="s">
        <v>656</v>
      </c>
      <c r="L594" t="s">
        <v>655</v>
      </c>
      <c r="M594" t="s">
        <v>122</v>
      </c>
      <c r="N594">
        <v>3</v>
      </c>
      <c r="O594" t="s">
        <v>2072</v>
      </c>
      <c r="P594" t="s">
        <v>654</v>
      </c>
      <c r="Q594" t="s">
        <v>653</v>
      </c>
      <c r="R594" s="8">
        <v>35674</v>
      </c>
      <c r="S594" s="9">
        <f t="shared" si="72"/>
        <v>1997</v>
      </c>
      <c r="T594" s="9">
        <v>1997</v>
      </c>
      <c r="U594" s="9">
        <f t="shared" si="73"/>
        <v>25</v>
      </c>
      <c r="V594" s="8">
        <v>35674</v>
      </c>
      <c r="W594" t="s">
        <v>632</v>
      </c>
      <c r="X594" s="2">
        <v>0.33800000000000002</v>
      </c>
      <c r="Y594" s="7">
        <f t="shared" si="74"/>
        <v>9.0227169589706634E-3</v>
      </c>
      <c r="AA594">
        <v>34347</v>
      </c>
      <c r="AB594">
        <v>17722</v>
      </c>
      <c r="AC594">
        <v>19589395</v>
      </c>
      <c r="AD594" t="s">
        <v>1</v>
      </c>
      <c r="AE594">
        <v>52</v>
      </c>
      <c r="AF594" s="6">
        <v>44478</v>
      </c>
      <c r="AH594" t="s">
        <v>2071</v>
      </c>
      <c r="AI594" t="s">
        <v>2070</v>
      </c>
      <c r="AJ594" t="s">
        <v>2069</v>
      </c>
      <c r="AK594" t="s">
        <v>2068</v>
      </c>
      <c r="AL594">
        <v>8</v>
      </c>
      <c r="AM594" s="5">
        <f t="shared" si="75"/>
        <v>0.32</v>
      </c>
      <c r="AN594" s="4">
        <f t="shared" si="76"/>
        <v>4.8466489965922E-4</v>
      </c>
      <c r="AO594" s="3"/>
      <c r="AP594">
        <v>0</v>
      </c>
      <c r="AR594" t="s">
        <v>0</v>
      </c>
      <c r="AT594" s="2" t="s">
        <v>5</v>
      </c>
      <c r="AU594" s="1">
        <f t="shared" si="77"/>
        <v>0.64613013411772302</v>
      </c>
      <c r="AV594" s="1">
        <f t="shared" si="78"/>
        <v>0.47536909293149415</v>
      </c>
      <c r="AW594" s="1">
        <f t="shared" si="79"/>
        <v>0.30460805174526528</v>
      </c>
    </row>
    <row r="595" spans="1:49" x14ac:dyDescent="0.2">
      <c r="A595">
        <v>593</v>
      </c>
      <c r="B595" t="s">
        <v>2067</v>
      </c>
      <c r="F595" t="s">
        <v>2066</v>
      </c>
      <c r="G595" t="s">
        <v>4</v>
      </c>
      <c r="H595" t="s">
        <v>3</v>
      </c>
      <c r="I595" t="s">
        <v>2065</v>
      </c>
      <c r="J595" t="s">
        <v>2064</v>
      </c>
      <c r="K595" t="s">
        <v>2063</v>
      </c>
      <c r="L595" t="s">
        <v>2062</v>
      </c>
      <c r="M595" t="s">
        <v>642</v>
      </c>
      <c r="N595">
        <v>2</v>
      </c>
      <c r="O595" t="s">
        <v>2061</v>
      </c>
      <c r="P595" t="s">
        <v>2060</v>
      </c>
      <c r="Q595" t="s">
        <v>2059</v>
      </c>
      <c r="R595" s="8">
        <v>35674</v>
      </c>
      <c r="S595" s="9">
        <f t="shared" si="72"/>
        <v>1997</v>
      </c>
      <c r="T595" s="9">
        <v>1997</v>
      </c>
      <c r="U595" s="9">
        <f t="shared" si="73"/>
        <v>25</v>
      </c>
      <c r="V595" s="8">
        <v>35674</v>
      </c>
      <c r="W595" t="s">
        <v>632</v>
      </c>
      <c r="X595" s="2">
        <v>0.33800000000000002</v>
      </c>
      <c r="Y595" s="7">
        <f t="shared" si="74"/>
        <v>9.0227169589706634E-3</v>
      </c>
      <c r="AA595">
        <v>34347</v>
      </c>
      <c r="AB595">
        <v>17722</v>
      </c>
      <c r="AC595">
        <v>19589395</v>
      </c>
      <c r="AD595" t="s">
        <v>1</v>
      </c>
      <c r="AE595">
        <v>52</v>
      </c>
      <c r="AF595" s="6">
        <v>44478</v>
      </c>
      <c r="AH595" t="s">
        <v>138</v>
      </c>
      <c r="AI595" t="s">
        <v>2058</v>
      </c>
      <c r="AJ595" t="s">
        <v>2057</v>
      </c>
      <c r="AK595" t="s">
        <v>2056</v>
      </c>
      <c r="AL595">
        <v>0</v>
      </c>
      <c r="AM595" s="5">
        <f t="shared" si="75"/>
        <v>0</v>
      </c>
      <c r="AN595" s="4">
        <f t="shared" si="76"/>
        <v>0</v>
      </c>
      <c r="AO595" s="3"/>
      <c r="AP595">
        <v>0</v>
      </c>
      <c r="AR595" t="s">
        <v>0</v>
      </c>
      <c r="AT595" s="2" t="s">
        <v>5</v>
      </c>
      <c r="AU595" s="1">
        <f t="shared" si="77"/>
        <v>0.63159018712794635</v>
      </c>
      <c r="AV595" s="1">
        <f t="shared" si="78"/>
        <v>0.45113584794853318</v>
      </c>
      <c r="AW595" s="1">
        <f t="shared" si="79"/>
        <v>0.27068150876911989</v>
      </c>
    </row>
    <row r="596" spans="1:49" x14ac:dyDescent="0.2">
      <c r="A596">
        <v>594</v>
      </c>
      <c r="B596" t="s">
        <v>2055</v>
      </c>
      <c r="F596" t="s">
        <v>2054</v>
      </c>
      <c r="G596" t="s">
        <v>4</v>
      </c>
      <c r="H596" t="s">
        <v>3</v>
      </c>
      <c r="I596" t="s">
        <v>647</v>
      </c>
      <c r="J596">
        <v>60031254</v>
      </c>
      <c r="K596" t="s">
        <v>646</v>
      </c>
      <c r="L596" t="s">
        <v>645</v>
      </c>
      <c r="M596" t="s">
        <v>74</v>
      </c>
      <c r="N596">
        <v>2</v>
      </c>
      <c r="O596" t="s">
        <v>2053</v>
      </c>
      <c r="P596" t="s">
        <v>2052</v>
      </c>
      <c r="Q596" t="s">
        <v>644</v>
      </c>
      <c r="R596" s="8">
        <v>35674</v>
      </c>
      <c r="S596" s="9">
        <f t="shared" si="72"/>
        <v>1997</v>
      </c>
      <c r="T596" s="9">
        <v>1997</v>
      </c>
      <c r="U596" s="9">
        <f t="shared" si="73"/>
        <v>25</v>
      </c>
      <c r="V596" s="8">
        <v>35674</v>
      </c>
      <c r="W596" t="s">
        <v>531</v>
      </c>
      <c r="X596" s="2">
        <v>0.32500000000000001</v>
      </c>
      <c r="Y596" s="7">
        <f t="shared" si="74"/>
        <v>8.6756893836256385E-3</v>
      </c>
      <c r="AA596">
        <v>204412</v>
      </c>
      <c r="AB596">
        <v>15467</v>
      </c>
      <c r="AD596" t="s">
        <v>1</v>
      </c>
      <c r="AE596">
        <v>40</v>
      </c>
      <c r="AF596">
        <v>5</v>
      </c>
      <c r="AH596" t="s">
        <v>2051</v>
      </c>
      <c r="AI596" t="s">
        <v>2050</v>
      </c>
      <c r="AK596" t="s">
        <v>2049</v>
      </c>
      <c r="AL596">
        <v>1</v>
      </c>
      <c r="AM596" s="5">
        <f t="shared" si="75"/>
        <v>0.04</v>
      </c>
      <c r="AN596" s="4">
        <f t="shared" si="76"/>
        <v>6.05831124574025E-5</v>
      </c>
      <c r="AO596" s="3"/>
      <c r="AP596">
        <v>0</v>
      </c>
      <c r="AR596" t="s">
        <v>0</v>
      </c>
      <c r="AT596" s="2" t="s">
        <v>5</v>
      </c>
      <c r="AU596" s="1">
        <f t="shared" si="77"/>
        <v>0.60911575022751674</v>
      </c>
      <c r="AV596" s="1">
        <f t="shared" si="78"/>
        <v>0.43681362480415203</v>
      </c>
      <c r="AW596" s="1">
        <f t="shared" si="79"/>
        <v>0.26451149938078733</v>
      </c>
    </row>
    <row r="597" spans="1:49" x14ac:dyDescent="0.2">
      <c r="A597">
        <v>595</v>
      </c>
      <c r="B597" t="s">
        <v>2048</v>
      </c>
      <c r="F597" t="s">
        <v>2047</v>
      </c>
      <c r="G597" t="s">
        <v>4</v>
      </c>
      <c r="H597" t="s">
        <v>3</v>
      </c>
      <c r="I597" t="s">
        <v>2046</v>
      </c>
      <c r="J597">
        <v>60017604</v>
      </c>
      <c r="K597" t="s">
        <v>2045</v>
      </c>
      <c r="L597" t="s">
        <v>2044</v>
      </c>
      <c r="M597" t="s">
        <v>74</v>
      </c>
      <c r="N597">
        <v>8</v>
      </c>
      <c r="O597" t="s">
        <v>2043</v>
      </c>
      <c r="P597" t="s">
        <v>2042</v>
      </c>
      <c r="Q597" t="s">
        <v>2041</v>
      </c>
      <c r="R597" s="8">
        <v>35674</v>
      </c>
      <c r="S597" s="9">
        <f t="shared" si="72"/>
        <v>1997</v>
      </c>
      <c r="T597" s="9">
        <v>1997</v>
      </c>
      <c r="U597" s="9">
        <f t="shared" si="73"/>
        <v>25</v>
      </c>
      <c r="V597" s="8">
        <v>35674</v>
      </c>
      <c r="W597" t="s">
        <v>531</v>
      </c>
      <c r="X597" s="2">
        <v>0.32500000000000001</v>
      </c>
      <c r="Y597" s="7">
        <f t="shared" si="74"/>
        <v>8.6756893836256385E-3</v>
      </c>
      <c r="AA597">
        <v>204412</v>
      </c>
      <c r="AB597">
        <v>15467</v>
      </c>
      <c r="AD597" t="s">
        <v>1</v>
      </c>
      <c r="AE597">
        <v>40</v>
      </c>
      <c r="AF597">
        <v>5</v>
      </c>
      <c r="AH597" t="s">
        <v>2040</v>
      </c>
      <c r="AI597" t="s">
        <v>2039</v>
      </c>
      <c r="AK597" t="s">
        <v>2038</v>
      </c>
      <c r="AL597">
        <v>5</v>
      </c>
      <c r="AM597" s="5">
        <f t="shared" si="75"/>
        <v>0.2</v>
      </c>
      <c r="AN597" s="4">
        <f t="shared" si="76"/>
        <v>3.0291556228701253E-4</v>
      </c>
      <c r="AO597" s="3"/>
      <c r="AP597">
        <v>0</v>
      </c>
      <c r="AR597" t="s">
        <v>0</v>
      </c>
      <c r="AT597" s="2" t="s">
        <v>5</v>
      </c>
      <c r="AU597" s="1">
        <f t="shared" si="77"/>
        <v>0.61638572372240508</v>
      </c>
      <c r="AV597" s="1">
        <f t="shared" si="78"/>
        <v>0.44893024729563258</v>
      </c>
      <c r="AW597" s="1">
        <f t="shared" si="79"/>
        <v>0.28147477086886002</v>
      </c>
    </row>
    <row r="598" spans="1:49" x14ac:dyDescent="0.2">
      <c r="A598">
        <v>596</v>
      </c>
      <c r="B598" t="s">
        <v>2037</v>
      </c>
      <c r="F598" t="s">
        <v>2036</v>
      </c>
      <c r="G598" t="s">
        <v>4</v>
      </c>
      <c r="H598" t="s">
        <v>3</v>
      </c>
      <c r="I598" t="s">
        <v>2035</v>
      </c>
      <c r="J598" t="s">
        <v>2034</v>
      </c>
      <c r="K598" t="s">
        <v>2033</v>
      </c>
      <c r="L598" t="s">
        <v>2032</v>
      </c>
      <c r="M598" t="s">
        <v>310</v>
      </c>
      <c r="N598">
        <v>3</v>
      </c>
      <c r="O598" t="s">
        <v>2031</v>
      </c>
      <c r="P598" t="s">
        <v>2030</v>
      </c>
      <c r="Q598" t="s">
        <v>2029</v>
      </c>
      <c r="R598" s="8">
        <v>35674</v>
      </c>
      <c r="S598" s="9">
        <f t="shared" si="72"/>
        <v>1997</v>
      </c>
      <c r="T598" s="9">
        <v>1997</v>
      </c>
      <c r="U598" s="9">
        <f t="shared" si="73"/>
        <v>25</v>
      </c>
      <c r="V598" s="8">
        <v>35674</v>
      </c>
      <c r="W598" t="s">
        <v>2028</v>
      </c>
      <c r="X598" s="2" t="s">
        <v>5</v>
      </c>
      <c r="Y598" s="7" t="e">
        <f t="shared" si="74"/>
        <v>#VALUE!</v>
      </c>
      <c r="AA598">
        <v>13411683</v>
      </c>
      <c r="AB598">
        <v>17818</v>
      </c>
      <c r="AD598" t="s">
        <v>1</v>
      </c>
      <c r="AE598">
        <v>3</v>
      </c>
      <c r="AF598">
        <v>3</v>
      </c>
      <c r="AH598" t="s">
        <v>2027</v>
      </c>
      <c r="AI598" t="s">
        <v>2026</v>
      </c>
      <c r="AJ598" t="s">
        <v>2025</v>
      </c>
      <c r="AK598" t="s">
        <v>2024</v>
      </c>
      <c r="AL598">
        <v>25</v>
      </c>
      <c r="AM598" s="5">
        <f t="shared" si="75"/>
        <v>1</v>
      </c>
      <c r="AN598" s="4">
        <f t="shared" si="76"/>
        <v>1.5145778114350624E-3</v>
      </c>
      <c r="AO598" s="3"/>
      <c r="AP598">
        <v>0</v>
      </c>
      <c r="AR598" t="s">
        <v>0</v>
      </c>
      <c r="AT598" s="2" t="s">
        <v>5</v>
      </c>
      <c r="AU598" s="1" t="e">
        <f t="shared" si="77"/>
        <v>#VALUE!</v>
      </c>
      <c r="AV598" s="1" t="e">
        <f t="shared" si="78"/>
        <v>#VALUE!</v>
      </c>
      <c r="AW598" s="1" t="e">
        <f t="shared" si="79"/>
        <v>#VALUE!</v>
      </c>
    </row>
    <row r="599" spans="1:49" x14ac:dyDescent="0.2">
      <c r="A599">
        <v>597</v>
      </c>
      <c r="B599" t="s">
        <v>2023</v>
      </c>
      <c r="F599" t="s">
        <v>2022</v>
      </c>
      <c r="G599" t="s">
        <v>4</v>
      </c>
      <c r="H599" t="s">
        <v>3</v>
      </c>
      <c r="I599" t="s">
        <v>757</v>
      </c>
      <c r="J599">
        <v>60008447</v>
      </c>
      <c r="K599" t="s">
        <v>527</v>
      </c>
      <c r="L599" t="s">
        <v>526</v>
      </c>
      <c r="M599" t="s">
        <v>26</v>
      </c>
      <c r="N599">
        <v>3</v>
      </c>
      <c r="O599" t="s">
        <v>2021</v>
      </c>
      <c r="P599" t="s">
        <v>2020</v>
      </c>
      <c r="Q599" t="s">
        <v>1520</v>
      </c>
      <c r="R599" s="8">
        <v>35674</v>
      </c>
      <c r="S599" s="9">
        <f t="shared" si="72"/>
        <v>1997</v>
      </c>
      <c r="T599" s="9">
        <v>1997</v>
      </c>
      <c r="U599" s="9">
        <f t="shared" si="73"/>
        <v>25</v>
      </c>
      <c r="V599" s="8">
        <v>35674</v>
      </c>
      <c r="W599" t="s">
        <v>632</v>
      </c>
      <c r="X599" s="2">
        <v>0.33800000000000002</v>
      </c>
      <c r="Y599" s="7">
        <f t="shared" si="74"/>
        <v>9.0227169589706634E-3</v>
      </c>
      <c r="AA599">
        <v>34347</v>
      </c>
      <c r="AB599">
        <v>17722</v>
      </c>
      <c r="AC599">
        <v>19589395</v>
      </c>
      <c r="AD599" t="s">
        <v>1</v>
      </c>
      <c r="AE599">
        <v>52</v>
      </c>
      <c r="AF599" s="6">
        <v>44478</v>
      </c>
      <c r="AH599" t="s">
        <v>2019</v>
      </c>
      <c r="AI599" t="s">
        <v>2018</v>
      </c>
      <c r="AJ599" t="s">
        <v>2017</v>
      </c>
      <c r="AK599" t="s">
        <v>2016</v>
      </c>
      <c r="AL599">
        <v>5</v>
      </c>
      <c r="AM599" s="5">
        <f t="shared" si="75"/>
        <v>0.2</v>
      </c>
      <c r="AN599" s="4">
        <f t="shared" si="76"/>
        <v>3.0291556228701253E-4</v>
      </c>
      <c r="AO599" s="3"/>
      <c r="AP599">
        <v>0</v>
      </c>
      <c r="AR599" t="s">
        <v>0</v>
      </c>
      <c r="AT599" s="2" t="s">
        <v>5</v>
      </c>
      <c r="AU599" s="1">
        <f t="shared" si="77"/>
        <v>0.64067765399655674</v>
      </c>
      <c r="AV599" s="1">
        <f t="shared" si="78"/>
        <v>0.46628162606288381</v>
      </c>
      <c r="AW599" s="1">
        <f t="shared" si="79"/>
        <v>0.29188559812921078</v>
      </c>
    </row>
    <row r="600" spans="1:49" x14ac:dyDescent="0.2">
      <c r="A600">
        <v>598</v>
      </c>
      <c r="B600" t="s">
        <v>2015</v>
      </c>
      <c r="F600" t="s">
        <v>2014</v>
      </c>
      <c r="G600" t="s">
        <v>4</v>
      </c>
      <c r="H600" t="s">
        <v>3</v>
      </c>
      <c r="I600" t="s">
        <v>2013</v>
      </c>
      <c r="J600">
        <v>60025038</v>
      </c>
      <c r="K600" t="s">
        <v>2012</v>
      </c>
      <c r="L600" t="s">
        <v>283</v>
      </c>
      <c r="M600" t="s">
        <v>2</v>
      </c>
      <c r="N600">
        <v>1</v>
      </c>
      <c r="O600" t="s">
        <v>2011</v>
      </c>
      <c r="P600">
        <v>7101753025</v>
      </c>
      <c r="Q600">
        <v>60025038</v>
      </c>
      <c r="R600" s="8">
        <v>35674</v>
      </c>
      <c r="S600" s="9">
        <f t="shared" si="72"/>
        <v>1997</v>
      </c>
      <c r="T600" s="9">
        <v>1997</v>
      </c>
      <c r="U600" s="9">
        <f t="shared" si="73"/>
        <v>25</v>
      </c>
      <c r="V600" s="8">
        <v>35674</v>
      </c>
      <c r="W600" t="s">
        <v>2010</v>
      </c>
      <c r="X600" s="2">
        <v>0.36799999999999999</v>
      </c>
      <c r="Y600" s="7">
        <f t="shared" si="74"/>
        <v>9.8235498251514914E-3</v>
      </c>
      <c r="AA600">
        <v>28320</v>
      </c>
      <c r="AB600">
        <v>19118</v>
      </c>
      <c r="AD600" t="s">
        <v>1</v>
      </c>
      <c r="AE600">
        <v>123</v>
      </c>
      <c r="AF600">
        <v>3</v>
      </c>
      <c r="AH600" t="s">
        <v>2009</v>
      </c>
      <c r="AI600" t="s">
        <v>2008</v>
      </c>
      <c r="AK600" t="s">
        <v>2007</v>
      </c>
      <c r="AL600">
        <v>12</v>
      </c>
      <c r="AM600" s="5">
        <f t="shared" si="75"/>
        <v>0.48</v>
      </c>
      <c r="AN600" s="4">
        <f t="shared" si="76"/>
        <v>7.2699734948882997E-4</v>
      </c>
      <c r="AO600" s="3"/>
      <c r="AP600">
        <v>0</v>
      </c>
      <c r="AR600" t="s">
        <v>0</v>
      </c>
      <c r="AT600" s="2" t="s">
        <v>5</v>
      </c>
      <c r="AU600" s="1">
        <f t="shared" si="77"/>
        <v>0.70945840824526929</v>
      </c>
      <c r="AV600" s="1">
        <f t="shared" si="78"/>
        <v>0.52752735873201606</v>
      </c>
      <c r="AW600" s="1">
        <f t="shared" si="79"/>
        <v>0.34559630921876278</v>
      </c>
    </row>
    <row r="601" spans="1:49" x14ac:dyDescent="0.2">
      <c r="A601">
        <v>599</v>
      </c>
      <c r="B601" t="s">
        <v>2006</v>
      </c>
      <c r="F601" t="s">
        <v>2005</v>
      </c>
      <c r="G601" t="s">
        <v>4</v>
      </c>
      <c r="H601" t="s">
        <v>3</v>
      </c>
      <c r="I601" t="s">
        <v>2004</v>
      </c>
      <c r="J601">
        <v>60006039</v>
      </c>
      <c r="K601" t="s">
        <v>2003</v>
      </c>
      <c r="L601" t="s">
        <v>76</v>
      </c>
      <c r="M601" t="s">
        <v>29</v>
      </c>
      <c r="N601">
        <v>1</v>
      </c>
      <c r="O601" t="s">
        <v>2002</v>
      </c>
      <c r="P601">
        <v>6701678232</v>
      </c>
      <c r="Q601">
        <v>60006039</v>
      </c>
      <c r="R601" s="8">
        <v>35674</v>
      </c>
      <c r="S601" s="9">
        <f t="shared" si="72"/>
        <v>1997</v>
      </c>
      <c r="T601" s="9">
        <v>1997</v>
      </c>
      <c r="U601" s="9">
        <f t="shared" si="73"/>
        <v>25</v>
      </c>
      <c r="V601" s="8">
        <v>35674</v>
      </c>
      <c r="W601" t="s">
        <v>2001</v>
      </c>
      <c r="X601" s="2">
        <v>0.34699999999999998</v>
      </c>
      <c r="Y601" s="7">
        <f t="shared" si="74"/>
        <v>9.2629668188249116E-3</v>
      </c>
      <c r="AA601" t="s">
        <v>2000</v>
      </c>
      <c r="AB601">
        <v>19750</v>
      </c>
      <c r="AD601" t="s">
        <v>1</v>
      </c>
      <c r="AE601">
        <v>51</v>
      </c>
      <c r="AF601">
        <v>3</v>
      </c>
      <c r="AH601" t="s">
        <v>1999</v>
      </c>
      <c r="AI601" t="s">
        <v>1998</v>
      </c>
      <c r="AK601" t="s">
        <v>1997</v>
      </c>
      <c r="AL601">
        <v>12</v>
      </c>
      <c r="AM601" s="5">
        <f t="shared" si="75"/>
        <v>0.48</v>
      </c>
      <c r="AN601" s="4">
        <f t="shared" si="76"/>
        <v>7.2699734948882997E-4</v>
      </c>
      <c r="AO601" s="3"/>
      <c r="AP601">
        <v>0</v>
      </c>
      <c r="AR601" t="s">
        <v>0</v>
      </c>
      <c r="AT601" s="2">
        <v>0.77600000000000002</v>
      </c>
      <c r="AU601" s="1">
        <f t="shared" si="77"/>
        <v>0.67021759780240864</v>
      </c>
      <c r="AV601" s="1">
        <f t="shared" si="78"/>
        <v>0.49949820841568709</v>
      </c>
      <c r="AW601" s="1">
        <f t="shared" si="79"/>
        <v>0.32877881902896539</v>
      </c>
    </row>
    <row r="602" spans="1:49" x14ac:dyDescent="0.2">
      <c r="A602">
        <v>600</v>
      </c>
      <c r="B602" t="s">
        <v>1996</v>
      </c>
      <c r="F602" t="s">
        <v>1995</v>
      </c>
      <c r="G602" t="s">
        <v>4</v>
      </c>
      <c r="H602" t="s">
        <v>3</v>
      </c>
      <c r="I602" t="s">
        <v>1994</v>
      </c>
      <c r="J602">
        <v>60007457</v>
      </c>
      <c r="K602" t="s">
        <v>509</v>
      </c>
      <c r="L602" t="s">
        <v>173</v>
      </c>
      <c r="M602" t="s">
        <v>74</v>
      </c>
      <c r="N602">
        <v>4</v>
      </c>
      <c r="O602" t="s">
        <v>460</v>
      </c>
      <c r="P602" t="s">
        <v>459</v>
      </c>
      <c r="Q602" t="s">
        <v>667</v>
      </c>
      <c r="R602" s="8">
        <v>35674</v>
      </c>
      <c r="S602" s="9">
        <f t="shared" si="72"/>
        <v>1997</v>
      </c>
      <c r="T602" s="9">
        <v>1997</v>
      </c>
      <c r="U602" s="9">
        <f t="shared" si="73"/>
        <v>25</v>
      </c>
      <c r="V602" s="8">
        <v>35674</v>
      </c>
      <c r="W602" t="s">
        <v>720</v>
      </c>
      <c r="X602" s="2">
        <v>0.217</v>
      </c>
      <c r="Y602" s="7">
        <f t="shared" si="74"/>
        <v>5.7926910653746562E-3</v>
      </c>
      <c r="AA602">
        <v>268933</v>
      </c>
      <c r="AB602">
        <v>14153</v>
      </c>
      <c r="AD602" t="s">
        <v>1</v>
      </c>
      <c r="AE602">
        <v>31</v>
      </c>
      <c r="AF602">
        <v>5</v>
      </c>
      <c r="AH602" t="s">
        <v>1993</v>
      </c>
      <c r="AI602" t="s">
        <v>1992</v>
      </c>
      <c r="AJ602" t="s">
        <v>1991</v>
      </c>
      <c r="AK602" t="s">
        <v>1990</v>
      </c>
      <c r="AL602">
        <v>0</v>
      </c>
      <c r="AM602" s="5">
        <f t="shared" si="75"/>
        <v>0</v>
      </c>
      <c r="AN602" s="4">
        <f t="shared" si="76"/>
        <v>0</v>
      </c>
      <c r="AO602" s="3"/>
      <c r="AP602">
        <v>0</v>
      </c>
      <c r="AR602" t="s">
        <v>0</v>
      </c>
      <c r="AT602" s="2">
        <v>1.3740000000000001</v>
      </c>
      <c r="AU602" s="1">
        <f t="shared" si="77"/>
        <v>0.40548837457622589</v>
      </c>
      <c r="AV602" s="1">
        <f t="shared" si="78"/>
        <v>0.28963455326873283</v>
      </c>
      <c r="AW602" s="1">
        <f t="shared" si="79"/>
        <v>0.17378073196123967</v>
      </c>
    </row>
    <row r="603" spans="1:49" x14ac:dyDescent="0.2">
      <c r="A603">
        <v>601</v>
      </c>
      <c r="B603" t="s">
        <v>1989</v>
      </c>
      <c r="C603" t="s">
        <v>1988</v>
      </c>
      <c r="E603">
        <v>9309869</v>
      </c>
      <c r="F603" t="s">
        <v>1987</v>
      </c>
      <c r="G603" t="s">
        <v>4</v>
      </c>
      <c r="H603" t="s">
        <v>3</v>
      </c>
      <c r="I603" t="s">
        <v>1986</v>
      </c>
      <c r="J603" t="s">
        <v>1985</v>
      </c>
      <c r="K603" t="s">
        <v>1984</v>
      </c>
      <c r="L603" t="s">
        <v>1983</v>
      </c>
      <c r="M603" t="s">
        <v>18</v>
      </c>
      <c r="N603">
        <v>2</v>
      </c>
      <c r="O603" t="s">
        <v>1982</v>
      </c>
      <c r="P603" t="s">
        <v>1981</v>
      </c>
      <c r="Q603" t="s">
        <v>1980</v>
      </c>
      <c r="R603" s="8">
        <v>35674</v>
      </c>
      <c r="S603" s="9">
        <f t="shared" si="72"/>
        <v>1997</v>
      </c>
      <c r="T603" s="9">
        <v>1997</v>
      </c>
      <c r="U603" s="9">
        <f t="shared" si="73"/>
        <v>25</v>
      </c>
      <c r="V603" s="8">
        <v>35674</v>
      </c>
      <c r="W603" t="s">
        <v>602</v>
      </c>
      <c r="X603" s="2">
        <v>0.8</v>
      </c>
      <c r="Y603" s="7">
        <f t="shared" si="74"/>
        <v>2.1355543098155415E-2</v>
      </c>
      <c r="AA603">
        <v>3407594</v>
      </c>
      <c r="AB603">
        <v>23456</v>
      </c>
      <c r="AD603" t="s">
        <v>1</v>
      </c>
      <c r="AE603">
        <v>181</v>
      </c>
      <c r="AF603">
        <v>3</v>
      </c>
      <c r="AH603" t="s">
        <v>1979</v>
      </c>
      <c r="AI603" t="s">
        <v>1978</v>
      </c>
      <c r="AJ603" t="s">
        <v>1977</v>
      </c>
      <c r="AK603" t="s">
        <v>1976</v>
      </c>
      <c r="AL603">
        <v>38</v>
      </c>
      <c r="AM603" s="5">
        <f t="shared" si="75"/>
        <v>1.52</v>
      </c>
      <c r="AN603" s="4">
        <f t="shared" si="76"/>
        <v>2.3021582733812949E-3</v>
      </c>
      <c r="AO603" s="3"/>
      <c r="AP603">
        <v>0</v>
      </c>
      <c r="AQ603" t="s">
        <v>53</v>
      </c>
      <c r="AR603" t="s">
        <v>1975</v>
      </c>
      <c r="AS603" t="s">
        <v>52</v>
      </c>
      <c r="AT603" s="2" t="s">
        <v>5</v>
      </c>
      <c r="AU603" s="1">
        <f t="shared" si="77"/>
        <v>1.5639527650723177</v>
      </c>
      <c r="AV603" s="1">
        <f t="shared" si="78"/>
        <v>1.1828850685768355</v>
      </c>
      <c r="AW603" s="1">
        <f t="shared" si="79"/>
        <v>0.80181737208135306</v>
      </c>
    </row>
    <row r="604" spans="1:49" x14ac:dyDescent="0.2">
      <c r="A604">
        <v>602</v>
      </c>
      <c r="B604" t="s">
        <v>1974</v>
      </c>
      <c r="C604" t="s">
        <v>1973</v>
      </c>
      <c r="F604" t="s">
        <v>1972</v>
      </c>
      <c r="G604" t="s">
        <v>4</v>
      </c>
      <c r="H604" t="s">
        <v>3</v>
      </c>
      <c r="I604" t="s">
        <v>1971</v>
      </c>
      <c r="J604">
        <v>60008609</v>
      </c>
      <c r="K604" t="s">
        <v>1970</v>
      </c>
      <c r="L604" t="s">
        <v>1969</v>
      </c>
      <c r="M604" t="s">
        <v>2</v>
      </c>
      <c r="N604">
        <v>3</v>
      </c>
      <c r="O604" t="s">
        <v>1968</v>
      </c>
      <c r="P604" t="s">
        <v>1967</v>
      </c>
      <c r="Q604" t="s">
        <v>1966</v>
      </c>
      <c r="R604" s="8">
        <v>35674</v>
      </c>
      <c r="S604" s="9">
        <f t="shared" si="72"/>
        <v>1997</v>
      </c>
      <c r="T604" s="9">
        <v>1997</v>
      </c>
      <c r="U604" s="9">
        <f t="shared" si="73"/>
        <v>25</v>
      </c>
      <c r="V604" s="8">
        <v>35674</v>
      </c>
      <c r="W604" t="s">
        <v>167</v>
      </c>
      <c r="X604" s="2">
        <v>0.22500000000000001</v>
      </c>
      <c r="Y604" s="7">
        <f t="shared" si="74"/>
        <v>6.0062464963562111E-3</v>
      </c>
      <c r="AA604">
        <v>2726343</v>
      </c>
      <c r="AB604">
        <v>16128</v>
      </c>
      <c r="AC604" t="s">
        <v>166</v>
      </c>
      <c r="AD604" t="s">
        <v>1</v>
      </c>
      <c r="AE604">
        <v>17</v>
      </c>
      <c r="AF604">
        <v>5</v>
      </c>
      <c r="AH604" t="s">
        <v>1965</v>
      </c>
      <c r="AI604" t="s">
        <v>1964</v>
      </c>
      <c r="AK604" t="s">
        <v>1963</v>
      </c>
      <c r="AL604">
        <v>0</v>
      </c>
      <c r="AM604" s="5">
        <f t="shared" si="75"/>
        <v>0</v>
      </c>
      <c r="AN604" s="4">
        <f t="shared" si="76"/>
        <v>0</v>
      </c>
      <c r="AO604" s="3"/>
      <c r="AP604">
        <v>0</v>
      </c>
      <c r="AR604" t="s">
        <v>0</v>
      </c>
      <c r="AT604" s="2">
        <v>1.099</v>
      </c>
      <c r="AU604" s="1">
        <f t="shared" si="77"/>
        <v>0.42043725474493476</v>
      </c>
      <c r="AV604" s="1">
        <f t="shared" si="78"/>
        <v>0.30031232481781056</v>
      </c>
      <c r="AW604" s="1">
        <f t="shared" si="79"/>
        <v>0.18018739489068633</v>
      </c>
    </row>
    <row r="605" spans="1:49" x14ac:dyDescent="0.2">
      <c r="A605">
        <v>603</v>
      </c>
      <c r="B605" t="s">
        <v>1962</v>
      </c>
      <c r="C605" t="s">
        <v>1961</v>
      </c>
      <c r="F605" t="s">
        <v>1960</v>
      </c>
      <c r="G605" t="s">
        <v>4</v>
      </c>
      <c r="H605" t="s">
        <v>3</v>
      </c>
      <c r="I605" t="s">
        <v>453</v>
      </c>
      <c r="J605" t="s">
        <v>1959</v>
      </c>
      <c r="K605" t="s">
        <v>1958</v>
      </c>
      <c r="L605" t="s">
        <v>1957</v>
      </c>
      <c r="M605" t="s">
        <v>1956</v>
      </c>
      <c r="N605">
        <v>5</v>
      </c>
      <c r="O605" t="s">
        <v>1955</v>
      </c>
      <c r="P605" t="s">
        <v>1954</v>
      </c>
      <c r="Q605" t="s">
        <v>1953</v>
      </c>
      <c r="R605" s="8">
        <v>35674</v>
      </c>
      <c r="S605" s="9">
        <f t="shared" si="72"/>
        <v>1997</v>
      </c>
      <c r="T605" s="9">
        <v>1997</v>
      </c>
      <c r="U605" s="9">
        <f t="shared" si="73"/>
        <v>25</v>
      </c>
      <c r="V605" s="8">
        <v>35674</v>
      </c>
      <c r="W605" t="s">
        <v>617</v>
      </c>
      <c r="X605" s="2">
        <v>0.66800000000000004</v>
      </c>
      <c r="Y605" s="7">
        <f t="shared" si="74"/>
        <v>1.7831878486959774E-2</v>
      </c>
      <c r="AA605" t="s">
        <v>616</v>
      </c>
      <c r="AB605">
        <v>29593</v>
      </c>
      <c r="AC605">
        <v>21553165</v>
      </c>
      <c r="AD605" t="s">
        <v>1</v>
      </c>
      <c r="AE605">
        <v>36</v>
      </c>
      <c r="AF605">
        <v>25</v>
      </c>
      <c r="AH605" t="s">
        <v>1952</v>
      </c>
      <c r="AI605" t="s">
        <v>1951</v>
      </c>
      <c r="AJ605" t="s">
        <v>1950</v>
      </c>
      <c r="AK605" t="s">
        <v>1949</v>
      </c>
      <c r="AL605">
        <v>33</v>
      </c>
      <c r="AM605" s="5">
        <f t="shared" si="75"/>
        <v>1.32</v>
      </c>
      <c r="AN605" s="4">
        <f t="shared" si="76"/>
        <v>1.9992427110942824E-3</v>
      </c>
      <c r="AO605" s="3"/>
      <c r="AP605">
        <v>0</v>
      </c>
      <c r="AR605" t="s">
        <v>0</v>
      </c>
      <c r="AT605" s="2">
        <v>1.98</v>
      </c>
      <c r="AU605" s="1">
        <f t="shared" si="77"/>
        <v>1.3082087754200125</v>
      </c>
      <c r="AV605" s="1">
        <f t="shared" si="78"/>
        <v>0.99155605990270279</v>
      </c>
      <c r="AW605" s="1">
        <f t="shared" si="79"/>
        <v>0.6749033443853929</v>
      </c>
    </row>
    <row r="606" spans="1:49" x14ac:dyDescent="0.2">
      <c r="A606">
        <v>604</v>
      </c>
      <c r="B606" t="s">
        <v>1948</v>
      </c>
      <c r="C606" t="s">
        <v>1947</v>
      </c>
      <c r="D606" t="s">
        <v>1946</v>
      </c>
      <c r="F606" t="s">
        <v>1945</v>
      </c>
      <c r="G606" t="s">
        <v>4</v>
      </c>
      <c r="H606" t="s">
        <v>3</v>
      </c>
      <c r="I606" t="s">
        <v>1944</v>
      </c>
      <c r="J606">
        <v>60001439</v>
      </c>
      <c r="K606" t="s">
        <v>286</v>
      </c>
      <c r="L606" t="s">
        <v>285</v>
      </c>
      <c r="M606" t="s">
        <v>2</v>
      </c>
      <c r="N606">
        <v>2</v>
      </c>
      <c r="O606" t="s">
        <v>1943</v>
      </c>
      <c r="P606" t="s">
        <v>1942</v>
      </c>
      <c r="Q606" t="s">
        <v>1941</v>
      </c>
      <c r="R606" s="8">
        <v>35674</v>
      </c>
      <c r="S606" s="9">
        <f t="shared" si="72"/>
        <v>1997</v>
      </c>
      <c r="T606" s="9">
        <v>1997</v>
      </c>
      <c r="U606" s="9">
        <f t="shared" si="73"/>
        <v>25</v>
      </c>
      <c r="V606" s="8">
        <v>35674</v>
      </c>
      <c r="W606" t="s">
        <v>189</v>
      </c>
      <c r="X606" s="2">
        <v>0.94</v>
      </c>
      <c r="Y606" s="7">
        <f t="shared" si="74"/>
        <v>2.5092763140332611E-2</v>
      </c>
      <c r="AA606">
        <v>10518207</v>
      </c>
      <c r="AB606">
        <v>63372</v>
      </c>
      <c r="AD606" t="s">
        <v>1</v>
      </c>
      <c r="AE606">
        <v>7</v>
      </c>
      <c r="AF606">
        <v>9</v>
      </c>
      <c r="AH606" t="s">
        <v>1940</v>
      </c>
      <c r="AI606" t="s">
        <v>1939</v>
      </c>
      <c r="AJ606" t="s">
        <v>1938</v>
      </c>
      <c r="AK606" t="s">
        <v>1937</v>
      </c>
      <c r="AL606">
        <v>327</v>
      </c>
      <c r="AM606" s="5">
        <f t="shared" si="75"/>
        <v>13.08</v>
      </c>
      <c r="AN606" s="4">
        <f t="shared" si="76"/>
        <v>1.9810677773570616E-2</v>
      </c>
      <c r="AO606" s="3"/>
      <c r="AP606">
        <v>0</v>
      </c>
      <c r="AR606" t="s">
        <v>0</v>
      </c>
      <c r="AT606" s="2" t="s">
        <v>5</v>
      </c>
      <c r="AU606" s="1">
        <f t="shared" si="77"/>
        <v>2.3508137530304012</v>
      </c>
      <c r="AV606" s="1">
        <f t="shared" si="78"/>
        <v>2.2451720456951612</v>
      </c>
      <c r="AW606" s="1">
        <f t="shared" si="79"/>
        <v>2.1395303383599211</v>
      </c>
    </row>
    <row r="607" spans="1:49" x14ac:dyDescent="0.2">
      <c r="A607">
        <v>605</v>
      </c>
      <c r="B607" t="s">
        <v>1936</v>
      </c>
      <c r="C607" t="s">
        <v>1935</v>
      </c>
      <c r="F607" t="s">
        <v>1934</v>
      </c>
      <c r="G607" t="s">
        <v>4</v>
      </c>
      <c r="H607" t="s">
        <v>3</v>
      </c>
      <c r="I607" t="s">
        <v>1933</v>
      </c>
      <c r="J607" t="s">
        <v>1932</v>
      </c>
      <c r="K607" t="s">
        <v>1931</v>
      </c>
      <c r="L607" t="s">
        <v>1930</v>
      </c>
      <c r="M607" t="s">
        <v>1929</v>
      </c>
      <c r="N607">
        <v>2</v>
      </c>
      <c r="O607" t="s">
        <v>1928</v>
      </c>
      <c r="P607" t="s">
        <v>1927</v>
      </c>
      <c r="Q607" t="s">
        <v>1926</v>
      </c>
      <c r="R607" s="8">
        <v>35674</v>
      </c>
      <c r="S607" s="9">
        <f t="shared" si="72"/>
        <v>1997</v>
      </c>
      <c r="T607" s="9">
        <v>1997</v>
      </c>
      <c r="U607" s="9">
        <f t="shared" si="73"/>
        <v>25</v>
      </c>
      <c r="V607" s="8">
        <v>35674</v>
      </c>
      <c r="W607" t="s">
        <v>56</v>
      </c>
      <c r="X607" s="2">
        <v>2.823</v>
      </c>
      <c r="Y607" s="7">
        <f t="shared" si="74"/>
        <v>7.5358372707615917E-2</v>
      </c>
      <c r="AA607">
        <v>1636804</v>
      </c>
      <c r="AB607">
        <v>17249</v>
      </c>
      <c r="AD607" t="s">
        <v>1</v>
      </c>
      <c r="AE607">
        <v>35</v>
      </c>
      <c r="AF607">
        <v>9</v>
      </c>
      <c r="AH607" t="s">
        <v>202</v>
      </c>
      <c r="AI607" t="s">
        <v>1925</v>
      </c>
      <c r="AK607" t="s">
        <v>1924</v>
      </c>
      <c r="AL607">
        <v>12</v>
      </c>
      <c r="AM607" s="5">
        <f t="shared" si="75"/>
        <v>0.48</v>
      </c>
      <c r="AN607" s="4">
        <f t="shared" si="76"/>
        <v>7.2699734948882997E-4</v>
      </c>
      <c r="AO607" s="3"/>
      <c r="AP607">
        <v>0</v>
      </c>
      <c r="AR607" t="s">
        <v>0</v>
      </c>
      <c r="AT607" s="2">
        <v>9.6189999999999998</v>
      </c>
      <c r="AU607" s="1">
        <f t="shared" si="77"/>
        <v>5.2968960100177789</v>
      </c>
      <c r="AV607" s="1">
        <f t="shared" si="78"/>
        <v>3.8042685028552374</v>
      </c>
      <c r="AW607" s="1">
        <f t="shared" si="79"/>
        <v>2.3116409956926955</v>
      </c>
    </row>
    <row r="608" spans="1:49" x14ac:dyDescent="0.2">
      <c r="A608">
        <v>606</v>
      </c>
      <c r="B608" t="s">
        <v>1923</v>
      </c>
      <c r="F608" t="s">
        <v>1922</v>
      </c>
      <c r="G608" t="s">
        <v>4</v>
      </c>
      <c r="H608" t="s">
        <v>3</v>
      </c>
      <c r="I608" t="s">
        <v>1921</v>
      </c>
      <c r="J608">
        <v>60008408</v>
      </c>
      <c r="K608" t="s">
        <v>1920</v>
      </c>
      <c r="L608" t="s">
        <v>1919</v>
      </c>
      <c r="M608" t="s">
        <v>1918</v>
      </c>
      <c r="N608">
        <v>2</v>
      </c>
      <c r="O608" t="s">
        <v>1917</v>
      </c>
      <c r="P608" t="s">
        <v>1916</v>
      </c>
      <c r="Q608" t="s">
        <v>1915</v>
      </c>
      <c r="R608" s="8">
        <v>35674</v>
      </c>
      <c r="S608" s="9">
        <f t="shared" si="72"/>
        <v>1997</v>
      </c>
      <c r="T608" s="9">
        <v>1997</v>
      </c>
      <c r="U608" s="9">
        <f t="shared" si="73"/>
        <v>25</v>
      </c>
      <c r="V608" s="8">
        <v>35674</v>
      </c>
      <c r="W608" t="s">
        <v>130</v>
      </c>
      <c r="X608" s="2">
        <v>0.13800000000000001</v>
      </c>
      <c r="Y608" s="7">
        <f t="shared" si="74"/>
        <v>3.6838311844318095E-3</v>
      </c>
      <c r="AA608">
        <v>1926225</v>
      </c>
      <c r="AB608">
        <v>18580</v>
      </c>
      <c r="AD608" t="s">
        <v>1</v>
      </c>
      <c r="AE608">
        <v>40</v>
      </c>
      <c r="AF608">
        <v>9</v>
      </c>
      <c r="AI608" t="s">
        <v>1914</v>
      </c>
      <c r="AK608" t="s">
        <v>1913</v>
      </c>
      <c r="AL608">
        <v>0</v>
      </c>
      <c r="AM608" s="5">
        <f t="shared" si="75"/>
        <v>0</v>
      </c>
      <c r="AN608" s="4">
        <f t="shared" si="76"/>
        <v>0</v>
      </c>
      <c r="AO608" s="3"/>
      <c r="AP608">
        <v>0</v>
      </c>
      <c r="AR608" t="s">
        <v>0</v>
      </c>
      <c r="AT608" s="2">
        <v>0.30599999999999999</v>
      </c>
      <c r="AU608" s="1">
        <f t="shared" si="77"/>
        <v>0.25786818291022667</v>
      </c>
      <c r="AV608" s="1">
        <f t="shared" si="78"/>
        <v>0.18419155922159047</v>
      </c>
      <c r="AW608" s="1">
        <f t="shared" si="79"/>
        <v>0.11051493553295429</v>
      </c>
    </row>
    <row r="609" spans="1:49" x14ac:dyDescent="0.2">
      <c r="A609">
        <v>607</v>
      </c>
      <c r="B609" t="s">
        <v>1912</v>
      </c>
      <c r="C609" t="s">
        <v>1911</v>
      </c>
      <c r="F609" t="s">
        <v>1910</v>
      </c>
      <c r="G609" t="s">
        <v>4</v>
      </c>
      <c r="H609" t="s">
        <v>3</v>
      </c>
      <c r="I609" t="s">
        <v>1909</v>
      </c>
      <c r="J609">
        <v>60025778</v>
      </c>
      <c r="K609" t="s">
        <v>636</v>
      </c>
      <c r="L609" t="s">
        <v>635</v>
      </c>
      <c r="M609" t="s">
        <v>2</v>
      </c>
      <c r="N609">
        <v>1</v>
      </c>
      <c r="O609" t="s">
        <v>1908</v>
      </c>
      <c r="P609">
        <v>35585913500</v>
      </c>
      <c r="Q609">
        <v>60025778</v>
      </c>
      <c r="R609" s="8">
        <v>35674</v>
      </c>
      <c r="S609" s="9">
        <f t="shared" si="72"/>
        <v>1997</v>
      </c>
      <c r="T609" s="9">
        <v>1997</v>
      </c>
      <c r="U609" s="9">
        <f t="shared" si="73"/>
        <v>25</v>
      </c>
      <c r="V609" s="8">
        <v>35674</v>
      </c>
      <c r="W609" t="s">
        <v>1791</v>
      </c>
      <c r="X609" s="2">
        <v>2.141</v>
      </c>
      <c r="Y609" s="7">
        <f t="shared" si="74"/>
        <v>5.7152772216438434E-2</v>
      </c>
      <c r="AA609">
        <v>1962892</v>
      </c>
      <c r="AB609">
        <v>17360</v>
      </c>
      <c r="AD609" t="s">
        <v>1</v>
      </c>
      <c r="AE609">
        <v>35</v>
      </c>
      <c r="AF609">
        <v>5</v>
      </c>
      <c r="AH609" t="s">
        <v>1907</v>
      </c>
      <c r="AI609" t="s">
        <v>1906</v>
      </c>
      <c r="AK609" t="s">
        <v>1905</v>
      </c>
      <c r="AL609">
        <v>51</v>
      </c>
      <c r="AM609" s="5">
        <f t="shared" si="75"/>
        <v>2.04</v>
      </c>
      <c r="AN609" s="4">
        <f t="shared" si="76"/>
        <v>3.0897387353275275E-3</v>
      </c>
      <c r="AO609" s="3"/>
      <c r="AP609">
        <v>0</v>
      </c>
      <c r="AR609" t="s">
        <v>0</v>
      </c>
      <c r="AT609" s="2" t="s">
        <v>5</v>
      </c>
      <c r="AU609" s="1">
        <f t="shared" si="77"/>
        <v>4.093386217210516</v>
      </c>
      <c r="AV609" s="1">
        <f t="shared" si="78"/>
        <v>3.012125547588298</v>
      </c>
      <c r="AW609" s="1">
        <f t="shared" si="79"/>
        <v>1.93086487796608</v>
      </c>
    </row>
    <row r="610" spans="1:49" x14ac:dyDescent="0.2">
      <c r="A610">
        <v>608</v>
      </c>
      <c r="B610" t="s">
        <v>1904</v>
      </c>
      <c r="C610" t="s">
        <v>1903</v>
      </c>
      <c r="D610" t="s">
        <v>1902</v>
      </c>
      <c r="F610" t="s">
        <v>1901</v>
      </c>
      <c r="G610" t="s">
        <v>4</v>
      </c>
      <c r="H610" t="s">
        <v>3</v>
      </c>
      <c r="I610" t="s">
        <v>1900</v>
      </c>
      <c r="J610" t="s">
        <v>1899</v>
      </c>
      <c r="K610" t="s">
        <v>1898</v>
      </c>
      <c r="L610" t="s">
        <v>1897</v>
      </c>
      <c r="M610" t="s">
        <v>375</v>
      </c>
      <c r="N610">
        <v>2</v>
      </c>
      <c r="O610" t="s">
        <v>1896</v>
      </c>
      <c r="P610" t="s">
        <v>1895</v>
      </c>
      <c r="Q610" t="s">
        <v>1894</v>
      </c>
      <c r="R610" s="8">
        <v>35674</v>
      </c>
      <c r="S610" s="9">
        <f t="shared" si="72"/>
        <v>1997</v>
      </c>
      <c r="T610" s="9">
        <v>1997</v>
      </c>
      <c r="U610" s="9">
        <f t="shared" si="73"/>
        <v>25</v>
      </c>
      <c r="V610" s="8">
        <v>35674</v>
      </c>
      <c r="W610" t="s">
        <v>189</v>
      </c>
      <c r="X610" s="2">
        <v>0.94</v>
      </c>
      <c r="Y610" s="7">
        <f t="shared" si="74"/>
        <v>2.5092763140332611E-2</v>
      </c>
      <c r="AA610">
        <v>10518207</v>
      </c>
      <c r="AB610">
        <v>63372</v>
      </c>
      <c r="AD610" t="s">
        <v>1</v>
      </c>
      <c r="AE610">
        <v>7</v>
      </c>
      <c r="AF610">
        <v>9</v>
      </c>
      <c r="AH610" t="s">
        <v>1893</v>
      </c>
      <c r="AI610" t="s">
        <v>1892</v>
      </c>
      <c r="AJ610" t="s">
        <v>1891</v>
      </c>
      <c r="AK610" t="s">
        <v>1890</v>
      </c>
      <c r="AL610">
        <v>10</v>
      </c>
      <c r="AM610" s="5">
        <f t="shared" si="75"/>
        <v>0.4</v>
      </c>
      <c r="AN610" s="4">
        <f t="shared" si="76"/>
        <v>6.0583112457402507E-4</v>
      </c>
      <c r="AO610" s="3"/>
      <c r="AP610">
        <v>0</v>
      </c>
      <c r="AR610" t="s">
        <v>0</v>
      </c>
      <c r="AT610" s="2" t="s">
        <v>5</v>
      </c>
      <c r="AU610" s="1">
        <f t="shared" si="77"/>
        <v>1.7746683535605035</v>
      </c>
      <c r="AV610" s="1">
        <f t="shared" si="78"/>
        <v>1.2849297132453319</v>
      </c>
      <c r="AW610" s="1">
        <f t="shared" si="79"/>
        <v>0.79519107293016011</v>
      </c>
    </row>
    <row r="611" spans="1:49" x14ac:dyDescent="0.2">
      <c r="A611">
        <v>609</v>
      </c>
      <c r="B611" t="s">
        <v>1889</v>
      </c>
      <c r="C611" t="s">
        <v>1888</v>
      </c>
      <c r="F611" t="s">
        <v>1887</v>
      </c>
      <c r="G611" t="s">
        <v>4</v>
      </c>
      <c r="H611" t="s">
        <v>3</v>
      </c>
      <c r="I611" t="s">
        <v>1886</v>
      </c>
      <c r="J611">
        <v>60019816</v>
      </c>
      <c r="K611" t="s">
        <v>178</v>
      </c>
      <c r="L611" t="s">
        <v>177</v>
      </c>
      <c r="M611" t="s">
        <v>127</v>
      </c>
      <c r="N611">
        <v>3</v>
      </c>
      <c r="O611" t="s">
        <v>1885</v>
      </c>
      <c r="P611" t="s">
        <v>1884</v>
      </c>
      <c r="Q611" t="s">
        <v>1883</v>
      </c>
      <c r="R611" s="8">
        <v>35674</v>
      </c>
      <c r="S611" s="9">
        <f t="shared" si="72"/>
        <v>1997</v>
      </c>
      <c r="T611" s="9">
        <v>1997</v>
      </c>
      <c r="U611" s="9">
        <f t="shared" si="73"/>
        <v>25</v>
      </c>
      <c r="V611" s="8">
        <v>35431</v>
      </c>
      <c r="W611" t="s">
        <v>585</v>
      </c>
      <c r="X611" s="2">
        <v>0.86399999999999999</v>
      </c>
      <c r="Y611" s="7">
        <f t="shared" si="74"/>
        <v>2.3063986546007848E-2</v>
      </c>
      <c r="AA611">
        <v>10895647</v>
      </c>
      <c r="AB611">
        <v>26970</v>
      </c>
      <c r="AD611" t="s">
        <v>1</v>
      </c>
      <c r="AE611">
        <v>101</v>
      </c>
      <c r="AF611">
        <v>37</v>
      </c>
      <c r="AH611" t="s">
        <v>1882</v>
      </c>
      <c r="AI611" t="s">
        <v>1881</v>
      </c>
      <c r="AK611" t="s">
        <v>1880</v>
      </c>
      <c r="AL611">
        <v>21</v>
      </c>
      <c r="AM611" s="5">
        <f t="shared" si="75"/>
        <v>0.84</v>
      </c>
      <c r="AN611" s="4">
        <f t="shared" si="76"/>
        <v>1.2722453616054524E-3</v>
      </c>
      <c r="AO611" s="3"/>
      <c r="AP611">
        <v>0</v>
      </c>
      <c r="AR611" t="s">
        <v>0</v>
      </c>
      <c r="AT611" s="2">
        <v>2.9910000000000001</v>
      </c>
      <c r="AU611" s="1">
        <f t="shared" si="77"/>
        <v>1.6526464190687127</v>
      </c>
      <c r="AV611" s="1">
        <f t="shared" si="78"/>
        <v>1.2168115953806651</v>
      </c>
      <c r="AW611" s="1">
        <f t="shared" si="79"/>
        <v>0.78097677169261703</v>
      </c>
    </row>
    <row r="612" spans="1:49" x14ac:dyDescent="0.2">
      <c r="A612">
        <v>610</v>
      </c>
      <c r="B612" t="s">
        <v>1879</v>
      </c>
      <c r="C612" t="s">
        <v>1878</v>
      </c>
      <c r="F612" t="s">
        <v>1877</v>
      </c>
      <c r="G612" t="s">
        <v>4</v>
      </c>
      <c r="H612" t="s">
        <v>3</v>
      </c>
      <c r="I612" t="s">
        <v>1876</v>
      </c>
      <c r="J612" t="s">
        <v>1875</v>
      </c>
      <c r="K612" t="s">
        <v>1874</v>
      </c>
      <c r="L612" t="s">
        <v>1873</v>
      </c>
      <c r="M612" t="s">
        <v>1872</v>
      </c>
      <c r="N612">
        <v>3</v>
      </c>
      <c r="O612" t="s">
        <v>1871</v>
      </c>
      <c r="P612" t="s">
        <v>1870</v>
      </c>
      <c r="Q612" t="s">
        <v>1869</v>
      </c>
      <c r="R612" s="8">
        <v>35674</v>
      </c>
      <c r="S612" s="9">
        <f t="shared" si="72"/>
        <v>1997</v>
      </c>
      <c r="T612" s="9">
        <v>1997</v>
      </c>
      <c r="U612" s="9">
        <f t="shared" si="73"/>
        <v>25</v>
      </c>
      <c r="V612" s="8">
        <v>35674</v>
      </c>
      <c r="W612" t="s">
        <v>56</v>
      </c>
      <c r="X612" s="2">
        <v>2.823</v>
      </c>
      <c r="Y612" s="7">
        <f t="shared" si="74"/>
        <v>7.5358372707615917E-2</v>
      </c>
      <c r="AA612">
        <v>1636804</v>
      </c>
      <c r="AB612">
        <v>17249</v>
      </c>
      <c r="AD612" t="s">
        <v>1</v>
      </c>
      <c r="AE612">
        <v>35</v>
      </c>
      <c r="AF612">
        <v>9</v>
      </c>
      <c r="AH612" t="s">
        <v>1868</v>
      </c>
      <c r="AI612" t="s">
        <v>1867</v>
      </c>
      <c r="AK612" t="s">
        <v>1866</v>
      </c>
      <c r="AL612">
        <v>60</v>
      </c>
      <c r="AM612" s="5">
        <f t="shared" si="75"/>
        <v>2.4</v>
      </c>
      <c r="AN612" s="4">
        <f t="shared" si="76"/>
        <v>3.6349867474441497E-3</v>
      </c>
      <c r="AO612" s="3"/>
      <c r="AP612">
        <v>0</v>
      </c>
      <c r="AQ612" t="s">
        <v>443</v>
      </c>
      <c r="AR612" t="s">
        <v>0</v>
      </c>
      <c r="AS612" t="s">
        <v>442</v>
      </c>
      <c r="AT612" s="2">
        <v>9.6189999999999998</v>
      </c>
      <c r="AU612" s="1">
        <f t="shared" si="77"/>
        <v>5.3841356919564385</v>
      </c>
      <c r="AV612" s="1">
        <f t="shared" si="78"/>
        <v>3.9496679727530037</v>
      </c>
      <c r="AW612" s="1">
        <f t="shared" si="79"/>
        <v>2.5152002535495677</v>
      </c>
    </row>
    <row r="613" spans="1:49" x14ac:dyDescent="0.2">
      <c r="A613">
        <v>611</v>
      </c>
      <c r="B613" t="s">
        <v>1865</v>
      </c>
      <c r="C613" t="s">
        <v>1864</v>
      </c>
      <c r="F613" t="s">
        <v>1863</v>
      </c>
      <c r="G613" t="s">
        <v>4</v>
      </c>
      <c r="H613" t="s">
        <v>3</v>
      </c>
      <c r="I613" t="s">
        <v>1862</v>
      </c>
      <c r="J613">
        <v>60009999</v>
      </c>
      <c r="K613" t="s">
        <v>1861</v>
      </c>
      <c r="L613" t="s">
        <v>1860</v>
      </c>
      <c r="M613" t="s">
        <v>206</v>
      </c>
      <c r="N613">
        <v>1</v>
      </c>
      <c r="O613" t="s">
        <v>1859</v>
      </c>
      <c r="P613">
        <v>6602671768</v>
      </c>
      <c r="Q613">
        <v>60009999</v>
      </c>
      <c r="R613" s="8">
        <v>35674</v>
      </c>
      <c r="S613" s="9">
        <f t="shared" si="72"/>
        <v>1997</v>
      </c>
      <c r="T613" s="9">
        <v>1997</v>
      </c>
      <c r="U613" s="9">
        <f t="shared" si="73"/>
        <v>25</v>
      </c>
      <c r="V613" s="8">
        <v>35674</v>
      </c>
      <c r="W613" t="s">
        <v>1791</v>
      </c>
      <c r="X613" s="2">
        <v>2.141</v>
      </c>
      <c r="Y613" s="7">
        <f t="shared" si="74"/>
        <v>5.7152772216438434E-2</v>
      </c>
      <c r="AA613">
        <v>1962892</v>
      </c>
      <c r="AB613">
        <v>17360</v>
      </c>
      <c r="AD613" t="s">
        <v>1</v>
      </c>
      <c r="AE613">
        <v>35</v>
      </c>
      <c r="AF613">
        <v>5</v>
      </c>
      <c r="AH613" t="s">
        <v>1858</v>
      </c>
      <c r="AI613" t="s">
        <v>1857</v>
      </c>
      <c r="AK613" t="s">
        <v>1856</v>
      </c>
      <c r="AL613">
        <v>20</v>
      </c>
      <c r="AM613" s="5">
        <f t="shared" si="75"/>
        <v>0.8</v>
      </c>
      <c r="AN613" s="4">
        <f t="shared" si="76"/>
        <v>1.2116622491480501E-3</v>
      </c>
      <c r="AO613" s="3"/>
      <c r="AP613">
        <v>0</v>
      </c>
      <c r="AR613" t="s">
        <v>0</v>
      </c>
      <c r="AT613" s="2" t="s">
        <v>5</v>
      </c>
      <c r="AU613" s="1">
        <f t="shared" si="77"/>
        <v>4.0370439226251316</v>
      </c>
      <c r="AV613" s="1">
        <f t="shared" si="78"/>
        <v>2.9182217232793244</v>
      </c>
      <c r="AW613" s="1">
        <f t="shared" si="79"/>
        <v>1.7993995239335165</v>
      </c>
    </row>
    <row r="614" spans="1:49" x14ac:dyDescent="0.2">
      <c r="A614">
        <v>612</v>
      </c>
      <c r="B614" t="s">
        <v>1855</v>
      </c>
      <c r="C614" t="s">
        <v>1854</v>
      </c>
      <c r="F614" t="s">
        <v>1853</v>
      </c>
      <c r="G614" t="s">
        <v>4</v>
      </c>
      <c r="H614" t="s">
        <v>3</v>
      </c>
      <c r="I614" t="s">
        <v>1852</v>
      </c>
      <c r="J614" t="s">
        <v>1851</v>
      </c>
      <c r="K614" t="s">
        <v>1850</v>
      </c>
      <c r="L614" t="s">
        <v>1849</v>
      </c>
      <c r="M614" t="s">
        <v>203</v>
      </c>
      <c r="N614">
        <v>4</v>
      </c>
      <c r="O614" t="s">
        <v>1848</v>
      </c>
      <c r="P614" t="s">
        <v>1847</v>
      </c>
      <c r="Q614" t="s">
        <v>1846</v>
      </c>
      <c r="R614" s="8">
        <v>35674</v>
      </c>
      <c r="S614" s="9">
        <f t="shared" si="72"/>
        <v>1997</v>
      </c>
      <c r="T614" s="9">
        <v>1997</v>
      </c>
      <c r="U614" s="9">
        <f t="shared" si="73"/>
        <v>25</v>
      </c>
      <c r="V614" s="8">
        <v>35674</v>
      </c>
      <c r="W614" t="s">
        <v>167</v>
      </c>
      <c r="X614" s="2">
        <v>0.22500000000000001</v>
      </c>
      <c r="Y614" s="7">
        <f t="shared" si="74"/>
        <v>6.0062464963562111E-3</v>
      </c>
      <c r="AA614">
        <v>2726343</v>
      </c>
      <c r="AB614">
        <v>16128</v>
      </c>
      <c r="AC614" t="s">
        <v>166</v>
      </c>
      <c r="AD614" t="s">
        <v>1</v>
      </c>
      <c r="AE614">
        <v>17</v>
      </c>
      <c r="AF614">
        <v>5</v>
      </c>
      <c r="AH614" t="s">
        <v>1845</v>
      </c>
      <c r="AI614" t="s">
        <v>1844</v>
      </c>
      <c r="AK614" t="s">
        <v>1843</v>
      </c>
      <c r="AL614">
        <v>17</v>
      </c>
      <c r="AM614" s="5">
        <f t="shared" si="75"/>
        <v>0.68</v>
      </c>
      <c r="AN614" s="4">
        <f t="shared" si="76"/>
        <v>1.0299129117758426E-3</v>
      </c>
      <c r="AO614" s="3"/>
      <c r="AP614">
        <v>0</v>
      </c>
      <c r="AR614" t="s">
        <v>0</v>
      </c>
      <c r="AT614" s="2">
        <v>1.099</v>
      </c>
      <c r="AU614" s="1">
        <f t="shared" si="77"/>
        <v>0.45133464209821006</v>
      </c>
      <c r="AV614" s="1">
        <f t="shared" si="78"/>
        <v>0.35180797040660267</v>
      </c>
      <c r="AW614" s="1">
        <f t="shared" si="79"/>
        <v>0.25228129871499533</v>
      </c>
    </row>
    <row r="615" spans="1:49" x14ac:dyDescent="0.2">
      <c r="A615">
        <v>613</v>
      </c>
      <c r="B615" t="s">
        <v>1842</v>
      </c>
      <c r="C615" t="s">
        <v>1841</v>
      </c>
      <c r="D615" t="s">
        <v>1840</v>
      </c>
      <c r="F615" t="s">
        <v>1839</v>
      </c>
      <c r="G615" t="s">
        <v>4</v>
      </c>
      <c r="H615" t="s">
        <v>3</v>
      </c>
      <c r="I615" t="s">
        <v>1838</v>
      </c>
      <c r="J615" t="s">
        <v>1837</v>
      </c>
      <c r="K615" t="s">
        <v>1836</v>
      </c>
      <c r="L615" t="s">
        <v>1835</v>
      </c>
      <c r="M615" t="s">
        <v>1834</v>
      </c>
      <c r="N615">
        <v>2</v>
      </c>
      <c r="O615" t="s">
        <v>1833</v>
      </c>
      <c r="P615" t="s">
        <v>1832</v>
      </c>
      <c r="Q615" t="s">
        <v>1831</v>
      </c>
      <c r="R615" s="8">
        <v>35674</v>
      </c>
      <c r="S615" s="9">
        <f t="shared" si="72"/>
        <v>1997</v>
      </c>
      <c r="T615" s="9">
        <v>1997</v>
      </c>
      <c r="U615" s="9">
        <f t="shared" si="73"/>
        <v>25</v>
      </c>
      <c r="V615" s="8">
        <v>35674</v>
      </c>
      <c r="W615" t="s">
        <v>712</v>
      </c>
      <c r="X615" s="2">
        <v>2.9860000000000002</v>
      </c>
      <c r="Y615" s="7">
        <f t="shared" si="74"/>
        <v>7.9709564613865094E-2</v>
      </c>
      <c r="AA615">
        <v>7338716</v>
      </c>
      <c r="AB615">
        <v>18902</v>
      </c>
      <c r="AD615" t="s">
        <v>1</v>
      </c>
      <c r="AE615">
        <v>15</v>
      </c>
      <c r="AF615">
        <v>7</v>
      </c>
      <c r="AH615" t="s">
        <v>1830</v>
      </c>
      <c r="AI615" t="s">
        <v>1829</v>
      </c>
      <c r="AJ615" t="s">
        <v>1828</v>
      </c>
      <c r="AK615" t="s">
        <v>1827</v>
      </c>
      <c r="AL615">
        <v>8</v>
      </c>
      <c r="AM615" s="5">
        <f t="shared" si="75"/>
        <v>0.32</v>
      </c>
      <c r="AN615" s="4">
        <f t="shared" si="76"/>
        <v>4.8466489965922E-4</v>
      </c>
      <c r="AO615" s="3"/>
      <c r="AP615">
        <v>0</v>
      </c>
      <c r="AQ615" t="s">
        <v>388</v>
      </c>
      <c r="AR615" t="s">
        <v>0</v>
      </c>
      <c r="AS615" t="s">
        <v>387</v>
      </c>
      <c r="AT615" s="2" t="s">
        <v>5</v>
      </c>
      <c r="AU615" s="1">
        <f t="shared" si="77"/>
        <v>5.5942094699603322</v>
      </c>
      <c r="AV615" s="1">
        <f t="shared" si="78"/>
        <v>4.009711475676216</v>
      </c>
      <c r="AW615" s="1">
        <f t="shared" si="79"/>
        <v>2.425213481392098</v>
      </c>
    </row>
    <row r="616" spans="1:49" x14ac:dyDescent="0.2">
      <c r="A616">
        <v>614</v>
      </c>
      <c r="B616" t="s">
        <v>1826</v>
      </c>
      <c r="C616" t="s">
        <v>1825</v>
      </c>
      <c r="D616" t="s">
        <v>1824</v>
      </c>
      <c r="F616" t="s">
        <v>1823</v>
      </c>
      <c r="G616" t="s">
        <v>4</v>
      </c>
      <c r="H616" t="s">
        <v>3</v>
      </c>
      <c r="I616" t="s">
        <v>1822</v>
      </c>
      <c r="J616" t="s">
        <v>1821</v>
      </c>
      <c r="K616" t="s">
        <v>1820</v>
      </c>
      <c r="L616" t="s">
        <v>306</v>
      </c>
      <c r="M616" t="s">
        <v>64</v>
      </c>
      <c r="N616">
        <v>4</v>
      </c>
      <c r="O616" t="s">
        <v>1819</v>
      </c>
      <c r="P616" t="s">
        <v>1818</v>
      </c>
      <c r="Q616" t="s">
        <v>1817</v>
      </c>
      <c r="R616" s="8">
        <v>35674</v>
      </c>
      <c r="S616" s="9">
        <f t="shared" si="72"/>
        <v>1997</v>
      </c>
      <c r="T616" s="9">
        <v>1997</v>
      </c>
      <c r="U616" s="9">
        <f t="shared" si="73"/>
        <v>25</v>
      </c>
      <c r="V616" s="8">
        <v>35674</v>
      </c>
      <c r="W616" t="s">
        <v>189</v>
      </c>
      <c r="X616" s="2">
        <v>0.94</v>
      </c>
      <c r="Y616" s="7">
        <f t="shared" si="74"/>
        <v>2.5092763140332611E-2</v>
      </c>
      <c r="AA616">
        <v>10518207</v>
      </c>
      <c r="AB616">
        <v>63372</v>
      </c>
      <c r="AD616" t="s">
        <v>1</v>
      </c>
      <c r="AE616">
        <v>7</v>
      </c>
      <c r="AF616">
        <v>9</v>
      </c>
      <c r="AH616" t="s">
        <v>1816</v>
      </c>
      <c r="AI616" t="s">
        <v>1815</v>
      </c>
      <c r="AJ616" t="s">
        <v>1814</v>
      </c>
      <c r="AK616" t="s">
        <v>1813</v>
      </c>
      <c r="AL616">
        <v>63</v>
      </c>
      <c r="AM616" s="5">
        <f t="shared" si="75"/>
        <v>2.52</v>
      </c>
      <c r="AN616" s="4">
        <f t="shared" si="76"/>
        <v>3.8167360848163573E-3</v>
      </c>
      <c r="AO616" s="3"/>
      <c r="AP616">
        <v>0</v>
      </c>
      <c r="AR616" t="s">
        <v>0</v>
      </c>
      <c r="AT616" s="2" t="s">
        <v>5</v>
      </c>
      <c r="AU616" s="1">
        <f t="shared" si="77"/>
        <v>1.8709955023677733</v>
      </c>
      <c r="AV616" s="1">
        <f t="shared" si="78"/>
        <v>1.4454749612574485</v>
      </c>
      <c r="AW616" s="1">
        <f t="shared" si="79"/>
        <v>1.0199544201471233</v>
      </c>
    </row>
    <row r="617" spans="1:49" x14ac:dyDescent="0.2">
      <c r="A617">
        <v>615</v>
      </c>
      <c r="B617" t="s">
        <v>1812</v>
      </c>
      <c r="C617" t="s">
        <v>1811</v>
      </c>
      <c r="F617" t="s">
        <v>1810</v>
      </c>
      <c r="G617" t="s">
        <v>4</v>
      </c>
      <c r="H617" t="s">
        <v>3</v>
      </c>
      <c r="I617" t="s">
        <v>1809</v>
      </c>
      <c r="J617">
        <v>100335825</v>
      </c>
      <c r="K617" t="s">
        <v>1808</v>
      </c>
      <c r="L617" t="s">
        <v>1807</v>
      </c>
      <c r="M617" t="s">
        <v>2</v>
      </c>
      <c r="N617">
        <v>3</v>
      </c>
      <c r="O617" t="s">
        <v>1806</v>
      </c>
      <c r="P617" t="s">
        <v>1805</v>
      </c>
      <c r="Q617" t="s">
        <v>1804</v>
      </c>
      <c r="R617" s="8">
        <v>35674</v>
      </c>
      <c r="S617" s="9">
        <f t="shared" si="72"/>
        <v>1997</v>
      </c>
      <c r="T617" s="9">
        <v>1997</v>
      </c>
      <c r="U617" s="9">
        <f t="shared" si="73"/>
        <v>25</v>
      </c>
      <c r="V617" s="8">
        <v>35674</v>
      </c>
      <c r="W617" t="s">
        <v>1803</v>
      </c>
      <c r="X617" s="2">
        <v>1.6379999999999999</v>
      </c>
      <c r="Y617" s="7">
        <f t="shared" si="74"/>
        <v>4.3725474493473214E-2</v>
      </c>
      <c r="AA617" t="s">
        <v>1802</v>
      </c>
      <c r="AB617">
        <v>17391</v>
      </c>
      <c r="AD617" t="s">
        <v>1</v>
      </c>
      <c r="AE617">
        <v>45</v>
      </c>
      <c r="AF617">
        <v>9</v>
      </c>
      <c r="AH617" t="s">
        <v>1801</v>
      </c>
      <c r="AI617" t="s">
        <v>1800</v>
      </c>
      <c r="AK617" t="s">
        <v>1799</v>
      </c>
      <c r="AL617">
        <v>85</v>
      </c>
      <c r="AM617" s="5">
        <f t="shared" si="75"/>
        <v>3.4</v>
      </c>
      <c r="AN617" s="4">
        <f t="shared" si="76"/>
        <v>5.1495645588792126E-3</v>
      </c>
      <c r="AO617" s="3"/>
      <c r="AP617">
        <v>0</v>
      </c>
      <c r="AR617" t="s">
        <v>0</v>
      </c>
      <c r="AT617" s="2">
        <v>4.931</v>
      </c>
      <c r="AU617" s="1">
        <f t="shared" si="77"/>
        <v>3.2152701513095008</v>
      </c>
      <c r="AV617" s="1">
        <f t="shared" si="78"/>
        <v>2.443751952617621</v>
      </c>
      <c r="AW617" s="1">
        <f t="shared" si="79"/>
        <v>1.6722337539257413</v>
      </c>
    </row>
    <row r="618" spans="1:49" x14ac:dyDescent="0.2">
      <c r="A618">
        <v>616</v>
      </c>
      <c r="B618" t="s">
        <v>1798</v>
      </c>
      <c r="C618" t="s">
        <v>1797</v>
      </c>
      <c r="F618" t="s">
        <v>1796</v>
      </c>
      <c r="G618" t="s">
        <v>4</v>
      </c>
      <c r="H618" t="s">
        <v>3</v>
      </c>
      <c r="I618" t="s">
        <v>1795</v>
      </c>
      <c r="J618">
        <v>60009885</v>
      </c>
      <c r="K618" t="s">
        <v>316</v>
      </c>
      <c r="L618" t="s">
        <v>112</v>
      </c>
      <c r="M618" t="s">
        <v>111</v>
      </c>
      <c r="N618">
        <v>2</v>
      </c>
      <c r="O618" t="s">
        <v>1794</v>
      </c>
      <c r="P618" t="s">
        <v>1793</v>
      </c>
      <c r="Q618" t="s">
        <v>1792</v>
      </c>
      <c r="R618" s="8">
        <v>35674</v>
      </c>
      <c r="S618" s="9">
        <f t="shared" si="72"/>
        <v>1997</v>
      </c>
      <c r="T618" s="9">
        <v>1997</v>
      </c>
      <c r="U618" s="9">
        <f t="shared" si="73"/>
        <v>25</v>
      </c>
      <c r="V618" s="8">
        <v>35674</v>
      </c>
      <c r="W618" t="s">
        <v>1791</v>
      </c>
      <c r="X618" s="2">
        <v>2.141</v>
      </c>
      <c r="Y618" s="7">
        <f t="shared" si="74"/>
        <v>5.7152772216438434E-2</v>
      </c>
      <c r="AA618">
        <v>1962892</v>
      </c>
      <c r="AB618">
        <v>17360</v>
      </c>
      <c r="AD618" t="s">
        <v>1</v>
      </c>
      <c r="AE618">
        <v>35</v>
      </c>
      <c r="AF618">
        <v>5</v>
      </c>
      <c r="AH618" t="s">
        <v>1790</v>
      </c>
      <c r="AI618" t="s">
        <v>1789</v>
      </c>
      <c r="AK618" t="s">
        <v>1788</v>
      </c>
      <c r="AL618">
        <v>1</v>
      </c>
      <c r="AM618" s="5">
        <f t="shared" si="75"/>
        <v>0.04</v>
      </c>
      <c r="AN618" s="4">
        <f t="shared" si="76"/>
        <v>6.05831124574025E-5</v>
      </c>
      <c r="AO618" s="3"/>
      <c r="AP618">
        <v>0</v>
      </c>
      <c r="AR618" t="s">
        <v>0</v>
      </c>
      <c r="AT618" s="2" t="s">
        <v>5</v>
      </c>
      <c r="AU618" s="1">
        <f t="shared" si="77"/>
        <v>4.0025115485244118</v>
      </c>
      <c r="AV618" s="1">
        <f t="shared" si="78"/>
        <v>2.8606677664447919</v>
      </c>
      <c r="AW618" s="1">
        <f t="shared" si="79"/>
        <v>1.7188239843651711</v>
      </c>
    </row>
    <row r="619" spans="1:49" x14ac:dyDescent="0.2">
      <c r="A619">
        <v>617</v>
      </c>
      <c r="B619" t="s">
        <v>1787</v>
      </c>
      <c r="C619" t="s">
        <v>1786</v>
      </c>
      <c r="D619" t="s">
        <v>1785</v>
      </c>
      <c r="F619" t="s">
        <v>1784</v>
      </c>
      <c r="G619" t="s">
        <v>4</v>
      </c>
      <c r="H619" t="s">
        <v>3</v>
      </c>
      <c r="I619" t="s">
        <v>1783</v>
      </c>
      <c r="J619" t="s">
        <v>1782</v>
      </c>
      <c r="K619" t="s">
        <v>1781</v>
      </c>
      <c r="L619" t="s">
        <v>1780</v>
      </c>
      <c r="M619" t="s">
        <v>18</v>
      </c>
      <c r="N619">
        <v>3</v>
      </c>
      <c r="O619" t="s">
        <v>1779</v>
      </c>
      <c r="P619" t="s">
        <v>1778</v>
      </c>
      <c r="Q619" t="s">
        <v>1777</v>
      </c>
      <c r="R619" s="8">
        <v>35674</v>
      </c>
      <c r="S619" s="9">
        <f t="shared" si="72"/>
        <v>1997</v>
      </c>
      <c r="T619" s="9">
        <v>1997</v>
      </c>
      <c r="U619" s="9">
        <f t="shared" si="73"/>
        <v>25</v>
      </c>
      <c r="V619" s="8">
        <v>35674</v>
      </c>
      <c r="W619" t="s">
        <v>599</v>
      </c>
      <c r="X619" s="2">
        <v>1.337</v>
      </c>
      <c r="Y619" s="7">
        <f t="shared" si="74"/>
        <v>3.5690451402792235E-2</v>
      </c>
      <c r="AA619">
        <v>7413106</v>
      </c>
      <c r="AB619">
        <v>26005</v>
      </c>
      <c r="AD619" t="s">
        <v>1</v>
      </c>
      <c r="AE619">
        <v>18</v>
      </c>
      <c r="AF619">
        <v>9</v>
      </c>
      <c r="AH619" t="s">
        <v>1776</v>
      </c>
      <c r="AI619" t="s">
        <v>1775</v>
      </c>
      <c r="AK619" t="s">
        <v>1774</v>
      </c>
      <c r="AL619">
        <v>1</v>
      </c>
      <c r="AM619" s="5">
        <f t="shared" si="75"/>
        <v>0.04</v>
      </c>
      <c r="AN619" s="4">
        <f t="shared" si="76"/>
        <v>6.05831124574025E-5</v>
      </c>
      <c r="AO619" s="3"/>
      <c r="AP619">
        <v>0</v>
      </c>
      <c r="AQ619" t="s">
        <v>1773</v>
      </c>
      <c r="AR619" t="s">
        <v>0</v>
      </c>
      <c r="AS619" t="s">
        <v>507</v>
      </c>
      <c r="AT619" s="2">
        <v>4.1870000000000003</v>
      </c>
      <c r="AU619" s="1">
        <f t="shared" si="77"/>
        <v>2.5001490915691784</v>
      </c>
      <c r="AV619" s="1">
        <f t="shared" si="78"/>
        <v>1.7875517257624818</v>
      </c>
      <c r="AW619" s="1">
        <f t="shared" si="79"/>
        <v>1.0749543599557851</v>
      </c>
    </row>
    <row r="620" spans="1:49" x14ac:dyDescent="0.2">
      <c r="A620">
        <v>618</v>
      </c>
      <c r="B620" t="s">
        <v>1772</v>
      </c>
      <c r="C620" t="s">
        <v>1771</v>
      </c>
      <c r="D620" t="s">
        <v>1770</v>
      </c>
      <c r="F620" t="s">
        <v>1769</v>
      </c>
      <c r="G620" t="s">
        <v>4</v>
      </c>
      <c r="H620" t="s">
        <v>3</v>
      </c>
      <c r="I620" t="s">
        <v>1768</v>
      </c>
      <c r="J620">
        <v>60008134</v>
      </c>
      <c r="K620" t="s">
        <v>675</v>
      </c>
      <c r="L620" t="s">
        <v>184</v>
      </c>
      <c r="M620" t="s">
        <v>26</v>
      </c>
      <c r="N620">
        <v>4</v>
      </c>
      <c r="O620" t="s">
        <v>1767</v>
      </c>
      <c r="P620" t="s">
        <v>1766</v>
      </c>
      <c r="Q620" t="s">
        <v>1765</v>
      </c>
      <c r="R620" s="8">
        <v>35674</v>
      </c>
      <c r="S620" s="9">
        <f t="shared" si="72"/>
        <v>1997</v>
      </c>
      <c r="T620" s="9">
        <v>1997</v>
      </c>
      <c r="U620" s="9">
        <f t="shared" si="73"/>
        <v>25</v>
      </c>
      <c r="V620" s="8">
        <v>35674</v>
      </c>
      <c r="W620" t="s">
        <v>1764</v>
      </c>
      <c r="X620" s="2">
        <v>0.49399999999999999</v>
      </c>
      <c r="Y620" s="7">
        <f t="shared" si="74"/>
        <v>1.3187047863110968E-2</v>
      </c>
      <c r="AA620">
        <v>9601317</v>
      </c>
      <c r="AB620">
        <v>20983</v>
      </c>
      <c r="AD620" t="s">
        <v>1</v>
      </c>
      <c r="AE620">
        <v>7</v>
      </c>
      <c r="AF620">
        <v>3</v>
      </c>
      <c r="AH620" t="s">
        <v>1763</v>
      </c>
      <c r="AI620" t="s">
        <v>1762</v>
      </c>
      <c r="AK620" t="s">
        <v>1761</v>
      </c>
      <c r="AL620">
        <v>8</v>
      </c>
      <c r="AM620" s="5">
        <f t="shared" si="75"/>
        <v>0.32</v>
      </c>
      <c r="AN620" s="4">
        <f t="shared" si="76"/>
        <v>4.8466489965922E-4</v>
      </c>
      <c r="AO620" s="3"/>
      <c r="AP620">
        <v>0</v>
      </c>
      <c r="AR620" t="s">
        <v>0</v>
      </c>
      <c r="AT620" s="2" t="s">
        <v>5</v>
      </c>
      <c r="AU620" s="1">
        <f t="shared" si="77"/>
        <v>0.93763329740754431</v>
      </c>
      <c r="AV620" s="1">
        <f t="shared" si="78"/>
        <v>0.68358563813850937</v>
      </c>
      <c r="AW620" s="1">
        <f t="shared" si="79"/>
        <v>0.42953797886947442</v>
      </c>
    </row>
    <row r="621" spans="1:49" x14ac:dyDescent="0.2">
      <c r="A621">
        <v>619</v>
      </c>
      <c r="B621" t="s">
        <v>1760</v>
      </c>
      <c r="C621" t="s">
        <v>1759</v>
      </c>
      <c r="E621">
        <v>9303541</v>
      </c>
      <c r="F621" t="s">
        <v>1758</v>
      </c>
      <c r="G621" t="s">
        <v>4</v>
      </c>
      <c r="H621" t="s">
        <v>3</v>
      </c>
      <c r="I621" t="s">
        <v>1757</v>
      </c>
      <c r="J621">
        <v>60026796</v>
      </c>
      <c r="K621" t="s">
        <v>1756</v>
      </c>
      <c r="L621" t="s">
        <v>40</v>
      </c>
      <c r="M621" t="s">
        <v>39</v>
      </c>
      <c r="N621">
        <v>3</v>
      </c>
      <c r="O621" t="s">
        <v>1755</v>
      </c>
      <c r="P621" t="s">
        <v>1754</v>
      </c>
      <c r="Q621" t="s">
        <v>1753</v>
      </c>
      <c r="R621" s="8">
        <v>35674</v>
      </c>
      <c r="S621" s="9">
        <f t="shared" si="72"/>
        <v>1997</v>
      </c>
      <c r="T621" s="9">
        <v>1997</v>
      </c>
      <c r="U621" s="9">
        <f t="shared" si="73"/>
        <v>25</v>
      </c>
      <c r="V621" s="8">
        <v>35674</v>
      </c>
      <c r="W621" t="s">
        <v>1752</v>
      </c>
      <c r="X621" s="2">
        <v>7.1360000000000001</v>
      </c>
      <c r="Y621" s="7">
        <f t="shared" si="74"/>
        <v>0.1904914444355463</v>
      </c>
      <c r="AA621">
        <v>8909369</v>
      </c>
      <c r="AB621">
        <v>22126</v>
      </c>
      <c r="AD621" t="s">
        <v>1</v>
      </c>
      <c r="AE621">
        <v>11</v>
      </c>
      <c r="AF621">
        <v>17</v>
      </c>
      <c r="AH621" t="s">
        <v>1751</v>
      </c>
      <c r="AI621" t="s">
        <v>1750</v>
      </c>
      <c r="AJ621" t="s">
        <v>1749</v>
      </c>
      <c r="AK621" t="s">
        <v>1748</v>
      </c>
      <c r="AL621">
        <v>146</v>
      </c>
      <c r="AM621" s="5">
        <f t="shared" si="75"/>
        <v>5.84</v>
      </c>
      <c r="AN621" s="4">
        <f t="shared" si="76"/>
        <v>8.8451344187807646E-3</v>
      </c>
      <c r="AO621" s="3"/>
      <c r="AP621">
        <v>1</v>
      </c>
      <c r="AR621" t="s">
        <v>0</v>
      </c>
      <c r="AT621" s="2" t="s">
        <v>5</v>
      </c>
      <c r="AU621" s="1">
        <f t="shared" si="77"/>
        <v>13.599755143051661</v>
      </c>
      <c r="AV621" s="1">
        <f t="shared" si="78"/>
        <v>9.9668289427163526</v>
      </c>
      <c r="AW621" s="1">
        <f t="shared" si="79"/>
        <v>6.3339027423810421</v>
      </c>
    </row>
    <row r="622" spans="1:49" x14ac:dyDescent="0.2">
      <c r="A622">
        <v>620</v>
      </c>
      <c r="B622" t="s">
        <v>1747</v>
      </c>
      <c r="E622">
        <v>9271152</v>
      </c>
      <c r="F622" t="s">
        <v>1746</v>
      </c>
      <c r="G622" t="s">
        <v>4</v>
      </c>
      <c r="H622" t="s">
        <v>3</v>
      </c>
      <c r="I622" t="s">
        <v>1745</v>
      </c>
      <c r="J622" t="s">
        <v>1744</v>
      </c>
      <c r="K622" t="s">
        <v>1743</v>
      </c>
      <c r="L622" t="s">
        <v>1742</v>
      </c>
      <c r="M622" t="s">
        <v>1741</v>
      </c>
      <c r="N622">
        <v>5</v>
      </c>
      <c r="O622" t="s">
        <v>1740</v>
      </c>
      <c r="P622" t="s">
        <v>1739</v>
      </c>
      <c r="Q622" t="s">
        <v>1738</v>
      </c>
      <c r="R622" s="8">
        <v>35674</v>
      </c>
      <c r="S622" s="9">
        <f t="shared" si="72"/>
        <v>1997</v>
      </c>
      <c r="T622" s="9">
        <v>1997</v>
      </c>
      <c r="U622" s="9">
        <f t="shared" si="73"/>
        <v>25</v>
      </c>
      <c r="V622" s="8">
        <v>35674</v>
      </c>
      <c r="W622" t="s">
        <v>1737</v>
      </c>
      <c r="X622" s="2" t="s">
        <v>5</v>
      </c>
      <c r="Y622" s="7" t="e">
        <f t="shared" si="74"/>
        <v>#VALUE!</v>
      </c>
      <c r="AA622">
        <v>365505</v>
      </c>
      <c r="AB622">
        <v>88962</v>
      </c>
      <c r="AD622" t="s">
        <v>1</v>
      </c>
      <c r="AE622">
        <v>29</v>
      </c>
      <c r="AF622">
        <v>3</v>
      </c>
      <c r="AH622" t="s">
        <v>1736</v>
      </c>
      <c r="AI622" t="s">
        <v>1735</v>
      </c>
      <c r="AJ622" t="s">
        <v>1734</v>
      </c>
      <c r="AK622" t="s">
        <v>1733</v>
      </c>
      <c r="AL622">
        <v>11</v>
      </c>
      <c r="AM622" s="5">
        <f t="shared" si="75"/>
        <v>0.44</v>
      </c>
      <c r="AN622" s="4">
        <f t="shared" si="76"/>
        <v>6.6641423703142752E-4</v>
      </c>
      <c r="AO622" s="3"/>
      <c r="AP622">
        <v>0</v>
      </c>
      <c r="AR622" t="s">
        <v>0</v>
      </c>
      <c r="AT622" s="2" t="s">
        <v>5</v>
      </c>
      <c r="AU622" s="1" t="e">
        <f t="shared" si="77"/>
        <v>#VALUE!</v>
      </c>
      <c r="AV622" s="1" t="e">
        <f t="shared" si="78"/>
        <v>#VALUE!</v>
      </c>
      <c r="AW622" s="1" t="e">
        <f t="shared" si="79"/>
        <v>#VALUE!</v>
      </c>
    </row>
    <row r="623" spans="1:49" x14ac:dyDescent="0.2">
      <c r="A623">
        <v>621</v>
      </c>
      <c r="B623" t="s">
        <v>1732</v>
      </c>
      <c r="F623" t="s">
        <v>1731</v>
      </c>
      <c r="G623" t="s">
        <v>4</v>
      </c>
      <c r="H623" t="s">
        <v>3</v>
      </c>
      <c r="I623" t="s">
        <v>1730</v>
      </c>
      <c r="J623">
        <v>60026851</v>
      </c>
      <c r="K623" t="s">
        <v>10</v>
      </c>
      <c r="L623" t="s">
        <v>9</v>
      </c>
      <c r="M623" t="s">
        <v>8</v>
      </c>
      <c r="N623">
        <v>2</v>
      </c>
      <c r="O623" t="s">
        <v>1729</v>
      </c>
      <c r="P623" t="s">
        <v>1728</v>
      </c>
      <c r="Q623" t="s">
        <v>1727</v>
      </c>
      <c r="R623" s="8">
        <v>35674</v>
      </c>
      <c r="S623" s="9">
        <f t="shared" si="72"/>
        <v>1997</v>
      </c>
      <c r="T623" s="9">
        <v>1997</v>
      </c>
      <c r="U623" s="9">
        <f t="shared" si="73"/>
        <v>25</v>
      </c>
      <c r="V623" s="8">
        <v>35674</v>
      </c>
      <c r="W623" t="s">
        <v>592</v>
      </c>
      <c r="X623" s="2">
        <v>1.367</v>
      </c>
      <c r="Y623" s="7">
        <f t="shared" si="74"/>
        <v>3.6491284268973065E-2</v>
      </c>
      <c r="AA623">
        <v>220949</v>
      </c>
      <c r="AB623">
        <v>29605</v>
      </c>
      <c r="AD623" t="s">
        <v>1</v>
      </c>
      <c r="AE623">
        <v>200</v>
      </c>
      <c r="AF623">
        <v>17</v>
      </c>
      <c r="AH623" t="s">
        <v>1726</v>
      </c>
      <c r="AI623" t="s">
        <v>1725</v>
      </c>
      <c r="AJ623" t="s">
        <v>1724</v>
      </c>
      <c r="AK623" t="s">
        <v>1723</v>
      </c>
      <c r="AL623">
        <v>30</v>
      </c>
      <c r="AM623" s="5">
        <f t="shared" si="75"/>
        <v>1.2</v>
      </c>
      <c r="AN623" s="4">
        <f t="shared" si="76"/>
        <v>1.8174933737220749E-3</v>
      </c>
      <c r="AO623" s="3"/>
      <c r="AP623">
        <v>0</v>
      </c>
      <c r="AR623" t="s">
        <v>0</v>
      </c>
      <c r="AT623" s="2">
        <v>3.3119999999999998</v>
      </c>
      <c r="AU623" s="1">
        <f t="shared" si="77"/>
        <v>2.6089147000397763</v>
      </c>
      <c r="AV623" s="1">
        <f t="shared" si="78"/>
        <v>1.9154388821347572</v>
      </c>
      <c r="AW623" s="1">
        <f t="shared" si="79"/>
        <v>1.2219630642297372</v>
      </c>
    </row>
    <row r="624" spans="1:49" x14ac:dyDescent="0.2">
      <c r="A624">
        <v>622</v>
      </c>
      <c r="B624" t="s">
        <v>1722</v>
      </c>
      <c r="C624" t="s">
        <v>1721</v>
      </c>
      <c r="F624" t="s">
        <v>1720</v>
      </c>
      <c r="G624" t="s">
        <v>4</v>
      </c>
      <c r="H624" t="s">
        <v>3</v>
      </c>
      <c r="I624" t="s">
        <v>1719</v>
      </c>
      <c r="J624" t="s">
        <v>1718</v>
      </c>
      <c r="K624" t="s">
        <v>1717</v>
      </c>
      <c r="L624" t="s">
        <v>1716</v>
      </c>
      <c r="M624" t="s">
        <v>1715</v>
      </c>
      <c r="N624">
        <v>3</v>
      </c>
      <c r="O624" t="s">
        <v>1714</v>
      </c>
      <c r="P624" t="s">
        <v>1713</v>
      </c>
      <c r="Q624" t="s">
        <v>1712</v>
      </c>
      <c r="R624" s="8">
        <v>35674</v>
      </c>
      <c r="S624" s="9">
        <f t="shared" si="72"/>
        <v>1997</v>
      </c>
      <c r="T624" s="9">
        <v>1997</v>
      </c>
      <c r="U624" s="9">
        <f t="shared" si="73"/>
        <v>25</v>
      </c>
      <c r="V624" s="8">
        <v>35674</v>
      </c>
      <c r="W624" t="s">
        <v>602</v>
      </c>
      <c r="X624" s="2">
        <v>0.8</v>
      </c>
      <c r="Y624" s="7">
        <f t="shared" si="74"/>
        <v>2.1355543098155415E-2</v>
      </c>
      <c r="AA624">
        <v>3407594</v>
      </c>
      <c r="AB624">
        <v>23456</v>
      </c>
      <c r="AD624" t="s">
        <v>1</v>
      </c>
      <c r="AE624">
        <v>181</v>
      </c>
      <c r="AF624">
        <v>3</v>
      </c>
      <c r="AH624" t="s">
        <v>368</v>
      </c>
      <c r="AI624" t="s">
        <v>1711</v>
      </c>
      <c r="AJ624" t="s">
        <v>1710</v>
      </c>
      <c r="AK624" t="s">
        <v>1709</v>
      </c>
      <c r="AL624">
        <v>29</v>
      </c>
      <c r="AM624" s="5">
        <f t="shared" si="75"/>
        <v>1.1599999999999999</v>
      </c>
      <c r="AN624" s="4">
        <f t="shared" si="76"/>
        <v>1.7569102612646724E-3</v>
      </c>
      <c r="AO624" s="3"/>
      <c r="AP624">
        <v>0</v>
      </c>
      <c r="AQ624" t="s">
        <v>124</v>
      </c>
      <c r="AR624" t="s">
        <v>1708</v>
      </c>
      <c r="AS624" t="s">
        <v>1707</v>
      </c>
      <c r="AT624" s="2" t="s">
        <v>5</v>
      </c>
      <c r="AU624" s="1">
        <f t="shared" si="77"/>
        <v>1.547595324708819</v>
      </c>
      <c r="AV624" s="1">
        <f t="shared" si="78"/>
        <v>1.1556226679710044</v>
      </c>
      <c r="AW624" s="1">
        <f t="shared" si="79"/>
        <v>0.76365001123318943</v>
      </c>
    </row>
    <row r="625" spans="1:49" x14ac:dyDescent="0.2">
      <c r="A625">
        <v>623</v>
      </c>
      <c r="B625" t="s">
        <v>1706</v>
      </c>
      <c r="C625" t="s">
        <v>1705</v>
      </c>
      <c r="F625" t="s">
        <v>1704</v>
      </c>
      <c r="G625" t="s">
        <v>4</v>
      </c>
      <c r="H625" t="s">
        <v>3</v>
      </c>
      <c r="I625" t="s">
        <v>1703</v>
      </c>
      <c r="N625">
        <v>5</v>
      </c>
      <c r="O625" t="s">
        <v>1702</v>
      </c>
      <c r="P625" t="s">
        <v>1701</v>
      </c>
      <c r="Q625" t="s">
        <v>1700</v>
      </c>
      <c r="R625" s="8">
        <v>35670</v>
      </c>
      <c r="S625" s="9">
        <f t="shared" si="72"/>
        <v>1997</v>
      </c>
      <c r="T625" s="9">
        <v>1997</v>
      </c>
      <c r="U625" s="9">
        <f t="shared" si="73"/>
        <v>25</v>
      </c>
      <c r="V625" s="8">
        <v>35670</v>
      </c>
      <c r="W625" t="s">
        <v>493</v>
      </c>
      <c r="X625" s="2">
        <v>0.375</v>
      </c>
      <c r="Y625" s="7">
        <f t="shared" si="74"/>
        <v>1.0010410827260351E-2</v>
      </c>
      <c r="AA625">
        <v>135194</v>
      </c>
      <c r="AB625">
        <v>24918</v>
      </c>
      <c r="AD625" t="s">
        <v>1</v>
      </c>
      <c r="AE625">
        <v>33</v>
      </c>
      <c r="AF625">
        <v>18</v>
      </c>
      <c r="AH625" t="s">
        <v>1699</v>
      </c>
      <c r="AI625" t="s">
        <v>1698</v>
      </c>
      <c r="AJ625" t="s">
        <v>1697</v>
      </c>
      <c r="AK625" t="s">
        <v>1696</v>
      </c>
      <c r="AL625">
        <v>5</v>
      </c>
      <c r="AM625" s="5">
        <f t="shared" si="75"/>
        <v>0.2</v>
      </c>
      <c r="AN625" s="4">
        <f t="shared" si="76"/>
        <v>3.0291556228701253E-4</v>
      </c>
      <c r="AO625" s="3"/>
      <c r="AP625">
        <v>0</v>
      </c>
      <c r="AR625" t="s">
        <v>0</v>
      </c>
      <c r="AT625" s="2">
        <v>1.3140000000000001</v>
      </c>
      <c r="AU625" s="1">
        <f t="shared" si="77"/>
        <v>0.70981622477683493</v>
      </c>
      <c r="AV625" s="1">
        <f t="shared" si="78"/>
        <v>0.51566631947736818</v>
      </c>
      <c r="AW625" s="1">
        <f t="shared" si="79"/>
        <v>0.32151641417790139</v>
      </c>
    </row>
    <row r="626" spans="1:49" x14ac:dyDescent="0.2">
      <c r="A626">
        <v>624</v>
      </c>
      <c r="B626" t="s">
        <v>1695</v>
      </c>
      <c r="C626" t="s">
        <v>1694</v>
      </c>
      <c r="F626" t="s">
        <v>1693</v>
      </c>
      <c r="G626" t="s">
        <v>4</v>
      </c>
      <c r="H626" t="s">
        <v>3</v>
      </c>
      <c r="I626" t="s">
        <v>1692</v>
      </c>
      <c r="J626" t="s">
        <v>1691</v>
      </c>
      <c r="K626" t="s">
        <v>1690</v>
      </c>
      <c r="L626" t="s">
        <v>1689</v>
      </c>
      <c r="M626" t="s">
        <v>89</v>
      </c>
      <c r="N626">
        <v>4</v>
      </c>
      <c r="O626" t="s">
        <v>1688</v>
      </c>
      <c r="P626" t="s">
        <v>1687</v>
      </c>
      <c r="Q626" t="s">
        <v>1686</v>
      </c>
      <c r="R626" s="8">
        <v>35670</v>
      </c>
      <c r="S626" s="9">
        <f t="shared" si="72"/>
        <v>1997</v>
      </c>
      <c r="T626" s="9">
        <v>1997</v>
      </c>
      <c r="U626" s="9">
        <f t="shared" si="73"/>
        <v>25</v>
      </c>
      <c r="V626" s="8">
        <v>35670</v>
      </c>
      <c r="W626" t="s">
        <v>493</v>
      </c>
      <c r="X626" s="2">
        <v>0.375</v>
      </c>
      <c r="Y626" s="7">
        <f t="shared" si="74"/>
        <v>1.0010410827260351E-2</v>
      </c>
      <c r="AA626">
        <v>135194</v>
      </c>
      <c r="AB626">
        <v>24918</v>
      </c>
      <c r="AD626" t="s">
        <v>1</v>
      </c>
      <c r="AE626">
        <v>33</v>
      </c>
      <c r="AF626">
        <v>18</v>
      </c>
      <c r="AH626" t="s">
        <v>1685</v>
      </c>
      <c r="AI626" t="s">
        <v>1684</v>
      </c>
      <c r="AJ626" t="s">
        <v>1683</v>
      </c>
      <c r="AK626" t="s">
        <v>1682</v>
      </c>
      <c r="AL626">
        <v>13</v>
      </c>
      <c r="AM626" s="5">
        <f t="shared" si="75"/>
        <v>0.52</v>
      </c>
      <c r="AN626" s="4">
        <f t="shared" si="76"/>
        <v>7.8758046194623253E-4</v>
      </c>
      <c r="AO626" s="3"/>
      <c r="AP626">
        <v>0</v>
      </c>
      <c r="AR626" t="s">
        <v>0</v>
      </c>
      <c r="AT626" s="2">
        <v>1.3140000000000001</v>
      </c>
      <c r="AU626" s="1">
        <f t="shared" si="77"/>
        <v>0.7243561717666116</v>
      </c>
      <c r="AV626" s="1">
        <f t="shared" si="78"/>
        <v>0.53989956446032916</v>
      </c>
      <c r="AW626" s="1">
        <f t="shared" si="79"/>
        <v>0.35544295715404678</v>
      </c>
    </row>
    <row r="627" spans="1:49" x14ac:dyDescent="0.2">
      <c r="A627">
        <v>625</v>
      </c>
      <c r="B627" t="s">
        <v>1681</v>
      </c>
      <c r="C627" t="s">
        <v>1680</v>
      </c>
      <c r="F627" t="s">
        <v>1679</v>
      </c>
      <c r="G627" t="s">
        <v>4</v>
      </c>
      <c r="H627" t="s">
        <v>3</v>
      </c>
      <c r="I627" t="s">
        <v>1678</v>
      </c>
      <c r="J627">
        <v>60026134</v>
      </c>
      <c r="K627" t="s">
        <v>296</v>
      </c>
      <c r="L627" t="s">
        <v>295</v>
      </c>
      <c r="M627" t="s">
        <v>39</v>
      </c>
      <c r="N627">
        <v>4</v>
      </c>
      <c r="O627" t="s">
        <v>1677</v>
      </c>
      <c r="P627" t="s">
        <v>1676</v>
      </c>
      <c r="Q627" t="s">
        <v>1675</v>
      </c>
      <c r="R627" s="8">
        <v>35670</v>
      </c>
      <c r="S627" s="9">
        <f t="shared" si="72"/>
        <v>1997</v>
      </c>
      <c r="T627" s="9">
        <v>1997</v>
      </c>
      <c r="U627" s="9">
        <f t="shared" si="73"/>
        <v>25</v>
      </c>
      <c r="V627" s="8">
        <v>35670</v>
      </c>
      <c r="W627" t="s">
        <v>493</v>
      </c>
      <c r="X627" s="2">
        <v>0.375</v>
      </c>
      <c r="Y627" s="7">
        <f t="shared" si="74"/>
        <v>1.0010410827260351E-2</v>
      </c>
      <c r="AA627">
        <v>135194</v>
      </c>
      <c r="AB627">
        <v>24918</v>
      </c>
      <c r="AD627" t="s">
        <v>1</v>
      </c>
      <c r="AE627">
        <v>33</v>
      </c>
      <c r="AF627">
        <v>18</v>
      </c>
      <c r="AH627" t="s">
        <v>1674</v>
      </c>
      <c r="AI627" t="s">
        <v>1673</v>
      </c>
      <c r="AJ627" t="s">
        <v>1672</v>
      </c>
      <c r="AK627" t="s">
        <v>1671</v>
      </c>
      <c r="AL627">
        <v>19</v>
      </c>
      <c r="AM627" s="5">
        <f t="shared" si="75"/>
        <v>0.76</v>
      </c>
      <c r="AN627" s="4">
        <f t="shared" si="76"/>
        <v>1.1510791366906475E-3</v>
      </c>
      <c r="AO627" s="3"/>
      <c r="AP627">
        <v>0</v>
      </c>
      <c r="AR627" t="s">
        <v>0</v>
      </c>
      <c r="AT627" s="2">
        <v>1.3140000000000001</v>
      </c>
      <c r="AU627" s="1">
        <f t="shared" si="77"/>
        <v>0.73526113200894394</v>
      </c>
      <c r="AV627" s="1">
        <f t="shared" si="78"/>
        <v>0.55807449819754995</v>
      </c>
      <c r="AW627" s="1">
        <f t="shared" si="79"/>
        <v>0.38088786438615579</v>
      </c>
    </row>
    <row r="628" spans="1:49" x14ac:dyDescent="0.2">
      <c r="A628">
        <v>626</v>
      </c>
      <c r="B628" t="s">
        <v>1670</v>
      </c>
      <c r="C628" t="s">
        <v>1669</v>
      </c>
      <c r="F628" t="s">
        <v>1668</v>
      </c>
      <c r="G628" t="s">
        <v>4</v>
      </c>
      <c r="H628" t="s">
        <v>3</v>
      </c>
      <c r="I628" t="s">
        <v>1667</v>
      </c>
      <c r="J628" t="s">
        <v>1666</v>
      </c>
      <c r="K628" t="s">
        <v>1665</v>
      </c>
      <c r="L628" t="s">
        <v>1664</v>
      </c>
      <c r="M628" t="s">
        <v>122</v>
      </c>
      <c r="N628">
        <v>3</v>
      </c>
      <c r="O628" t="s">
        <v>1663</v>
      </c>
      <c r="P628" t="s">
        <v>1662</v>
      </c>
      <c r="Q628" t="s">
        <v>1661</v>
      </c>
      <c r="R628" s="8">
        <v>35670</v>
      </c>
      <c r="S628" s="9">
        <f t="shared" si="72"/>
        <v>1997</v>
      </c>
      <c r="T628" s="9">
        <v>1997</v>
      </c>
      <c r="U628" s="9">
        <f t="shared" si="73"/>
        <v>25</v>
      </c>
      <c r="V628" s="8">
        <v>35670</v>
      </c>
      <c r="W628" t="s">
        <v>493</v>
      </c>
      <c r="X628" s="2">
        <v>0.375</v>
      </c>
      <c r="Y628" s="7">
        <f t="shared" si="74"/>
        <v>1.0010410827260351E-2</v>
      </c>
      <c r="AA628">
        <v>135194</v>
      </c>
      <c r="AB628">
        <v>24918</v>
      </c>
      <c r="AD628" t="s">
        <v>1</v>
      </c>
      <c r="AE628">
        <v>33</v>
      </c>
      <c r="AF628">
        <v>18</v>
      </c>
      <c r="AH628" t="s">
        <v>1660</v>
      </c>
      <c r="AI628" t="s">
        <v>1659</v>
      </c>
      <c r="AJ628" t="s">
        <v>1658</v>
      </c>
      <c r="AK628" t="s">
        <v>1657</v>
      </c>
      <c r="AL628">
        <v>26</v>
      </c>
      <c r="AM628" s="5">
        <f t="shared" si="75"/>
        <v>1.04</v>
      </c>
      <c r="AN628" s="4">
        <f t="shared" si="76"/>
        <v>1.5751609238924651E-3</v>
      </c>
      <c r="AO628" s="3"/>
      <c r="AP628">
        <v>0</v>
      </c>
      <c r="AR628" t="s">
        <v>0</v>
      </c>
      <c r="AT628" s="2">
        <v>1.3140000000000001</v>
      </c>
      <c r="AU628" s="1">
        <f t="shared" si="77"/>
        <v>0.74798358562499856</v>
      </c>
      <c r="AV628" s="1">
        <f t="shared" si="78"/>
        <v>0.57927858755764083</v>
      </c>
      <c r="AW628" s="1">
        <f t="shared" si="79"/>
        <v>0.41057358949028305</v>
      </c>
    </row>
    <row r="629" spans="1:49" x14ac:dyDescent="0.2">
      <c r="A629">
        <v>627</v>
      </c>
      <c r="B629" t="s">
        <v>1656</v>
      </c>
      <c r="C629" t="s">
        <v>1655</v>
      </c>
      <c r="F629" t="s">
        <v>1654</v>
      </c>
      <c r="G629" t="s">
        <v>4</v>
      </c>
      <c r="H629" t="s">
        <v>3</v>
      </c>
      <c r="I629" t="s">
        <v>1653</v>
      </c>
      <c r="J629" t="s">
        <v>1652</v>
      </c>
      <c r="K629" t="s">
        <v>1651</v>
      </c>
      <c r="L629" t="s">
        <v>1650</v>
      </c>
      <c r="M629" t="s">
        <v>18</v>
      </c>
      <c r="N629">
        <v>2</v>
      </c>
      <c r="O629" t="s">
        <v>1649</v>
      </c>
      <c r="P629" t="s">
        <v>1648</v>
      </c>
      <c r="Q629" t="s">
        <v>1647</v>
      </c>
      <c r="R629" s="8">
        <v>35670</v>
      </c>
      <c r="S629" s="9">
        <f t="shared" si="72"/>
        <v>1997</v>
      </c>
      <c r="T629" s="9">
        <v>1997</v>
      </c>
      <c r="U629" s="9">
        <f t="shared" si="73"/>
        <v>25</v>
      </c>
      <c r="V629" s="8">
        <v>35670</v>
      </c>
      <c r="W629" t="s">
        <v>1646</v>
      </c>
      <c r="X629" s="2" t="s">
        <v>5</v>
      </c>
      <c r="Y629" s="7" t="e">
        <f t="shared" si="74"/>
        <v>#VALUE!</v>
      </c>
      <c r="AA629">
        <v>1718630</v>
      </c>
      <c r="AB629">
        <v>12169</v>
      </c>
      <c r="AD629" t="s">
        <v>1</v>
      </c>
      <c r="AE629">
        <v>155</v>
      </c>
      <c r="AH629" t="s">
        <v>1645</v>
      </c>
      <c r="AI629" t="s">
        <v>1644</v>
      </c>
      <c r="AJ629" t="s">
        <v>1643</v>
      </c>
      <c r="AK629" t="s">
        <v>1642</v>
      </c>
      <c r="AL629">
        <v>16</v>
      </c>
      <c r="AM629" s="5">
        <f t="shared" si="75"/>
        <v>0.64</v>
      </c>
      <c r="AN629" s="4">
        <f t="shared" si="76"/>
        <v>9.6932979931844E-4</v>
      </c>
      <c r="AO629" s="3"/>
      <c r="AP629">
        <v>1</v>
      </c>
      <c r="AR629" t="s">
        <v>0</v>
      </c>
      <c r="AT629" s="2">
        <v>2.8239999999999998</v>
      </c>
      <c r="AU629" s="1" t="e">
        <f t="shared" si="77"/>
        <v>#VALUE!</v>
      </c>
      <c r="AV629" s="1" t="e">
        <f t="shared" si="78"/>
        <v>#VALUE!</v>
      </c>
      <c r="AW629" s="1" t="e">
        <f t="shared" si="79"/>
        <v>#VALUE!</v>
      </c>
    </row>
    <row r="630" spans="1:49" x14ac:dyDescent="0.2">
      <c r="A630">
        <v>628</v>
      </c>
      <c r="B630" t="s">
        <v>1641</v>
      </c>
      <c r="C630" t="s">
        <v>1640</v>
      </c>
      <c r="F630" t="s">
        <v>1639</v>
      </c>
      <c r="G630" t="s">
        <v>4</v>
      </c>
      <c r="H630" t="s">
        <v>3</v>
      </c>
      <c r="I630" t="s">
        <v>1638</v>
      </c>
      <c r="J630">
        <v>60009254</v>
      </c>
      <c r="K630" t="s">
        <v>340</v>
      </c>
      <c r="L630" t="s">
        <v>339</v>
      </c>
      <c r="M630" t="s">
        <v>2</v>
      </c>
      <c r="N630">
        <v>3</v>
      </c>
      <c r="O630" t="s">
        <v>1637</v>
      </c>
      <c r="P630" t="s">
        <v>1636</v>
      </c>
      <c r="Q630" t="s">
        <v>1635</v>
      </c>
      <c r="R630" s="8">
        <v>35669</v>
      </c>
      <c r="S630" s="9">
        <f t="shared" si="72"/>
        <v>1997</v>
      </c>
      <c r="T630" s="9">
        <v>1997</v>
      </c>
      <c r="U630" s="9">
        <f t="shared" si="73"/>
        <v>25</v>
      </c>
      <c r="V630" s="8">
        <v>35669</v>
      </c>
      <c r="W630" t="s">
        <v>103</v>
      </c>
      <c r="X630" s="2">
        <v>7.1150000000000002</v>
      </c>
      <c r="Y630" s="7">
        <f t="shared" si="74"/>
        <v>0.18993086142921972</v>
      </c>
      <c r="AA630">
        <v>27863</v>
      </c>
      <c r="AB630">
        <v>22680</v>
      </c>
      <c r="AD630" t="s">
        <v>1</v>
      </c>
      <c r="AE630">
        <v>119</v>
      </c>
      <c r="AF630">
        <v>34</v>
      </c>
      <c r="AH630" t="s">
        <v>1634</v>
      </c>
      <c r="AI630" t="s">
        <v>1633</v>
      </c>
      <c r="AK630" t="s">
        <v>1632</v>
      </c>
      <c r="AL630">
        <v>36</v>
      </c>
      <c r="AM630" s="5">
        <f t="shared" si="75"/>
        <v>1.44</v>
      </c>
      <c r="AN630" s="4">
        <f t="shared" si="76"/>
        <v>2.18099204846649E-3</v>
      </c>
      <c r="AO630" s="3"/>
      <c r="AP630">
        <v>0</v>
      </c>
      <c r="AR630" t="s">
        <v>0</v>
      </c>
      <c r="AT630" s="2" t="s">
        <v>5</v>
      </c>
      <c r="AU630" s="1">
        <f t="shared" si="77"/>
        <v>13.360590061499375</v>
      </c>
      <c r="AV630" s="1">
        <f t="shared" si="78"/>
        <v>9.6055926738843116</v>
      </c>
      <c r="AW630" s="1">
        <f t="shared" si="79"/>
        <v>5.8505952862692459</v>
      </c>
    </row>
    <row r="631" spans="1:49" x14ac:dyDescent="0.2">
      <c r="A631">
        <v>629</v>
      </c>
      <c r="B631" t="s">
        <v>1631</v>
      </c>
      <c r="C631" t="s">
        <v>1630</v>
      </c>
      <c r="F631" t="s">
        <v>1399</v>
      </c>
      <c r="G631" t="s">
        <v>4</v>
      </c>
      <c r="H631" t="s">
        <v>3</v>
      </c>
      <c r="I631" t="s">
        <v>496</v>
      </c>
      <c r="J631">
        <v>60011357</v>
      </c>
      <c r="K631" t="s">
        <v>292</v>
      </c>
      <c r="L631" t="s">
        <v>291</v>
      </c>
      <c r="M631" t="s">
        <v>250</v>
      </c>
      <c r="N631">
        <v>2</v>
      </c>
      <c r="O631" t="s">
        <v>1629</v>
      </c>
      <c r="P631" t="s">
        <v>1628</v>
      </c>
      <c r="Q631" t="s">
        <v>288</v>
      </c>
      <c r="R631" s="8">
        <v>35662</v>
      </c>
      <c r="S631" s="9">
        <f t="shared" si="72"/>
        <v>1997</v>
      </c>
      <c r="T631" s="9">
        <v>1997</v>
      </c>
      <c r="U631" s="9">
        <f t="shared" si="73"/>
        <v>25</v>
      </c>
      <c r="V631" s="8">
        <v>35662</v>
      </c>
      <c r="W631" t="s">
        <v>125</v>
      </c>
      <c r="X631" s="2">
        <v>0.30399999999999999</v>
      </c>
      <c r="Y631" s="7">
        <f t="shared" si="74"/>
        <v>8.115106377299057E-3</v>
      </c>
      <c r="AA631">
        <v>8952477</v>
      </c>
      <c r="AB631">
        <v>12250</v>
      </c>
      <c r="AD631" t="s">
        <v>1</v>
      </c>
      <c r="AE631">
        <v>15</v>
      </c>
      <c r="AF631">
        <v>6</v>
      </c>
      <c r="AH631" t="s">
        <v>1396</v>
      </c>
      <c r="AI631" t="s">
        <v>1627</v>
      </c>
      <c r="AJ631" t="s">
        <v>1626</v>
      </c>
      <c r="AK631" t="s">
        <v>1394</v>
      </c>
      <c r="AL631">
        <v>0</v>
      </c>
      <c r="AM631" s="5">
        <f t="shared" si="75"/>
        <v>0</v>
      </c>
      <c r="AN631" s="4">
        <f t="shared" si="76"/>
        <v>0</v>
      </c>
      <c r="AO631" s="3"/>
      <c r="AP631">
        <v>0</v>
      </c>
      <c r="AR631" t="s">
        <v>0</v>
      </c>
      <c r="AT631" s="2" t="s">
        <v>5</v>
      </c>
      <c r="AU631" s="1">
        <f t="shared" si="77"/>
        <v>0.56805744641093392</v>
      </c>
      <c r="AV631" s="1">
        <f t="shared" si="78"/>
        <v>0.40575531886495286</v>
      </c>
      <c r="AW631" s="1">
        <f t="shared" si="79"/>
        <v>0.24345319131897172</v>
      </c>
    </row>
    <row r="632" spans="1:49" x14ac:dyDescent="0.2">
      <c r="A632">
        <v>630</v>
      </c>
      <c r="B632" t="s">
        <v>1625</v>
      </c>
      <c r="C632" t="s">
        <v>1624</v>
      </c>
      <c r="F632" t="s">
        <v>1623</v>
      </c>
      <c r="G632" t="s">
        <v>4</v>
      </c>
      <c r="H632" t="s">
        <v>3</v>
      </c>
      <c r="I632" t="s">
        <v>344</v>
      </c>
      <c r="J632">
        <v>60003480</v>
      </c>
      <c r="K632" t="s">
        <v>343</v>
      </c>
      <c r="L632" t="s">
        <v>342</v>
      </c>
      <c r="M632" t="s">
        <v>50</v>
      </c>
      <c r="N632">
        <v>1</v>
      </c>
      <c r="O632" t="s">
        <v>341</v>
      </c>
      <c r="P632">
        <v>7006159446</v>
      </c>
      <c r="Q632">
        <v>60003480</v>
      </c>
      <c r="R632" s="8">
        <v>35662</v>
      </c>
      <c r="S632" s="9">
        <f t="shared" si="72"/>
        <v>1997</v>
      </c>
      <c r="T632" s="9">
        <v>1997</v>
      </c>
      <c r="U632" s="9">
        <f t="shared" si="73"/>
        <v>25</v>
      </c>
      <c r="V632" s="8">
        <v>35662</v>
      </c>
      <c r="W632" t="s">
        <v>125</v>
      </c>
      <c r="X632" s="2">
        <v>0.30399999999999999</v>
      </c>
      <c r="Y632" s="7">
        <f t="shared" si="74"/>
        <v>8.115106377299057E-3</v>
      </c>
      <c r="AA632">
        <v>8952477</v>
      </c>
      <c r="AB632">
        <v>12250</v>
      </c>
      <c r="AD632" t="s">
        <v>1</v>
      </c>
      <c r="AE632">
        <v>15</v>
      </c>
      <c r="AF632">
        <v>6</v>
      </c>
      <c r="AH632" t="s">
        <v>1622</v>
      </c>
      <c r="AI632" t="s">
        <v>1621</v>
      </c>
      <c r="AJ632" t="s">
        <v>1620</v>
      </c>
      <c r="AK632" t="s">
        <v>1619</v>
      </c>
      <c r="AL632">
        <v>0</v>
      </c>
      <c r="AM632" s="5">
        <f t="shared" si="75"/>
        <v>0</v>
      </c>
      <c r="AN632" s="4">
        <f t="shared" si="76"/>
        <v>0</v>
      </c>
      <c r="AO632" s="3"/>
      <c r="AP632">
        <v>0</v>
      </c>
      <c r="AR632" t="s">
        <v>0</v>
      </c>
      <c r="AT632" s="2" t="s">
        <v>5</v>
      </c>
      <c r="AU632" s="1">
        <f t="shared" si="77"/>
        <v>0.56805744641093392</v>
      </c>
      <c r="AV632" s="1">
        <f t="shared" si="78"/>
        <v>0.40575531886495286</v>
      </c>
      <c r="AW632" s="1">
        <f t="shared" si="79"/>
        <v>0.24345319131897172</v>
      </c>
    </row>
    <row r="633" spans="1:49" x14ac:dyDescent="0.2">
      <c r="A633">
        <v>631</v>
      </c>
      <c r="B633" t="s">
        <v>1618</v>
      </c>
      <c r="C633" t="s">
        <v>1617</v>
      </c>
      <c r="F633" t="s">
        <v>1616</v>
      </c>
      <c r="G633" t="s">
        <v>4</v>
      </c>
      <c r="H633" t="s">
        <v>3</v>
      </c>
      <c r="I633" t="s">
        <v>1615</v>
      </c>
      <c r="J633" t="s">
        <v>1614</v>
      </c>
      <c r="K633" t="s">
        <v>1613</v>
      </c>
      <c r="L633" t="s">
        <v>1612</v>
      </c>
      <c r="M633" t="s">
        <v>122</v>
      </c>
      <c r="N633">
        <v>6</v>
      </c>
      <c r="O633" t="s">
        <v>1611</v>
      </c>
      <c r="P633" t="s">
        <v>1610</v>
      </c>
      <c r="Q633" t="s">
        <v>1609</v>
      </c>
      <c r="R633" s="8">
        <v>35662</v>
      </c>
      <c r="S633" s="9">
        <f t="shared" si="72"/>
        <v>1997</v>
      </c>
      <c r="T633" s="9">
        <v>1997</v>
      </c>
      <c r="U633" s="9">
        <f t="shared" si="73"/>
        <v>25</v>
      </c>
      <c r="V633" s="8">
        <v>35662</v>
      </c>
      <c r="W633" t="s">
        <v>125</v>
      </c>
      <c r="X633" s="2">
        <v>0.30399999999999999</v>
      </c>
      <c r="Y633" s="7">
        <f t="shared" si="74"/>
        <v>8.115106377299057E-3</v>
      </c>
      <c r="AA633">
        <v>8952477</v>
      </c>
      <c r="AB633">
        <v>12250</v>
      </c>
      <c r="AD633" t="s">
        <v>1</v>
      </c>
      <c r="AE633">
        <v>15</v>
      </c>
      <c r="AF633">
        <v>6</v>
      </c>
      <c r="AH633" t="s">
        <v>1608</v>
      </c>
      <c r="AI633" t="s">
        <v>1607</v>
      </c>
      <c r="AJ633" t="s">
        <v>1606</v>
      </c>
      <c r="AK633" t="s">
        <v>1605</v>
      </c>
      <c r="AL633">
        <v>31</v>
      </c>
      <c r="AM633" s="5">
        <f t="shared" si="75"/>
        <v>1.24</v>
      </c>
      <c r="AN633" s="4">
        <f t="shared" si="76"/>
        <v>1.8780764861794775E-3</v>
      </c>
      <c r="AO633" s="3"/>
      <c r="AP633">
        <v>0</v>
      </c>
      <c r="AR633" t="s">
        <v>0</v>
      </c>
      <c r="AT633" s="2" t="s">
        <v>5</v>
      </c>
      <c r="AU633" s="1">
        <f t="shared" si="77"/>
        <v>0.62439974099631823</v>
      </c>
      <c r="AV633" s="1">
        <f t="shared" si="78"/>
        <v>0.49965914317392673</v>
      </c>
      <c r="AW633" s="1">
        <f t="shared" si="79"/>
        <v>0.37491854535153513</v>
      </c>
    </row>
    <row r="634" spans="1:49" x14ac:dyDescent="0.2">
      <c r="A634">
        <v>632</v>
      </c>
      <c r="B634" t="s">
        <v>1604</v>
      </c>
      <c r="C634" t="s">
        <v>1603</v>
      </c>
      <c r="F634" t="s">
        <v>1602</v>
      </c>
      <c r="G634" t="s">
        <v>4</v>
      </c>
      <c r="H634" t="s">
        <v>3</v>
      </c>
      <c r="I634" t="s">
        <v>1601</v>
      </c>
      <c r="J634">
        <v>60001359</v>
      </c>
      <c r="K634" t="s">
        <v>1600</v>
      </c>
      <c r="L634" t="s">
        <v>1599</v>
      </c>
      <c r="M634" t="s">
        <v>8</v>
      </c>
      <c r="N634">
        <v>3</v>
      </c>
      <c r="O634" t="s">
        <v>1598</v>
      </c>
      <c r="P634" t="s">
        <v>1597</v>
      </c>
      <c r="Q634" t="s">
        <v>1596</v>
      </c>
      <c r="R634" s="8">
        <v>35662</v>
      </c>
      <c r="S634" s="9">
        <f t="shared" si="72"/>
        <v>1997</v>
      </c>
      <c r="T634" s="9">
        <v>1997</v>
      </c>
      <c r="U634" s="9">
        <f t="shared" si="73"/>
        <v>25</v>
      </c>
      <c r="V634" s="8">
        <v>35662</v>
      </c>
      <c r="W634" t="s">
        <v>125</v>
      </c>
      <c r="X634" s="2">
        <v>0.30399999999999999</v>
      </c>
      <c r="Y634" s="7">
        <f t="shared" si="74"/>
        <v>8.115106377299057E-3</v>
      </c>
      <c r="AA634">
        <v>8952477</v>
      </c>
      <c r="AB634">
        <v>12250</v>
      </c>
      <c r="AD634" t="s">
        <v>1</v>
      </c>
      <c r="AE634">
        <v>15</v>
      </c>
      <c r="AF634">
        <v>6</v>
      </c>
      <c r="AH634" t="s">
        <v>538</v>
      </c>
      <c r="AI634" t="s">
        <v>1595</v>
      </c>
      <c r="AJ634" t="s">
        <v>1594</v>
      </c>
      <c r="AK634" t="s">
        <v>1593</v>
      </c>
      <c r="AL634">
        <v>3</v>
      </c>
      <c r="AM634" s="5">
        <f t="shared" si="75"/>
        <v>0.12</v>
      </c>
      <c r="AN634" s="4">
        <f t="shared" si="76"/>
        <v>1.8174933737220749E-4</v>
      </c>
      <c r="AO634" s="3"/>
      <c r="AP634">
        <v>0</v>
      </c>
      <c r="AR634" t="s">
        <v>0</v>
      </c>
      <c r="AT634" s="2" t="s">
        <v>5</v>
      </c>
      <c r="AU634" s="1">
        <f t="shared" si="77"/>
        <v>0.5735099265321002</v>
      </c>
      <c r="AV634" s="1">
        <f t="shared" si="78"/>
        <v>0.4148427857335632</v>
      </c>
      <c r="AW634" s="1">
        <f t="shared" si="79"/>
        <v>0.25617564493502626</v>
      </c>
    </row>
    <row r="635" spans="1:49" x14ac:dyDescent="0.2">
      <c r="A635">
        <v>633</v>
      </c>
      <c r="B635" t="s">
        <v>1592</v>
      </c>
      <c r="C635" t="s">
        <v>1591</v>
      </c>
      <c r="F635" t="s">
        <v>1590</v>
      </c>
      <c r="G635" t="s">
        <v>4</v>
      </c>
      <c r="H635" t="s">
        <v>3</v>
      </c>
      <c r="I635" t="s">
        <v>1589</v>
      </c>
      <c r="J635">
        <v>60030553</v>
      </c>
      <c r="K635" t="s">
        <v>1588</v>
      </c>
      <c r="L635" t="s">
        <v>1587</v>
      </c>
      <c r="M635" t="s">
        <v>26</v>
      </c>
      <c r="N635">
        <v>3</v>
      </c>
      <c r="O635" t="s">
        <v>1586</v>
      </c>
      <c r="P635" t="s">
        <v>1585</v>
      </c>
      <c r="Q635" t="s">
        <v>1584</v>
      </c>
      <c r="R635" s="8">
        <v>35662</v>
      </c>
      <c r="S635" s="9">
        <f t="shared" si="72"/>
        <v>1997</v>
      </c>
      <c r="T635" s="9">
        <v>1997</v>
      </c>
      <c r="U635" s="9">
        <f t="shared" si="73"/>
        <v>25</v>
      </c>
      <c r="V635" s="8">
        <v>35662</v>
      </c>
      <c r="W635" t="s">
        <v>125</v>
      </c>
      <c r="X635" s="2">
        <v>0.30399999999999999</v>
      </c>
      <c r="Y635" s="7">
        <f t="shared" si="74"/>
        <v>8.115106377299057E-3</v>
      </c>
      <c r="AA635">
        <v>8952477</v>
      </c>
      <c r="AB635">
        <v>12250</v>
      </c>
      <c r="AD635" t="s">
        <v>1</v>
      </c>
      <c r="AE635">
        <v>15</v>
      </c>
      <c r="AF635">
        <v>6</v>
      </c>
      <c r="AH635" t="s">
        <v>1583</v>
      </c>
      <c r="AI635" t="s">
        <v>1582</v>
      </c>
      <c r="AJ635" t="s">
        <v>1581</v>
      </c>
      <c r="AK635" t="s">
        <v>1580</v>
      </c>
      <c r="AL635">
        <v>8</v>
      </c>
      <c r="AM635" s="5">
        <f t="shared" si="75"/>
        <v>0.32</v>
      </c>
      <c r="AN635" s="4">
        <f t="shared" si="76"/>
        <v>4.8466489965922E-4</v>
      </c>
      <c r="AO635" s="3"/>
      <c r="AP635">
        <v>0</v>
      </c>
      <c r="AR635" t="s">
        <v>0</v>
      </c>
      <c r="AT635" s="2" t="s">
        <v>5</v>
      </c>
      <c r="AU635" s="1">
        <f t="shared" si="77"/>
        <v>0.58259739340071048</v>
      </c>
      <c r="AV635" s="1">
        <f t="shared" si="78"/>
        <v>0.42998856384791384</v>
      </c>
      <c r="AW635" s="1">
        <f t="shared" si="79"/>
        <v>0.27737973429511709</v>
      </c>
    </row>
    <row r="636" spans="1:49" x14ac:dyDescent="0.2">
      <c r="A636">
        <v>634</v>
      </c>
      <c r="B636" t="s">
        <v>1579</v>
      </c>
      <c r="C636" t="s">
        <v>1578</v>
      </c>
      <c r="F636" t="s">
        <v>1577</v>
      </c>
      <c r="G636" t="s">
        <v>4</v>
      </c>
      <c r="H636" t="s">
        <v>3</v>
      </c>
      <c r="I636" t="s">
        <v>1576</v>
      </c>
      <c r="J636" t="s">
        <v>1575</v>
      </c>
      <c r="K636" t="s">
        <v>1574</v>
      </c>
      <c r="L636" t="s">
        <v>1573</v>
      </c>
      <c r="M636" t="s">
        <v>63</v>
      </c>
      <c r="N636">
        <v>8</v>
      </c>
      <c r="O636" t="s">
        <v>1572</v>
      </c>
      <c r="P636" t="s">
        <v>1571</v>
      </c>
      <c r="Q636" t="s">
        <v>1570</v>
      </c>
      <c r="R636" s="8">
        <v>35656</v>
      </c>
      <c r="S636" s="9">
        <f t="shared" si="72"/>
        <v>1997</v>
      </c>
      <c r="T636" s="9">
        <v>1997</v>
      </c>
      <c r="U636" s="9">
        <f t="shared" si="73"/>
        <v>25</v>
      </c>
      <c r="V636" s="8">
        <v>35656</v>
      </c>
      <c r="W636" t="s">
        <v>585</v>
      </c>
      <c r="X636" s="2">
        <v>0.86399999999999999</v>
      </c>
      <c r="Y636" s="7">
        <f t="shared" si="74"/>
        <v>2.3063986546007848E-2</v>
      </c>
      <c r="AA636">
        <v>15206106</v>
      </c>
      <c r="AB636">
        <v>26970</v>
      </c>
      <c r="AD636" t="s">
        <v>1</v>
      </c>
      <c r="AE636">
        <v>101</v>
      </c>
      <c r="AF636">
        <v>33</v>
      </c>
      <c r="AH636" t="s">
        <v>1569</v>
      </c>
      <c r="AI636" t="s">
        <v>1568</v>
      </c>
      <c r="AK636" t="s">
        <v>1567</v>
      </c>
      <c r="AL636">
        <v>280</v>
      </c>
      <c r="AM636" s="5">
        <f t="shared" si="75"/>
        <v>11.2</v>
      </c>
      <c r="AN636" s="4">
        <f t="shared" si="76"/>
        <v>1.6963271488072699E-2</v>
      </c>
      <c r="AO636" s="3"/>
      <c r="AP636">
        <v>0</v>
      </c>
      <c r="AR636" t="s">
        <v>0</v>
      </c>
      <c r="AT636" s="2">
        <v>2.9910000000000001</v>
      </c>
      <c r="AU636" s="1">
        <f t="shared" si="77"/>
        <v>2.1233772028627298</v>
      </c>
      <c r="AV636" s="1">
        <f t="shared" si="78"/>
        <v>2.0013629017040273</v>
      </c>
      <c r="AW636" s="1">
        <f t="shared" si="79"/>
        <v>1.8793486005453244</v>
      </c>
    </row>
    <row r="637" spans="1:49" x14ac:dyDescent="0.2">
      <c r="A637">
        <v>635</v>
      </c>
      <c r="B637" t="s">
        <v>1566</v>
      </c>
      <c r="C637" t="s">
        <v>1565</v>
      </c>
      <c r="F637" t="s">
        <v>1564</v>
      </c>
      <c r="G637" t="s">
        <v>4</v>
      </c>
      <c r="H637" t="s">
        <v>3</v>
      </c>
      <c r="I637" t="s">
        <v>1415</v>
      </c>
      <c r="N637">
        <v>2</v>
      </c>
      <c r="O637" t="s">
        <v>1563</v>
      </c>
      <c r="P637" t="s">
        <v>1562</v>
      </c>
      <c r="Q637" t="s">
        <v>90</v>
      </c>
      <c r="R637" s="8">
        <v>35656</v>
      </c>
      <c r="S637" s="9">
        <f t="shared" si="72"/>
        <v>1997</v>
      </c>
      <c r="T637" s="9">
        <v>1997</v>
      </c>
      <c r="U637" s="9">
        <f t="shared" si="73"/>
        <v>25</v>
      </c>
      <c r="V637" s="8">
        <v>35656</v>
      </c>
      <c r="W637" t="s">
        <v>493</v>
      </c>
      <c r="X637" s="2">
        <v>0.375</v>
      </c>
      <c r="Y637" s="7">
        <f t="shared" si="74"/>
        <v>1.0010410827260351E-2</v>
      </c>
      <c r="AA637">
        <v>135194</v>
      </c>
      <c r="AB637">
        <v>24918</v>
      </c>
      <c r="AD637" t="s">
        <v>1</v>
      </c>
      <c r="AE637">
        <v>33</v>
      </c>
      <c r="AF637">
        <v>17</v>
      </c>
      <c r="AH637" t="s">
        <v>1561</v>
      </c>
      <c r="AI637" t="s">
        <v>1560</v>
      </c>
      <c r="AJ637" t="s">
        <v>1559</v>
      </c>
      <c r="AK637" t="s">
        <v>1558</v>
      </c>
      <c r="AL637">
        <v>7</v>
      </c>
      <c r="AM637" s="5">
        <f t="shared" si="75"/>
        <v>0.28000000000000003</v>
      </c>
      <c r="AN637" s="4">
        <f t="shared" si="76"/>
        <v>4.2408178720181755E-4</v>
      </c>
      <c r="AO637" s="3"/>
      <c r="AP637">
        <v>0</v>
      </c>
      <c r="AR637" t="s">
        <v>0</v>
      </c>
      <c r="AT637" s="2">
        <v>1.3140000000000001</v>
      </c>
      <c r="AU637" s="1">
        <f t="shared" si="77"/>
        <v>0.71345121152427915</v>
      </c>
      <c r="AV637" s="1">
        <f t="shared" si="78"/>
        <v>0.52172463072310848</v>
      </c>
      <c r="AW637" s="1">
        <f t="shared" si="79"/>
        <v>0.32999804992193771</v>
      </c>
    </row>
    <row r="638" spans="1:49" x14ac:dyDescent="0.2">
      <c r="A638">
        <v>636</v>
      </c>
      <c r="B638" t="s">
        <v>1557</v>
      </c>
      <c r="C638" t="s">
        <v>1556</v>
      </c>
      <c r="F638" t="s">
        <v>1555</v>
      </c>
      <c r="G638" t="s">
        <v>4</v>
      </c>
      <c r="H638" t="s">
        <v>3</v>
      </c>
      <c r="I638" t="s">
        <v>496</v>
      </c>
      <c r="J638">
        <v>60011357</v>
      </c>
      <c r="K638" t="s">
        <v>292</v>
      </c>
      <c r="L638" t="s">
        <v>291</v>
      </c>
      <c r="M638" t="s">
        <v>250</v>
      </c>
      <c r="N638">
        <v>2</v>
      </c>
      <c r="O638" t="s">
        <v>1554</v>
      </c>
      <c r="P638" t="s">
        <v>1553</v>
      </c>
      <c r="Q638" t="s">
        <v>288</v>
      </c>
      <c r="R638" s="8">
        <v>35656</v>
      </c>
      <c r="S638" s="9">
        <f t="shared" si="72"/>
        <v>1997</v>
      </c>
      <c r="T638" s="9">
        <v>1997</v>
      </c>
      <c r="U638" s="9">
        <f t="shared" si="73"/>
        <v>25</v>
      </c>
      <c r="V638" s="8">
        <v>35656</v>
      </c>
      <c r="W638" t="s">
        <v>493</v>
      </c>
      <c r="X638" s="2">
        <v>0.375</v>
      </c>
      <c r="Y638" s="7">
        <f t="shared" si="74"/>
        <v>1.0010410827260351E-2</v>
      </c>
      <c r="AA638">
        <v>135194</v>
      </c>
      <c r="AB638">
        <v>24918</v>
      </c>
      <c r="AD638" t="s">
        <v>1</v>
      </c>
      <c r="AE638">
        <v>33</v>
      </c>
      <c r="AF638">
        <v>17</v>
      </c>
      <c r="AH638" t="s">
        <v>1552</v>
      </c>
      <c r="AI638" t="s">
        <v>1551</v>
      </c>
      <c r="AJ638" t="s">
        <v>1550</v>
      </c>
      <c r="AK638" t="s">
        <v>1549</v>
      </c>
      <c r="AL638">
        <v>46</v>
      </c>
      <c r="AM638" s="5">
        <f t="shared" si="75"/>
        <v>1.84</v>
      </c>
      <c r="AN638" s="4">
        <f t="shared" si="76"/>
        <v>2.786823173040515E-3</v>
      </c>
      <c r="AO638" s="3"/>
      <c r="AP638">
        <v>0</v>
      </c>
      <c r="AR638" t="s">
        <v>0</v>
      </c>
      <c r="AT638" s="2">
        <v>1.3140000000000001</v>
      </c>
      <c r="AU638" s="1">
        <f t="shared" si="77"/>
        <v>0.78433345309944003</v>
      </c>
      <c r="AV638" s="1">
        <f t="shared" si="78"/>
        <v>0.63986170001504328</v>
      </c>
      <c r="AW638" s="1">
        <f t="shared" si="79"/>
        <v>0.49538994693064653</v>
      </c>
    </row>
    <row r="639" spans="1:49" x14ac:dyDescent="0.2">
      <c r="A639">
        <v>637</v>
      </c>
      <c r="B639" t="s">
        <v>1548</v>
      </c>
      <c r="F639" t="s">
        <v>1547</v>
      </c>
      <c r="G639" t="s">
        <v>4</v>
      </c>
      <c r="H639" t="s">
        <v>3</v>
      </c>
      <c r="I639" t="s">
        <v>1546</v>
      </c>
      <c r="J639">
        <v>60020486</v>
      </c>
      <c r="K639" t="s">
        <v>83</v>
      </c>
      <c r="L639" t="s">
        <v>82</v>
      </c>
      <c r="M639" t="s">
        <v>81</v>
      </c>
      <c r="N639">
        <v>2</v>
      </c>
      <c r="O639" t="s">
        <v>1545</v>
      </c>
      <c r="P639" t="s">
        <v>1544</v>
      </c>
      <c r="Q639" t="s">
        <v>1543</v>
      </c>
      <c r="R639" s="8">
        <v>35652</v>
      </c>
      <c r="S639" s="9">
        <f t="shared" si="72"/>
        <v>1997</v>
      </c>
      <c r="T639" s="9">
        <v>1997</v>
      </c>
      <c r="U639" s="9">
        <f t="shared" si="73"/>
        <v>25</v>
      </c>
      <c r="V639" s="8">
        <v>35652</v>
      </c>
      <c r="W639" t="s">
        <v>1037</v>
      </c>
      <c r="X639" s="2">
        <v>2.137</v>
      </c>
      <c r="Y639" s="7">
        <f t="shared" si="74"/>
        <v>5.7045994500947654E-2</v>
      </c>
      <c r="AA639">
        <v>46361</v>
      </c>
      <c r="AB639">
        <v>26750</v>
      </c>
      <c r="AD639" t="s">
        <v>1</v>
      </c>
      <c r="AE639">
        <v>324</v>
      </c>
      <c r="AF639">
        <v>2</v>
      </c>
      <c r="AH639" t="s">
        <v>1542</v>
      </c>
      <c r="AI639" t="s">
        <v>1541</v>
      </c>
      <c r="AJ639" t="s">
        <v>1540</v>
      </c>
      <c r="AK639" t="s">
        <v>1539</v>
      </c>
      <c r="AL639">
        <v>1</v>
      </c>
      <c r="AM639" s="5">
        <f t="shared" si="75"/>
        <v>0.04</v>
      </c>
      <c r="AN639" s="4">
        <f t="shared" si="76"/>
        <v>6.05831124574025E-5</v>
      </c>
      <c r="AO639" s="3"/>
      <c r="AP639">
        <v>0</v>
      </c>
      <c r="AR639" t="s">
        <v>0</v>
      </c>
      <c r="AT639" s="2" t="s">
        <v>5</v>
      </c>
      <c r="AU639" s="1">
        <f t="shared" si="77"/>
        <v>3.9950371084400573</v>
      </c>
      <c r="AV639" s="1">
        <f t="shared" si="78"/>
        <v>2.8553288806702528</v>
      </c>
      <c r="AW639" s="1">
        <f t="shared" si="79"/>
        <v>1.7156206529004476</v>
      </c>
    </row>
    <row r="640" spans="1:49" x14ac:dyDescent="0.2">
      <c r="A640">
        <v>638</v>
      </c>
      <c r="B640" t="s">
        <v>1538</v>
      </c>
      <c r="C640" t="s">
        <v>1537</v>
      </c>
      <c r="F640" t="s">
        <v>1536</v>
      </c>
      <c r="G640" t="s">
        <v>4</v>
      </c>
      <c r="H640" t="s">
        <v>3</v>
      </c>
      <c r="I640" t="s">
        <v>1535</v>
      </c>
      <c r="J640" t="s">
        <v>1534</v>
      </c>
      <c r="K640" t="s">
        <v>1533</v>
      </c>
      <c r="L640" t="s">
        <v>1532</v>
      </c>
      <c r="M640" t="s">
        <v>122</v>
      </c>
      <c r="N640">
        <v>4</v>
      </c>
      <c r="O640" t="s">
        <v>1531</v>
      </c>
      <c r="P640" t="s">
        <v>1530</v>
      </c>
      <c r="Q640" t="s">
        <v>1529</v>
      </c>
      <c r="R640" s="8">
        <v>35647</v>
      </c>
      <c r="S640" s="9">
        <f t="shared" si="72"/>
        <v>1997</v>
      </c>
      <c r="T640" s="9">
        <v>1997</v>
      </c>
      <c r="U640" s="9">
        <f t="shared" si="73"/>
        <v>25</v>
      </c>
      <c r="V640" s="8">
        <v>35647</v>
      </c>
      <c r="W640" t="s">
        <v>125</v>
      </c>
      <c r="X640" s="2">
        <v>0.30399999999999999</v>
      </c>
      <c r="Y640" s="7">
        <f t="shared" si="74"/>
        <v>8.115106377299057E-3</v>
      </c>
      <c r="AA640">
        <v>8952477</v>
      </c>
      <c r="AB640">
        <v>12250</v>
      </c>
      <c r="AD640" t="s">
        <v>1</v>
      </c>
      <c r="AE640">
        <v>15</v>
      </c>
      <c r="AF640">
        <v>5</v>
      </c>
      <c r="AH640" t="s">
        <v>370</v>
      </c>
      <c r="AI640" t="s">
        <v>1528</v>
      </c>
      <c r="AJ640" t="s">
        <v>1527</v>
      </c>
      <c r="AK640" t="s">
        <v>1526</v>
      </c>
      <c r="AL640">
        <v>21</v>
      </c>
      <c r="AM640" s="5">
        <f t="shared" si="75"/>
        <v>0.84</v>
      </c>
      <c r="AN640" s="4">
        <f t="shared" si="76"/>
        <v>1.2722453616054524E-3</v>
      </c>
      <c r="AO640" s="3"/>
      <c r="AP640">
        <v>0</v>
      </c>
      <c r="AR640" t="s">
        <v>0</v>
      </c>
      <c r="AT640" s="2" t="s">
        <v>5</v>
      </c>
      <c r="AU640" s="1">
        <f t="shared" si="77"/>
        <v>0.60622480725909755</v>
      </c>
      <c r="AV640" s="1">
        <f t="shared" si="78"/>
        <v>0.46936758694522546</v>
      </c>
      <c r="AW640" s="1">
        <f t="shared" si="79"/>
        <v>0.33251036663135336</v>
      </c>
    </row>
    <row r="641" spans="1:49" x14ac:dyDescent="0.2">
      <c r="A641">
        <v>639</v>
      </c>
      <c r="B641" t="s">
        <v>1525</v>
      </c>
      <c r="C641" t="s">
        <v>1524</v>
      </c>
      <c r="F641" t="s">
        <v>1523</v>
      </c>
      <c r="G641" t="s">
        <v>4</v>
      </c>
      <c r="H641" t="s">
        <v>3</v>
      </c>
      <c r="I641" t="s">
        <v>528</v>
      </c>
      <c r="J641">
        <v>60008447</v>
      </c>
      <c r="K641" t="s">
        <v>527</v>
      </c>
      <c r="L641" t="s">
        <v>526</v>
      </c>
      <c r="M641" t="s">
        <v>26</v>
      </c>
      <c r="N641">
        <v>3</v>
      </c>
      <c r="O641" t="s">
        <v>1522</v>
      </c>
      <c r="P641" t="s">
        <v>1521</v>
      </c>
      <c r="Q641" t="s">
        <v>1520</v>
      </c>
      <c r="R641" s="8">
        <v>35647</v>
      </c>
      <c r="S641" s="9">
        <f t="shared" si="72"/>
        <v>1997</v>
      </c>
      <c r="T641" s="9">
        <v>1997</v>
      </c>
      <c r="U641" s="9">
        <f t="shared" si="73"/>
        <v>25</v>
      </c>
      <c r="V641" s="8">
        <v>35647</v>
      </c>
      <c r="W641" t="s">
        <v>125</v>
      </c>
      <c r="X641" s="2">
        <v>0.30399999999999999</v>
      </c>
      <c r="Y641" s="7">
        <f t="shared" si="74"/>
        <v>8.115106377299057E-3</v>
      </c>
      <c r="AA641">
        <v>8952477</v>
      </c>
      <c r="AB641">
        <v>12250</v>
      </c>
      <c r="AD641" t="s">
        <v>1</v>
      </c>
      <c r="AE641">
        <v>15</v>
      </c>
      <c r="AF641">
        <v>5</v>
      </c>
      <c r="AH641" t="s">
        <v>1519</v>
      </c>
      <c r="AI641" t="s">
        <v>1518</v>
      </c>
      <c r="AJ641" t="s">
        <v>1517</v>
      </c>
      <c r="AK641" t="s">
        <v>1516</v>
      </c>
      <c r="AL641">
        <v>0</v>
      </c>
      <c r="AM641" s="5">
        <f t="shared" si="75"/>
        <v>0</v>
      </c>
      <c r="AN641" s="4">
        <f t="shared" si="76"/>
        <v>0</v>
      </c>
      <c r="AO641" s="3"/>
      <c r="AP641">
        <v>0</v>
      </c>
      <c r="AR641" t="s">
        <v>0</v>
      </c>
      <c r="AT641" s="2" t="s">
        <v>5</v>
      </c>
      <c r="AU641" s="1">
        <f t="shared" si="77"/>
        <v>0.56805744641093392</v>
      </c>
      <c r="AV641" s="1">
        <f t="shared" si="78"/>
        <v>0.40575531886495286</v>
      </c>
      <c r="AW641" s="1">
        <f t="shared" si="79"/>
        <v>0.24345319131897172</v>
      </c>
    </row>
    <row r="642" spans="1:49" x14ac:dyDescent="0.2">
      <c r="A642">
        <v>640</v>
      </c>
      <c r="B642" t="s">
        <v>1515</v>
      </c>
      <c r="C642" t="s">
        <v>1514</v>
      </c>
      <c r="F642" t="s">
        <v>1513</v>
      </c>
      <c r="G642" t="s">
        <v>4</v>
      </c>
      <c r="H642" t="s">
        <v>3</v>
      </c>
      <c r="I642" t="s">
        <v>1512</v>
      </c>
      <c r="J642">
        <v>60026134</v>
      </c>
      <c r="K642" t="s">
        <v>296</v>
      </c>
      <c r="L642" t="s">
        <v>295</v>
      </c>
      <c r="M642" t="s">
        <v>39</v>
      </c>
      <c r="N642">
        <v>2</v>
      </c>
      <c r="O642" t="s">
        <v>1511</v>
      </c>
      <c r="P642" t="s">
        <v>1510</v>
      </c>
      <c r="Q642" t="s">
        <v>294</v>
      </c>
      <c r="R642" s="8">
        <v>35647</v>
      </c>
      <c r="S642" s="9">
        <f t="shared" ref="S642:S705" si="80">YEAR(R642)</f>
        <v>1997</v>
      </c>
      <c r="T642" s="9">
        <v>1997</v>
      </c>
      <c r="U642" s="9">
        <f t="shared" ref="U642:U705" si="81">2022-T642</f>
        <v>25</v>
      </c>
      <c r="V642" s="8">
        <v>35647</v>
      </c>
      <c r="W642" t="s">
        <v>125</v>
      </c>
      <c r="X642" s="2">
        <v>0.30399999999999999</v>
      </c>
      <c r="Y642" s="7">
        <f t="shared" ref="Y642:Y705" si="82">(X642-$Z$3)/($Z$2-$Z$3)</f>
        <v>8.115106377299057E-3</v>
      </c>
      <c r="AA642">
        <v>8952477</v>
      </c>
      <c r="AB642">
        <v>12250</v>
      </c>
      <c r="AD642" t="s">
        <v>1</v>
      </c>
      <c r="AE642">
        <v>15</v>
      </c>
      <c r="AF642">
        <v>5</v>
      </c>
      <c r="AH642" t="s">
        <v>1509</v>
      </c>
      <c r="AI642" t="s">
        <v>1508</v>
      </c>
      <c r="AJ642" t="s">
        <v>1507</v>
      </c>
      <c r="AK642" t="s">
        <v>1506</v>
      </c>
      <c r="AL642">
        <v>1</v>
      </c>
      <c r="AM642" s="5">
        <f t="shared" ref="AM642:AM705" si="83">AL642/U642</f>
        <v>0.04</v>
      </c>
      <c r="AN642" s="4">
        <f t="shared" ref="AN642:AN705" si="84">(AM642-$AO$3)/($AO$2-$AO$3)</f>
        <v>6.05831124574025E-5</v>
      </c>
      <c r="AO642" s="3"/>
      <c r="AP642">
        <v>0</v>
      </c>
      <c r="AR642" t="s">
        <v>0</v>
      </c>
      <c r="AT642" s="2" t="s">
        <v>5</v>
      </c>
      <c r="AU642" s="1">
        <f t="shared" ref="AU642:AU705" si="85">(Y642*0.7+AN642*0.3)*100</f>
        <v>0.56987493978465598</v>
      </c>
      <c r="AV642" s="1">
        <f t="shared" ref="AV642:AV705" si="86">(Y642*0.5+AN642*0.5)*100</f>
        <v>0.40878447448782296</v>
      </c>
      <c r="AW642" s="1">
        <f t="shared" ref="AW642:AW705" si="87">(Y642*0.3+AN642*0.7)*100</f>
        <v>0.24769400919098988</v>
      </c>
    </row>
    <row r="643" spans="1:49" x14ac:dyDescent="0.2">
      <c r="A643">
        <v>641</v>
      </c>
      <c r="B643" t="s">
        <v>1505</v>
      </c>
      <c r="C643" t="s">
        <v>1504</v>
      </c>
      <c r="F643" t="s">
        <v>1503</v>
      </c>
      <c r="G643" t="s">
        <v>4</v>
      </c>
      <c r="H643" t="s">
        <v>3</v>
      </c>
      <c r="I643" t="s">
        <v>1502</v>
      </c>
      <c r="J643">
        <v>60068535</v>
      </c>
      <c r="K643" t="s">
        <v>331</v>
      </c>
      <c r="L643" t="s">
        <v>248</v>
      </c>
      <c r="M643" t="s">
        <v>247</v>
      </c>
      <c r="N643">
        <v>2</v>
      </c>
      <c r="O643" t="s">
        <v>1501</v>
      </c>
      <c r="P643" t="s">
        <v>1500</v>
      </c>
      <c r="Q643" t="s">
        <v>1499</v>
      </c>
      <c r="R643" s="8">
        <v>35647</v>
      </c>
      <c r="S643" s="9">
        <f t="shared" si="80"/>
        <v>1997</v>
      </c>
      <c r="T643" s="9">
        <v>1997</v>
      </c>
      <c r="U643" s="9">
        <f t="shared" si="81"/>
        <v>25</v>
      </c>
      <c r="V643" s="8">
        <v>35647</v>
      </c>
      <c r="W643" t="s">
        <v>125</v>
      </c>
      <c r="X643" s="2">
        <v>0.30399999999999999</v>
      </c>
      <c r="Y643" s="7">
        <f t="shared" si="82"/>
        <v>8.115106377299057E-3</v>
      </c>
      <c r="AA643">
        <v>8952477</v>
      </c>
      <c r="AB643">
        <v>12250</v>
      </c>
      <c r="AD643" t="s">
        <v>1</v>
      </c>
      <c r="AE643">
        <v>15</v>
      </c>
      <c r="AF643">
        <v>5</v>
      </c>
      <c r="AH643" t="s">
        <v>1498</v>
      </c>
      <c r="AI643" t="s">
        <v>1497</v>
      </c>
      <c r="AJ643" t="s">
        <v>1496</v>
      </c>
      <c r="AK643" t="s">
        <v>1495</v>
      </c>
      <c r="AL643">
        <v>7</v>
      </c>
      <c r="AM643" s="5">
        <f t="shared" si="83"/>
        <v>0.28000000000000003</v>
      </c>
      <c r="AN643" s="4">
        <f t="shared" si="84"/>
        <v>4.2408178720181755E-4</v>
      </c>
      <c r="AO643" s="3"/>
      <c r="AP643">
        <v>0</v>
      </c>
      <c r="AR643" t="s">
        <v>0</v>
      </c>
      <c r="AT643" s="2" t="s">
        <v>5</v>
      </c>
      <c r="AU643" s="1">
        <f t="shared" si="85"/>
        <v>0.58077990002698843</v>
      </c>
      <c r="AV643" s="1">
        <f t="shared" si="86"/>
        <v>0.42695940822504375</v>
      </c>
      <c r="AW643" s="1">
        <f t="shared" si="87"/>
        <v>0.27313891642309895</v>
      </c>
    </row>
    <row r="644" spans="1:49" x14ac:dyDescent="0.2">
      <c r="A644">
        <v>642</v>
      </c>
      <c r="B644" t="s">
        <v>1494</v>
      </c>
      <c r="C644" t="s">
        <v>1493</v>
      </c>
      <c r="F644" t="s">
        <v>1492</v>
      </c>
      <c r="G644" t="s">
        <v>4</v>
      </c>
      <c r="H644" t="s">
        <v>3</v>
      </c>
      <c r="I644" t="s">
        <v>169</v>
      </c>
      <c r="J644">
        <v>60028419</v>
      </c>
      <c r="K644" t="s">
        <v>611</v>
      </c>
      <c r="L644" t="s">
        <v>610</v>
      </c>
      <c r="M644" t="s">
        <v>39</v>
      </c>
      <c r="N644">
        <v>2</v>
      </c>
      <c r="O644" t="s">
        <v>1491</v>
      </c>
      <c r="P644" t="s">
        <v>1490</v>
      </c>
      <c r="Q644" t="s">
        <v>1115</v>
      </c>
      <c r="R644" s="8">
        <v>35647</v>
      </c>
      <c r="S644" s="9">
        <f t="shared" si="80"/>
        <v>1997</v>
      </c>
      <c r="T644" s="9">
        <v>1997</v>
      </c>
      <c r="U644" s="9">
        <f t="shared" si="81"/>
        <v>25</v>
      </c>
      <c r="V644" s="8">
        <v>35647</v>
      </c>
      <c r="W644" t="s">
        <v>125</v>
      </c>
      <c r="X644" s="2">
        <v>0.30399999999999999</v>
      </c>
      <c r="Y644" s="7">
        <f t="shared" si="82"/>
        <v>8.115106377299057E-3</v>
      </c>
      <c r="AA644">
        <v>8952477</v>
      </c>
      <c r="AB644">
        <v>12250</v>
      </c>
      <c r="AD644" t="s">
        <v>1</v>
      </c>
      <c r="AE644">
        <v>15</v>
      </c>
      <c r="AF644">
        <v>5</v>
      </c>
      <c r="AH644" t="s">
        <v>449</v>
      </c>
      <c r="AI644" t="s">
        <v>1489</v>
      </c>
      <c r="AJ644" t="s">
        <v>1488</v>
      </c>
      <c r="AK644" t="s">
        <v>1487</v>
      </c>
      <c r="AL644">
        <v>5</v>
      </c>
      <c r="AM644" s="5">
        <f t="shared" si="83"/>
        <v>0.2</v>
      </c>
      <c r="AN644" s="4">
        <f t="shared" si="84"/>
        <v>3.0291556228701253E-4</v>
      </c>
      <c r="AO644" s="3"/>
      <c r="AP644">
        <v>0</v>
      </c>
      <c r="AR644" t="s">
        <v>0</v>
      </c>
      <c r="AT644" s="2" t="s">
        <v>5</v>
      </c>
      <c r="AU644" s="1">
        <f t="shared" si="85"/>
        <v>0.57714491327954431</v>
      </c>
      <c r="AV644" s="1">
        <f t="shared" si="86"/>
        <v>0.4209010969793035</v>
      </c>
      <c r="AW644" s="1">
        <f t="shared" si="87"/>
        <v>0.26465728067906258</v>
      </c>
    </row>
    <row r="645" spans="1:49" x14ac:dyDescent="0.2">
      <c r="A645">
        <v>643</v>
      </c>
      <c r="B645" t="s">
        <v>1486</v>
      </c>
      <c r="C645" t="s">
        <v>1485</v>
      </c>
      <c r="D645" t="s">
        <v>1484</v>
      </c>
      <c r="F645" t="s">
        <v>1483</v>
      </c>
      <c r="G645" t="s">
        <v>4</v>
      </c>
      <c r="H645" t="s">
        <v>3</v>
      </c>
      <c r="I645" t="s">
        <v>1482</v>
      </c>
      <c r="J645">
        <v>60007457</v>
      </c>
      <c r="K645" t="s">
        <v>509</v>
      </c>
      <c r="L645" t="s">
        <v>173</v>
      </c>
      <c r="M645" t="s">
        <v>74</v>
      </c>
      <c r="N645">
        <v>3</v>
      </c>
      <c r="O645" t="s">
        <v>1481</v>
      </c>
      <c r="P645" t="s">
        <v>1480</v>
      </c>
      <c r="Q645" t="s">
        <v>508</v>
      </c>
      <c r="R645" s="8">
        <v>35646</v>
      </c>
      <c r="S645" s="9">
        <f t="shared" si="80"/>
        <v>1997</v>
      </c>
      <c r="T645" s="9">
        <v>1997</v>
      </c>
      <c r="U645" s="9">
        <f t="shared" si="81"/>
        <v>25</v>
      </c>
      <c r="V645" s="8">
        <v>35646</v>
      </c>
      <c r="W645" t="s">
        <v>666</v>
      </c>
      <c r="X645" s="2">
        <v>0.499</v>
      </c>
      <c r="Y645" s="7">
        <f t="shared" si="82"/>
        <v>1.332052000747444E-2</v>
      </c>
      <c r="AA645">
        <v>3759601</v>
      </c>
      <c r="AB645">
        <v>29464</v>
      </c>
      <c r="AD645" t="s">
        <v>1</v>
      </c>
      <c r="AE645">
        <v>232</v>
      </c>
      <c r="AF645">
        <v>5</v>
      </c>
      <c r="AH645" t="s">
        <v>1479</v>
      </c>
      <c r="AI645" t="s">
        <v>1478</v>
      </c>
      <c r="AK645" t="s">
        <v>1477</v>
      </c>
      <c r="AL645">
        <v>77</v>
      </c>
      <c r="AM645" s="5">
        <f t="shared" si="83"/>
        <v>3.08</v>
      </c>
      <c r="AN645" s="4">
        <f t="shared" si="84"/>
        <v>4.664899659219993E-3</v>
      </c>
      <c r="AO645" s="3"/>
      <c r="AP645">
        <v>0</v>
      </c>
      <c r="AQ645" t="s">
        <v>53</v>
      </c>
      <c r="AR645" t="s">
        <v>1476</v>
      </c>
      <c r="AS645" t="s">
        <v>52</v>
      </c>
      <c r="AT645" s="2" t="s">
        <v>5</v>
      </c>
      <c r="AU645" s="1">
        <f t="shared" si="85"/>
        <v>1.0723833902998106</v>
      </c>
      <c r="AV645" s="1">
        <f t="shared" si="86"/>
        <v>0.89927098333472155</v>
      </c>
      <c r="AW645" s="1">
        <f t="shared" si="87"/>
        <v>0.72615857636963266</v>
      </c>
    </row>
    <row r="646" spans="1:49" x14ac:dyDescent="0.2">
      <c r="A646">
        <v>644</v>
      </c>
      <c r="B646" t="s">
        <v>1475</v>
      </c>
      <c r="C646" t="s">
        <v>1474</v>
      </c>
      <c r="F646" t="s">
        <v>1473</v>
      </c>
      <c r="G646" t="s">
        <v>4</v>
      </c>
      <c r="H646" t="s">
        <v>3</v>
      </c>
      <c r="I646" t="s">
        <v>1472</v>
      </c>
      <c r="J646">
        <v>60096204</v>
      </c>
      <c r="K646" t="s">
        <v>1471</v>
      </c>
      <c r="L646" t="s">
        <v>173</v>
      </c>
      <c r="M646" t="s">
        <v>74</v>
      </c>
      <c r="N646">
        <v>3</v>
      </c>
      <c r="O646" t="s">
        <v>1470</v>
      </c>
      <c r="P646" t="s">
        <v>1469</v>
      </c>
      <c r="Q646" t="s">
        <v>1468</v>
      </c>
      <c r="R646" s="8">
        <v>35643</v>
      </c>
      <c r="S646" s="9">
        <f t="shared" si="80"/>
        <v>1997</v>
      </c>
      <c r="T646" s="9">
        <v>1997</v>
      </c>
      <c r="U646" s="9">
        <f t="shared" si="81"/>
        <v>25</v>
      </c>
      <c r="V646" s="8">
        <v>35643</v>
      </c>
      <c r="W646" t="s">
        <v>534</v>
      </c>
      <c r="X646" s="2">
        <v>0.318</v>
      </c>
      <c r="Y646" s="7">
        <f t="shared" si="82"/>
        <v>8.4888283815167786E-3</v>
      </c>
      <c r="AA646">
        <v>338443</v>
      </c>
      <c r="AB646">
        <v>27160</v>
      </c>
      <c r="AC646">
        <v>15739120</v>
      </c>
      <c r="AD646" t="s">
        <v>1</v>
      </c>
      <c r="AE646">
        <v>40</v>
      </c>
      <c r="AF646">
        <v>8</v>
      </c>
      <c r="AH646" t="s">
        <v>1467</v>
      </c>
      <c r="AI646" t="s">
        <v>1466</v>
      </c>
      <c r="AK646" t="s">
        <v>1465</v>
      </c>
      <c r="AL646">
        <v>0</v>
      </c>
      <c r="AM646" s="5">
        <f t="shared" si="83"/>
        <v>0</v>
      </c>
      <c r="AN646" s="4">
        <f t="shared" si="84"/>
        <v>0</v>
      </c>
      <c r="AO646" s="3"/>
      <c r="AP646">
        <v>0</v>
      </c>
      <c r="AR646" t="s">
        <v>1464</v>
      </c>
      <c r="AT646" s="2">
        <v>0.77</v>
      </c>
      <c r="AU646" s="1">
        <f t="shared" si="85"/>
        <v>0.59421798670617454</v>
      </c>
      <c r="AV646" s="1">
        <f t="shared" si="86"/>
        <v>0.42444141907583893</v>
      </c>
      <c r="AW646" s="1">
        <f t="shared" si="87"/>
        <v>0.25466485144550338</v>
      </c>
    </row>
    <row r="647" spans="1:49" x14ac:dyDescent="0.2">
      <c r="A647">
        <v>645</v>
      </c>
      <c r="B647" t="s">
        <v>1463</v>
      </c>
      <c r="F647" t="s">
        <v>1462</v>
      </c>
      <c r="G647" t="s">
        <v>4</v>
      </c>
      <c r="H647" t="s">
        <v>3</v>
      </c>
      <c r="I647" t="s">
        <v>1461</v>
      </c>
      <c r="J647">
        <v>60021176</v>
      </c>
      <c r="K647" t="s">
        <v>1460</v>
      </c>
      <c r="L647" t="s">
        <v>259</v>
      </c>
      <c r="M647" t="s">
        <v>214</v>
      </c>
      <c r="N647">
        <v>2</v>
      </c>
      <c r="O647" t="s">
        <v>1459</v>
      </c>
      <c r="P647" t="s">
        <v>1458</v>
      </c>
      <c r="Q647" t="s">
        <v>1457</v>
      </c>
      <c r="R647" s="8">
        <v>35643</v>
      </c>
      <c r="S647" s="9">
        <f t="shared" si="80"/>
        <v>1997</v>
      </c>
      <c r="T647" s="9">
        <v>1997</v>
      </c>
      <c r="U647" s="9">
        <f t="shared" si="81"/>
        <v>25</v>
      </c>
      <c r="V647" s="8">
        <v>35643</v>
      </c>
      <c r="W647" t="s">
        <v>590</v>
      </c>
      <c r="X647" s="2">
        <v>0.112</v>
      </c>
      <c r="Y647" s="7">
        <f t="shared" si="82"/>
        <v>2.9897760337417581E-3</v>
      </c>
      <c r="AA647">
        <v>3678393</v>
      </c>
      <c r="AB647">
        <v>4800153103</v>
      </c>
      <c r="AD647" t="s">
        <v>1</v>
      </c>
      <c r="AE647">
        <v>26</v>
      </c>
      <c r="AF647">
        <v>4</v>
      </c>
      <c r="AH647" t="s">
        <v>357</v>
      </c>
      <c r="AI647" t="s">
        <v>1456</v>
      </c>
      <c r="AK647" t="s">
        <v>1455</v>
      </c>
      <c r="AL647">
        <v>2</v>
      </c>
      <c r="AM647" s="5">
        <f t="shared" si="83"/>
        <v>0.08</v>
      </c>
      <c r="AN647" s="4">
        <f t="shared" si="84"/>
        <v>1.21166224914805E-4</v>
      </c>
      <c r="AO647" s="3"/>
      <c r="AP647">
        <v>0</v>
      </c>
      <c r="AR647" t="s">
        <v>0</v>
      </c>
      <c r="AT647" s="2" t="s">
        <v>5</v>
      </c>
      <c r="AU647" s="1">
        <f t="shared" si="85"/>
        <v>0.21291930910936718</v>
      </c>
      <c r="AV647" s="1">
        <f t="shared" si="86"/>
        <v>0.15554711293282814</v>
      </c>
      <c r="AW647" s="1">
        <f t="shared" si="87"/>
        <v>9.8174916756289088E-2</v>
      </c>
    </row>
    <row r="648" spans="1:49" x14ac:dyDescent="0.2">
      <c r="A648">
        <v>646</v>
      </c>
      <c r="B648" t="s">
        <v>1454</v>
      </c>
      <c r="C648" t="s">
        <v>1453</v>
      </c>
      <c r="F648" t="s">
        <v>1452</v>
      </c>
      <c r="G648" t="s">
        <v>4</v>
      </c>
      <c r="H648" t="s">
        <v>3</v>
      </c>
      <c r="I648" t="s">
        <v>1451</v>
      </c>
      <c r="J648">
        <v>60025778</v>
      </c>
      <c r="K648" t="s">
        <v>636</v>
      </c>
      <c r="L648" t="s">
        <v>635</v>
      </c>
      <c r="M648" t="s">
        <v>2</v>
      </c>
      <c r="N648">
        <v>1</v>
      </c>
      <c r="O648" t="s">
        <v>1450</v>
      </c>
      <c r="P648">
        <v>7202320808</v>
      </c>
      <c r="Q648">
        <v>60025778</v>
      </c>
      <c r="R648" s="8">
        <v>35643</v>
      </c>
      <c r="S648" s="9">
        <f t="shared" si="80"/>
        <v>1997</v>
      </c>
      <c r="T648" s="9">
        <v>1997</v>
      </c>
      <c r="U648" s="9">
        <f t="shared" si="81"/>
        <v>25</v>
      </c>
      <c r="V648" s="8">
        <v>35643</v>
      </c>
      <c r="W648" t="s">
        <v>439</v>
      </c>
      <c r="X648" s="2">
        <v>0.88100000000000001</v>
      </c>
      <c r="Y648" s="7">
        <f t="shared" si="82"/>
        <v>2.3517791836843653E-2</v>
      </c>
      <c r="AA648">
        <v>10459243</v>
      </c>
      <c r="AB648">
        <v>17248</v>
      </c>
      <c r="AD648" t="s">
        <v>1</v>
      </c>
      <c r="AE648">
        <v>39</v>
      </c>
      <c r="AF648">
        <v>4</v>
      </c>
      <c r="AH648" t="s">
        <v>1449</v>
      </c>
      <c r="AJ648" t="s">
        <v>1448</v>
      </c>
      <c r="AL648">
        <v>5</v>
      </c>
      <c r="AM648" s="5">
        <f t="shared" si="83"/>
        <v>0.2</v>
      </c>
      <c r="AN648" s="4">
        <f t="shared" si="84"/>
        <v>3.0291556228701253E-4</v>
      </c>
      <c r="AO648" s="3"/>
      <c r="AP648">
        <v>0</v>
      </c>
      <c r="AR648" t="s">
        <v>0</v>
      </c>
      <c r="AT648" s="2" t="s">
        <v>5</v>
      </c>
      <c r="AU648" s="1">
        <f t="shared" si="85"/>
        <v>1.655332895447666</v>
      </c>
      <c r="AV648" s="1">
        <f t="shared" si="86"/>
        <v>1.1910353699565333</v>
      </c>
      <c r="AW648" s="1">
        <f t="shared" si="87"/>
        <v>0.72673784446540046</v>
      </c>
    </row>
    <row r="649" spans="1:49" x14ac:dyDescent="0.2">
      <c r="A649">
        <v>647</v>
      </c>
      <c r="B649" t="s">
        <v>1447</v>
      </c>
      <c r="F649" t="s">
        <v>1446</v>
      </c>
      <c r="G649" t="s">
        <v>4</v>
      </c>
      <c r="H649" t="s">
        <v>3</v>
      </c>
      <c r="I649" t="s">
        <v>1445</v>
      </c>
      <c r="J649">
        <v>60070214</v>
      </c>
      <c r="K649" t="s">
        <v>1444</v>
      </c>
      <c r="L649" t="s">
        <v>1443</v>
      </c>
      <c r="M649" t="s">
        <v>214</v>
      </c>
      <c r="N649">
        <v>3</v>
      </c>
      <c r="O649" t="s">
        <v>1442</v>
      </c>
      <c r="P649" t="s">
        <v>1441</v>
      </c>
      <c r="Q649" t="s">
        <v>1440</v>
      </c>
      <c r="R649" s="8">
        <v>35643</v>
      </c>
      <c r="S649" s="9">
        <f t="shared" si="80"/>
        <v>1997</v>
      </c>
      <c r="T649" s="9">
        <v>1997</v>
      </c>
      <c r="U649" s="9">
        <f t="shared" si="81"/>
        <v>25</v>
      </c>
      <c r="V649" s="8">
        <v>35643</v>
      </c>
      <c r="W649" t="s">
        <v>590</v>
      </c>
      <c r="X649" s="2">
        <v>0.112</v>
      </c>
      <c r="Y649" s="7">
        <f t="shared" si="82"/>
        <v>2.9897760337417581E-3</v>
      </c>
      <c r="AA649">
        <v>3678393</v>
      </c>
      <c r="AB649">
        <v>4800153103</v>
      </c>
      <c r="AD649" t="s">
        <v>1</v>
      </c>
      <c r="AE649">
        <v>26</v>
      </c>
      <c r="AF649">
        <v>4</v>
      </c>
      <c r="AH649" t="s">
        <v>1439</v>
      </c>
      <c r="AI649" t="s">
        <v>1438</v>
      </c>
      <c r="AK649" t="s">
        <v>1437</v>
      </c>
      <c r="AL649">
        <v>4</v>
      </c>
      <c r="AM649" s="5">
        <f t="shared" si="83"/>
        <v>0.16</v>
      </c>
      <c r="AN649" s="4">
        <f t="shared" si="84"/>
        <v>2.4233244982961E-4</v>
      </c>
      <c r="AO649" s="3"/>
      <c r="AP649">
        <v>0</v>
      </c>
      <c r="AR649" t="s">
        <v>0</v>
      </c>
      <c r="AT649" s="2" t="s">
        <v>5</v>
      </c>
      <c r="AU649" s="1">
        <f t="shared" si="85"/>
        <v>0.21655429585681132</v>
      </c>
      <c r="AV649" s="1">
        <f t="shared" si="86"/>
        <v>0.16160542417856838</v>
      </c>
      <c r="AW649" s="1">
        <f t="shared" si="87"/>
        <v>0.10665655250032544</v>
      </c>
    </row>
    <row r="650" spans="1:49" x14ac:dyDescent="0.2">
      <c r="A650">
        <v>648</v>
      </c>
      <c r="B650" t="s">
        <v>1436</v>
      </c>
      <c r="C650" t="s">
        <v>1435</v>
      </c>
      <c r="D650" t="s">
        <v>1434</v>
      </c>
      <c r="F650" t="s">
        <v>1433</v>
      </c>
      <c r="G650" t="s">
        <v>4</v>
      </c>
      <c r="H650" t="s">
        <v>3</v>
      </c>
      <c r="I650" t="s">
        <v>67</v>
      </c>
      <c r="J650" t="s">
        <v>1432</v>
      </c>
      <c r="K650" t="s">
        <v>1431</v>
      </c>
      <c r="L650" t="s">
        <v>1430</v>
      </c>
      <c r="M650" t="s">
        <v>119</v>
      </c>
      <c r="N650">
        <v>3</v>
      </c>
      <c r="O650" t="s">
        <v>1429</v>
      </c>
      <c r="P650" t="s">
        <v>1428</v>
      </c>
      <c r="Q650" t="s">
        <v>1427</v>
      </c>
      <c r="R650" s="8">
        <v>35643</v>
      </c>
      <c r="S650" s="9">
        <f t="shared" si="80"/>
        <v>1997</v>
      </c>
      <c r="T650" s="9">
        <v>1997</v>
      </c>
      <c r="U650" s="9">
        <f t="shared" si="81"/>
        <v>25</v>
      </c>
      <c r="V650" s="8">
        <v>35643</v>
      </c>
      <c r="W650" t="s">
        <v>743</v>
      </c>
      <c r="X650" s="2">
        <v>1.528</v>
      </c>
      <c r="Y650" s="7">
        <f t="shared" si="82"/>
        <v>4.0789087317476845E-2</v>
      </c>
      <c r="AA650">
        <v>2649381</v>
      </c>
      <c r="AB650">
        <v>27433</v>
      </c>
      <c r="AD650" t="s">
        <v>1</v>
      </c>
      <c r="AE650">
        <v>14</v>
      </c>
      <c r="AF650">
        <v>8</v>
      </c>
      <c r="AH650" t="s">
        <v>1426</v>
      </c>
      <c r="AI650" t="s">
        <v>1425</v>
      </c>
      <c r="AK650" t="s">
        <v>1424</v>
      </c>
      <c r="AL650">
        <v>26</v>
      </c>
      <c r="AM650" s="5">
        <f t="shared" si="83"/>
        <v>1.04</v>
      </c>
      <c r="AN650" s="4">
        <f t="shared" si="84"/>
        <v>1.5751609238924651E-3</v>
      </c>
      <c r="AO650" s="3"/>
      <c r="AP650">
        <v>0</v>
      </c>
      <c r="AR650" t="s">
        <v>0</v>
      </c>
      <c r="AT650" s="2">
        <v>3.528</v>
      </c>
      <c r="AU650" s="1">
        <f t="shared" si="85"/>
        <v>2.9024909399401531</v>
      </c>
      <c r="AV650" s="1">
        <f t="shared" si="86"/>
        <v>2.1182124120684653</v>
      </c>
      <c r="AW650" s="1">
        <f t="shared" si="87"/>
        <v>1.3339338841967778</v>
      </c>
    </row>
    <row r="651" spans="1:49" x14ac:dyDescent="0.2">
      <c r="A651">
        <v>649</v>
      </c>
      <c r="B651" t="s">
        <v>1423</v>
      </c>
      <c r="F651" t="s">
        <v>1422</v>
      </c>
      <c r="G651" t="s">
        <v>4</v>
      </c>
      <c r="H651" t="s">
        <v>3</v>
      </c>
      <c r="I651" t="s">
        <v>132</v>
      </c>
      <c r="N651">
        <v>1</v>
      </c>
      <c r="O651" t="s">
        <v>131</v>
      </c>
      <c r="P651">
        <v>1</v>
      </c>
      <c r="R651" s="8">
        <v>35643</v>
      </c>
      <c r="S651" s="9">
        <f t="shared" si="80"/>
        <v>1997</v>
      </c>
      <c r="T651" s="9">
        <v>1997</v>
      </c>
      <c r="U651" s="9">
        <f t="shared" si="81"/>
        <v>25</v>
      </c>
      <c r="V651" s="8">
        <v>35643</v>
      </c>
      <c r="W651" t="s">
        <v>130</v>
      </c>
      <c r="X651" s="2">
        <v>0.13800000000000001</v>
      </c>
      <c r="Y651" s="7">
        <f t="shared" si="82"/>
        <v>3.6838311844318095E-3</v>
      </c>
      <c r="AA651">
        <v>1926225</v>
      </c>
      <c r="AB651">
        <v>18580</v>
      </c>
      <c r="AD651" t="s">
        <v>1</v>
      </c>
      <c r="AE651">
        <v>40</v>
      </c>
      <c r="AF651">
        <v>8</v>
      </c>
      <c r="AI651" t="s">
        <v>1421</v>
      </c>
      <c r="AK651" t="s">
        <v>1420</v>
      </c>
      <c r="AL651">
        <v>9</v>
      </c>
      <c r="AM651" s="5">
        <f t="shared" si="83"/>
        <v>0.36</v>
      </c>
      <c r="AN651" s="4">
        <f t="shared" si="84"/>
        <v>5.4524801211662251E-4</v>
      </c>
      <c r="AO651" s="3"/>
      <c r="AP651">
        <v>0</v>
      </c>
      <c r="AR651" t="s">
        <v>0</v>
      </c>
      <c r="AT651" s="2">
        <v>0.30599999999999999</v>
      </c>
      <c r="AU651" s="1">
        <f t="shared" si="85"/>
        <v>0.27422562327372535</v>
      </c>
      <c r="AV651" s="1">
        <f t="shared" si="86"/>
        <v>0.2114539598274216</v>
      </c>
      <c r="AW651" s="1">
        <f t="shared" si="87"/>
        <v>0.14868229638111785</v>
      </c>
    </row>
    <row r="652" spans="1:49" x14ac:dyDescent="0.2">
      <c r="A652">
        <v>650</v>
      </c>
      <c r="B652" t="s">
        <v>1419</v>
      </c>
      <c r="C652" t="s">
        <v>1418</v>
      </c>
      <c r="D652" t="s">
        <v>1417</v>
      </c>
      <c r="F652" t="s">
        <v>1416</v>
      </c>
      <c r="G652" t="s">
        <v>4</v>
      </c>
      <c r="H652" t="s">
        <v>3</v>
      </c>
      <c r="I652" t="s">
        <v>1415</v>
      </c>
      <c r="J652" t="s">
        <v>1414</v>
      </c>
      <c r="K652" t="s">
        <v>1413</v>
      </c>
      <c r="L652" t="s">
        <v>1412</v>
      </c>
      <c r="M652" t="s">
        <v>168</v>
      </c>
      <c r="N652">
        <v>4</v>
      </c>
      <c r="O652" t="s">
        <v>1411</v>
      </c>
      <c r="P652" t="s">
        <v>1410</v>
      </c>
      <c r="Q652" t="s">
        <v>1409</v>
      </c>
      <c r="R652" s="8">
        <v>35643</v>
      </c>
      <c r="S652" s="9">
        <f t="shared" si="80"/>
        <v>1997</v>
      </c>
      <c r="T652" s="9">
        <v>1997</v>
      </c>
      <c r="U652" s="9">
        <f t="shared" si="81"/>
        <v>25</v>
      </c>
      <c r="V652" s="8">
        <v>35643</v>
      </c>
      <c r="W652" t="s">
        <v>158</v>
      </c>
      <c r="X652" s="2">
        <v>0.81</v>
      </c>
      <c r="Y652" s="7">
        <f t="shared" si="82"/>
        <v>2.1622487386882359E-2</v>
      </c>
      <c r="AA652">
        <v>10411135</v>
      </c>
      <c r="AB652">
        <v>12116</v>
      </c>
      <c r="AD652" t="s">
        <v>1</v>
      </c>
      <c r="AE652">
        <v>9</v>
      </c>
      <c r="AF652">
        <v>8</v>
      </c>
      <c r="AH652" t="s">
        <v>1408</v>
      </c>
      <c r="AI652" t="s">
        <v>1407</v>
      </c>
      <c r="AJ652" t="s">
        <v>1406</v>
      </c>
      <c r="AK652" t="s">
        <v>1405</v>
      </c>
      <c r="AL652">
        <v>9</v>
      </c>
      <c r="AM652" s="5">
        <f t="shared" si="83"/>
        <v>0.36</v>
      </c>
      <c r="AN652" s="4">
        <f t="shared" si="84"/>
        <v>5.4524801211662251E-4</v>
      </c>
      <c r="AO652" s="3"/>
      <c r="AP652">
        <v>0</v>
      </c>
      <c r="AQ652" t="s">
        <v>1404</v>
      </c>
      <c r="AR652" t="s">
        <v>1403</v>
      </c>
      <c r="AS652" t="s">
        <v>1402</v>
      </c>
      <c r="AT652" s="2">
        <v>2.468</v>
      </c>
      <c r="AU652" s="1">
        <f t="shared" si="85"/>
        <v>1.5299315574452637</v>
      </c>
      <c r="AV652" s="1">
        <f t="shared" si="86"/>
        <v>1.108386769949949</v>
      </c>
      <c r="AW652" s="1">
        <f t="shared" si="87"/>
        <v>0.68684198245463435</v>
      </c>
    </row>
    <row r="653" spans="1:49" x14ac:dyDescent="0.2">
      <c r="A653">
        <v>651</v>
      </c>
      <c r="B653" t="s">
        <v>1401</v>
      </c>
      <c r="C653" t="s">
        <v>1400</v>
      </c>
      <c r="F653" t="s">
        <v>1399</v>
      </c>
      <c r="G653" t="s">
        <v>4</v>
      </c>
      <c r="H653" t="s">
        <v>3</v>
      </c>
      <c r="I653" t="s">
        <v>496</v>
      </c>
      <c r="J653">
        <v>60011357</v>
      </c>
      <c r="K653" t="s">
        <v>292</v>
      </c>
      <c r="L653" t="s">
        <v>291</v>
      </c>
      <c r="M653" t="s">
        <v>250</v>
      </c>
      <c r="N653">
        <v>2</v>
      </c>
      <c r="O653" t="s">
        <v>1398</v>
      </c>
      <c r="P653" t="s">
        <v>1397</v>
      </c>
      <c r="Q653" t="s">
        <v>288</v>
      </c>
      <c r="R653" s="8">
        <v>35643</v>
      </c>
      <c r="S653" s="9">
        <f t="shared" si="80"/>
        <v>1997</v>
      </c>
      <c r="T653" s="9">
        <v>1997</v>
      </c>
      <c r="U653" s="9">
        <f t="shared" si="81"/>
        <v>25</v>
      </c>
      <c r="V653" s="8">
        <v>35431</v>
      </c>
      <c r="W653" t="s">
        <v>125</v>
      </c>
      <c r="X653" s="2">
        <v>0.30399999999999999</v>
      </c>
      <c r="Y653" s="7">
        <f t="shared" si="82"/>
        <v>8.115106377299057E-3</v>
      </c>
      <c r="AA653">
        <v>8952477</v>
      </c>
      <c r="AB653">
        <v>12250</v>
      </c>
      <c r="AD653" t="s">
        <v>1</v>
      </c>
      <c r="AE653">
        <v>15</v>
      </c>
      <c r="AF653">
        <v>6</v>
      </c>
      <c r="AH653" t="s">
        <v>1396</v>
      </c>
      <c r="AI653" t="s">
        <v>1395</v>
      </c>
      <c r="AK653" t="s">
        <v>1394</v>
      </c>
      <c r="AL653">
        <v>3</v>
      </c>
      <c r="AM653" s="5">
        <f t="shared" si="83"/>
        <v>0.12</v>
      </c>
      <c r="AN653" s="4">
        <f t="shared" si="84"/>
        <v>1.8174933737220749E-4</v>
      </c>
      <c r="AO653" s="3"/>
      <c r="AP653">
        <v>0</v>
      </c>
      <c r="AR653" t="s">
        <v>0</v>
      </c>
      <c r="AT653" s="2" t="s">
        <v>5</v>
      </c>
      <c r="AU653" s="1">
        <f t="shared" si="85"/>
        <v>0.5735099265321002</v>
      </c>
      <c r="AV653" s="1">
        <f t="shared" si="86"/>
        <v>0.4148427857335632</v>
      </c>
      <c r="AW653" s="1">
        <f t="shared" si="87"/>
        <v>0.25617564493502626</v>
      </c>
    </row>
    <row r="654" spans="1:49" x14ac:dyDescent="0.2">
      <c r="A654">
        <v>652</v>
      </c>
      <c r="B654" t="s">
        <v>1393</v>
      </c>
      <c r="C654" t="s">
        <v>1392</v>
      </c>
      <c r="F654" t="s">
        <v>545</v>
      </c>
      <c r="G654" t="s">
        <v>4</v>
      </c>
      <c r="H654" t="s">
        <v>3</v>
      </c>
      <c r="I654" t="s">
        <v>544</v>
      </c>
      <c r="J654">
        <v>60107350</v>
      </c>
      <c r="K654" t="s">
        <v>1391</v>
      </c>
      <c r="L654" t="s">
        <v>1390</v>
      </c>
      <c r="M654" t="s">
        <v>111</v>
      </c>
      <c r="N654">
        <v>2</v>
      </c>
      <c r="O654" t="s">
        <v>543</v>
      </c>
      <c r="P654" t="s">
        <v>542</v>
      </c>
      <c r="Q654" t="s">
        <v>1389</v>
      </c>
      <c r="R654" s="8">
        <v>35643</v>
      </c>
      <c r="S654" s="9">
        <f t="shared" si="80"/>
        <v>1997</v>
      </c>
      <c r="T654" s="9">
        <v>1997</v>
      </c>
      <c r="U654" s="9">
        <f t="shared" si="81"/>
        <v>25</v>
      </c>
      <c r="V654" s="8">
        <v>35643</v>
      </c>
      <c r="W654" t="s">
        <v>104</v>
      </c>
      <c r="X654" s="2">
        <v>0.111</v>
      </c>
      <c r="Y654" s="7">
        <f t="shared" si="82"/>
        <v>2.9630816048690639E-3</v>
      </c>
      <c r="AA654">
        <v>87566621</v>
      </c>
      <c r="AB654">
        <v>24890</v>
      </c>
      <c r="AD654" t="s">
        <v>1</v>
      </c>
      <c r="AE654">
        <v>80</v>
      </c>
      <c r="AF654">
        <v>8</v>
      </c>
      <c r="AH654" t="s">
        <v>541</v>
      </c>
      <c r="AI654" t="s">
        <v>1388</v>
      </c>
      <c r="AK654" t="s">
        <v>540</v>
      </c>
      <c r="AL654">
        <v>8</v>
      </c>
      <c r="AM654" s="5">
        <f t="shared" si="83"/>
        <v>0.32</v>
      </c>
      <c r="AN654" s="4">
        <f t="shared" si="84"/>
        <v>4.8466489965922E-4</v>
      </c>
      <c r="AO654" s="3"/>
      <c r="AP654">
        <v>0</v>
      </c>
      <c r="AR654" t="s">
        <v>0</v>
      </c>
      <c r="AT654" s="2" t="s">
        <v>5</v>
      </c>
      <c r="AU654" s="1">
        <f t="shared" si="85"/>
        <v>0.22195565933061107</v>
      </c>
      <c r="AV654" s="1">
        <f t="shared" si="86"/>
        <v>0.1723873252264142</v>
      </c>
      <c r="AW654" s="1">
        <f t="shared" si="87"/>
        <v>0.12281899112221729</v>
      </c>
    </row>
    <row r="655" spans="1:49" x14ac:dyDescent="0.2">
      <c r="A655">
        <v>653</v>
      </c>
      <c r="B655" t="s">
        <v>1387</v>
      </c>
      <c r="C655" t="s">
        <v>1386</v>
      </c>
      <c r="F655" t="s">
        <v>1385</v>
      </c>
      <c r="G655" t="s">
        <v>4</v>
      </c>
      <c r="H655" t="s">
        <v>3</v>
      </c>
      <c r="I655" t="s">
        <v>297</v>
      </c>
      <c r="J655">
        <v>60018308</v>
      </c>
      <c r="K655" t="s">
        <v>1384</v>
      </c>
      <c r="L655" t="s">
        <v>1383</v>
      </c>
      <c r="M655" t="s">
        <v>190</v>
      </c>
      <c r="N655">
        <v>2</v>
      </c>
      <c r="O655" t="s">
        <v>1382</v>
      </c>
      <c r="P655" t="s">
        <v>1381</v>
      </c>
      <c r="Q655" t="s">
        <v>1380</v>
      </c>
      <c r="R655" s="8">
        <v>35643</v>
      </c>
      <c r="S655" s="9">
        <f t="shared" si="80"/>
        <v>1997</v>
      </c>
      <c r="T655" s="9">
        <v>1997</v>
      </c>
      <c r="U655" s="9">
        <f t="shared" si="81"/>
        <v>25</v>
      </c>
      <c r="V655" s="8">
        <v>35643</v>
      </c>
      <c r="W655" t="s">
        <v>1379</v>
      </c>
      <c r="X655" s="2">
        <v>0.65500000000000003</v>
      </c>
      <c r="Y655" s="7">
        <f t="shared" si="82"/>
        <v>1.7484850911614749E-2</v>
      </c>
      <c r="AA655">
        <v>189375</v>
      </c>
      <c r="AB655">
        <v>26051</v>
      </c>
      <c r="AD655" t="s">
        <v>1</v>
      </c>
      <c r="AE655">
        <v>39</v>
      </c>
      <c r="AF655">
        <v>3</v>
      </c>
      <c r="AH655">
        <v>265</v>
      </c>
      <c r="AI655" t="s">
        <v>1378</v>
      </c>
      <c r="AK655" t="s">
        <v>1377</v>
      </c>
      <c r="AL655">
        <v>2</v>
      </c>
      <c r="AM655" s="5">
        <f t="shared" si="83"/>
        <v>0.08</v>
      </c>
      <c r="AN655" s="4">
        <f t="shared" si="84"/>
        <v>1.21166224914805E-4</v>
      </c>
      <c r="AO655" s="3"/>
      <c r="AP655">
        <v>0</v>
      </c>
      <c r="AR655" t="s">
        <v>0</v>
      </c>
      <c r="AT655" s="2" t="s">
        <v>5</v>
      </c>
      <c r="AU655" s="1">
        <f t="shared" si="85"/>
        <v>1.2275745505604765</v>
      </c>
      <c r="AV655" s="1">
        <f t="shared" si="86"/>
        <v>0.88030085682647763</v>
      </c>
      <c r="AW655" s="1">
        <f t="shared" si="87"/>
        <v>0.53302716309247877</v>
      </c>
    </row>
    <row r="656" spans="1:49" x14ac:dyDescent="0.2">
      <c r="A656">
        <v>654</v>
      </c>
      <c r="B656" t="s">
        <v>1376</v>
      </c>
      <c r="C656" t="s">
        <v>1375</v>
      </c>
      <c r="F656" t="s">
        <v>1374</v>
      </c>
      <c r="G656" t="s">
        <v>4</v>
      </c>
      <c r="H656" t="s">
        <v>3</v>
      </c>
      <c r="I656" t="s">
        <v>1373</v>
      </c>
      <c r="J656">
        <v>100973467</v>
      </c>
      <c r="K656" t="s">
        <v>1372</v>
      </c>
      <c r="M656" t="s">
        <v>127</v>
      </c>
      <c r="N656">
        <v>1</v>
      </c>
      <c r="O656" t="s">
        <v>1371</v>
      </c>
      <c r="P656">
        <v>6506742195</v>
      </c>
      <c r="Q656">
        <v>100973467</v>
      </c>
      <c r="R656" s="8">
        <v>35643</v>
      </c>
      <c r="S656" s="9">
        <f t="shared" si="80"/>
        <v>1997</v>
      </c>
      <c r="T656" s="9">
        <v>1997</v>
      </c>
      <c r="U656" s="9">
        <f t="shared" si="81"/>
        <v>25</v>
      </c>
      <c r="V656" s="8">
        <v>35643</v>
      </c>
      <c r="W656" t="s">
        <v>637</v>
      </c>
      <c r="X656" s="2">
        <v>0.39600000000000002</v>
      </c>
      <c r="Y656" s="7">
        <f t="shared" si="82"/>
        <v>1.0570993833586931E-2</v>
      </c>
      <c r="AA656">
        <v>8858985</v>
      </c>
      <c r="AB656">
        <v>25993</v>
      </c>
      <c r="AD656" t="s">
        <v>1</v>
      </c>
      <c r="AE656">
        <v>12</v>
      </c>
      <c r="AF656">
        <v>8</v>
      </c>
      <c r="AH656" t="s">
        <v>1370</v>
      </c>
      <c r="AI656" t="s">
        <v>1369</v>
      </c>
      <c r="AK656" t="s">
        <v>1368</v>
      </c>
      <c r="AL656">
        <v>0</v>
      </c>
      <c r="AM656" s="5">
        <f t="shared" si="83"/>
        <v>0</v>
      </c>
      <c r="AN656" s="4">
        <f t="shared" si="84"/>
        <v>0</v>
      </c>
      <c r="AO656" s="3"/>
      <c r="AP656">
        <v>0</v>
      </c>
      <c r="AR656" t="s">
        <v>0</v>
      </c>
      <c r="AT656" s="2" t="s">
        <v>5</v>
      </c>
      <c r="AU656" s="1">
        <f t="shared" si="85"/>
        <v>0.73996956835108518</v>
      </c>
      <c r="AV656" s="1">
        <f t="shared" si="86"/>
        <v>0.52854969167934651</v>
      </c>
      <c r="AW656" s="1">
        <f t="shared" si="87"/>
        <v>0.3171298150076079</v>
      </c>
    </row>
    <row r="657" spans="1:49" x14ac:dyDescent="0.2">
      <c r="A657">
        <v>655</v>
      </c>
      <c r="B657" t="s">
        <v>1367</v>
      </c>
      <c r="C657" t="s">
        <v>1366</v>
      </c>
      <c r="D657" t="s">
        <v>1365</v>
      </c>
      <c r="F657" t="s">
        <v>1364</v>
      </c>
      <c r="G657" t="s">
        <v>4</v>
      </c>
      <c r="H657" t="s">
        <v>3</v>
      </c>
      <c r="I657" t="s">
        <v>1363</v>
      </c>
      <c r="J657" t="s">
        <v>1362</v>
      </c>
      <c r="K657" t="s">
        <v>1361</v>
      </c>
      <c r="L657" t="s">
        <v>1360</v>
      </c>
      <c r="M657" t="s">
        <v>63</v>
      </c>
      <c r="N657">
        <v>4</v>
      </c>
      <c r="O657" t="s">
        <v>1359</v>
      </c>
      <c r="P657" t="s">
        <v>1358</v>
      </c>
      <c r="Q657" t="s">
        <v>1357</v>
      </c>
      <c r="R657" s="8">
        <v>35643</v>
      </c>
      <c r="S657" s="9">
        <f t="shared" si="80"/>
        <v>1997</v>
      </c>
      <c r="T657" s="9">
        <v>1997</v>
      </c>
      <c r="U657" s="9">
        <f t="shared" si="81"/>
        <v>25</v>
      </c>
      <c r="V657" s="8">
        <v>35643</v>
      </c>
      <c r="W657" t="s">
        <v>1356</v>
      </c>
      <c r="X657" s="2">
        <v>1.5249999999999999</v>
      </c>
      <c r="Y657" s="7">
        <f t="shared" si="82"/>
        <v>4.070900403085876E-2</v>
      </c>
      <c r="AA657">
        <v>191035</v>
      </c>
      <c r="AB657">
        <v>27241</v>
      </c>
      <c r="AD657" t="s">
        <v>1</v>
      </c>
      <c r="AE657">
        <v>128</v>
      </c>
      <c r="AF657">
        <v>2</v>
      </c>
      <c r="AH657" t="s">
        <v>1355</v>
      </c>
      <c r="AI657" t="s">
        <v>1354</v>
      </c>
      <c r="AK657" t="s">
        <v>1353</v>
      </c>
      <c r="AL657">
        <v>4</v>
      </c>
      <c r="AM657" s="5">
        <f t="shared" si="83"/>
        <v>0.16</v>
      </c>
      <c r="AN657" s="4">
        <f t="shared" si="84"/>
        <v>2.4233244982961E-4</v>
      </c>
      <c r="AO657" s="3"/>
      <c r="AP657">
        <v>0</v>
      </c>
      <c r="AQ657" t="s">
        <v>312</v>
      </c>
      <c r="AR657" t="s">
        <v>1352</v>
      </c>
      <c r="AS657" t="s">
        <v>311</v>
      </c>
      <c r="AT657" s="2">
        <v>3.508</v>
      </c>
      <c r="AU657" s="1">
        <f t="shared" si="85"/>
        <v>2.8569002556550012</v>
      </c>
      <c r="AV657" s="1">
        <f t="shared" si="86"/>
        <v>2.0475668240344183</v>
      </c>
      <c r="AW657" s="1">
        <f t="shared" si="87"/>
        <v>1.2382333924138356</v>
      </c>
    </row>
    <row r="658" spans="1:49" x14ac:dyDescent="0.2">
      <c r="A658">
        <v>656</v>
      </c>
      <c r="B658" t="s">
        <v>1351</v>
      </c>
      <c r="C658" t="s">
        <v>1350</v>
      </c>
      <c r="F658" t="s">
        <v>1349</v>
      </c>
      <c r="G658" t="s">
        <v>4</v>
      </c>
      <c r="H658" t="s">
        <v>3</v>
      </c>
      <c r="I658" t="s">
        <v>1348</v>
      </c>
      <c r="J658" t="s">
        <v>1347</v>
      </c>
      <c r="K658" t="s">
        <v>1346</v>
      </c>
      <c r="L658" t="s">
        <v>1345</v>
      </c>
      <c r="M658" t="s">
        <v>1344</v>
      </c>
      <c r="N658">
        <v>2</v>
      </c>
      <c r="O658" t="s">
        <v>1343</v>
      </c>
      <c r="P658" t="s">
        <v>1342</v>
      </c>
      <c r="Q658" t="s">
        <v>1341</v>
      </c>
      <c r="R658" s="8">
        <v>35643</v>
      </c>
      <c r="S658" s="9">
        <f t="shared" si="80"/>
        <v>1997</v>
      </c>
      <c r="T658" s="9">
        <v>1997</v>
      </c>
      <c r="U658" s="9">
        <f t="shared" si="81"/>
        <v>25</v>
      </c>
      <c r="V658" s="8">
        <v>35643</v>
      </c>
      <c r="W658" t="s">
        <v>439</v>
      </c>
      <c r="X658" s="2">
        <v>0.88100000000000001</v>
      </c>
      <c r="Y658" s="7">
        <f t="shared" si="82"/>
        <v>2.3517791836843653E-2</v>
      </c>
      <c r="AA658">
        <v>10459243</v>
      </c>
      <c r="AB658">
        <v>17248</v>
      </c>
      <c r="AD658" t="s">
        <v>1</v>
      </c>
      <c r="AE658">
        <v>39</v>
      </c>
      <c r="AF658">
        <v>4</v>
      </c>
      <c r="AH658" s="10">
        <v>44378</v>
      </c>
      <c r="AI658" t="s">
        <v>1340</v>
      </c>
      <c r="AJ658" t="s">
        <v>1339</v>
      </c>
      <c r="AK658" t="s">
        <v>1338</v>
      </c>
      <c r="AL658">
        <v>722</v>
      </c>
      <c r="AM658" s="5">
        <f t="shared" si="83"/>
        <v>28.88</v>
      </c>
      <c r="AN658" s="4">
        <f t="shared" si="84"/>
        <v>4.3741007194244605E-2</v>
      </c>
      <c r="AO658" s="3"/>
      <c r="AP658">
        <v>0</v>
      </c>
      <c r="AQ658" t="s">
        <v>683</v>
      </c>
      <c r="AR658" t="s">
        <v>1337</v>
      </c>
      <c r="AS658" t="s">
        <v>682</v>
      </c>
      <c r="AT658" s="2" t="s">
        <v>5</v>
      </c>
      <c r="AU658" s="1">
        <f t="shared" si="85"/>
        <v>2.9584756444063935</v>
      </c>
      <c r="AV658" s="1">
        <f t="shared" si="86"/>
        <v>3.3629399515544125</v>
      </c>
      <c r="AW658" s="1">
        <f t="shared" si="87"/>
        <v>3.7674042587024315</v>
      </c>
    </row>
    <row r="659" spans="1:49" x14ac:dyDescent="0.2">
      <c r="A659">
        <v>657</v>
      </c>
      <c r="B659" t="s">
        <v>1336</v>
      </c>
      <c r="F659" t="s">
        <v>1335</v>
      </c>
      <c r="G659" t="s">
        <v>4</v>
      </c>
      <c r="H659" t="s">
        <v>3</v>
      </c>
      <c r="I659" t="s">
        <v>1334</v>
      </c>
      <c r="J659">
        <v>100594097</v>
      </c>
      <c r="K659" t="s">
        <v>1333</v>
      </c>
      <c r="L659" t="s">
        <v>1332</v>
      </c>
      <c r="M659" t="s">
        <v>8</v>
      </c>
      <c r="N659">
        <v>1</v>
      </c>
      <c r="O659" t="s">
        <v>1331</v>
      </c>
      <c r="P659">
        <v>57197234086</v>
      </c>
      <c r="Q659">
        <v>100594097</v>
      </c>
      <c r="R659" s="8">
        <v>35643</v>
      </c>
      <c r="S659" s="9">
        <f t="shared" si="80"/>
        <v>1997</v>
      </c>
      <c r="T659" s="9">
        <v>1997</v>
      </c>
      <c r="U659" s="9">
        <f t="shared" si="81"/>
        <v>25</v>
      </c>
      <c r="V659" s="8">
        <v>35643</v>
      </c>
      <c r="W659" t="s">
        <v>737</v>
      </c>
      <c r="X659" s="2" t="s">
        <v>5</v>
      </c>
      <c r="Y659" s="7" t="e">
        <f t="shared" si="82"/>
        <v>#VALUE!</v>
      </c>
      <c r="AA659" t="s">
        <v>736</v>
      </c>
      <c r="AB659">
        <v>26720</v>
      </c>
      <c r="AD659" t="s">
        <v>1</v>
      </c>
      <c r="AH659" t="s">
        <v>1330</v>
      </c>
      <c r="AI659" t="s">
        <v>1329</v>
      </c>
      <c r="AK659" t="s">
        <v>1328</v>
      </c>
      <c r="AL659">
        <v>0</v>
      </c>
      <c r="AM659" s="5">
        <f t="shared" si="83"/>
        <v>0</v>
      </c>
      <c r="AN659" s="4">
        <f t="shared" si="84"/>
        <v>0</v>
      </c>
      <c r="AO659" s="3"/>
      <c r="AP659">
        <v>0</v>
      </c>
      <c r="AR659" t="s">
        <v>0</v>
      </c>
      <c r="AT659" s="2" t="s">
        <v>5</v>
      </c>
      <c r="AU659" s="1" t="e">
        <f t="shared" si="85"/>
        <v>#VALUE!</v>
      </c>
      <c r="AV659" s="1" t="e">
        <f t="shared" si="86"/>
        <v>#VALUE!</v>
      </c>
      <c r="AW659" s="1" t="e">
        <f t="shared" si="87"/>
        <v>#VALUE!</v>
      </c>
    </row>
    <row r="660" spans="1:49" x14ac:dyDescent="0.2">
      <c r="A660">
        <v>658</v>
      </c>
      <c r="B660" t="s">
        <v>1327</v>
      </c>
      <c r="C660" t="s">
        <v>1326</v>
      </c>
      <c r="E660">
        <v>9303322</v>
      </c>
      <c r="F660" t="s">
        <v>1325</v>
      </c>
      <c r="G660" t="s">
        <v>4</v>
      </c>
      <c r="H660" t="s">
        <v>3</v>
      </c>
      <c r="I660" t="s">
        <v>1324</v>
      </c>
      <c r="J660">
        <v>60072948</v>
      </c>
      <c r="K660" t="s">
        <v>1323</v>
      </c>
      <c r="L660" t="s">
        <v>1322</v>
      </c>
      <c r="M660" t="s">
        <v>26</v>
      </c>
      <c r="N660">
        <v>4</v>
      </c>
      <c r="O660" t="s">
        <v>1321</v>
      </c>
      <c r="P660" t="s">
        <v>1320</v>
      </c>
      <c r="Q660" t="s">
        <v>1319</v>
      </c>
      <c r="R660" s="8">
        <v>35643</v>
      </c>
      <c r="S660" s="9">
        <f t="shared" si="80"/>
        <v>1997</v>
      </c>
      <c r="T660" s="9">
        <v>1997</v>
      </c>
      <c r="U660" s="9">
        <f t="shared" si="81"/>
        <v>25</v>
      </c>
      <c r="V660" s="8">
        <v>35643</v>
      </c>
      <c r="W660" t="s">
        <v>1318</v>
      </c>
      <c r="X660" s="2">
        <v>7.484</v>
      </c>
      <c r="Y660" s="7">
        <f t="shared" si="82"/>
        <v>0.19978110568324392</v>
      </c>
      <c r="AA660">
        <v>2614189</v>
      </c>
      <c r="AB660">
        <v>17435</v>
      </c>
      <c r="AD660" t="s">
        <v>1</v>
      </c>
      <c r="AE660">
        <v>16</v>
      </c>
      <c r="AF660">
        <v>15</v>
      </c>
      <c r="AH660" t="s">
        <v>1317</v>
      </c>
      <c r="AI660" t="s">
        <v>1316</v>
      </c>
      <c r="AJ660" t="s">
        <v>1315</v>
      </c>
      <c r="AK660" t="s">
        <v>1314</v>
      </c>
      <c r="AL660">
        <v>37</v>
      </c>
      <c r="AM660" s="5">
        <f t="shared" si="83"/>
        <v>1.48</v>
      </c>
      <c r="AN660" s="4">
        <f t="shared" si="84"/>
        <v>2.2415751609238923E-3</v>
      </c>
      <c r="AO660" s="3"/>
      <c r="AP660">
        <v>0</v>
      </c>
      <c r="AR660" t="s">
        <v>0</v>
      </c>
      <c r="AT660" s="2">
        <v>11.598000000000001</v>
      </c>
      <c r="AU660" s="1">
        <f t="shared" si="85"/>
        <v>14.05192465265479</v>
      </c>
      <c r="AV660" s="1">
        <f t="shared" si="86"/>
        <v>10.10113404220839</v>
      </c>
      <c r="AW660" s="1">
        <f t="shared" si="87"/>
        <v>6.1503434317619901</v>
      </c>
    </row>
    <row r="661" spans="1:49" x14ac:dyDescent="0.2">
      <c r="A661">
        <v>659</v>
      </c>
      <c r="B661" t="s">
        <v>1313</v>
      </c>
      <c r="C661" t="s">
        <v>1312</v>
      </c>
      <c r="F661" t="s">
        <v>1311</v>
      </c>
      <c r="G661" t="s">
        <v>4</v>
      </c>
      <c r="H661" t="s">
        <v>3</v>
      </c>
      <c r="I661" t="s">
        <v>446</v>
      </c>
      <c r="J661">
        <v>60029738</v>
      </c>
      <c r="K661" t="s">
        <v>282</v>
      </c>
      <c r="L661" t="s">
        <v>281</v>
      </c>
      <c r="M661" t="s">
        <v>8</v>
      </c>
      <c r="N661">
        <v>2</v>
      </c>
      <c r="O661" t="s">
        <v>445</v>
      </c>
      <c r="P661" t="s">
        <v>444</v>
      </c>
      <c r="Q661" t="s">
        <v>300</v>
      </c>
      <c r="R661" s="8">
        <v>35642</v>
      </c>
      <c r="S661" s="9">
        <f t="shared" si="80"/>
        <v>1997</v>
      </c>
      <c r="T661" s="9">
        <v>1997</v>
      </c>
      <c r="U661" s="9">
        <f t="shared" si="81"/>
        <v>25</v>
      </c>
      <c r="V661" s="8">
        <v>35642</v>
      </c>
      <c r="W661" t="s">
        <v>493</v>
      </c>
      <c r="X661" s="2">
        <v>0.375</v>
      </c>
      <c r="Y661" s="7">
        <f t="shared" si="82"/>
        <v>1.0010410827260351E-2</v>
      </c>
      <c r="AA661">
        <v>135194</v>
      </c>
      <c r="AB661">
        <v>24918</v>
      </c>
      <c r="AD661" t="s">
        <v>1</v>
      </c>
      <c r="AE661">
        <v>33</v>
      </c>
      <c r="AF661">
        <v>16</v>
      </c>
      <c r="AH661" t="s">
        <v>1310</v>
      </c>
      <c r="AI661" t="s">
        <v>1309</v>
      </c>
      <c r="AJ661" t="s">
        <v>1308</v>
      </c>
      <c r="AK661" t="s">
        <v>1307</v>
      </c>
      <c r="AL661">
        <v>18</v>
      </c>
      <c r="AM661" s="5">
        <f t="shared" si="83"/>
        <v>0.72</v>
      </c>
      <c r="AN661" s="4">
        <f t="shared" si="84"/>
        <v>1.090496024233245E-3</v>
      </c>
      <c r="AO661" s="3"/>
      <c r="AP661">
        <v>0</v>
      </c>
      <c r="AR661" t="s">
        <v>0</v>
      </c>
      <c r="AT661" s="2">
        <v>1.3140000000000001</v>
      </c>
      <c r="AU661" s="1">
        <f t="shared" si="85"/>
        <v>0.73344363863522188</v>
      </c>
      <c r="AV661" s="1">
        <f t="shared" si="86"/>
        <v>0.55504534257467986</v>
      </c>
      <c r="AW661" s="1">
        <f t="shared" si="87"/>
        <v>0.37664704651413766</v>
      </c>
    </row>
    <row r="662" spans="1:49" x14ac:dyDescent="0.2">
      <c r="A662">
        <v>660</v>
      </c>
      <c r="B662" t="s">
        <v>1306</v>
      </c>
      <c r="E662">
        <v>9215898</v>
      </c>
      <c r="F662" t="s">
        <v>1305</v>
      </c>
      <c r="G662" t="s">
        <v>4</v>
      </c>
      <c r="H662" t="s">
        <v>3</v>
      </c>
      <c r="I662" t="s">
        <v>199</v>
      </c>
      <c r="J662" t="s">
        <v>1304</v>
      </c>
      <c r="K662" t="s">
        <v>1303</v>
      </c>
      <c r="L662" t="s">
        <v>1302</v>
      </c>
      <c r="M662" t="s">
        <v>573</v>
      </c>
      <c r="N662">
        <v>4</v>
      </c>
      <c r="O662" t="s">
        <v>1301</v>
      </c>
      <c r="P662" t="s">
        <v>1300</v>
      </c>
      <c r="Q662" t="s">
        <v>1299</v>
      </c>
      <c r="R662" s="8">
        <v>35634</v>
      </c>
      <c r="S662" s="9">
        <f t="shared" si="80"/>
        <v>1997</v>
      </c>
      <c r="T662" s="9">
        <v>1997</v>
      </c>
      <c r="U662" s="9">
        <f t="shared" si="81"/>
        <v>25</v>
      </c>
      <c r="V662" s="8">
        <v>1997</v>
      </c>
      <c r="W662" t="s">
        <v>1298</v>
      </c>
      <c r="X662" s="2">
        <v>2.7919999999999998</v>
      </c>
      <c r="Y662" s="7">
        <f t="shared" si="82"/>
        <v>7.4530845412562399E-2</v>
      </c>
      <c r="AA662">
        <v>166731</v>
      </c>
      <c r="AB662">
        <v>22173</v>
      </c>
      <c r="AD662" t="s">
        <v>1</v>
      </c>
      <c r="AE662">
        <v>146</v>
      </c>
      <c r="AF662">
        <v>3</v>
      </c>
      <c r="AH662" t="s">
        <v>521</v>
      </c>
      <c r="AI662" t="s">
        <v>1297</v>
      </c>
      <c r="AK662" t="s">
        <v>1296</v>
      </c>
      <c r="AL662">
        <v>6</v>
      </c>
      <c r="AM662" s="5">
        <f t="shared" si="83"/>
        <v>0.24</v>
      </c>
      <c r="AN662" s="4">
        <f t="shared" si="84"/>
        <v>3.6349867474441499E-4</v>
      </c>
      <c r="AO662" s="3"/>
      <c r="AP662">
        <v>0</v>
      </c>
      <c r="AR662" t="s">
        <v>0</v>
      </c>
      <c r="AT662" s="2">
        <v>4.5620000000000003</v>
      </c>
      <c r="AU662" s="1">
        <f t="shared" si="85"/>
        <v>5.2280641391217006</v>
      </c>
      <c r="AV662" s="1">
        <f t="shared" si="86"/>
        <v>3.7447172043653407</v>
      </c>
      <c r="AW662" s="1">
        <f t="shared" si="87"/>
        <v>2.2613702696089808</v>
      </c>
    </row>
    <row r="663" spans="1:49" x14ac:dyDescent="0.2">
      <c r="A663">
        <v>661</v>
      </c>
      <c r="B663" t="s">
        <v>1295</v>
      </c>
      <c r="C663" t="s">
        <v>1294</v>
      </c>
      <c r="E663">
        <v>9289013</v>
      </c>
      <c r="F663" t="s">
        <v>1293</v>
      </c>
      <c r="G663" t="s">
        <v>4</v>
      </c>
      <c r="H663" t="s">
        <v>3</v>
      </c>
      <c r="I663" t="s">
        <v>1292</v>
      </c>
      <c r="J663" t="s">
        <v>1291</v>
      </c>
      <c r="K663" t="s">
        <v>1290</v>
      </c>
      <c r="L663" t="s">
        <v>1289</v>
      </c>
      <c r="M663" t="s">
        <v>63</v>
      </c>
      <c r="N663">
        <v>5</v>
      </c>
      <c r="O663" t="s">
        <v>1288</v>
      </c>
      <c r="P663" t="s">
        <v>1287</v>
      </c>
      <c r="Q663" t="s">
        <v>1286</v>
      </c>
      <c r="R663" s="8">
        <v>35633</v>
      </c>
      <c r="S663" s="9">
        <f t="shared" si="80"/>
        <v>1997</v>
      </c>
      <c r="T663" s="9">
        <v>1997</v>
      </c>
      <c r="U663" s="9">
        <f t="shared" si="81"/>
        <v>25</v>
      </c>
      <c r="V663" s="8">
        <v>35633</v>
      </c>
      <c r="W663" t="s">
        <v>587</v>
      </c>
      <c r="X663" s="2">
        <v>1.43</v>
      </c>
      <c r="Y663" s="7">
        <f t="shared" si="82"/>
        <v>3.8173033287952803E-2</v>
      </c>
      <c r="AA663">
        <v>62960</v>
      </c>
      <c r="AB663">
        <v>16867</v>
      </c>
      <c r="AD663" t="s">
        <v>1</v>
      </c>
      <c r="AE663">
        <v>36</v>
      </c>
      <c r="AF663">
        <v>29</v>
      </c>
      <c r="AH663" t="s">
        <v>1285</v>
      </c>
      <c r="AI663" t="s">
        <v>1284</v>
      </c>
      <c r="AK663" t="s">
        <v>1283</v>
      </c>
      <c r="AL663">
        <v>23</v>
      </c>
      <c r="AM663" s="5">
        <f t="shared" si="83"/>
        <v>0.92</v>
      </c>
      <c r="AN663" s="4">
        <f t="shared" si="84"/>
        <v>1.3934115865202575E-3</v>
      </c>
      <c r="AO663" s="3"/>
      <c r="AP663">
        <v>0</v>
      </c>
      <c r="AQ663" t="s">
        <v>277</v>
      </c>
      <c r="AR663" t="s">
        <v>1282</v>
      </c>
      <c r="AS663" t="s">
        <v>276</v>
      </c>
      <c r="AT663" s="2">
        <v>3.1619999999999999</v>
      </c>
      <c r="AU663" s="1">
        <f t="shared" si="85"/>
        <v>2.713914677752304</v>
      </c>
      <c r="AV663" s="1">
        <f t="shared" si="86"/>
        <v>1.9783222437236532</v>
      </c>
      <c r="AW663" s="1">
        <f t="shared" si="87"/>
        <v>1.2427298096950021</v>
      </c>
    </row>
    <row r="664" spans="1:49" x14ac:dyDescent="0.2">
      <c r="A664">
        <v>662</v>
      </c>
      <c r="B664" t="s">
        <v>1281</v>
      </c>
      <c r="C664" t="s">
        <v>1280</v>
      </c>
      <c r="E664">
        <v>9223257</v>
      </c>
      <c r="F664" t="s">
        <v>1279</v>
      </c>
      <c r="G664" t="s">
        <v>4</v>
      </c>
      <c r="H664" t="s">
        <v>3</v>
      </c>
      <c r="I664" t="s">
        <v>1278</v>
      </c>
      <c r="J664" t="s">
        <v>1277</v>
      </c>
      <c r="K664" t="s">
        <v>1276</v>
      </c>
      <c r="L664" t="s">
        <v>1275</v>
      </c>
      <c r="M664" t="s">
        <v>63</v>
      </c>
      <c r="N664">
        <v>3</v>
      </c>
      <c r="O664" t="s">
        <v>1274</v>
      </c>
      <c r="P664" t="s">
        <v>1273</v>
      </c>
      <c r="Q664" t="s">
        <v>1272</v>
      </c>
      <c r="R664" s="8">
        <v>35633</v>
      </c>
      <c r="S664" s="9">
        <f t="shared" si="80"/>
        <v>1997</v>
      </c>
      <c r="T664" s="9">
        <v>1997</v>
      </c>
      <c r="U664" s="9">
        <f t="shared" si="81"/>
        <v>25</v>
      </c>
      <c r="V664" s="8">
        <v>35633</v>
      </c>
      <c r="W664" t="s">
        <v>1152</v>
      </c>
      <c r="X664" s="2">
        <v>5.0110000000000001</v>
      </c>
      <c r="Y664" s="7">
        <f t="shared" si="82"/>
        <v>0.13376578308107098</v>
      </c>
      <c r="AA664">
        <v>278424</v>
      </c>
      <c r="AB664">
        <v>21121</v>
      </c>
      <c r="AD664" t="s">
        <v>1</v>
      </c>
      <c r="AE664">
        <v>94</v>
      </c>
      <c r="AF664">
        <v>15</v>
      </c>
      <c r="AH664" t="s">
        <v>1271</v>
      </c>
      <c r="AI664" t="s">
        <v>1270</v>
      </c>
      <c r="AK664" t="s">
        <v>1269</v>
      </c>
      <c r="AL664">
        <v>20</v>
      </c>
      <c r="AM664" s="5">
        <f t="shared" si="83"/>
        <v>0.8</v>
      </c>
      <c r="AN664" s="4">
        <f t="shared" si="84"/>
        <v>1.2116622491480501E-3</v>
      </c>
      <c r="AO664" s="3"/>
      <c r="AP664">
        <v>1</v>
      </c>
      <c r="AR664" t="s">
        <v>0</v>
      </c>
      <c r="AT664" s="2" t="s">
        <v>5</v>
      </c>
      <c r="AU664" s="1">
        <f t="shared" si="85"/>
        <v>9.3999546831494101</v>
      </c>
      <c r="AV664" s="1">
        <f t="shared" si="86"/>
        <v>6.7488722665109506</v>
      </c>
      <c r="AW664" s="1">
        <f t="shared" si="87"/>
        <v>4.097789849872493</v>
      </c>
    </row>
    <row r="665" spans="1:49" x14ac:dyDescent="0.2">
      <c r="A665">
        <v>663</v>
      </c>
      <c r="B665" t="s">
        <v>1268</v>
      </c>
      <c r="F665" t="s">
        <v>1267</v>
      </c>
      <c r="G665" t="s">
        <v>4</v>
      </c>
      <c r="H665" t="s">
        <v>3</v>
      </c>
      <c r="I665" t="s">
        <v>1266</v>
      </c>
      <c r="J665" t="s">
        <v>1265</v>
      </c>
      <c r="K665" t="s">
        <v>1264</v>
      </c>
      <c r="L665" t="s">
        <v>1263</v>
      </c>
      <c r="M665" t="s">
        <v>1262</v>
      </c>
      <c r="N665">
        <v>7</v>
      </c>
      <c r="O665" t="s">
        <v>1261</v>
      </c>
      <c r="P665" t="s">
        <v>1260</v>
      </c>
      <c r="Q665" t="s">
        <v>1259</v>
      </c>
      <c r="R665" s="8">
        <v>35631</v>
      </c>
      <c r="S665" s="9">
        <f t="shared" si="80"/>
        <v>1997</v>
      </c>
      <c r="T665" s="9">
        <v>1997</v>
      </c>
      <c r="U665" s="9">
        <f t="shared" si="81"/>
        <v>25</v>
      </c>
      <c r="V665" s="8">
        <v>35631</v>
      </c>
      <c r="W665" t="s">
        <v>1037</v>
      </c>
      <c r="X665" s="2">
        <v>2.137</v>
      </c>
      <c r="Y665" s="7">
        <f t="shared" si="82"/>
        <v>5.7045994500947654E-2</v>
      </c>
      <c r="AA665">
        <v>46361</v>
      </c>
      <c r="AB665">
        <v>26750</v>
      </c>
      <c r="AD665" t="s">
        <v>1</v>
      </c>
      <c r="AE665">
        <v>323</v>
      </c>
      <c r="AF665">
        <v>3</v>
      </c>
      <c r="AH665" t="s">
        <v>1258</v>
      </c>
      <c r="AI665" t="s">
        <v>1257</v>
      </c>
      <c r="AJ665" t="s">
        <v>1256</v>
      </c>
      <c r="AK665" t="s">
        <v>1255</v>
      </c>
      <c r="AL665">
        <v>20</v>
      </c>
      <c r="AM665" s="5">
        <f t="shared" si="83"/>
        <v>0.8</v>
      </c>
      <c r="AN665" s="4">
        <f t="shared" si="84"/>
        <v>1.2116622491480501E-3</v>
      </c>
      <c r="AO665" s="3"/>
      <c r="AP665">
        <v>0</v>
      </c>
      <c r="AR665" t="s">
        <v>0</v>
      </c>
      <c r="AT665" s="2" t="s">
        <v>5</v>
      </c>
      <c r="AU665" s="1">
        <f t="shared" si="85"/>
        <v>4.0295694825407766</v>
      </c>
      <c r="AV665" s="1">
        <f t="shared" si="86"/>
        <v>2.9128828375047853</v>
      </c>
      <c r="AW665" s="1">
        <f t="shared" si="87"/>
        <v>1.7961961924687928</v>
      </c>
    </row>
    <row r="666" spans="1:49" x14ac:dyDescent="0.2">
      <c r="A666">
        <v>664</v>
      </c>
      <c r="B666" t="s">
        <v>1254</v>
      </c>
      <c r="C666" t="s">
        <v>1253</v>
      </c>
      <c r="E666">
        <v>9218476</v>
      </c>
      <c r="F666" t="s">
        <v>1252</v>
      </c>
      <c r="G666" t="s">
        <v>4</v>
      </c>
      <c r="H666" t="s">
        <v>3</v>
      </c>
      <c r="I666" t="s">
        <v>1251</v>
      </c>
      <c r="J666" t="s">
        <v>1250</v>
      </c>
      <c r="K666" t="s">
        <v>1249</v>
      </c>
      <c r="L666" t="s">
        <v>1248</v>
      </c>
      <c r="M666" t="s">
        <v>1247</v>
      </c>
      <c r="N666">
        <v>6</v>
      </c>
      <c r="O666" t="s">
        <v>1246</v>
      </c>
      <c r="P666" t="s">
        <v>1245</v>
      </c>
      <c r="Q666" t="s">
        <v>1244</v>
      </c>
      <c r="R666" s="8">
        <v>35629</v>
      </c>
      <c r="S666" s="9">
        <f t="shared" si="80"/>
        <v>1997</v>
      </c>
      <c r="T666" s="9">
        <v>1997</v>
      </c>
      <c r="U666" s="9">
        <f t="shared" si="81"/>
        <v>25</v>
      </c>
      <c r="V666" s="8">
        <v>35629</v>
      </c>
      <c r="W666" t="s">
        <v>1243</v>
      </c>
      <c r="X666" s="2">
        <v>2.3610000000000002</v>
      </c>
      <c r="Y666" s="7">
        <f t="shared" si="82"/>
        <v>6.3025546568431179E-2</v>
      </c>
      <c r="AA666">
        <v>219258</v>
      </c>
      <c r="AB666">
        <v>17592</v>
      </c>
      <c r="AD666" t="s">
        <v>1</v>
      </c>
      <c r="AE666">
        <v>272</v>
      </c>
      <c r="AF666">
        <v>29</v>
      </c>
      <c r="AH666" t="s">
        <v>1242</v>
      </c>
      <c r="AI666" t="s">
        <v>1241</v>
      </c>
      <c r="AK666" t="s">
        <v>1240</v>
      </c>
      <c r="AL666">
        <v>65</v>
      </c>
      <c r="AM666" s="5">
        <f t="shared" si="83"/>
        <v>2.6</v>
      </c>
      <c r="AN666" s="4">
        <f t="shared" si="84"/>
        <v>3.9379023097311627E-3</v>
      </c>
      <c r="AO666" s="3"/>
      <c r="AP666">
        <v>1</v>
      </c>
      <c r="AR666" t="s">
        <v>0</v>
      </c>
      <c r="AT666" s="2">
        <v>5.157</v>
      </c>
      <c r="AU666" s="1">
        <f t="shared" si="85"/>
        <v>4.5299253290821166</v>
      </c>
      <c r="AV666" s="1">
        <f t="shared" si="86"/>
        <v>3.3481724439081173</v>
      </c>
      <c r="AW666" s="1">
        <f t="shared" si="87"/>
        <v>2.1664195587341166</v>
      </c>
    </row>
    <row r="667" spans="1:49" x14ac:dyDescent="0.2">
      <c r="A667">
        <v>665</v>
      </c>
      <c r="B667" t="s">
        <v>1239</v>
      </c>
      <c r="C667" t="s">
        <v>1238</v>
      </c>
      <c r="F667" t="s">
        <v>1237</v>
      </c>
      <c r="G667" t="s">
        <v>4</v>
      </c>
      <c r="H667" t="s">
        <v>3</v>
      </c>
      <c r="I667" t="s">
        <v>1236</v>
      </c>
      <c r="J667">
        <v>60110693</v>
      </c>
      <c r="K667" t="s">
        <v>28</v>
      </c>
      <c r="L667" t="s">
        <v>27</v>
      </c>
      <c r="M667" t="s">
        <v>26</v>
      </c>
      <c r="N667">
        <v>3</v>
      </c>
      <c r="O667" t="s">
        <v>1235</v>
      </c>
      <c r="P667" t="s">
        <v>1234</v>
      </c>
      <c r="Q667" t="s">
        <v>725</v>
      </c>
      <c r="R667" s="8">
        <v>35628</v>
      </c>
      <c r="S667" s="9">
        <f t="shared" si="80"/>
        <v>1997</v>
      </c>
      <c r="T667" s="9">
        <v>1997</v>
      </c>
      <c r="U667" s="9">
        <f t="shared" si="81"/>
        <v>25</v>
      </c>
      <c r="V667" s="8">
        <v>35628</v>
      </c>
      <c r="W667" t="s">
        <v>493</v>
      </c>
      <c r="X667" s="2">
        <v>0.375</v>
      </c>
      <c r="Y667" s="7">
        <f t="shared" si="82"/>
        <v>1.0010410827260351E-2</v>
      </c>
      <c r="AA667">
        <v>135194</v>
      </c>
      <c r="AB667">
        <v>24918</v>
      </c>
      <c r="AD667" t="s">
        <v>1</v>
      </c>
      <c r="AE667">
        <v>33</v>
      </c>
      <c r="AF667">
        <v>15</v>
      </c>
      <c r="AH667" t="s">
        <v>1233</v>
      </c>
      <c r="AI667" t="s">
        <v>1232</v>
      </c>
      <c r="AJ667" t="s">
        <v>1231</v>
      </c>
      <c r="AK667" t="s">
        <v>1230</v>
      </c>
      <c r="AL667">
        <v>3</v>
      </c>
      <c r="AM667" s="5">
        <f t="shared" si="83"/>
        <v>0.12</v>
      </c>
      <c r="AN667" s="4">
        <f t="shared" si="84"/>
        <v>1.8174933737220749E-4</v>
      </c>
      <c r="AO667" s="3"/>
      <c r="AP667">
        <v>0</v>
      </c>
      <c r="AR667" t="s">
        <v>0</v>
      </c>
      <c r="AT667" s="2">
        <v>1.3140000000000001</v>
      </c>
      <c r="AU667" s="1">
        <f t="shared" si="85"/>
        <v>0.70618123802939081</v>
      </c>
      <c r="AV667" s="1">
        <f t="shared" si="86"/>
        <v>0.50960800823162788</v>
      </c>
      <c r="AW667" s="1">
        <f t="shared" si="87"/>
        <v>0.31303477843386501</v>
      </c>
    </row>
    <row r="668" spans="1:49" x14ac:dyDescent="0.2">
      <c r="A668">
        <v>666</v>
      </c>
      <c r="B668" t="s">
        <v>1229</v>
      </c>
      <c r="C668" t="s">
        <v>1228</v>
      </c>
      <c r="F668" t="s">
        <v>1227</v>
      </c>
      <c r="G668" t="s">
        <v>4</v>
      </c>
      <c r="H668" t="s">
        <v>3</v>
      </c>
      <c r="I668" t="s">
        <v>1226</v>
      </c>
      <c r="J668">
        <v>60011362</v>
      </c>
      <c r="K668" t="s">
        <v>1225</v>
      </c>
      <c r="L668" t="s">
        <v>278</v>
      </c>
      <c r="M668" t="s">
        <v>50</v>
      </c>
      <c r="N668">
        <v>1</v>
      </c>
      <c r="O668" t="s">
        <v>1224</v>
      </c>
      <c r="P668">
        <v>35478779700</v>
      </c>
      <c r="Q668">
        <v>60011362</v>
      </c>
      <c r="R668" s="8">
        <v>35628</v>
      </c>
      <c r="S668" s="9">
        <f t="shared" si="80"/>
        <v>1997</v>
      </c>
      <c r="T668" s="9">
        <v>1997</v>
      </c>
      <c r="U668" s="9">
        <f t="shared" si="81"/>
        <v>25</v>
      </c>
      <c r="V668" s="8">
        <v>35628</v>
      </c>
      <c r="W668" t="s">
        <v>493</v>
      </c>
      <c r="X668" s="2">
        <v>0.375</v>
      </c>
      <c r="Y668" s="7">
        <f t="shared" si="82"/>
        <v>1.0010410827260351E-2</v>
      </c>
      <c r="AA668">
        <v>135194</v>
      </c>
      <c r="AB668">
        <v>24918</v>
      </c>
      <c r="AD668" t="s">
        <v>1</v>
      </c>
      <c r="AE668">
        <v>33</v>
      </c>
      <c r="AF668">
        <v>15</v>
      </c>
      <c r="AH668" t="s">
        <v>1223</v>
      </c>
      <c r="AI668" t="s">
        <v>1222</v>
      </c>
      <c r="AJ668" t="s">
        <v>1182</v>
      </c>
      <c r="AK668" t="s">
        <v>1221</v>
      </c>
      <c r="AL668">
        <v>19</v>
      </c>
      <c r="AM668" s="5">
        <f t="shared" si="83"/>
        <v>0.76</v>
      </c>
      <c r="AN668" s="4">
        <f t="shared" si="84"/>
        <v>1.1510791366906475E-3</v>
      </c>
      <c r="AO668" s="3"/>
      <c r="AP668">
        <v>0</v>
      </c>
      <c r="AR668" t="s">
        <v>0</v>
      </c>
      <c r="AT668" s="2">
        <v>1.3140000000000001</v>
      </c>
      <c r="AU668" s="1">
        <f t="shared" si="85"/>
        <v>0.73526113200894394</v>
      </c>
      <c r="AV668" s="1">
        <f t="shared" si="86"/>
        <v>0.55807449819754995</v>
      </c>
      <c r="AW668" s="1">
        <f t="shared" si="87"/>
        <v>0.38088786438615579</v>
      </c>
    </row>
    <row r="669" spans="1:49" x14ac:dyDescent="0.2">
      <c r="A669">
        <v>667</v>
      </c>
      <c r="B669" t="s">
        <v>1220</v>
      </c>
      <c r="C669" t="s">
        <v>1219</v>
      </c>
      <c r="F669" t="s">
        <v>1218</v>
      </c>
      <c r="G669" t="s">
        <v>4</v>
      </c>
      <c r="H669" t="s">
        <v>3</v>
      </c>
      <c r="I669" t="s">
        <v>1217</v>
      </c>
      <c r="J669">
        <v>60010355</v>
      </c>
      <c r="K669" t="s">
        <v>1216</v>
      </c>
      <c r="L669" t="s">
        <v>1215</v>
      </c>
      <c r="M669" t="s">
        <v>74</v>
      </c>
      <c r="N669">
        <v>6</v>
      </c>
      <c r="O669" t="s">
        <v>1214</v>
      </c>
      <c r="P669" t="s">
        <v>1213</v>
      </c>
      <c r="Q669" t="s">
        <v>1212</v>
      </c>
      <c r="R669" s="8">
        <v>35628</v>
      </c>
      <c r="S669" s="9">
        <f t="shared" si="80"/>
        <v>1997</v>
      </c>
      <c r="T669" s="9">
        <v>1997</v>
      </c>
      <c r="U669" s="9">
        <f t="shared" si="81"/>
        <v>25</v>
      </c>
      <c r="V669" s="8">
        <v>35628</v>
      </c>
      <c r="W669" t="s">
        <v>493</v>
      </c>
      <c r="X669" s="2">
        <v>0.375</v>
      </c>
      <c r="Y669" s="7">
        <f t="shared" si="82"/>
        <v>1.0010410827260351E-2</v>
      </c>
      <c r="AA669">
        <v>135194</v>
      </c>
      <c r="AB669">
        <v>24918</v>
      </c>
      <c r="AD669" t="s">
        <v>1</v>
      </c>
      <c r="AE669">
        <v>33</v>
      </c>
      <c r="AF669">
        <v>15</v>
      </c>
      <c r="AH669" t="s">
        <v>1211</v>
      </c>
      <c r="AI669" t="s">
        <v>1210</v>
      </c>
      <c r="AJ669" t="s">
        <v>1209</v>
      </c>
      <c r="AK669" t="s">
        <v>1208</v>
      </c>
      <c r="AL669">
        <v>1</v>
      </c>
      <c r="AM669" s="5">
        <f t="shared" si="83"/>
        <v>0.04</v>
      </c>
      <c r="AN669" s="4">
        <f t="shared" si="84"/>
        <v>6.05831124574025E-5</v>
      </c>
      <c r="AO669" s="3"/>
      <c r="AP669">
        <v>0</v>
      </c>
      <c r="AR669" t="s">
        <v>0</v>
      </c>
      <c r="AT669" s="2">
        <v>1.3140000000000001</v>
      </c>
      <c r="AU669" s="1">
        <f t="shared" si="85"/>
        <v>0.70254625128194659</v>
      </c>
      <c r="AV669" s="1">
        <f t="shared" si="86"/>
        <v>0.5035496969858877</v>
      </c>
      <c r="AW669" s="1">
        <f t="shared" si="87"/>
        <v>0.30455314268982869</v>
      </c>
    </row>
    <row r="670" spans="1:49" x14ac:dyDescent="0.2">
      <c r="A670">
        <v>668</v>
      </c>
      <c r="B670" t="s">
        <v>1207</v>
      </c>
      <c r="C670" t="s">
        <v>1206</v>
      </c>
      <c r="F670" t="s">
        <v>1205</v>
      </c>
      <c r="G670" t="s">
        <v>4</v>
      </c>
      <c r="H670" t="s">
        <v>3</v>
      </c>
      <c r="I670" t="s">
        <v>1204</v>
      </c>
      <c r="J670">
        <v>60020650</v>
      </c>
      <c r="K670" t="s">
        <v>1203</v>
      </c>
      <c r="L670" t="s">
        <v>1202</v>
      </c>
      <c r="M670" t="s">
        <v>8</v>
      </c>
      <c r="N670">
        <v>2</v>
      </c>
      <c r="O670" t="s">
        <v>1201</v>
      </c>
      <c r="P670" t="s">
        <v>1200</v>
      </c>
      <c r="Q670" t="s">
        <v>1199</v>
      </c>
      <c r="R670" s="8">
        <v>35628</v>
      </c>
      <c r="S670" s="9">
        <f t="shared" si="80"/>
        <v>1997</v>
      </c>
      <c r="T670" s="9">
        <v>1997</v>
      </c>
      <c r="U670" s="9">
        <f t="shared" si="81"/>
        <v>25</v>
      </c>
      <c r="V670" s="8">
        <v>35628</v>
      </c>
      <c r="W670" t="s">
        <v>493</v>
      </c>
      <c r="X670" s="2">
        <v>0.375</v>
      </c>
      <c r="Y670" s="7">
        <f t="shared" si="82"/>
        <v>1.0010410827260351E-2</v>
      </c>
      <c r="AA670">
        <v>135194</v>
      </c>
      <c r="AB670">
        <v>24918</v>
      </c>
      <c r="AD670" t="s">
        <v>1</v>
      </c>
      <c r="AE670">
        <v>33</v>
      </c>
      <c r="AF670">
        <v>15</v>
      </c>
      <c r="AH670" t="s">
        <v>1198</v>
      </c>
      <c r="AI670" t="s">
        <v>1197</v>
      </c>
      <c r="AJ670" t="s">
        <v>1196</v>
      </c>
      <c r="AK670" t="s">
        <v>1195</v>
      </c>
      <c r="AL670">
        <v>15</v>
      </c>
      <c r="AM670" s="5">
        <f t="shared" si="83"/>
        <v>0.6</v>
      </c>
      <c r="AN670" s="4">
        <f t="shared" si="84"/>
        <v>9.0874668686103744E-4</v>
      </c>
      <c r="AO670" s="3"/>
      <c r="AP670">
        <v>0</v>
      </c>
      <c r="AR670" t="s">
        <v>0</v>
      </c>
      <c r="AT670" s="2">
        <v>1.3140000000000001</v>
      </c>
      <c r="AU670" s="1">
        <f t="shared" si="85"/>
        <v>0.72799115851405571</v>
      </c>
      <c r="AV670" s="1">
        <f t="shared" si="86"/>
        <v>0.54595787570606946</v>
      </c>
      <c r="AW670" s="1">
        <f t="shared" si="87"/>
        <v>0.3639245928980831</v>
      </c>
    </row>
    <row r="671" spans="1:49" x14ac:dyDescent="0.2">
      <c r="A671">
        <v>669</v>
      </c>
      <c r="B671" t="s">
        <v>1194</v>
      </c>
      <c r="C671" t="s">
        <v>1193</v>
      </c>
      <c r="F671" t="s">
        <v>1192</v>
      </c>
      <c r="G671" t="s">
        <v>4</v>
      </c>
      <c r="H671" t="s">
        <v>3</v>
      </c>
      <c r="I671" t="s">
        <v>1191</v>
      </c>
      <c r="J671" t="s">
        <v>1190</v>
      </c>
      <c r="K671" t="s">
        <v>1189</v>
      </c>
      <c r="L671" t="s">
        <v>1188</v>
      </c>
      <c r="M671" t="s">
        <v>77</v>
      </c>
      <c r="N671">
        <v>4</v>
      </c>
      <c r="O671" t="s">
        <v>1187</v>
      </c>
      <c r="P671" t="s">
        <v>1186</v>
      </c>
      <c r="Q671" t="s">
        <v>1185</v>
      </c>
      <c r="R671" s="8">
        <v>35628</v>
      </c>
      <c r="S671" s="9">
        <f t="shared" si="80"/>
        <v>1997</v>
      </c>
      <c r="T671" s="9">
        <v>1997</v>
      </c>
      <c r="U671" s="9">
        <f t="shared" si="81"/>
        <v>25</v>
      </c>
      <c r="V671" s="8">
        <v>35628</v>
      </c>
      <c r="W671" t="s">
        <v>493</v>
      </c>
      <c r="X671" s="2">
        <v>0.375</v>
      </c>
      <c r="Y671" s="7">
        <f t="shared" si="82"/>
        <v>1.0010410827260351E-2</v>
      </c>
      <c r="AA671">
        <v>135194</v>
      </c>
      <c r="AB671">
        <v>24918</v>
      </c>
      <c r="AD671" t="s">
        <v>1</v>
      </c>
      <c r="AE671">
        <v>33</v>
      </c>
      <c r="AF671">
        <v>15</v>
      </c>
      <c r="AH671" t="s">
        <v>1184</v>
      </c>
      <c r="AI671" t="s">
        <v>1183</v>
      </c>
      <c r="AJ671" t="s">
        <v>1182</v>
      </c>
      <c r="AK671" t="s">
        <v>1181</v>
      </c>
      <c r="AL671">
        <v>10</v>
      </c>
      <c r="AM671" s="5">
        <f t="shared" si="83"/>
        <v>0.4</v>
      </c>
      <c r="AN671" s="4">
        <f t="shared" si="84"/>
        <v>6.0583112457402507E-4</v>
      </c>
      <c r="AO671" s="3"/>
      <c r="AP671">
        <v>0</v>
      </c>
      <c r="AR671" t="s">
        <v>0</v>
      </c>
      <c r="AT671" s="2">
        <v>1.3140000000000001</v>
      </c>
      <c r="AU671" s="1">
        <f t="shared" si="85"/>
        <v>0.71890369164544532</v>
      </c>
      <c r="AV671" s="1">
        <f t="shared" si="86"/>
        <v>0.53081209759171888</v>
      </c>
      <c r="AW671" s="1">
        <f t="shared" si="87"/>
        <v>0.34272050353799227</v>
      </c>
    </row>
    <row r="672" spans="1:49" x14ac:dyDescent="0.2">
      <c r="A672">
        <v>670</v>
      </c>
      <c r="B672" t="s">
        <v>1180</v>
      </c>
      <c r="C672" t="s">
        <v>1179</v>
      </c>
      <c r="D672" t="s">
        <v>1178</v>
      </c>
      <c r="F672" t="s">
        <v>1177</v>
      </c>
      <c r="G672" t="s">
        <v>4</v>
      </c>
      <c r="H672" t="s">
        <v>3</v>
      </c>
      <c r="I672" t="s">
        <v>730</v>
      </c>
      <c r="J672" t="s">
        <v>486</v>
      </c>
      <c r="K672" t="s">
        <v>485</v>
      </c>
      <c r="L672" t="s">
        <v>484</v>
      </c>
      <c r="M672" t="s">
        <v>483</v>
      </c>
      <c r="N672">
        <v>2</v>
      </c>
      <c r="O672" t="s">
        <v>1176</v>
      </c>
      <c r="P672" t="s">
        <v>1175</v>
      </c>
      <c r="Q672" t="s">
        <v>1174</v>
      </c>
      <c r="R672" s="8">
        <v>35626</v>
      </c>
      <c r="S672" s="9">
        <f t="shared" si="80"/>
        <v>1997</v>
      </c>
      <c r="T672" s="9">
        <v>1997</v>
      </c>
      <c r="U672" s="9">
        <f t="shared" si="81"/>
        <v>25</v>
      </c>
      <c r="V672" s="8">
        <v>35626</v>
      </c>
      <c r="W672" t="s">
        <v>262</v>
      </c>
      <c r="X672" s="2">
        <v>0.71399999999999997</v>
      </c>
      <c r="Y672" s="7">
        <f t="shared" si="82"/>
        <v>1.9059822215103706E-2</v>
      </c>
      <c r="AA672">
        <v>10106030</v>
      </c>
      <c r="AB672">
        <v>26966</v>
      </c>
      <c r="AD672" t="s">
        <v>1</v>
      </c>
      <c r="AE672">
        <v>107</v>
      </c>
      <c r="AF672" s="6">
        <v>44256</v>
      </c>
      <c r="AH672" t="s">
        <v>1173</v>
      </c>
      <c r="AI672" t="s">
        <v>1172</v>
      </c>
      <c r="AJ672" t="s">
        <v>1171</v>
      </c>
      <c r="AK672" t="s">
        <v>1170</v>
      </c>
      <c r="AL672">
        <v>7</v>
      </c>
      <c r="AM672" s="5">
        <f t="shared" si="83"/>
        <v>0.28000000000000003</v>
      </c>
      <c r="AN672" s="4">
        <f t="shared" si="84"/>
        <v>4.2408178720181755E-4</v>
      </c>
      <c r="AO672" s="3"/>
      <c r="AP672">
        <v>0</v>
      </c>
      <c r="AQ672" t="s">
        <v>195</v>
      </c>
      <c r="AR672" t="s">
        <v>0</v>
      </c>
      <c r="AS672" t="s">
        <v>194</v>
      </c>
      <c r="AT672" s="2" t="s">
        <v>5</v>
      </c>
      <c r="AU672" s="1">
        <f t="shared" si="85"/>
        <v>1.3469100086733139</v>
      </c>
      <c r="AV672" s="1">
        <f t="shared" si="86"/>
        <v>0.97419520011527616</v>
      </c>
      <c r="AW672" s="1">
        <f t="shared" si="87"/>
        <v>0.60148039155723831</v>
      </c>
    </row>
    <row r="673" spans="1:49" x14ac:dyDescent="0.2">
      <c r="A673">
        <v>671</v>
      </c>
      <c r="B673" t="s">
        <v>1169</v>
      </c>
      <c r="C673" t="s">
        <v>1168</v>
      </c>
      <c r="F673" t="s">
        <v>1167</v>
      </c>
      <c r="G673" t="s">
        <v>4</v>
      </c>
      <c r="H673" t="s">
        <v>3</v>
      </c>
      <c r="I673" t="s">
        <v>1166</v>
      </c>
      <c r="J673">
        <v>60026175</v>
      </c>
      <c r="K673" t="s">
        <v>672</v>
      </c>
      <c r="L673" t="s">
        <v>671</v>
      </c>
      <c r="M673" t="s">
        <v>2</v>
      </c>
      <c r="N673">
        <v>3</v>
      </c>
      <c r="O673" t="s">
        <v>1165</v>
      </c>
      <c r="P673" t="s">
        <v>1164</v>
      </c>
      <c r="Q673" t="s">
        <v>1163</v>
      </c>
      <c r="R673" s="8">
        <v>35625</v>
      </c>
      <c r="S673" s="9">
        <f t="shared" si="80"/>
        <v>1997</v>
      </c>
      <c r="T673" s="9">
        <v>1997</v>
      </c>
      <c r="U673" s="9">
        <f t="shared" si="81"/>
        <v>25</v>
      </c>
      <c r="V673" s="8">
        <v>35625</v>
      </c>
      <c r="W673" t="s">
        <v>492</v>
      </c>
      <c r="X673" s="2">
        <v>3.6880000000000002</v>
      </c>
      <c r="Y673" s="7">
        <f t="shared" si="82"/>
        <v>9.8449053682496471E-2</v>
      </c>
      <c r="AA673">
        <v>319007</v>
      </c>
      <c r="AB673">
        <v>29150</v>
      </c>
      <c r="AC673">
        <v>10797114</v>
      </c>
      <c r="AD673" t="s">
        <v>1</v>
      </c>
      <c r="AE673">
        <v>79</v>
      </c>
      <c r="AF673">
        <v>2</v>
      </c>
      <c r="AH673" t="s">
        <v>400</v>
      </c>
      <c r="AI673" t="s">
        <v>1162</v>
      </c>
      <c r="AK673" t="s">
        <v>1161</v>
      </c>
      <c r="AL673">
        <v>54</v>
      </c>
      <c r="AM673" s="5">
        <f t="shared" si="83"/>
        <v>2.16</v>
      </c>
      <c r="AN673" s="4">
        <f t="shared" si="84"/>
        <v>3.271488072699735E-3</v>
      </c>
      <c r="AO673" s="3"/>
      <c r="AP673">
        <v>0</v>
      </c>
      <c r="AR673" t="s">
        <v>0</v>
      </c>
      <c r="AT673" s="2">
        <v>9.1609999999999996</v>
      </c>
      <c r="AU673" s="1">
        <f t="shared" si="85"/>
        <v>6.9895783999557439</v>
      </c>
      <c r="AV673" s="1">
        <f t="shared" si="86"/>
        <v>5.0860270877598106</v>
      </c>
      <c r="AW673" s="1">
        <f t="shared" si="87"/>
        <v>3.1824757755638755</v>
      </c>
    </row>
    <row r="674" spans="1:49" x14ac:dyDescent="0.2">
      <c r="A674">
        <v>672</v>
      </c>
      <c r="B674" t="s">
        <v>1160</v>
      </c>
      <c r="C674" t="s">
        <v>1159</v>
      </c>
      <c r="F674" t="s">
        <v>1158</v>
      </c>
      <c r="G674" t="s">
        <v>4</v>
      </c>
      <c r="H674" t="s">
        <v>3</v>
      </c>
      <c r="I674" t="s">
        <v>1157</v>
      </c>
      <c r="J674">
        <v>60029747</v>
      </c>
      <c r="K674" t="s">
        <v>1156</v>
      </c>
      <c r="L674" t="s">
        <v>447</v>
      </c>
      <c r="M674" t="s">
        <v>2</v>
      </c>
      <c r="N674">
        <v>4</v>
      </c>
      <c r="O674" t="s">
        <v>1155</v>
      </c>
      <c r="P674" t="s">
        <v>1154</v>
      </c>
      <c r="Q674" t="s">
        <v>1153</v>
      </c>
      <c r="R674" s="8">
        <v>35619</v>
      </c>
      <c r="S674" s="9">
        <f t="shared" si="80"/>
        <v>1997</v>
      </c>
      <c r="T674" s="9">
        <v>1997</v>
      </c>
      <c r="U674" s="9">
        <f t="shared" si="81"/>
        <v>25</v>
      </c>
      <c r="V674" s="8">
        <v>35619</v>
      </c>
      <c r="W674" t="s">
        <v>1152</v>
      </c>
      <c r="X674" s="2">
        <v>5.0110000000000001</v>
      </c>
      <c r="Y674" s="7">
        <f t="shared" si="82"/>
        <v>0.13376578308107098</v>
      </c>
      <c r="AA674">
        <v>278424</v>
      </c>
      <c r="AB674">
        <v>21121</v>
      </c>
      <c r="AD674" t="s">
        <v>1</v>
      </c>
      <c r="AE674">
        <v>94</v>
      </c>
      <c r="AF674">
        <v>14</v>
      </c>
      <c r="AH674" t="s">
        <v>1151</v>
      </c>
      <c r="AI674" t="s">
        <v>1150</v>
      </c>
      <c r="AK674" t="s">
        <v>1149</v>
      </c>
      <c r="AL674">
        <v>125</v>
      </c>
      <c r="AM674" s="5">
        <f t="shared" si="83"/>
        <v>5</v>
      </c>
      <c r="AN674" s="4">
        <f t="shared" si="84"/>
        <v>7.5728890571753124E-3</v>
      </c>
      <c r="AO674" s="3"/>
      <c r="AP674">
        <v>1</v>
      </c>
      <c r="AR674" t="s">
        <v>0</v>
      </c>
      <c r="AT674" s="2" t="s">
        <v>5</v>
      </c>
      <c r="AU674" s="1">
        <f t="shared" si="85"/>
        <v>9.5907914873902289</v>
      </c>
      <c r="AV674" s="1">
        <f t="shared" si="86"/>
        <v>7.0669336069123148</v>
      </c>
      <c r="AW674" s="1">
        <f t="shared" si="87"/>
        <v>4.5430757264344015</v>
      </c>
    </row>
    <row r="675" spans="1:49" x14ac:dyDescent="0.2">
      <c r="A675">
        <v>673</v>
      </c>
      <c r="B675" t="s">
        <v>1148</v>
      </c>
      <c r="C675" t="s">
        <v>1147</v>
      </c>
      <c r="D675" t="s">
        <v>1146</v>
      </c>
      <c r="F675" t="s">
        <v>1145</v>
      </c>
      <c r="G675" t="s">
        <v>4</v>
      </c>
      <c r="H675" t="s">
        <v>3</v>
      </c>
      <c r="I675" t="s">
        <v>1144</v>
      </c>
      <c r="J675">
        <v>60029170</v>
      </c>
      <c r="K675" t="s">
        <v>703</v>
      </c>
      <c r="L675" t="s">
        <v>702</v>
      </c>
      <c r="M675" t="s">
        <v>701</v>
      </c>
      <c r="N675">
        <v>4</v>
      </c>
      <c r="O675" t="s">
        <v>1143</v>
      </c>
      <c r="P675" t="s">
        <v>1142</v>
      </c>
      <c r="Q675" t="s">
        <v>1141</v>
      </c>
      <c r="R675" s="8">
        <v>35615</v>
      </c>
      <c r="S675" s="9">
        <f t="shared" si="80"/>
        <v>1997</v>
      </c>
      <c r="T675" s="9">
        <v>1997</v>
      </c>
      <c r="U675" s="9">
        <f t="shared" si="81"/>
        <v>25</v>
      </c>
      <c r="V675" s="8">
        <v>35615</v>
      </c>
      <c r="W675" t="s">
        <v>579</v>
      </c>
      <c r="X675" s="2">
        <v>1.59</v>
      </c>
      <c r="Y675" s="7">
        <f t="shared" si="82"/>
        <v>4.2444141907583888E-2</v>
      </c>
      <c r="AA675">
        <v>52728</v>
      </c>
      <c r="AB675">
        <v>16791</v>
      </c>
      <c r="AD675" t="s">
        <v>1</v>
      </c>
      <c r="AE675">
        <v>1320</v>
      </c>
      <c r="AF675">
        <v>3</v>
      </c>
      <c r="AH675" t="s">
        <v>1140</v>
      </c>
      <c r="AI675" t="s">
        <v>1139</v>
      </c>
      <c r="AJ675" t="s">
        <v>1138</v>
      </c>
      <c r="AK675" t="s">
        <v>1137</v>
      </c>
      <c r="AL675">
        <v>4</v>
      </c>
      <c r="AM675" s="5">
        <f t="shared" si="83"/>
        <v>0.16</v>
      </c>
      <c r="AN675" s="4">
        <f t="shared" si="84"/>
        <v>2.4233244982961E-4</v>
      </c>
      <c r="AO675" s="3"/>
      <c r="AP675">
        <v>1</v>
      </c>
      <c r="AQ675" t="s">
        <v>474</v>
      </c>
      <c r="AR675" t="s">
        <v>0</v>
      </c>
      <c r="AS675" t="s">
        <v>473</v>
      </c>
      <c r="AT675" s="2" t="s">
        <v>5</v>
      </c>
      <c r="AU675" s="1">
        <f t="shared" si="85"/>
        <v>2.9783599070257605</v>
      </c>
      <c r="AV675" s="1">
        <f t="shared" si="86"/>
        <v>2.1343237178706747</v>
      </c>
      <c r="AW675" s="1">
        <f t="shared" si="87"/>
        <v>1.2902875287155893</v>
      </c>
    </row>
    <row r="676" spans="1:49" x14ac:dyDescent="0.2">
      <c r="A676">
        <v>674</v>
      </c>
      <c r="B676" t="s">
        <v>1136</v>
      </c>
      <c r="C676" t="s">
        <v>1135</v>
      </c>
      <c r="D676" t="s">
        <v>1134</v>
      </c>
      <c r="F676" t="s">
        <v>1133</v>
      </c>
      <c r="G676" t="s">
        <v>4</v>
      </c>
      <c r="H676" t="s">
        <v>3</v>
      </c>
      <c r="I676" t="s">
        <v>1132</v>
      </c>
      <c r="J676" t="s">
        <v>1131</v>
      </c>
      <c r="K676" t="s">
        <v>1130</v>
      </c>
      <c r="L676" t="s">
        <v>1129</v>
      </c>
      <c r="M676" t="s">
        <v>471</v>
      </c>
      <c r="N676">
        <v>5</v>
      </c>
      <c r="O676" t="s">
        <v>1128</v>
      </c>
      <c r="P676" t="s">
        <v>1127</v>
      </c>
      <c r="Q676" t="s">
        <v>1126</v>
      </c>
      <c r="R676" s="8">
        <v>35615</v>
      </c>
      <c r="S676" s="9">
        <f t="shared" si="80"/>
        <v>1997</v>
      </c>
      <c r="T676" s="9">
        <v>1997</v>
      </c>
      <c r="U676" s="9">
        <f t="shared" si="81"/>
        <v>25</v>
      </c>
      <c r="V676" s="8">
        <v>35615</v>
      </c>
      <c r="W676" t="s">
        <v>579</v>
      </c>
      <c r="X676" s="2">
        <v>1.59</v>
      </c>
      <c r="Y676" s="7">
        <f t="shared" si="82"/>
        <v>4.2444141907583888E-2</v>
      </c>
      <c r="AA676">
        <v>52728</v>
      </c>
      <c r="AB676">
        <v>16791</v>
      </c>
      <c r="AD676" t="s">
        <v>1</v>
      </c>
      <c r="AE676">
        <v>1320</v>
      </c>
      <c r="AF676">
        <v>3</v>
      </c>
      <c r="AH676" t="s">
        <v>1125</v>
      </c>
      <c r="AI676" t="s">
        <v>1124</v>
      </c>
      <c r="AJ676" t="s">
        <v>1123</v>
      </c>
      <c r="AK676" t="s">
        <v>1122</v>
      </c>
      <c r="AL676">
        <v>73</v>
      </c>
      <c r="AM676" s="5">
        <f t="shared" si="83"/>
        <v>2.92</v>
      </c>
      <c r="AN676" s="4">
        <f t="shared" si="84"/>
        <v>4.4225672093903823E-3</v>
      </c>
      <c r="AO676" s="3"/>
      <c r="AP676">
        <v>1</v>
      </c>
      <c r="AQ676" t="s">
        <v>474</v>
      </c>
      <c r="AR676" t="s">
        <v>0</v>
      </c>
      <c r="AS676" t="s">
        <v>473</v>
      </c>
      <c r="AT676" s="2" t="s">
        <v>5</v>
      </c>
      <c r="AU676" s="1">
        <f t="shared" si="85"/>
        <v>3.1037669498125835</v>
      </c>
      <c r="AV676" s="1">
        <f t="shared" si="86"/>
        <v>2.3433354558487136</v>
      </c>
      <c r="AW676" s="1">
        <f t="shared" si="87"/>
        <v>1.5829039618848433</v>
      </c>
    </row>
    <row r="677" spans="1:49" x14ac:dyDescent="0.2">
      <c r="A677">
        <v>675</v>
      </c>
      <c r="B677" t="s">
        <v>1121</v>
      </c>
      <c r="C677" t="s">
        <v>1120</v>
      </c>
      <c r="F677" t="s">
        <v>1119</v>
      </c>
      <c r="G677" t="s">
        <v>4</v>
      </c>
      <c r="H677" t="s">
        <v>3</v>
      </c>
      <c r="I677" t="s">
        <v>1118</v>
      </c>
      <c r="J677">
        <v>60028419</v>
      </c>
      <c r="K677" t="s">
        <v>611</v>
      </c>
      <c r="L677" t="s">
        <v>610</v>
      </c>
      <c r="M677" t="s">
        <v>39</v>
      </c>
      <c r="N677">
        <v>2</v>
      </c>
      <c r="O677" t="s">
        <v>1117</v>
      </c>
      <c r="P677" t="s">
        <v>1116</v>
      </c>
      <c r="Q677" t="s">
        <v>1115</v>
      </c>
      <c r="R677" s="8">
        <v>35614</v>
      </c>
      <c r="S677" s="9">
        <f t="shared" si="80"/>
        <v>1997</v>
      </c>
      <c r="T677" s="9">
        <v>1997</v>
      </c>
      <c r="U677" s="9">
        <f t="shared" si="81"/>
        <v>25</v>
      </c>
      <c r="V677" s="8">
        <v>35614</v>
      </c>
      <c r="W677" t="s">
        <v>493</v>
      </c>
      <c r="X677" s="2">
        <v>0.375</v>
      </c>
      <c r="Y677" s="7">
        <f t="shared" si="82"/>
        <v>1.0010410827260351E-2</v>
      </c>
      <c r="AA677">
        <v>135194</v>
      </c>
      <c r="AB677">
        <v>24918</v>
      </c>
      <c r="AD677" t="s">
        <v>1</v>
      </c>
      <c r="AE677">
        <v>33</v>
      </c>
      <c r="AF677">
        <v>14</v>
      </c>
      <c r="AH677" t="s">
        <v>1114</v>
      </c>
      <c r="AI677" t="s">
        <v>1113</v>
      </c>
      <c r="AJ677" t="s">
        <v>1112</v>
      </c>
      <c r="AK677" t="s">
        <v>1111</v>
      </c>
      <c r="AL677">
        <v>97</v>
      </c>
      <c r="AM677" s="5">
        <f t="shared" si="83"/>
        <v>3.88</v>
      </c>
      <c r="AN677" s="4">
        <f t="shared" si="84"/>
        <v>5.876561908368042E-3</v>
      </c>
      <c r="AO677" s="3"/>
      <c r="AP677">
        <v>0</v>
      </c>
      <c r="AR677" t="s">
        <v>0</v>
      </c>
      <c r="AT677" s="2">
        <v>1.3140000000000001</v>
      </c>
      <c r="AU677" s="1">
        <f t="shared" si="85"/>
        <v>0.87702561515926591</v>
      </c>
      <c r="AV677" s="1">
        <f t="shared" si="86"/>
        <v>0.79434863678141976</v>
      </c>
      <c r="AW677" s="1">
        <f t="shared" si="87"/>
        <v>0.71167165840357349</v>
      </c>
    </row>
    <row r="678" spans="1:49" x14ac:dyDescent="0.2">
      <c r="A678">
        <v>676</v>
      </c>
      <c r="B678" t="s">
        <v>1110</v>
      </c>
      <c r="C678" t="s">
        <v>1109</v>
      </c>
      <c r="F678" t="s">
        <v>1108</v>
      </c>
      <c r="G678" t="s">
        <v>4</v>
      </c>
      <c r="H678" t="s">
        <v>3</v>
      </c>
      <c r="I678" t="s">
        <v>1107</v>
      </c>
      <c r="J678">
        <v>60009658</v>
      </c>
      <c r="K678" t="s">
        <v>1106</v>
      </c>
      <c r="L678" t="s">
        <v>1105</v>
      </c>
      <c r="M678" t="s">
        <v>8</v>
      </c>
      <c r="N678">
        <v>2</v>
      </c>
      <c r="O678" t="s">
        <v>1104</v>
      </c>
      <c r="P678" t="s">
        <v>1103</v>
      </c>
      <c r="Q678" t="s">
        <v>1102</v>
      </c>
      <c r="R678" s="8">
        <v>35614</v>
      </c>
      <c r="S678" s="9">
        <f t="shared" si="80"/>
        <v>1997</v>
      </c>
      <c r="T678" s="9">
        <v>1997</v>
      </c>
      <c r="U678" s="9">
        <f t="shared" si="81"/>
        <v>25</v>
      </c>
      <c r="V678" s="8">
        <v>35614</v>
      </c>
      <c r="W678" t="s">
        <v>493</v>
      </c>
      <c r="X678" s="2">
        <v>0.375</v>
      </c>
      <c r="Y678" s="7">
        <f t="shared" si="82"/>
        <v>1.0010410827260351E-2</v>
      </c>
      <c r="AA678">
        <v>135194</v>
      </c>
      <c r="AB678">
        <v>24918</v>
      </c>
      <c r="AD678" t="s">
        <v>1</v>
      </c>
      <c r="AE678">
        <v>33</v>
      </c>
      <c r="AF678">
        <v>14</v>
      </c>
      <c r="AH678" t="s">
        <v>1101</v>
      </c>
      <c r="AI678" t="s">
        <v>1100</v>
      </c>
      <c r="AJ678" t="s">
        <v>1099</v>
      </c>
      <c r="AK678" t="s">
        <v>1098</v>
      </c>
      <c r="AL678">
        <v>13</v>
      </c>
      <c r="AM678" s="5">
        <f t="shared" si="83"/>
        <v>0.52</v>
      </c>
      <c r="AN678" s="4">
        <f t="shared" si="84"/>
        <v>7.8758046194623253E-4</v>
      </c>
      <c r="AO678" s="3"/>
      <c r="AP678">
        <v>0</v>
      </c>
      <c r="AR678" t="s">
        <v>0</v>
      </c>
      <c r="AT678" s="2">
        <v>1.3140000000000001</v>
      </c>
      <c r="AU678" s="1">
        <f t="shared" si="85"/>
        <v>0.7243561717666116</v>
      </c>
      <c r="AV678" s="1">
        <f t="shared" si="86"/>
        <v>0.53989956446032916</v>
      </c>
      <c r="AW678" s="1">
        <f t="shared" si="87"/>
        <v>0.35544295715404678</v>
      </c>
    </row>
    <row r="679" spans="1:49" x14ac:dyDescent="0.2">
      <c r="A679">
        <v>677</v>
      </c>
      <c r="B679" t="s">
        <v>1097</v>
      </c>
      <c r="C679" t="s">
        <v>1096</v>
      </c>
      <c r="F679" t="s">
        <v>1095</v>
      </c>
      <c r="G679" t="s">
        <v>4</v>
      </c>
      <c r="H679" t="s">
        <v>3</v>
      </c>
      <c r="I679" t="s">
        <v>1094</v>
      </c>
      <c r="J679">
        <v>60021331</v>
      </c>
      <c r="K679" t="s">
        <v>643</v>
      </c>
      <c r="L679" t="s">
        <v>173</v>
      </c>
      <c r="M679" t="s">
        <v>74</v>
      </c>
      <c r="N679">
        <v>2</v>
      </c>
      <c r="O679" t="s">
        <v>1093</v>
      </c>
      <c r="P679" t="s">
        <v>1092</v>
      </c>
      <c r="Q679" t="s">
        <v>719</v>
      </c>
      <c r="R679" s="8">
        <v>35612</v>
      </c>
      <c r="S679" s="9">
        <f t="shared" si="80"/>
        <v>1997</v>
      </c>
      <c r="T679" s="9">
        <v>1997</v>
      </c>
      <c r="U679" s="9">
        <f t="shared" si="81"/>
        <v>25</v>
      </c>
      <c r="V679" s="8">
        <v>35612</v>
      </c>
      <c r="W679" t="s">
        <v>534</v>
      </c>
      <c r="X679" s="2">
        <v>0.318</v>
      </c>
      <c r="Y679" s="7">
        <f t="shared" si="82"/>
        <v>8.4888283815167786E-3</v>
      </c>
      <c r="AA679">
        <v>338443</v>
      </c>
      <c r="AB679">
        <v>27160</v>
      </c>
      <c r="AC679">
        <v>15739120</v>
      </c>
      <c r="AD679" t="s">
        <v>1</v>
      </c>
      <c r="AE679">
        <v>40</v>
      </c>
      <c r="AF679">
        <v>7</v>
      </c>
      <c r="AH679" t="s">
        <v>1091</v>
      </c>
      <c r="AI679" t="s">
        <v>1090</v>
      </c>
      <c r="AK679" t="s">
        <v>1089</v>
      </c>
      <c r="AL679">
        <v>0</v>
      </c>
      <c r="AM679" s="5">
        <f t="shared" si="83"/>
        <v>0</v>
      </c>
      <c r="AN679" s="4">
        <f t="shared" si="84"/>
        <v>0</v>
      </c>
      <c r="AO679" s="3"/>
      <c r="AP679">
        <v>0</v>
      </c>
      <c r="AQ679" t="s">
        <v>505</v>
      </c>
      <c r="AR679" t="s">
        <v>1088</v>
      </c>
      <c r="AS679" t="s">
        <v>504</v>
      </c>
      <c r="AT679" s="2">
        <v>0.77</v>
      </c>
      <c r="AU679" s="1">
        <f t="shared" si="85"/>
        <v>0.59421798670617454</v>
      </c>
      <c r="AV679" s="1">
        <f t="shared" si="86"/>
        <v>0.42444141907583893</v>
      </c>
      <c r="AW679" s="1">
        <f t="shared" si="87"/>
        <v>0.25466485144550338</v>
      </c>
    </row>
    <row r="680" spans="1:49" x14ac:dyDescent="0.2">
      <c r="A680">
        <v>678</v>
      </c>
      <c r="B680" t="s">
        <v>1087</v>
      </c>
      <c r="F680" t="s">
        <v>1086</v>
      </c>
      <c r="G680" t="s">
        <v>4</v>
      </c>
      <c r="H680" t="s">
        <v>3</v>
      </c>
      <c r="I680" t="s">
        <v>1085</v>
      </c>
      <c r="J680" t="s">
        <v>1084</v>
      </c>
      <c r="K680" t="s">
        <v>1083</v>
      </c>
      <c r="L680" t="s">
        <v>1082</v>
      </c>
      <c r="M680" t="s">
        <v>1081</v>
      </c>
      <c r="N680">
        <v>3</v>
      </c>
      <c r="O680" t="s">
        <v>1080</v>
      </c>
      <c r="P680" t="s">
        <v>1079</v>
      </c>
      <c r="Q680" t="s">
        <v>1078</v>
      </c>
      <c r="R680" s="8">
        <v>35612</v>
      </c>
      <c r="S680" s="9">
        <f t="shared" si="80"/>
        <v>1997</v>
      </c>
      <c r="T680" s="9">
        <v>1997</v>
      </c>
      <c r="U680" s="9">
        <f t="shared" si="81"/>
        <v>25</v>
      </c>
      <c r="V680" s="8">
        <v>35612</v>
      </c>
      <c r="W680" t="s">
        <v>915</v>
      </c>
      <c r="X680" s="2">
        <v>0.10100000000000001</v>
      </c>
      <c r="Y680" s="7">
        <f t="shared" si="82"/>
        <v>2.6961373161421215E-3</v>
      </c>
      <c r="AA680">
        <v>9711600</v>
      </c>
      <c r="AB680">
        <v>29590</v>
      </c>
      <c r="AD680" t="s">
        <v>1</v>
      </c>
      <c r="AE680">
        <v>7</v>
      </c>
      <c r="AF680">
        <v>2</v>
      </c>
      <c r="AH680" t="s">
        <v>1077</v>
      </c>
      <c r="AI680" t="s">
        <v>1076</v>
      </c>
      <c r="AK680" t="s">
        <v>1075</v>
      </c>
      <c r="AL680">
        <v>0</v>
      </c>
      <c r="AM680" s="5">
        <f t="shared" si="83"/>
        <v>0</v>
      </c>
      <c r="AN680" s="4">
        <f t="shared" si="84"/>
        <v>0</v>
      </c>
      <c r="AO680" s="3"/>
      <c r="AP680">
        <v>0</v>
      </c>
      <c r="AR680" t="s">
        <v>0</v>
      </c>
      <c r="AT680" s="2" t="s">
        <v>5</v>
      </c>
      <c r="AU680" s="1">
        <f t="shared" si="85"/>
        <v>0.18872961212994849</v>
      </c>
      <c r="AV680" s="1">
        <f t="shared" si="86"/>
        <v>0.13480686580710607</v>
      </c>
      <c r="AW680" s="1">
        <f t="shared" si="87"/>
        <v>8.0884119484263647E-2</v>
      </c>
    </row>
    <row r="681" spans="1:49" x14ac:dyDescent="0.2">
      <c r="A681">
        <v>679</v>
      </c>
      <c r="B681" t="s">
        <v>1074</v>
      </c>
      <c r="F681" t="s">
        <v>1073</v>
      </c>
      <c r="G681" t="s">
        <v>4</v>
      </c>
      <c r="H681" t="s">
        <v>3</v>
      </c>
      <c r="I681" t="s">
        <v>1072</v>
      </c>
      <c r="J681" t="s">
        <v>1071</v>
      </c>
      <c r="K681" t="s">
        <v>1070</v>
      </c>
      <c r="L681" t="s">
        <v>1069</v>
      </c>
      <c r="M681" t="s">
        <v>642</v>
      </c>
      <c r="N681">
        <v>3</v>
      </c>
      <c r="O681" t="s">
        <v>1068</v>
      </c>
      <c r="P681" t="s">
        <v>1067</v>
      </c>
      <c r="Q681" t="s">
        <v>1066</v>
      </c>
      <c r="R681" s="8">
        <v>35612</v>
      </c>
      <c r="S681" s="9">
        <f t="shared" si="80"/>
        <v>1997</v>
      </c>
      <c r="T681" s="9">
        <v>1997</v>
      </c>
      <c r="U681" s="9">
        <f t="shared" si="81"/>
        <v>25</v>
      </c>
      <c r="V681" s="8">
        <v>35612</v>
      </c>
      <c r="W681" t="s">
        <v>632</v>
      </c>
      <c r="X681" s="2">
        <v>0.33800000000000002</v>
      </c>
      <c r="Y681" s="7">
        <f t="shared" si="82"/>
        <v>9.0227169589706634E-3</v>
      </c>
      <c r="AA681">
        <v>34347</v>
      </c>
      <c r="AB681">
        <v>17722</v>
      </c>
      <c r="AC681">
        <v>19589395</v>
      </c>
      <c r="AD681" t="s">
        <v>1</v>
      </c>
      <c r="AE681">
        <v>52</v>
      </c>
      <c r="AF681" s="6">
        <v>44415</v>
      </c>
      <c r="AH681" t="s">
        <v>1065</v>
      </c>
      <c r="AI681" t="s">
        <v>1064</v>
      </c>
      <c r="AJ681" t="s">
        <v>1063</v>
      </c>
      <c r="AK681" t="s">
        <v>1062</v>
      </c>
      <c r="AL681">
        <v>0</v>
      </c>
      <c r="AM681" s="5">
        <f t="shared" si="83"/>
        <v>0</v>
      </c>
      <c r="AN681" s="4">
        <f t="shared" si="84"/>
        <v>0</v>
      </c>
      <c r="AO681" s="3"/>
      <c r="AP681">
        <v>0</v>
      </c>
      <c r="AR681" t="s">
        <v>0</v>
      </c>
      <c r="AT681" s="2" t="s">
        <v>5</v>
      </c>
      <c r="AU681" s="1">
        <f t="shared" si="85"/>
        <v>0.63159018712794635</v>
      </c>
      <c r="AV681" s="1">
        <f t="shared" si="86"/>
        <v>0.45113584794853318</v>
      </c>
      <c r="AW681" s="1">
        <f t="shared" si="87"/>
        <v>0.27068150876911989</v>
      </c>
    </row>
    <row r="682" spans="1:49" x14ac:dyDescent="0.2">
      <c r="A682">
        <v>680</v>
      </c>
      <c r="B682" t="s">
        <v>1061</v>
      </c>
      <c r="F682" t="s">
        <v>1060</v>
      </c>
      <c r="G682" t="s">
        <v>4</v>
      </c>
      <c r="H682" t="s">
        <v>3</v>
      </c>
      <c r="I682" t="s">
        <v>1059</v>
      </c>
      <c r="J682" t="s">
        <v>1058</v>
      </c>
      <c r="K682" t="s">
        <v>1057</v>
      </c>
      <c r="L682" t="s">
        <v>1056</v>
      </c>
      <c r="M682" t="s">
        <v>1055</v>
      </c>
      <c r="N682">
        <v>3</v>
      </c>
      <c r="O682" t="s">
        <v>1054</v>
      </c>
      <c r="P682" t="s">
        <v>1053</v>
      </c>
      <c r="Q682" t="s">
        <v>1052</v>
      </c>
      <c r="R682" s="8">
        <v>35612</v>
      </c>
      <c r="S682" s="9">
        <f t="shared" si="80"/>
        <v>1997</v>
      </c>
      <c r="T682" s="9">
        <v>1997</v>
      </c>
      <c r="U682" s="9">
        <f t="shared" si="81"/>
        <v>25</v>
      </c>
      <c r="V682" s="8">
        <v>35612</v>
      </c>
      <c r="W682" t="s">
        <v>632</v>
      </c>
      <c r="X682" s="2">
        <v>0.33800000000000002</v>
      </c>
      <c r="Y682" s="7">
        <f t="shared" si="82"/>
        <v>9.0227169589706634E-3</v>
      </c>
      <c r="AA682">
        <v>34347</v>
      </c>
      <c r="AB682">
        <v>17722</v>
      </c>
      <c r="AC682">
        <v>19589395</v>
      </c>
      <c r="AD682" t="s">
        <v>1</v>
      </c>
      <c r="AE682">
        <v>52</v>
      </c>
      <c r="AF682" s="6">
        <v>44415</v>
      </c>
      <c r="AH682" t="s">
        <v>1051</v>
      </c>
      <c r="AI682" t="s">
        <v>1050</v>
      </c>
      <c r="AJ682" t="s">
        <v>1049</v>
      </c>
      <c r="AK682" t="s">
        <v>1048</v>
      </c>
      <c r="AL682">
        <v>0</v>
      </c>
      <c r="AM682" s="5">
        <f t="shared" si="83"/>
        <v>0</v>
      </c>
      <c r="AN682" s="4">
        <f t="shared" si="84"/>
        <v>0</v>
      </c>
      <c r="AO682" s="3"/>
      <c r="AP682">
        <v>0</v>
      </c>
      <c r="AR682" t="s">
        <v>0</v>
      </c>
      <c r="AT682" s="2" t="s">
        <v>5</v>
      </c>
      <c r="AU682" s="1">
        <f t="shared" si="85"/>
        <v>0.63159018712794635</v>
      </c>
      <c r="AV682" s="1">
        <f t="shared" si="86"/>
        <v>0.45113584794853318</v>
      </c>
      <c r="AW682" s="1">
        <f t="shared" si="87"/>
        <v>0.27068150876911989</v>
      </c>
    </row>
    <row r="683" spans="1:49" x14ac:dyDescent="0.2">
      <c r="A683">
        <v>681</v>
      </c>
      <c r="B683" t="s">
        <v>1047</v>
      </c>
      <c r="F683" t="s">
        <v>1046</v>
      </c>
      <c r="G683" t="s">
        <v>4</v>
      </c>
      <c r="H683" t="s">
        <v>3</v>
      </c>
      <c r="I683" t="s">
        <v>1045</v>
      </c>
      <c r="J683" t="s">
        <v>1044</v>
      </c>
      <c r="K683" t="s">
        <v>1043</v>
      </c>
      <c r="L683" t="s">
        <v>1042</v>
      </c>
      <c r="M683" t="s">
        <v>1041</v>
      </c>
      <c r="N683">
        <v>11</v>
      </c>
      <c r="O683" t="s">
        <v>1040</v>
      </c>
      <c r="P683" t="s">
        <v>1039</v>
      </c>
      <c r="Q683" t="s">
        <v>1038</v>
      </c>
      <c r="R683" s="8">
        <v>35612</v>
      </c>
      <c r="S683" s="9">
        <f t="shared" si="80"/>
        <v>1997</v>
      </c>
      <c r="T683" s="9">
        <v>1997</v>
      </c>
      <c r="U683" s="9">
        <f t="shared" si="81"/>
        <v>25</v>
      </c>
      <c r="V683" s="8">
        <v>35612</v>
      </c>
      <c r="W683" t="s">
        <v>1037</v>
      </c>
      <c r="X683" s="2">
        <v>2.137</v>
      </c>
      <c r="Y683" s="7">
        <f t="shared" si="82"/>
        <v>5.7045994500947654E-2</v>
      </c>
      <c r="AA683">
        <v>46361</v>
      </c>
      <c r="AB683">
        <v>26750</v>
      </c>
      <c r="AD683" t="s">
        <v>1</v>
      </c>
      <c r="AE683">
        <v>323</v>
      </c>
      <c r="AF683">
        <v>1</v>
      </c>
      <c r="AI683" t="s">
        <v>1036</v>
      </c>
      <c r="AK683" t="s">
        <v>1035</v>
      </c>
      <c r="AL683">
        <v>19</v>
      </c>
      <c r="AM683" s="5">
        <f t="shared" si="83"/>
        <v>0.76</v>
      </c>
      <c r="AN683" s="4">
        <f t="shared" si="84"/>
        <v>1.1510791366906475E-3</v>
      </c>
      <c r="AO683" s="3"/>
      <c r="AP683">
        <v>0</v>
      </c>
      <c r="AR683" t="s">
        <v>0</v>
      </c>
      <c r="AT683" s="2" t="s">
        <v>5</v>
      </c>
      <c r="AU683" s="1">
        <f t="shared" si="85"/>
        <v>4.0277519891670543</v>
      </c>
      <c r="AV683" s="1">
        <f t="shared" si="86"/>
        <v>2.909853681881915</v>
      </c>
      <c r="AW683" s="1">
        <f t="shared" si="87"/>
        <v>1.7919553745967747</v>
      </c>
    </row>
    <row r="684" spans="1:49" x14ac:dyDescent="0.2">
      <c r="A684">
        <v>682</v>
      </c>
      <c r="B684" t="s">
        <v>1034</v>
      </c>
      <c r="C684" t="s">
        <v>1033</v>
      </c>
      <c r="D684" t="s">
        <v>1032</v>
      </c>
      <c r="F684" t="s">
        <v>1031</v>
      </c>
      <c r="G684" t="s">
        <v>4</v>
      </c>
      <c r="H684" t="s">
        <v>3</v>
      </c>
      <c r="I684" t="s">
        <v>1030</v>
      </c>
      <c r="J684" t="s">
        <v>1029</v>
      </c>
      <c r="K684" t="s">
        <v>1028</v>
      </c>
      <c r="L684" t="s">
        <v>1027</v>
      </c>
      <c r="M684" t="s">
        <v>319</v>
      </c>
      <c r="N684">
        <v>6</v>
      </c>
      <c r="O684" t="s">
        <v>1026</v>
      </c>
      <c r="P684" t="s">
        <v>1025</v>
      </c>
      <c r="Q684" t="s">
        <v>1024</v>
      </c>
      <c r="R684" s="8">
        <v>35612</v>
      </c>
      <c r="S684" s="9">
        <f t="shared" si="80"/>
        <v>1997</v>
      </c>
      <c r="T684" s="9">
        <v>1997</v>
      </c>
      <c r="U684" s="9">
        <f t="shared" si="81"/>
        <v>25</v>
      </c>
      <c r="V684" s="8">
        <v>35612</v>
      </c>
      <c r="W684" t="s">
        <v>211</v>
      </c>
      <c r="X684" s="2">
        <v>0.9</v>
      </c>
      <c r="Y684" s="7">
        <f t="shared" si="82"/>
        <v>2.4024985985424845E-2</v>
      </c>
      <c r="AA684">
        <v>10111344</v>
      </c>
      <c r="AB684">
        <v>17622</v>
      </c>
      <c r="AD684" t="s">
        <v>1</v>
      </c>
      <c r="AE684">
        <v>39</v>
      </c>
      <c r="AF684">
        <v>3</v>
      </c>
      <c r="AH684" t="s">
        <v>1023</v>
      </c>
      <c r="AI684" t="s">
        <v>1022</v>
      </c>
      <c r="AJ684" t="s">
        <v>1021</v>
      </c>
      <c r="AK684" t="s">
        <v>1020</v>
      </c>
      <c r="AL684">
        <v>4</v>
      </c>
      <c r="AM684" s="5">
        <f t="shared" si="83"/>
        <v>0.16</v>
      </c>
      <c r="AN684" s="4">
        <f t="shared" si="84"/>
        <v>2.4233244982961E-4</v>
      </c>
      <c r="AO684" s="3"/>
      <c r="AP684">
        <v>0</v>
      </c>
      <c r="AR684" t="s">
        <v>0</v>
      </c>
      <c r="AT684" s="2" t="s">
        <v>5</v>
      </c>
      <c r="AU684" s="1">
        <f t="shared" si="85"/>
        <v>1.6890189924746273</v>
      </c>
      <c r="AV684" s="1">
        <f t="shared" si="86"/>
        <v>1.2133659217627226</v>
      </c>
      <c r="AW684" s="1">
        <f t="shared" si="87"/>
        <v>0.73771285105081796</v>
      </c>
    </row>
    <row r="685" spans="1:49" x14ac:dyDescent="0.2">
      <c r="A685">
        <v>683</v>
      </c>
      <c r="B685" t="s">
        <v>1019</v>
      </c>
      <c r="F685" t="s">
        <v>1018</v>
      </c>
      <c r="G685" t="s">
        <v>4</v>
      </c>
      <c r="H685" t="s">
        <v>3</v>
      </c>
      <c r="I685" t="s">
        <v>491</v>
      </c>
      <c r="J685">
        <v>60011774</v>
      </c>
      <c r="K685" t="s">
        <v>490</v>
      </c>
      <c r="L685" t="s">
        <v>75</v>
      </c>
      <c r="M685" t="s">
        <v>74</v>
      </c>
      <c r="N685">
        <v>4</v>
      </c>
      <c r="O685" t="s">
        <v>1017</v>
      </c>
      <c r="P685" t="s">
        <v>1016</v>
      </c>
      <c r="Q685" t="s">
        <v>1015</v>
      </c>
      <c r="R685" s="8">
        <v>35612</v>
      </c>
      <c r="S685" s="9">
        <f t="shared" si="80"/>
        <v>1997</v>
      </c>
      <c r="T685" s="9">
        <v>1997</v>
      </c>
      <c r="U685" s="9">
        <f t="shared" si="81"/>
        <v>25</v>
      </c>
      <c r="V685" s="8">
        <v>35612</v>
      </c>
      <c r="W685" t="s">
        <v>489</v>
      </c>
      <c r="X685" s="2">
        <v>0.32500000000000001</v>
      </c>
      <c r="Y685" s="7">
        <f t="shared" si="82"/>
        <v>8.6756893836256385E-3</v>
      </c>
      <c r="AA685">
        <v>10637710</v>
      </c>
      <c r="AB685">
        <v>12922</v>
      </c>
      <c r="AD685" t="s">
        <v>1</v>
      </c>
      <c r="AE685">
        <v>43</v>
      </c>
      <c r="AF685">
        <v>4</v>
      </c>
      <c r="AH685" t="s">
        <v>1014</v>
      </c>
      <c r="AI685" t="s">
        <v>1013</v>
      </c>
      <c r="AK685" t="s">
        <v>1012</v>
      </c>
      <c r="AL685">
        <v>6</v>
      </c>
      <c r="AM685" s="5">
        <f t="shared" si="83"/>
        <v>0.24</v>
      </c>
      <c r="AN685" s="4">
        <f t="shared" si="84"/>
        <v>3.6349867474441499E-4</v>
      </c>
      <c r="AO685" s="3"/>
      <c r="AP685">
        <v>0</v>
      </c>
      <c r="AR685" t="s">
        <v>0</v>
      </c>
      <c r="AT685" s="2">
        <v>0.85599999999999998</v>
      </c>
      <c r="AU685" s="1">
        <f t="shared" si="85"/>
        <v>0.61820321709612713</v>
      </c>
      <c r="AV685" s="1">
        <f t="shared" si="86"/>
        <v>0.45195940291850267</v>
      </c>
      <c r="AW685" s="1">
        <f t="shared" si="87"/>
        <v>0.28571558874087821</v>
      </c>
    </row>
    <row r="686" spans="1:49" x14ac:dyDescent="0.2">
      <c r="A686">
        <v>684</v>
      </c>
      <c r="B686" t="s">
        <v>1011</v>
      </c>
      <c r="F686" t="s">
        <v>1010</v>
      </c>
      <c r="G686" t="s">
        <v>4</v>
      </c>
      <c r="H686" t="s">
        <v>3</v>
      </c>
      <c r="I686" t="s">
        <v>1009</v>
      </c>
      <c r="J686">
        <v>100313119</v>
      </c>
      <c r="K686" t="s">
        <v>1008</v>
      </c>
      <c r="L686" t="s">
        <v>1007</v>
      </c>
      <c r="M686" t="s">
        <v>74</v>
      </c>
      <c r="N686">
        <v>2</v>
      </c>
      <c r="O686" t="s">
        <v>1006</v>
      </c>
      <c r="P686" t="s">
        <v>1005</v>
      </c>
      <c r="Q686" t="s">
        <v>1004</v>
      </c>
      <c r="R686" s="8">
        <v>35612</v>
      </c>
      <c r="S686" s="9">
        <f t="shared" si="80"/>
        <v>1997</v>
      </c>
      <c r="T686" s="9">
        <v>1997</v>
      </c>
      <c r="U686" s="9">
        <f t="shared" si="81"/>
        <v>25</v>
      </c>
      <c r="V686" s="8">
        <v>35612</v>
      </c>
      <c r="W686" t="s">
        <v>489</v>
      </c>
      <c r="X686" s="2">
        <v>0.32500000000000001</v>
      </c>
      <c r="Y686" s="7">
        <f t="shared" si="82"/>
        <v>8.6756893836256385E-3</v>
      </c>
      <c r="AA686">
        <v>10637710</v>
      </c>
      <c r="AB686">
        <v>12922</v>
      </c>
      <c r="AD686" t="s">
        <v>1</v>
      </c>
      <c r="AE686">
        <v>43</v>
      </c>
      <c r="AF686">
        <v>4</v>
      </c>
      <c r="AH686" t="s">
        <v>1003</v>
      </c>
      <c r="AL686">
        <v>0</v>
      </c>
      <c r="AM686" s="5">
        <f t="shared" si="83"/>
        <v>0</v>
      </c>
      <c r="AN686" s="4">
        <f t="shared" si="84"/>
        <v>0</v>
      </c>
      <c r="AO686" s="3"/>
      <c r="AP686">
        <v>0</v>
      </c>
      <c r="AR686" t="s">
        <v>0</v>
      </c>
      <c r="AT686" s="2">
        <v>0.85599999999999998</v>
      </c>
      <c r="AU686" s="1">
        <f t="shared" si="85"/>
        <v>0.60729825685379468</v>
      </c>
      <c r="AV686" s="1">
        <f t="shared" si="86"/>
        <v>0.43378446918128194</v>
      </c>
      <c r="AW686" s="1">
        <f t="shared" si="87"/>
        <v>0.26027068150876914</v>
      </c>
    </row>
    <row r="687" spans="1:49" x14ac:dyDescent="0.2">
      <c r="A687">
        <v>685</v>
      </c>
      <c r="B687" t="s">
        <v>1002</v>
      </c>
      <c r="E687">
        <v>9246786</v>
      </c>
      <c r="F687" t="s">
        <v>1001</v>
      </c>
      <c r="G687" t="s">
        <v>4</v>
      </c>
      <c r="H687" t="s">
        <v>3</v>
      </c>
      <c r="I687" t="s">
        <v>1000</v>
      </c>
      <c r="J687">
        <v>60003500</v>
      </c>
      <c r="K687" t="s">
        <v>356</v>
      </c>
      <c r="L687" t="s">
        <v>355</v>
      </c>
      <c r="M687" t="s">
        <v>2</v>
      </c>
      <c r="N687">
        <v>2</v>
      </c>
      <c r="O687" t="s">
        <v>999</v>
      </c>
      <c r="P687" t="s">
        <v>998</v>
      </c>
      <c r="Q687" t="s">
        <v>354</v>
      </c>
      <c r="R687" s="8">
        <v>35612</v>
      </c>
      <c r="S687" s="9">
        <f t="shared" si="80"/>
        <v>1997</v>
      </c>
      <c r="T687" s="9">
        <v>1997</v>
      </c>
      <c r="U687" s="9">
        <f t="shared" si="81"/>
        <v>25</v>
      </c>
      <c r="V687" s="8">
        <v>35612</v>
      </c>
      <c r="W687" t="s">
        <v>592</v>
      </c>
      <c r="X687" s="2">
        <v>1.367</v>
      </c>
      <c r="Y687" s="7">
        <f t="shared" si="82"/>
        <v>3.6491284268973065E-2</v>
      </c>
      <c r="AA687">
        <v>220949</v>
      </c>
      <c r="AB687">
        <v>29605</v>
      </c>
      <c r="AD687" t="s">
        <v>1</v>
      </c>
      <c r="AE687">
        <v>200</v>
      </c>
      <c r="AF687">
        <v>14</v>
      </c>
      <c r="AH687" t="s">
        <v>997</v>
      </c>
      <c r="AI687" t="s">
        <v>996</v>
      </c>
      <c r="AJ687" t="s">
        <v>995</v>
      </c>
      <c r="AK687" t="s">
        <v>994</v>
      </c>
      <c r="AL687">
        <v>18</v>
      </c>
      <c r="AM687" s="5">
        <f t="shared" si="83"/>
        <v>0.72</v>
      </c>
      <c r="AN687" s="4">
        <f t="shared" si="84"/>
        <v>1.090496024233245E-3</v>
      </c>
      <c r="AO687" s="3"/>
      <c r="AP687">
        <v>0</v>
      </c>
      <c r="AR687" t="s">
        <v>0</v>
      </c>
      <c r="AT687" s="2">
        <v>3.3119999999999998</v>
      </c>
      <c r="AU687" s="1">
        <f t="shared" si="85"/>
        <v>2.5871047795551116</v>
      </c>
      <c r="AV687" s="1">
        <f t="shared" si="86"/>
        <v>1.8790890146603154</v>
      </c>
      <c r="AW687" s="1">
        <f t="shared" si="87"/>
        <v>1.1710732497655192</v>
      </c>
    </row>
    <row r="688" spans="1:49" x14ac:dyDescent="0.2">
      <c r="A688">
        <v>686</v>
      </c>
      <c r="B688" t="s">
        <v>993</v>
      </c>
      <c r="C688" t="s">
        <v>992</v>
      </c>
      <c r="F688" t="s">
        <v>991</v>
      </c>
      <c r="G688" t="s">
        <v>4</v>
      </c>
      <c r="H688" t="s">
        <v>3</v>
      </c>
      <c r="I688" t="s">
        <v>990</v>
      </c>
      <c r="J688" t="s">
        <v>989</v>
      </c>
      <c r="K688" t="s">
        <v>988</v>
      </c>
      <c r="L688" t="s">
        <v>987</v>
      </c>
      <c r="M688" t="s">
        <v>63</v>
      </c>
      <c r="N688">
        <v>4</v>
      </c>
      <c r="O688" t="s">
        <v>986</v>
      </c>
      <c r="P688" t="s">
        <v>985</v>
      </c>
      <c r="Q688" t="s">
        <v>984</v>
      </c>
      <c r="R688" s="8">
        <v>35612</v>
      </c>
      <c r="S688" s="9">
        <f t="shared" si="80"/>
        <v>1997</v>
      </c>
      <c r="T688" s="9">
        <v>1997</v>
      </c>
      <c r="U688" s="9">
        <f t="shared" si="81"/>
        <v>25</v>
      </c>
      <c r="V688" s="8">
        <v>35612</v>
      </c>
      <c r="W688" t="s">
        <v>983</v>
      </c>
      <c r="X688" s="2">
        <v>0.61899999999999999</v>
      </c>
      <c r="Y688" s="7">
        <f t="shared" si="82"/>
        <v>1.6523851472197752E-2</v>
      </c>
      <c r="AA688">
        <v>14966</v>
      </c>
      <c r="AB688">
        <v>12936</v>
      </c>
      <c r="AD688" t="s">
        <v>1</v>
      </c>
      <c r="AE688">
        <v>102</v>
      </c>
      <c r="AF688">
        <v>1</v>
      </c>
      <c r="AH688" t="s">
        <v>982</v>
      </c>
      <c r="AI688" t="s">
        <v>981</v>
      </c>
      <c r="AK688" t="s">
        <v>980</v>
      </c>
      <c r="AL688">
        <v>23</v>
      </c>
      <c r="AM688" s="5">
        <f t="shared" si="83"/>
        <v>0.92</v>
      </c>
      <c r="AN688" s="4">
        <f t="shared" si="84"/>
        <v>1.3934115865202575E-3</v>
      </c>
      <c r="AO688" s="3"/>
      <c r="AP688">
        <v>0</v>
      </c>
      <c r="AR688" t="s">
        <v>0</v>
      </c>
      <c r="AT688" s="2" t="s">
        <v>5</v>
      </c>
      <c r="AU688" s="1">
        <f t="shared" si="85"/>
        <v>1.1984719506494501</v>
      </c>
      <c r="AV688" s="1">
        <f t="shared" si="86"/>
        <v>0.89586315293590046</v>
      </c>
      <c r="AW688" s="1">
        <f t="shared" si="87"/>
        <v>0.59325435522235059</v>
      </c>
    </row>
    <row r="689" spans="1:49" x14ac:dyDescent="0.2">
      <c r="A689">
        <v>687</v>
      </c>
      <c r="B689" t="s">
        <v>979</v>
      </c>
      <c r="F689" t="s">
        <v>978</v>
      </c>
      <c r="G689" t="s">
        <v>4</v>
      </c>
      <c r="H689" t="s">
        <v>3</v>
      </c>
      <c r="I689" t="s">
        <v>977</v>
      </c>
      <c r="J689">
        <v>60017511</v>
      </c>
      <c r="K689" t="s">
        <v>976</v>
      </c>
      <c r="L689" t="s">
        <v>975</v>
      </c>
      <c r="M689" t="s">
        <v>250</v>
      </c>
      <c r="N689">
        <v>1</v>
      </c>
      <c r="O689" t="s">
        <v>974</v>
      </c>
      <c r="P689">
        <v>7005862569</v>
      </c>
      <c r="Q689">
        <v>60017511</v>
      </c>
      <c r="R689" s="8">
        <v>35612</v>
      </c>
      <c r="S689" s="9">
        <f t="shared" si="80"/>
        <v>1997</v>
      </c>
      <c r="T689" s="9">
        <v>1997</v>
      </c>
      <c r="U689" s="9">
        <f t="shared" si="81"/>
        <v>25</v>
      </c>
      <c r="V689" s="8">
        <v>35612</v>
      </c>
      <c r="W689" t="s">
        <v>973</v>
      </c>
      <c r="X689" s="2" t="s">
        <v>5</v>
      </c>
      <c r="Y689" s="7" t="e">
        <f t="shared" si="82"/>
        <v>#VALUE!</v>
      </c>
      <c r="AA689">
        <v>2556588</v>
      </c>
      <c r="AB689">
        <v>62659</v>
      </c>
      <c r="AD689" t="s">
        <v>1</v>
      </c>
      <c r="AE689">
        <v>21</v>
      </c>
      <c r="AF689">
        <v>4</v>
      </c>
      <c r="AH689" t="s">
        <v>972</v>
      </c>
      <c r="AI689" t="s">
        <v>971</v>
      </c>
      <c r="AK689" t="s">
        <v>970</v>
      </c>
      <c r="AL689">
        <v>0</v>
      </c>
      <c r="AM689" s="5">
        <f t="shared" si="83"/>
        <v>0</v>
      </c>
      <c r="AN689" s="4">
        <f t="shared" si="84"/>
        <v>0</v>
      </c>
      <c r="AO689" s="3"/>
      <c r="AP689">
        <v>0</v>
      </c>
      <c r="AR689" t="s">
        <v>0</v>
      </c>
      <c r="AT689" s="2" t="s">
        <v>5</v>
      </c>
      <c r="AU689" s="1" t="e">
        <f t="shared" si="85"/>
        <v>#VALUE!</v>
      </c>
      <c r="AV689" s="1" t="e">
        <f t="shared" si="86"/>
        <v>#VALUE!</v>
      </c>
      <c r="AW689" s="1" t="e">
        <f t="shared" si="87"/>
        <v>#VALUE!</v>
      </c>
    </row>
    <row r="690" spans="1:49" x14ac:dyDescent="0.2">
      <c r="A690">
        <v>688</v>
      </c>
      <c r="B690" t="s">
        <v>969</v>
      </c>
      <c r="F690" t="s">
        <v>968</v>
      </c>
      <c r="G690" t="s">
        <v>4</v>
      </c>
      <c r="H690" t="s">
        <v>3</v>
      </c>
      <c r="I690" t="s">
        <v>967</v>
      </c>
      <c r="J690">
        <v>100738340</v>
      </c>
      <c r="K690" t="s">
        <v>966</v>
      </c>
      <c r="L690" t="s">
        <v>95</v>
      </c>
      <c r="M690" t="s">
        <v>2</v>
      </c>
      <c r="N690">
        <v>1</v>
      </c>
      <c r="O690" t="s">
        <v>965</v>
      </c>
      <c r="P690">
        <v>7006769773</v>
      </c>
      <c r="Q690">
        <v>100738340</v>
      </c>
      <c r="R690" s="8">
        <v>35612</v>
      </c>
      <c r="S690" s="9">
        <f t="shared" si="80"/>
        <v>1997</v>
      </c>
      <c r="T690" s="9">
        <v>1997</v>
      </c>
      <c r="U690" s="9">
        <f t="shared" si="81"/>
        <v>25</v>
      </c>
      <c r="V690" s="8">
        <v>35612</v>
      </c>
      <c r="W690" t="s">
        <v>130</v>
      </c>
      <c r="X690" s="2">
        <v>0.13800000000000001</v>
      </c>
      <c r="Y690" s="7">
        <f t="shared" si="82"/>
        <v>3.6838311844318095E-3</v>
      </c>
      <c r="AA690">
        <v>1926225</v>
      </c>
      <c r="AB690">
        <v>18580</v>
      </c>
      <c r="AD690" t="s">
        <v>1</v>
      </c>
      <c r="AE690">
        <v>40</v>
      </c>
      <c r="AF690">
        <v>7</v>
      </c>
      <c r="AI690" t="s">
        <v>964</v>
      </c>
      <c r="AK690" t="s">
        <v>963</v>
      </c>
      <c r="AL690">
        <v>0</v>
      </c>
      <c r="AM690" s="5">
        <f t="shared" si="83"/>
        <v>0</v>
      </c>
      <c r="AN690" s="4">
        <f t="shared" si="84"/>
        <v>0</v>
      </c>
      <c r="AO690" s="3"/>
      <c r="AP690">
        <v>0</v>
      </c>
      <c r="AR690" t="s">
        <v>0</v>
      </c>
      <c r="AT690" s="2">
        <v>0.30599999999999999</v>
      </c>
      <c r="AU690" s="1">
        <f t="shared" si="85"/>
        <v>0.25786818291022667</v>
      </c>
      <c r="AV690" s="1">
        <f t="shared" si="86"/>
        <v>0.18419155922159047</v>
      </c>
      <c r="AW690" s="1">
        <f t="shared" si="87"/>
        <v>0.11051493553295429</v>
      </c>
    </row>
    <row r="691" spans="1:49" x14ac:dyDescent="0.2">
      <c r="A691">
        <v>689</v>
      </c>
      <c r="B691" t="s">
        <v>962</v>
      </c>
      <c r="F691" t="s">
        <v>961</v>
      </c>
      <c r="G691" t="s">
        <v>4</v>
      </c>
      <c r="H691" t="s">
        <v>3</v>
      </c>
      <c r="I691" t="s">
        <v>132</v>
      </c>
      <c r="N691">
        <v>1</v>
      </c>
      <c r="O691" t="s">
        <v>131</v>
      </c>
      <c r="P691">
        <v>1</v>
      </c>
      <c r="R691" s="8">
        <v>35612</v>
      </c>
      <c r="S691" s="9">
        <f t="shared" si="80"/>
        <v>1997</v>
      </c>
      <c r="T691" s="9">
        <v>1997</v>
      </c>
      <c r="U691" s="9">
        <f t="shared" si="81"/>
        <v>25</v>
      </c>
      <c r="V691" s="8">
        <v>35612</v>
      </c>
      <c r="W691" t="s">
        <v>130</v>
      </c>
      <c r="X691" s="2">
        <v>0.13800000000000001</v>
      </c>
      <c r="Y691" s="7">
        <f t="shared" si="82"/>
        <v>3.6838311844318095E-3</v>
      </c>
      <c r="AA691">
        <v>1926225</v>
      </c>
      <c r="AB691">
        <v>18580</v>
      </c>
      <c r="AD691" t="s">
        <v>1</v>
      </c>
      <c r="AE691">
        <v>40</v>
      </c>
      <c r="AF691">
        <v>7</v>
      </c>
      <c r="AH691">
        <v>168</v>
      </c>
      <c r="AI691" t="s">
        <v>960</v>
      </c>
      <c r="AK691" t="s">
        <v>959</v>
      </c>
      <c r="AL691">
        <v>0</v>
      </c>
      <c r="AM691" s="5">
        <f t="shared" si="83"/>
        <v>0</v>
      </c>
      <c r="AN691" s="4">
        <f t="shared" si="84"/>
        <v>0</v>
      </c>
      <c r="AO691" s="3"/>
      <c r="AP691">
        <v>0</v>
      </c>
      <c r="AR691" t="s">
        <v>0</v>
      </c>
      <c r="AT691" s="2">
        <v>0.30599999999999999</v>
      </c>
      <c r="AU691" s="1">
        <f t="shared" si="85"/>
        <v>0.25786818291022667</v>
      </c>
      <c r="AV691" s="1">
        <f t="shared" si="86"/>
        <v>0.18419155922159047</v>
      </c>
      <c r="AW691" s="1">
        <f t="shared" si="87"/>
        <v>0.11051493553295429</v>
      </c>
    </row>
    <row r="692" spans="1:49" x14ac:dyDescent="0.2">
      <c r="A692">
        <v>690</v>
      </c>
      <c r="B692" t="s">
        <v>958</v>
      </c>
      <c r="C692" t="s">
        <v>957</v>
      </c>
      <c r="D692" t="s">
        <v>956</v>
      </c>
      <c r="F692" t="s">
        <v>955</v>
      </c>
      <c r="G692" t="s">
        <v>4</v>
      </c>
      <c r="H692" t="s">
        <v>3</v>
      </c>
      <c r="I692" t="s">
        <v>954</v>
      </c>
      <c r="J692">
        <v>60019702</v>
      </c>
      <c r="K692" t="s">
        <v>382</v>
      </c>
      <c r="L692" t="s">
        <v>381</v>
      </c>
      <c r="M692" t="s">
        <v>8</v>
      </c>
      <c r="N692">
        <v>2</v>
      </c>
      <c r="O692" t="s">
        <v>953</v>
      </c>
      <c r="P692" t="s">
        <v>952</v>
      </c>
      <c r="Q692" t="s">
        <v>951</v>
      </c>
      <c r="R692" s="8">
        <v>35612</v>
      </c>
      <c r="S692" s="9">
        <f t="shared" si="80"/>
        <v>1997</v>
      </c>
      <c r="T692" s="9">
        <v>1997</v>
      </c>
      <c r="U692" s="9">
        <f t="shared" si="81"/>
        <v>25</v>
      </c>
      <c r="V692" s="8">
        <v>35612</v>
      </c>
      <c r="W692" t="s">
        <v>189</v>
      </c>
      <c r="X692" s="2">
        <v>0.94</v>
      </c>
      <c r="Y692" s="7">
        <f t="shared" si="82"/>
        <v>2.5092763140332611E-2</v>
      </c>
      <c r="AA692">
        <v>10518207</v>
      </c>
      <c r="AB692">
        <v>63372</v>
      </c>
      <c r="AD692" t="s">
        <v>1</v>
      </c>
      <c r="AE692">
        <v>7</v>
      </c>
      <c r="AF692">
        <v>7</v>
      </c>
      <c r="AH692" t="s">
        <v>588</v>
      </c>
      <c r="AI692" t="s">
        <v>950</v>
      </c>
      <c r="AK692" t="s">
        <v>949</v>
      </c>
      <c r="AL692">
        <v>21</v>
      </c>
      <c r="AM692" s="5">
        <f t="shared" si="83"/>
        <v>0.84</v>
      </c>
      <c r="AN692" s="4">
        <f t="shared" si="84"/>
        <v>1.2722453616054524E-3</v>
      </c>
      <c r="AO692" s="3"/>
      <c r="AP692">
        <v>0</v>
      </c>
      <c r="AR692" t="s">
        <v>0</v>
      </c>
      <c r="AT692" s="2" t="s">
        <v>5</v>
      </c>
      <c r="AU692" s="1">
        <f t="shared" si="85"/>
        <v>1.7946607806714463</v>
      </c>
      <c r="AV692" s="1">
        <f t="shared" si="86"/>
        <v>1.3182504250969032</v>
      </c>
      <c r="AW692" s="1">
        <f t="shared" si="87"/>
        <v>0.84184006952236001</v>
      </c>
    </row>
    <row r="693" spans="1:49" x14ac:dyDescent="0.2">
      <c r="A693">
        <v>691</v>
      </c>
      <c r="B693" t="s">
        <v>948</v>
      </c>
      <c r="F693" t="s">
        <v>947</v>
      </c>
      <c r="G693" t="s">
        <v>4</v>
      </c>
      <c r="H693" t="s">
        <v>3</v>
      </c>
      <c r="I693" t="s">
        <v>946</v>
      </c>
      <c r="J693">
        <v>100376152</v>
      </c>
      <c r="K693" t="s">
        <v>945</v>
      </c>
      <c r="L693" t="s">
        <v>944</v>
      </c>
      <c r="M693" t="s">
        <v>2</v>
      </c>
      <c r="N693">
        <v>1</v>
      </c>
      <c r="O693" t="s">
        <v>943</v>
      </c>
      <c r="P693">
        <v>7101955086</v>
      </c>
      <c r="Q693">
        <v>100376152</v>
      </c>
      <c r="R693" s="8">
        <v>35612</v>
      </c>
      <c r="S693" s="9">
        <f t="shared" si="80"/>
        <v>1997</v>
      </c>
      <c r="T693" s="9">
        <v>1997</v>
      </c>
      <c r="U693" s="9">
        <f t="shared" si="81"/>
        <v>25</v>
      </c>
      <c r="V693" s="8">
        <v>35612</v>
      </c>
      <c r="W693" t="s">
        <v>942</v>
      </c>
      <c r="X693" s="2" t="s">
        <v>5</v>
      </c>
      <c r="Y693" s="7" t="e">
        <f t="shared" si="82"/>
        <v>#VALUE!</v>
      </c>
      <c r="AA693">
        <v>1633767</v>
      </c>
      <c r="AB693">
        <v>27178</v>
      </c>
      <c r="AD693" t="s">
        <v>1</v>
      </c>
      <c r="AE693">
        <v>20</v>
      </c>
      <c r="AF693">
        <v>8</v>
      </c>
      <c r="AH693" t="s">
        <v>941</v>
      </c>
      <c r="AI693" t="s">
        <v>940</v>
      </c>
      <c r="AJ693" t="s">
        <v>939</v>
      </c>
      <c r="AK693" t="s">
        <v>938</v>
      </c>
      <c r="AL693">
        <v>7</v>
      </c>
      <c r="AM693" s="5">
        <f t="shared" si="83"/>
        <v>0.28000000000000003</v>
      </c>
      <c r="AN693" s="4">
        <f t="shared" si="84"/>
        <v>4.2408178720181755E-4</v>
      </c>
      <c r="AO693" s="3"/>
      <c r="AP693">
        <v>0</v>
      </c>
      <c r="AR693" t="s">
        <v>0</v>
      </c>
      <c r="AT693" s="2" t="s">
        <v>5</v>
      </c>
      <c r="AU693" s="1" t="e">
        <f t="shared" si="85"/>
        <v>#VALUE!</v>
      </c>
      <c r="AV693" s="1" t="e">
        <f t="shared" si="86"/>
        <v>#VALUE!</v>
      </c>
      <c r="AW693" s="1" t="e">
        <f t="shared" si="87"/>
        <v>#VALUE!</v>
      </c>
    </row>
    <row r="694" spans="1:49" x14ac:dyDescent="0.2">
      <c r="A694">
        <v>692</v>
      </c>
      <c r="B694" t="s">
        <v>937</v>
      </c>
      <c r="C694" t="s">
        <v>936</v>
      </c>
      <c r="F694" t="s">
        <v>935</v>
      </c>
      <c r="G694" t="s">
        <v>4</v>
      </c>
      <c r="H694" t="s">
        <v>3</v>
      </c>
      <c r="I694" t="s">
        <v>934</v>
      </c>
      <c r="J694">
        <v>60005510</v>
      </c>
      <c r="K694" t="s">
        <v>933</v>
      </c>
      <c r="L694" t="s">
        <v>513</v>
      </c>
      <c r="M694" t="s">
        <v>512</v>
      </c>
      <c r="N694">
        <v>2</v>
      </c>
      <c r="O694" t="s">
        <v>932</v>
      </c>
      <c r="P694" t="s">
        <v>931</v>
      </c>
      <c r="Q694" t="s">
        <v>930</v>
      </c>
      <c r="R694" s="8">
        <v>35612</v>
      </c>
      <c r="S694" s="9">
        <f t="shared" si="80"/>
        <v>1997</v>
      </c>
      <c r="T694" s="9">
        <v>1997</v>
      </c>
      <c r="U694" s="9">
        <f t="shared" si="81"/>
        <v>25</v>
      </c>
      <c r="V694" s="8">
        <v>35431</v>
      </c>
      <c r="W694" t="s">
        <v>493</v>
      </c>
      <c r="X694" s="2">
        <v>0.375</v>
      </c>
      <c r="Y694" s="7">
        <f t="shared" si="82"/>
        <v>1.0010410827260351E-2</v>
      </c>
      <c r="AA694">
        <v>135194</v>
      </c>
      <c r="AB694">
        <v>24918</v>
      </c>
      <c r="AD694" t="s">
        <v>1</v>
      </c>
      <c r="AE694">
        <v>33</v>
      </c>
      <c r="AF694">
        <v>15</v>
      </c>
      <c r="AH694" t="s">
        <v>929</v>
      </c>
      <c r="AI694" t="s">
        <v>928</v>
      </c>
      <c r="AK694" t="s">
        <v>927</v>
      </c>
      <c r="AL694">
        <v>8</v>
      </c>
      <c r="AM694" s="5">
        <f t="shared" si="83"/>
        <v>0.32</v>
      </c>
      <c r="AN694" s="4">
        <f t="shared" si="84"/>
        <v>4.8466489965922E-4</v>
      </c>
      <c r="AO694" s="3"/>
      <c r="AP694">
        <v>0</v>
      </c>
      <c r="AR694" t="s">
        <v>0</v>
      </c>
      <c r="AT694" s="2">
        <v>1.3140000000000001</v>
      </c>
      <c r="AU694" s="1">
        <f t="shared" si="85"/>
        <v>0.7152687048980011</v>
      </c>
      <c r="AV694" s="1">
        <f t="shared" si="86"/>
        <v>0.52475378634597858</v>
      </c>
      <c r="AW694" s="1">
        <f t="shared" si="87"/>
        <v>0.3342388677939559</v>
      </c>
    </row>
    <row r="695" spans="1:49" x14ac:dyDescent="0.2">
      <c r="A695">
        <v>693</v>
      </c>
      <c r="B695" t="s">
        <v>926</v>
      </c>
      <c r="C695" t="s">
        <v>925</v>
      </c>
      <c r="F695" t="s">
        <v>557</v>
      </c>
      <c r="G695" t="s">
        <v>4</v>
      </c>
      <c r="H695" t="s">
        <v>3</v>
      </c>
      <c r="I695" t="s">
        <v>556</v>
      </c>
      <c r="J695">
        <v>60031226</v>
      </c>
      <c r="K695" t="s">
        <v>555</v>
      </c>
      <c r="L695" t="s">
        <v>554</v>
      </c>
      <c r="M695" t="s">
        <v>50</v>
      </c>
      <c r="N695">
        <v>1</v>
      </c>
      <c r="O695" t="s">
        <v>553</v>
      </c>
      <c r="P695">
        <v>7501393707</v>
      </c>
      <c r="Q695">
        <v>60031226</v>
      </c>
      <c r="R695" s="8">
        <v>35612</v>
      </c>
      <c r="S695" s="9">
        <f t="shared" si="80"/>
        <v>1997</v>
      </c>
      <c r="T695" s="9">
        <v>1997</v>
      </c>
      <c r="U695" s="9">
        <f t="shared" si="81"/>
        <v>25</v>
      </c>
      <c r="V695" s="8">
        <v>35612</v>
      </c>
      <c r="W695" t="s">
        <v>377</v>
      </c>
      <c r="X695" s="2">
        <v>0.90700000000000003</v>
      </c>
      <c r="Y695" s="7">
        <f t="shared" si="82"/>
        <v>2.4211846987533703E-2</v>
      </c>
      <c r="AA695">
        <v>1651684</v>
      </c>
      <c r="AB695">
        <v>25548</v>
      </c>
      <c r="AD695" t="s">
        <v>1</v>
      </c>
      <c r="AE695">
        <v>60</v>
      </c>
      <c r="AF695">
        <v>2</v>
      </c>
      <c r="AH695" t="s">
        <v>552</v>
      </c>
      <c r="AI695" t="s">
        <v>924</v>
      </c>
      <c r="AK695" t="s">
        <v>551</v>
      </c>
      <c r="AL695">
        <v>20</v>
      </c>
      <c r="AM695" s="5">
        <f t="shared" si="83"/>
        <v>0.8</v>
      </c>
      <c r="AN695" s="4">
        <f t="shared" si="84"/>
        <v>1.2116622491480501E-3</v>
      </c>
      <c r="AO695" s="3"/>
      <c r="AP695">
        <v>0</v>
      </c>
      <c r="AR695" t="s">
        <v>0</v>
      </c>
      <c r="AT695" s="2">
        <v>4.6619999999999999</v>
      </c>
      <c r="AU695" s="1">
        <f t="shared" si="85"/>
        <v>1.7311791566018004</v>
      </c>
      <c r="AV695" s="1">
        <f t="shared" si="86"/>
        <v>1.2711754618340878</v>
      </c>
      <c r="AW695" s="1">
        <f t="shared" si="87"/>
        <v>0.81117176706637462</v>
      </c>
    </row>
    <row r="696" spans="1:49" x14ac:dyDescent="0.2">
      <c r="A696">
        <v>694</v>
      </c>
      <c r="B696" t="s">
        <v>923</v>
      </c>
      <c r="F696" t="s">
        <v>922</v>
      </c>
      <c r="G696" t="s">
        <v>4</v>
      </c>
      <c r="H696" t="s">
        <v>3</v>
      </c>
      <c r="I696" t="s">
        <v>921</v>
      </c>
      <c r="J696">
        <v>60023345</v>
      </c>
      <c r="K696" t="s">
        <v>920</v>
      </c>
      <c r="L696" t="s">
        <v>919</v>
      </c>
      <c r="M696" t="s">
        <v>214</v>
      </c>
      <c r="N696">
        <v>3</v>
      </c>
      <c r="O696" t="s">
        <v>918</v>
      </c>
      <c r="P696" t="s">
        <v>917</v>
      </c>
      <c r="Q696" t="s">
        <v>916</v>
      </c>
      <c r="R696" s="8">
        <v>35612</v>
      </c>
      <c r="S696" s="9">
        <f t="shared" si="80"/>
        <v>1997</v>
      </c>
      <c r="T696" s="9">
        <v>1997</v>
      </c>
      <c r="U696" s="9">
        <f t="shared" si="81"/>
        <v>25</v>
      </c>
      <c r="V696" s="8">
        <v>35612</v>
      </c>
      <c r="W696" t="s">
        <v>915</v>
      </c>
      <c r="X696" s="2">
        <v>0.10100000000000001</v>
      </c>
      <c r="Y696" s="7">
        <f t="shared" si="82"/>
        <v>2.6961373161421215E-3</v>
      </c>
      <c r="AA696">
        <v>9711600</v>
      </c>
      <c r="AB696">
        <v>29590</v>
      </c>
      <c r="AD696" t="s">
        <v>1</v>
      </c>
      <c r="AE696">
        <v>7</v>
      </c>
      <c r="AF696">
        <v>2</v>
      </c>
      <c r="AH696" t="s">
        <v>914</v>
      </c>
      <c r="AI696" t="s">
        <v>913</v>
      </c>
      <c r="AJ696" t="s">
        <v>912</v>
      </c>
      <c r="AK696" t="s">
        <v>911</v>
      </c>
      <c r="AL696">
        <v>0</v>
      </c>
      <c r="AM696" s="5">
        <f t="shared" si="83"/>
        <v>0</v>
      </c>
      <c r="AN696" s="4">
        <f t="shared" si="84"/>
        <v>0</v>
      </c>
      <c r="AO696" s="3"/>
      <c r="AP696">
        <v>0</v>
      </c>
      <c r="AR696" t="s">
        <v>0</v>
      </c>
      <c r="AT696" s="2" t="s">
        <v>5</v>
      </c>
      <c r="AU696" s="1">
        <f t="shared" si="85"/>
        <v>0.18872961212994849</v>
      </c>
      <c r="AV696" s="1">
        <f t="shared" si="86"/>
        <v>0.13480686580710607</v>
      </c>
      <c r="AW696" s="1">
        <f t="shared" si="87"/>
        <v>8.0884119484263647E-2</v>
      </c>
    </row>
    <row r="697" spans="1:49" x14ac:dyDescent="0.2">
      <c r="A697">
        <v>695</v>
      </c>
      <c r="B697" t="s">
        <v>910</v>
      </c>
      <c r="F697" t="s">
        <v>909</v>
      </c>
      <c r="G697" t="s">
        <v>4</v>
      </c>
      <c r="H697" t="s">
        <v>3</v>
      </c>
      <c r="I697" t="s">
        <v>908</v>
      </c>
      <c r="N697">
        <v>3</v>
      </c>
      <c r="O697" t="s">
        <v>907</v>
      </c>
      <c r="P697" t="s">
        <v>906</v>
      </c>
      <c r="Q697" t="s">
        <v>87</v>
      </c>
      <c r="R697" s="8">
        <v>35612</v>
      </c>
      <c r="S697" s="9">
        <f t="shared" si="80"/>
        <v>1997</v>
      </c>
      <c r="T697" s="9">
        <v>1997</v>
      </c>
      <c r="U697" s="9">
        <f t="shared" si="81"/>
        <v>25</v>
      </c>
      <c r="V697" s="8">
        <v>35612</v>
      </c>
      <c r="W697" t="s">
        <v>518</v>
      </c>
      <c r="X697" s="2" t="s">
        <v>5</v>
      </c>
      <c r="Y697" s="7" t="e">
        <f t="shared" si="82"/>
        <v>#VALUE!</v>
      </c>
      <c r="AA697">
        <v>9152334</v>
      </c>
      <c r="AB697">
        <v>20160</v>
      </c>
      <c r="AD697" t="s">
        <v>1</v>
      </c>
      <c r="AE697">
        <v>9</v>
      </c>
      <c r="AF697">
        <v>4</v>
      </c>
      <c r="AH697" t="s">
        <v>905</v>
      </c>
      <c r="AI697" t="s">
        <v>904</v>
      </c>
      <c r="AK697" t="s">
        <v>903</v>
      </c>
      <c r="AL697">
        <v>0</v>
      </c>
      <c r="AM697" s="5">
        <f t="shared" si="83"/>
        <v>0</v>
      </c>
      <c r="AN697" s="4">
        <f t="shared" si="84"/>
        <v>0</v>
      </c>
      <c r="AO697" s="3"/>
      <c r="AP697">
        <v>0</v>
      </c>
      <c r="AR697" t="s">
        <v>0</v>
      </c>
      <c r="AT697" s="2" t="s">
        <v>5</v>
      </c>
      <c r="AU697" s="1" t="e">
        <f t="shared" si="85"/>
        <v>#VALUE!</v>
      </c>
      <c r="AV697" s="1" t="e">
        <f t="shared" si="86"/>
        <v>#VALUE!</v>
      </c>
      <c r="AW697" s="1" t="e">
        <f t="shared" si="87"/>
        <v>#VALUE!</v>
      </c>
    </row>
    <row r="698" spans="1:49" x14ac:dyDescent="0.2">
      <c r="A698">
        <v>696</v>
      </c>
      <c r="B698" t="s">
        <v>902</v>
      </c>
      <c r="F698" t="s">
        <v>901</v>
      </c>
      <c r="G698" t="s">
        <v>4</v>
      </c>
      <c r="H698" t="s">
        <v>3</v>
      </c>
      <c r="I698" t="s">
        <v>900</v>
      </c>
      <c r="J698">
        <v>100650725</v>
      </c>
      <c r="K698" t="s">
        <v>899</v>
      </c>
      <c r="N698">
        <v>1</v>
      </c>
      <c r="O698" t="s">
        <v>898</v>
      </c>
      <c r="P698">
        <v>6701865286</v>
      </c>
      <c r="Q698">
        <v>100650725</v>
      </c>
      <c r="R698" s="8">
        <v>35612</v>
      </c>
      <c r="S698" s="9">
        <f t="shared" si="80"/>
        <v>1997</v>
      </c>
      <c r="T698" s="9">
        <v>1997</v>
      </c>
      <c r="U698" s="9">
        <f t="shared" si="81"/>
        <v>25</v>
      </c>
      <c r="V698" s="8">
        <v>35612</v>
      </c>
      <c r="W698" t="s">
        <v>641</v>
      </c>
      <c r="X698" s="2" t="s">
        <v>5</v>
      </c>
      <c r="Y698" s="7" t="e">
        <f t="shared" si="82"/>
        <v>#VALUE!</v>
      </c>
      <c r="AA698">
        <v>1477439</v>
      </c>
      <c r="AB698">
        <v>53559</v>
      </c>
      <c r="AD698" t="s">
        <v>1</v>
      </c>
      <c r="AE698">
        <v>21</v>
      </c>
      <c r="AF698">
        <v>7</v>
      </c>
      <c r="AI698" t="s">
        <v>897</v>
      </c>
      <c r="AK698" t="s">
        <v>896</v>
      </c>
      <c r="AL698">
        <v>0</v>
      </c>
      <c r="AM698" s="5">
        <f t="shared" si="83"/>
        <v>0</v>
      </c>
      <c r="AN698" s="4">
        <f t="shared" si="84"/>
        <v>0</v>
      </c>
      <c r="AO698" s="3"/>
      <c r="AP698">
        <v>0</v>
      </c>
      <c r="AR698" t="s">
        <v>0</v>
      </c>
      <c r="AT698" s="2" t="s">
        <v>5</v>
      </c>
      <c r="AU698" s="1" t="e">
        <f t="shared" si="85"/>
        <v>#VALUE!</v>
      </c>
      <c r="AV698" s="1" t="e">
        <f t="shared" si="86"/>
        <v>#VALUE!</v>
      </c>
      <c r="AW698" s="1" t="e">
        <f t="shared" si="87"/>
        <v>#VALUE!</v>
      </c>
    </row>
    <row r="699" spans="1:49" x14ac:dyDescent="0.2">
      <c r="A699">
        <v>697</v>
      </c>
      <c r="B699" t="s">
        <v>895</v>
      </c>
      <c r="F699" t="s">
        <v>894</v>
      </c>
      <c r="G699" t="s">
        <v>4</v>
      </c>
      <c r="H699" t="s">
        <v>3</v>
      </c>
      <c r="I699" t="s">
        <v>893</v>
      </c>
      <c r="J699">
        <v>60102558</v>
      </c>
      <c r="K699" t="s">
        <v>892</v>
      </c>
      <c r="L699" t="s">
        <v>891</v>
      </c>
      <c r="M699" t="s">
        <v>2</v>
      </c>
      <c r="N699">
        <v>1</v>
      </c>
      <c r="O699" t="s">
        <v>890</v>
      </c>
      <c r="P699">
        <v>6508245759</v>
      </c>
      <c r="Q699">
        <v>60102558</v>
      </c>
      <c r="R699" s="8">
        <v>35612</v>
      </c>
      <c r="S699" s="9">
        <f t="shared" si="80"/>
        <v>1997</v>
      </c>
      <c r="T699" s="9">
        <v>1997</v>
      </c>
      <c r="U699" s="9">
        <f t="shared" si="81"/>
        <v>25</v>
      </c>
      <c r="V699" s="8">
        <v>35612</v>
      </c>
      <c r="W699" t="s">
        <v>130</v>
      </c>
      <c r="X699" s="2">
        <v>0.13800000000000001</v>
      </c>
      <c r="Y699" s="7">
        <f t="shared" si="82"/>
        <v>3.6838311844318095E-3</v>
      </c>
      <c r="AA699">
        <v>1926225</v>
      </c>
      <c r="AB699">
        <v>18580</v>
      </c>
      <c r="AD699" t="s">
        <v>1</v>
      </c>
      <c r="AE699">
        <v>40</v>
      </c>
      <c r="AF699">
        <v>7</v>
      </c>
      <c r="AI699" t="s">
        <v>889</v>
      </c>
      <c r="AK699" t="s">
        <v>888</v>
      </c>
      <c r="AL699">
        <v>0</v>
      </c>
      <c r="AM699" s="5">
        <f t="shared" si="83"/>
        <v>0</v>
      </c>
      <c r="AN699" s="4">
        <f t="shared" si="84"/>
        <v>0</v>
      </c>
      <c r="AO699" s="3"/>
      <c r="AP699">
        <v>0</v>
      </c>
      <c r="AR699" t="s">
        <v>0</v>
      </c>
      <c r="AT699" s="2">
        <v>0.30599999999999999</v>
      </c>
      <c r="AU699" s="1">
        <f t="shared" si="85"/>
        <v>0.25786818291022667</v>
      </c>
      <c r="AV699" s="1">
        <f t="shared" si="86"/>
        <v>0.18419155922159047</v>
      </c>
      <c r="AW699" s="1">
        <f t="shared" si="87"/>
        <v>0.11051493553295429</v>
      </c>
    </row>
    <row r="700" spans="1:49" x14ac:dyDescent="0.2">
      <c r="A700">
        <v>698</v>
      </c>
      <c r="B700" t="s">
        <v>887</v>
      </c>
      <c r="C700" t="s">
        <v>886</v>
      </c>
      <c r="D700" t="s">
        <v>885</v>
      </c>
      <c r="F700" t="s">
        <v>884</v>
      </c>
      <c r="G700" t="s">
        <v>4</v>
      </c>
      <c r="H700" t="s">
        <v>3</v>
      </c>
      <c r="I700" t="s">
        <v>620</v>
      </c>
      <c r="J700" t="s">
        <v>679</v>
      </c>
      <c r="K700" t="s">
        <v>678</v>
      </c>
      <c r="L700" t="s">
        <v>677</v>
      </c>
      <c r="M700" t="s">
        <v>18</v>
      </c>
      <c r="N700">
        <v>2</v>
      </c>
      <c r="O700" t="s">
        <v>619</v>
      </c>
      <c r="P700" t="s">
        <v>618</v>
      </c>
      <c r="Q700" t="s">
        <v>883</v>
      </c>
      <c r="R700" s="8">
        <v>35612</v>
      </c>
      <c r="S700" s="9">
        <f t="shared" si="80"/>
        <v>1997</v>
      </c>
      <c r="T700" s="9">
        <v>1997</v>
      </c>
      <c r="U700" s="9">
        <f t="shared" si="81"/>
        <v>25</v>
      </c>
      <c r="V700" s="8">
        <v>35612</v>
      </c>
      <c r="W700" t="s">
        <v>684</v>
      </c>
      <c r="X700" s="2">
        <v>1.3460000000000001</v>
      </c>
      <c r="Y700" s="7">
        <f t="shared" si="82"/>
        <v>3.593070126264649E-2</v>
      </c>
      <c r="AA700">
        <v>7338724</v>
      </c>
      <c r="AB700">
        <v>12178</v>
      </c>
      <c r="AD700" t="s">
        <v>1</v>
      </c>
      <c r="AE700">
        <v>15</v>
      </c>
      <c r="AF700">
        <v>7</v>
      </c>
      <c r="AH700" t="s">
        <v>882</v>
      </c>
      <c r="AI700" t="s">
        <v>881</v>
      </c>
      <c r="AK700" t="s">
        <v>880</v>
      </c>
      <c r="AL700">
        <v>24</v>
      </c>
      <c r="AM700" s="5">
        <f t="shared" si="83"/>
        <v>0.96</v>
      </c>
      <c r="AN700" s="4">
        <f t="shared" si="84"/>
        <v>1.4539946989776599E-3</v>
      </c>
      <c r="AO700" s="3"/>
      <c r="AP700">
        <v>0</v>
      </c>
      <c r="AQ700" t="s">
        <v>157</v>
      </c>
      <c r="AR700" t="s">
        <v>680</v>
      </c>
      <c r="AS700" t="s">
        <v>156</v>
      </c>
      <c r="AT700" s="2">
        <v>4.1420000000000003</v>
      </c>
      <c r="AU700" s="1">
        <f t="shared" si="85"/>
        <v>2.5587689293545841</v>
      </c>
      <c r="AV700" s="1">
        <f t="shared" si="86"/>
        <v>1.8692347980812076</v>
      </c>
      <c r="AW700" s="1">
        <f t="shared" si="87"/>
        <v>1.1797006668078309</v>
      </c>
    </row>
    <row r="701" spans="1:49" x14ac:dyDescent="0.2">
      <c r="A701">
        <v>699</v>
      </c>
      <c r="B701" t="s">
        <v>879</v>
      </c>
      <c r="C701" t="s">
        <v>878</v>
      </c>
      <c r="D701" t="s">
        <v>877</v>
      </c>
      <c r="F701" t="s">
        <v>876</v>
      </c>
      <c r="G701" t="s">
        <v>4</v>
      </c>
      <c r="H701" t="s">
        <v>3</v>
      </c>
      <c r="I701" t="s">
        <v>875</v>
      </c>
      <c r="J701" t="s">
        <v>874</v>
      </c>
      <c r="K701" t="s">
        <v>873</v>
      </c>
      <c r="L701" t="s">
        <v>872</v>
      </c>
      <c r="M701" t="s">
        <v>871</v>
      </c>
      <c r="N701">
        <v>2</v>
      </c>
      <c r="O701" t="s">
        <v>870</v>
      </c>
      <c r="P701" t="s">
        <v>869</v>
      </c>
      <c r="Q701" t="s">
        <v>868</v>
      </c>
      <c r="R701" s="8">
        <v>35612</v>
      </c>
      <c r="S701" s="9">
        <f t="shared" si="80"/>
        <v>1997</v>
      </c>
      <c r="T701" s="9">
        <v>1997</v>
      </c>
      <c r="U701" s="9">
        <f t="shared" si="81"/>
        <v>25</v>
      </c>
      <c r="V701" s="8">
        <v>35612</v>
      </c>
      <c r="W701" t="s">
        <v>681</v>
      </c>
      <c r="X701" s="2">
        <v>0.752</v>
      </c>
      <c r="Y701" s="7">
        <f t="shared" si="82"/>
        <v>2.0074210512266089E-2</v>
      </c>
      <c r="AA701">
        <v>3649059</v>
      </c>
      <c r="AB701">
        <v>17277</v>
      </c>
      <c r="AD701" t="s">
        <v>1</v>
      </c>
      <c r="AE701">
        <v>22</v>
      </c>
      <c r="AF701">
        <v>3</v>
      </c>
      <c r="AH701" t="s">
        <v>867</v>
      </c>
      <c r="AI701" t="s">
        <v>866</v>
      </c>
      <c r="AJ701" t="s">
        <v>865</v>
      </c>
      <c r="AK701" t="s">
        <v>864</v>
      </c>
      <c r="AL701">
        <v>90</v>
      </c>
      <c r="AM701" s="5">
        <f t="shared" si="83"/>
        <v>3.6</v>
      </c>
      <c r="AN701" s="4">
        <f t="shared" si="84"/>
        <v>5.4524801211662246E-3</v>
      </c>
      <c r="AO701" s="3"/>
      <c r="AP701">
        <v>0</v>
      </c>
      <c r="AQ701" t="s">
        <v>53</v>
      </c>
      <c r="AR701" t="s">
        <v>863</v>
      </c>
      <c r="AS701" t="s">
        <v>52</v>
      </c>
      <c r="AT701" s="2">
        <v>3.5539999999999998</v>
      </c>
      <c r="AU701" s="1">
        <f t="shared" si="85"/>
        <v>1.568769139493613</v>
      </c>
      <c r="AV701" s="1">
        <f t="shared" si="86"/>
        <v>1.2763345316716157</v>
      </c>
      <c r="AW701" s="1">
        <f t="shared" si="87"/>
        <v>0.98389992384961844</v>
      </c>
    </row>
    <row r="702" spans="1:49" x14ac:dyDescent="0.2">
      <c r="A702">
        <v>700</v>
      </c>
      <c r="B702" t="s">
        <v>862</v>
      </c>
      <c r="F702" t="s">
        <v>861</v>
      </c>
      <c r="G702" t="s">
        <v>4</v>
      </c>
      <c r="H702" t="s">
        <v>3</v>
      </c>
      <c r="I702" t="s">
        <v>860</v>
      </c>
      <c r="J702" t="s">
        <v>859</v>
      </c>
      <c r="K702" t="s">
        <v>858</v>
      </c>
      <c r="L702" t="s">
        <v>857</v>
      </c>
      <c r="M702" t="s">
        <v>279</v>
      </c>
      <c r="N702">
        <v>3</v>
      </c>
      <c r="O702" t="s">
        <v>856</v>
      </c>
      <c r="P702" t="s">
        <v>855</v>
      </c>
      <c r="Q702" t="s">
        <v>854</v>
      </c>
      <c r="R702" s="8">
        <v>35612</v>
      </c>
      <c r="S702" s="9">
        <f t="shared" si="80"/>
        <v>1997</v>
      </c>
      <c r="T702" s="9">
        <v>1997</v>
      </c>
      <c r="U702" s="9">
        <f t="shared" si="81"/>
        <v>25</v>
      </c>
      <c r="V702" s="8">
        <v>35612</v>
      </c>
      <c r="W702" t="s">
        <v>633</v>
      </c>
      <c r="X702" s="2" t="s">
        <v>5</v>
      </c>
      <c r="Y702" s="7" t="e">
        <f t="shared" si="82"/>
        <v>#VALUE!</v>
      </c>
      <c r="AA702">
        <v>9149260</v>
      </c>
      <c r="AB702">
        <v>23105</v>
      </c>
      <c r="AD702" t="s">
        <v>1</v>
      </c>
      <c r="AE702">
        <v>44</v>
      </c>
      <c r="AF702">
        <v>2</v>
      </c>
      <c r="AH702" t="s">
        <v>853</v>
      </c>
      <c r="AI702" t="s">
        <v>852</v>
      </c>
      <c r="AJ702" t="s">
        <v>851</v>
      </c>
      <c r="AK702" t="s">
        <v>850</v>
      </c>
      <c r="AL702">
        <v>0</v>
      </c>
      <c r="AM702" s="5">
        <f t="shared" si="83"/>
        <v>0</v>
      </c>
      <c r="AN702" s="4">
        <f t="shared" si="84"/>
        <v>0</v>
      </c>
      <c r="AO702" s="3"/>
      <c r="AP702">
        <v>0</v>
      </c>
      <c r="AR702" t="s">
        <v>0</v>
      </c>
      <c r="AT702" s="2" t="s">
        <v>5</v>
      </c>
      <c r="AU702" s="1" t="e">
        <f t="shared" si="85"/>
        <v>#VALUE!</v>
      </c>
      <c r="AV702" s="1" t="e">
        <f t="shared" si="86"/>
        <v>#VALUE!</v>
      </c>
      <c r="AW702" s="1" t="e">
        <f t="shared" si="87"/>
        <v>#VALUE!</v>
      </c>
    </row>
    <row r="703" spans="1:49" x14ac:dyDescent="0.2">
      <c r="A703">
        <v>701</v>
      </c>
      <c r="B703" t="s">
        <v>849</v>
      </c>
      <c r="C703" t="s">
        <v>848</v>
      </c>
      <c r="D703" t="s">
        <v>847</v>
      </c>
      <c r="F703" t="s">
        <v>846</v>
      </c>
      <c r="G703" t="s">
        <v>4</v>
      </c>
      <c r="H703" t="s">
        <v>3</v>
      </c>
      <c r="I703" t="s">
        <v>845</v>
      </c>
      <c r="J703" t="s">
        <v>844</v>
      </c>
      <c r="K703" t="s">
        <v>843</v>
      </c>
      <c r="L703" t="s">
        <v>842</v>
      </c>
      <c r="M703" t="s">
        <v>77</v>
      </c>
      <c r="N703">
        <v>3</v>
      </c>
      <c r="O703" t="s">
        <v>841</v>
      </c>
      <c r="P703" t="s">
        <v>840</v>
      </c>
      <c r="Q703" t="s">
        <v>839</v>
      </c>
      <c r="R703" s="8">
        <v>35612</v>
      </c>
      <c r="S703" s="9">
        <f t="shared" si="80"/>
        <v>1997</v>
      </c>
      <c r="T703" s="9">
        <v>1997</v>
      </c>
      <c r="U703" s="9">
        <f t="shared" si="81"/>
        <v>25</v>
      </c>
      <c r="V703" s="8">
        <v>35612</v>
      </c>
      <c r="W703" t="s">
        <v>30</v>
      </c>
      <c r="X703" s="2">
        <v>1.1339999999999999</v>
      </c>
      <c r="Y703" s="7">
        <f t="shared" si="82"/>
        <v>3.0271482341635299E-2</v>
      </c>
      <c r="AA703">
        <v>945765</v>
      </c>
      <c r="AB703">
        <v>12372</v>
      </c>
      <c r="AD703" t="s">
        <v>1</v>
      </c>
      <c r="AE703">
        <v>41</v>
      </c>
      <c r="AF703">
        <v>1</v>
      </c>
      <c r="AH703" s="6">
        <v>44348</v>
      </c>
      <c r="AI703" t="s">
        <v>838</v>
      </c>
      <c r="AK703" t="s">
        <v>837</v>
      </c>
      <c r="AL703">
        <v>0</v>
      </c>
      <c r="AM703" s="5">
        <f t="shared" si="83"/>
        <v>0</v>
      </c>
      <c r="AN703" s="4">
        <f t="shared" si="84"/>
        <v>0</v>
      </c>
      <c r="AO703" s="3"/>
      <c r="AP703">
        <v>0</v>
      </c>
      <c r="AR703" t="s">
        <v>0</v>
      </c>
      <c r="AT703" s="2">
        <v>2.4129999999999998</v>
      </c>
      <c r="AU703" s="1">
        <f t="shared" si="85"/>
        <v>2.119003763914471</v>
      </c>
      <c r="AV703" s="1">
        <f t="shared" si="86"/>
        <v>1.5135741170817649</v>
      </c>
      <c r="AW703" s="1">
        <f t="shared" si="87"/>
        <v>0.90814447024905898</v>
      </c>
    </row>
    <row r="704" spans="1:49" x14ac:dyDescent="0.2">
      <c r="A704">
        <v>702</v>
      </c>
      <c r="B704" t="s">
        <v>836</v>
      </c>
      <c r="C704" t="s">
        <v>835</v>
      </c>
      <c r="D704" t="s">
        <v>834</v>
      </c>
      <c r="F704" t="s">
        <v>833</v>
      </c>
      <c r="G704" t="s">
        <v>4</v>
      </c>
      <c r="H704" t="s">
        <v>3</v>
      </c>
      <c r="I704" t="s">
        <v>674</v>
      </c>
      <c r="J704">
        <v>60108318</v>
      </c>
      <c r="K704" t="s">
        <v>832</v>
      </c>
      <c r="L704" t="s">
        <v>458</v>
      </c>
      <c r="M704" t="s">
        <v>2</v>
      </c>
      <c r="N704">
        <v>3</v>
      </c>
      <c r="O704" t="s">
        <v>831</v>
      </c>
      <c r="P704" t="s">
        <v>830</v>
      </c>
      <c r="Q704" t="s">
        <v>829</v>
      </c>
      <c r="R704" s="8">
        <v>35612</v>
      </c>
      <c r="S704" s="9">
        <f t="shared" si="80"/>
        <v>1997</v>
      </c>
      <c r="T704" s="9">
        <v>1997</v>
      </c>
      <c r="U704" s="9">
        <f t="shared" si="81"/>
        <v>25</v>
      </c>
      <c r="V704" s="8">
        <v>35612</v>
      </c>
      <c r="W704" t="s">
        <v>684</v>
      </c>
      <c r="X704" s="2">
        <v>1.3460000000000001</v>
      </c>
      <c r="Y704" s="7">
        <f t="shared" si="82"/>
        <v>3.593070126264649E-2</v>
      </c>
      <c r="AA704">
        <v>7338724</v>
      </c>
      <c r="AB704">
        <v>12178</v>
      </c>
      <c r="AD704" t="s">
        <v>1</v>
      </c>
      <c r="AE704">
        <v>15</v>
      </c>
      <c r="AF704">
        <v>7</v>
      </c>
      <c r="AH704" t="s">
        <v>828</v>
      </c>
      <c r="AI704" t="s">
        <v>827</v>
      </c>
      <c r="AJ704" t="s">
        <v>826</v>
      </c>
      <c r="AK704" t="s">
        <v>825</v>
      </c>
      <c r="AL704">
        <v>5</v>
      </c>
      <c r="AM704" s="5">
        <f t="shared" si="83"/>
        <v>0.2</v>
      </c>
      <c r="AN704" s="4">
        <f t="shared" si="84"/>
        <v>3.0291556228701253E-4</v>
      </c>
      <c r="AO704" s="3"/>
      <c r="AP704">
        <v>0</v>
      </c>
      <c r="AQ704" t="s">
        <v>53</v>
      </c>
      <c r="AR704" t="s">
        <v>0</v>
      </c>
      <c r="AS704" t="s">
        <v>52</v>
      </c>
      <c r="AT704" s="2">
        <v>4.1420000000000003</v>
      </c>
      <c r="AU704" s="1">
        <f t="shared" si="85"/>
        <v>2.5242365552538648</v>
      </c>
      <c r="AV704" s="1">
        <f t="shared" si="86"/>
        <v>1.8116808412466749</v>
      </c>
      <c r="AW704" s="1">
        <f t="shared" si="87"/>
        <v>1.0991251272394855</v>
      </c>
    </row>
    <row r="705" spans="1:49" x14ac:dyDescent="0.2">
      <c r="A705">
        <v>703</v>
      </c>
      <c r="B705" t="s">
        <v>824</v>
      </c>
      <c r="C705" t="s">
        <v>823</v>
      </c>
      <c r="F705" t="s">
        <v>572</v>
      </c>
      <c r="G705" t="s">
        <v>4</v>
      </c>
      <c r="H705" t="s">
        <v>3</v>
      </c>
      <c r="I705" t="s">
        <v>571</v>
      </c>
      <c r="J705">
        <v>60009824</v>
      </c>
      <c r="K705" t="s">
        <v>822</v>
      </c>
      <c r="L705" t="s">
        <v>112</v>
      </c>
      <c r="M705" t="s">
        <v>111</v>
      </c>
      <c r="N705">
        <v>3</v>
      </c>
      <c r="O705" t="s">
        <v>570</v>
      </c>
      <c r="P705" t="s">
        <v>569</v>
      </c>
      <c r="Q705" t="s">
        <v>821</v>
      </c>
      <c r="R705" s="8">
        <v>35612</v>
      </c>
      <c r="S705" s="9">
        <f t="shared" si="80"/>
        <v>1997</v>
      </c>
      <c r="T705" s="9">
        <v>1997</v>
      </c>
      <c r="U705" s="9">
        <f t="shared" si="81"/>
        <v>25</v>
      </c>
      <c r="V705" s="8">
        <v>35612</v>
      </c>
      <c r="W705" t="s">
        <v>104</v>
      </c>
      <c r="X705" s="2">
        <v>0.111</v>
      </c>
      <c r="Y705" s="7">
        <f t="shared" si="82"/>
        <v>2.9630816048690639E-3</v>
      </c>
      <c r="AA705">
        <v>87566621</v>
      </c>
      <c r="AB705">
        <v>24890</v>
      </c>
      <c r="AD705" t="s">
        <v>1</v>
      </c>
      <c r="AE705">
        <v>80</v>
      </c>
      <c r="AF705">
        <v>7</v>
      </c>
      <c r="AH705" t="s">
        <v>568</v>
      </c>
      <c r="AI705" t="s">
        <v>820</v>
      </c>
      <c r="AK705" t="s">
        <v>567</v>
      </c>
      <c r="AL705">
        <v>3</v>
      </c>
      <c r="AM705" s="5">
        <f t="shared" si="83"/>
        <v>0.12</v>
      </c>
      <c r="AN705" s="4">
        <f t="shared" si="84"/>
        <v>1.8174933737220749E-4</v>
      </c>
      <c r="AO705" s="3"/>
      <c r="AP705">
        <v>0</v>
      </c>
      <c r="AR705" t="s">
        <v>0</v>
      </c>
      <c r="AT705" s="2" t="s">
        <v>5</v>
      </c>
      <c r="AU705" s="1">
        <f t="shared" si="85"/>
        <v>0.21286819246200067</v>
      </c>
      <c r="AV705" s="1">
        <f t="shared" si="86"/>
        <v>0.15724154711206356</v>
      </c>
      <c r="AW705" s="1">
        <f t="shared" si="87"/>
        <v>0.10161490176212642</v>
      </c>
    </row>
    <row r="706" spans="1:49" x14ac:dyDescent="0.2">
      <c r="A706">
        <v>704</v>
      </c>
      <c r="B706" t="s">
        <v>819</v>
      </c>
      <c r="C706" t="s">
        <v>818</v>
      </c>
      <c r="F706" t="s">
        <v>550</v>
      </c>
      <c r="G706" t="s">
        <v>4</v>
      </c>
      <c r="H706" t="s">
        <v>3</v>
      </c>
      <c r="I706" t="s">
        <v>549</v>
      </c>
      <c r="J706">
        <v>60003381</v>
      </c>
      <c r="K706" t="s">
        <v>249</v>
      </c>
      <c r="L706" t="s">
        <v>112</v>
      </c>
      <c r="M706" t="s">
        <v>111</v>
      </c>
      <c r="N706">
        <v>4</v>
      </c>
      <c r="O706" t="s">
        <v>548</v>
      </c>
      <c r="P706" t="s">
        <v>547</v>
      </c>
      <c r="Q706" t="s">
        <v>817</v>
      </c>
      <c r="R706" s="8">
        <v>35612</v>
      </c>
      <c r="S706" s="9">
        <f t="shared" ref="S706:S710" si="88">YEAR(R706)</f>
        <v>1997</v>
      </c>
      <c r="T706" s="9">
        <v>1997</v>
      </c>
      <c r="U706" s="9">
        <f t="shared" ref="U706:U710" si="89">2022-T706</f>
        <v>25</v>
      </c>
      <c r="V706" s="8">
        <v>35612</v>
      </c>
      <c r="W706" t="s">
        <v>104</v>
      </c>
      <c r="X706" s="2">
        <v>0.111</v>
      </c>
      <c r="Y706" s="7">
        <f t="shared" ref="Y706:Y710" si="90">(X706-$Z$3)/($Z$2-$Z$3)</f>
        <v>2.9630816048690639E-3</v>
      </c>
      <c r="AA706">
        <v>87566621</v>
      </c>
      <c r="AB706">
        <v>24890</v>
      </c>
      <c r="AD706" t="s">
        <v>1</v>
      </c>
      <c r="AE706">
        <v>80</v>
      </c>
      <c r="AF706">
        <v>7</v>
      </c>
      <c r="AH706" t="s">
        <v>88</v>
      </c>
      <c r="AI706" t="s">
        <v>816</v>
      </c>
      <c r="AK706" t="s">
        <v>546</v>
      </c>
      <c r="AL706">
        <v>0</v>
      </c>
      <c r="AM706" s="5">
        <f t="shared" ref="AM706:AM710" si="91">AL706/U706</f>
        <v>0</v>
      </c>
      <c r="AN706" s="4">
        <f t="shared" ref="AN706:AN710" si="92">(AM706-$AO$3)/($AO$2-$AO$3)</f>
        <v>0</v>
      </c>
      <c r="AO706" s="3"/>
      <c r="AP706">
        <v>0</v>
      </c>
      <c r="AR706" t="s">
        <v>0</v>
      </c>
      <c r="AT706" s="2" t="s">
        <v>5</v>
      </c>
      <c r="AU706" s="1">
        <f t="shared" ref="AU706:AU710" si="93">(Y706*0.7+AN706*0.3)*100</f>
        <v>0.20741571234083445</v>
      </c>
      <c r="AV706" s="1">
        <f t="shared" ref="AV706:AV710" si="94">(Y706*0.5+AN706*0.5)*100</f>
        <v>0.1481540802434532</v>
      </c>
      <c r="AW706" s="1">
        <f t="shared" ref="AW706:AW710" si="95">(Y706*0.3+AN706*0.7)*100</f>
        <v>8.8892448146071903E-2</v>
      </c>
    </row>
    <row r="707" spans="1:49" x14ac:dyDescent="0.2">
      <c r="A707">
        <v>705</v>
      </c>
      <c r="B707" t="s">
        <v>815</v>
      </c>
      <c r="C707" t="s">
        <v>814</v>
      </c>
      <c r="D707" t="s">
        <v>813</v>
      </c>
      <c r="E707">
        <v>9253046</v>
      </c>
      <c r="F707" t="s">
        <v>812</v>
      </c>
      <c r="G707" t="s">
        <v>4</v>
      </c>
      <c r="H707" t="s">
        <v>3</v>
      </c>
      <c r="I707" t="s">
        <v>811</v>
      </c>
      <c r="J707">
        <v>60020416</v>
      </c>
      <c r="K707" t="s">
        <v>810</v>
      </c>
      <c r="L707" t="s">
        <v>49</v>
      </c>
      <c r="M707" t="s">
        <v>8</v>
      </c>
      <c r="N707">
        <v>3</v>
      </c>
      <c r="O707" t="s">
        <v>809</v>
      </c>
      <c r="P707" t="s">
        <v>808</v>
      </c>
      <c r="Q707" t="s">
        <v>807</v>
      </c>
      <c r="R707" s="8">
        <v>35612</v>
      </c>
      <c r="S707" s="9">
        <f t="shared" si="88"/>
        <v>1997</v>
      </c>
      <c r="T707" s="9">
        <v>1997</v>
      </c>
      <c r="U707" s="9">
        <f t="shared" si="89"/>
        <v>25</v>
      </c>
      <c r="V707" s="8">
        <v>35612</v>
      </c>
      <c r="W707" t="s">
        <v>806</v>
      </c>
      <c r="X707" s="2">
        <v>1.3120000000000001</v>
      </c>
      <c r="Y707" s="7">
        <f t="shared" si="90"/>
        <v>3.502309068097488E-2</v>
      </c>
      <c r="AA707">
        <v>319155</v>
      </c>
      <c r="AB707">
        <v>29203</v>
      </c>
      <c r="AD707" t="s">
        <v>1</v>
      </c>
      <c r="AE707">
        <v>42</v>
      </c>
      <c r="AF707">
        <v>7</v>
      </c>
      <c r="AH707" t="s">
        <v>805</v>
      </c>
      <c r="AI707" t="s">
        <v>804</v>
      </c>
      <c r="AK707" t="s">
        <v>803</v>
      </c>
      <c r="AL707">
        <v>11</v>
      </c>
      <c r="AM707" s="5">
        <f t="shared" si="91"/>
        <v>0.44</v>
      </c>
      <c r="AN707" s="4">
        <f t="shared" si="92"/>
        <v>6.6641423703142752E-4</v>
      </c>
      <c r="AO707" s="3"/>
      <c r="AP707">
        <v>0</v>
      </c>
      <c r="AR707" t="s">
        <v>0</v>
      </c>
      <c r="AT707" s="2">
        <v>3.609</v>
      </c>
      <c r="AU707" s="1">
        <f t="shared" si="93"/>
        <v>2.4716087747791842</v>
      </c>
      <c r="AV707" s="1">
        <f t="shared" si="94"/>
        <v>1.7844752459003153</v>
      </c>
      <c r="AW707" s="1">
        <f t="shared" si="95"/>
        <v>1.0973417170214463</v>
      </c>
    </row>
    <row r="708" spans="1:49" x14ac:dyDescent="0.2">
      <c r="A708">
        <v>706</v>
      </c>
      <c r="B708" t="s">
        <v>802</v>
      </c>
      <c r="C708" t="s">
        <v>801</v>
      </c>
      <c r="F708" t="s">
        <v>800</v>
      </c>
      <c r="G708" t="s">
        <v>4</v>
      </c>
      <c r="H708" t="s">
        <v>3</v>
      </c>
      <c r="I708" t="s">
        <v>799</v>
      </c>
      <c r="J708">
        <v>60005175</v>
      </c>
      <c r="K708" t="s">
        <v>798</v>
      </c>
      <c r="L708" t="s">
        <v>797</v>
      </c>
      <c r="M708" t="s">
        <v>81</v>
      </c>
      <c r="N708">
        <v>2</v>
      </c>
      <c r="O708" t="s">
        <v>796</v>
      </c>
      <c r="P708" t="s">
        <v>795</v>
      </c>
      <c r="Q708" t="s">
        <v>794</v>
      </c>
      <c r="R708" s="8">
        <v>35612</v>
      </c>
      <c r="S708" s="9">
        <f t="shared" si="88"/>
        <v>1997</v>
      </c>
      <c r="T708" s="9">
        <v>1997</v>
      </c>
      <c r="U708" s="9">
        <f t="shared" si="89"/>
        <v>25</v>
      </c>
      <c r="V708" s="8">
        <v>35612</v>
      </c>
      <c r="W708" t="s">
        <v>602</v>
      </c>
      <c r="X708" s="2">
        <v>0.8</v>
      </c>
      <c r="Y708" s="7">
        <f t="shared" si="90"/>
        <v>2.1355543098155415E-2</v>
      </c>
      <c r="AA708">
        <v>3407594</v>
      </c>
      <c r="AB708">
        <v>23456</v>
      </c>
      <c r="AD708" t="s">
        <v>1</v>
      </c>
      <c r="AE708">
        <v>181</v>
      </c>
      <c r="AF708">
        <v>1</v>
      </c>
      <c r="AH708" t="s">
        <v>793</v>
      </c>
      <c r="AI708" t="s">
        <v>792</v>
      </c>
      <c r="AJ708" t="s">
        <v>791</v>
      </c>
      <c r="AK708" t="s">
        <v>790</v>
      </c>
      <c r="AL708">
        <v>73</v>
      </c>
      <c r="AM708" s="5">
        <f t="shared" si="91"/>
        <v>2.92</v>
      </c>
      <c r="AN708" s="4">
        <f t="shared" si="92"/>
        <v>4.4225672093903823E-3</v>
      </c>
      <c r="AO708" s="3"/>
      <c r="AP708">
        <v>0</v>
      </c>
      <c r="AR708" t="s">
        <v>0</v>
      </c>
      <c r="AT708" s="2" t="s">
        <v>5</v>
      </c>
      <c r="AU708" s="1">
        <f t="shared" si="93"/>
        <v>1.6275650331525904</v>
      </c>
      <c r="AV708" s="1">
        <f t="shared" si="94"/>
        <v>1.2889055153772899</v>
      </c>
      <c r="AW708" s="1">
        <f t="shared" si="95"/>
        <v>0.95024599760198913</v>
      </c>
    </row>
    <row r="709" spans="1:49" x14ac:dyDescent="0.2">
      <c r="A709">
        <v>707</v>
      </c>
      <c r="B709" t="s">
        <v>789</v>
      </c>
      <c r="C709" t="s">
        <v>788</v>
      </c>
      <c r="F709" t="s">
        <v>787</v>
      </c>
      <c r="G709" t="s">
        <v>4</v>
      </c>
      <c r="H709" t="s">
        <v>3</v>
      </c>
      <c r="I709" t="s">
        <v>786</v>
      </c>
      <c r="J709" t="s">
        <v>785</v>
      </c>
      <c r="K709" t="s">
        <v>784</v>
      </c>
      <c r="L709" t="s">
        <v>783</v>
      </c>
      <c r="M709" t="s">
        <v>744</v>
      </c>
      <c r="N709">
        <v>2</v>
      </c>
      <c r="O709" t="s">
        <v>782</v>
      </c>
      <c r="P709" t="s">
        <v>781</v>
      </c>
      <c r="Q709" t="s">
        <v>780</v>
      </c>
      <c r="R709" s="8">
        <v>35612</v>
      </c>
      <c r="S709" s="9">
        <f t="shared" si="88"/>
        <v>1997</v>
      </c>
      <c r="T709" s="9">
        <v>1997</v>
      </c>
      <c r="U709" s="9">
        <f t="shared" si="89"/>
        <v>25</v>
      </c>
      <c r="V709" s="8">
        <v>35612</v>
      </c>
      <c r="W709" t="s">
        <v>602</v>
      </c>
      <c r="X709" s="2">
        <v>0.8</v>
      </c>
      <c r="Y709" s="7">
        <f t="shared" si="90"/>
        <v>2.1355543098155415E-2</v>
      </c>
      <c r="AA709">
        <v>3407594</v>
      </c>
      <c r="AB709">
        <v>23456</v>
      </c>
      <c r="AD709" t="s">
        <v>1</v>
      </c>
      <c r="AE709">
        <v>181</v>
      </c>
      <c r="AF709">
        <v>1</v>
      </c>
      <c r="AH709" t="s">
        <v>779</v>
      </c>
      <c r="AI709" t="s">
        <v>778</v>
      </c>
      <c r="AJ709" t="s">
        <v>777</v>
      </c>
      <c r="AK709" t="s">
        <v>776</v>
      </c>
      <c r="AL709">
        <v>4</v>
      </c>
      <c r="AM709" s="5">
        <f t="shared" si="91"/>
        <v>0.16</v>
      </c>
      <c r="AN709" s="4">
        <f t="shared" si="92"/>
        <v>2.4233244982961E-4</v>
      </c>
      <c r="AO709" s="3"/>
      <c r="AP709">
        <v>0</v>
      </c>
      <c r="AQ709" t="s">
        <v>124</v>
      </c>
      <c r="AR709" t="s">
        <v>775</v>
      </c>
      <c r="AS709" t="s">
        <v>123</v>
      </c>
      <c r="AT709" s="2" t="s">
        <v>5</v>
      </c>
      <c r="AU709" s="1">
        <f t="shared" si="93"/>
        <v>1.5021579903657674</v>
      </c>
      <c r="AV709" s="1">
        <f t="shared" si="94"/>
        <v>1.0798937773992512</v>
      </c>
      <c r="AW709" s="1">
        <f t="shared" si="95"/>
        <v>0.65762956443273513</v>
      </c>
    </row>
    <row r="710" spans="1:49" x14ac:dyDescent="0.2">
      <c r="A710">
        <v>708</v>
      </c>
      <c r="B710" t="s">
        <v>774</v>
      </c>
      <c r="C710" t="s">
        <v>773</v>
      </c>
      <c r="E710">
        <v>9254048</v>
      </c>
      <c r="F710" t="s">
        <v>772</v>
      </c>
      <c r="G710" t="s">
        <v>4</v>
      </c>
      <c r="H710" t="s">
        <v>3</v>
      </c>
      <c r="I710" t="s">
        <v>734</v>
      </c>
      <c r="J710" t="s">
        <v>771</v>
      </c>
      <c r="K710" t="s">
        <v>770</v>
      </c>
      <c r="L710" t="s">
        <v>769</v>
      </c>
      <c r="M710" t="s">
        <v>768</v>
      </c>
      <c r="N710">
        <v>5</v>
      </c>
      <c r="O710" t="s">
        <v>767</v>
      </c>
      <c r="P710" t="s">
        <v>766</v>
      </c>
      <c r="Q710" t="s">
        <v>765</v>
      </c>
      <c r="R710" s="8">
        <v>35612</v>
      </c>
      <c r="S710" s="9">
        <f t="shared" si="88"/>
        <v>1997</v>
      </c>
      <c r="T710" s="9">
        <v>1997</v>
      </c>
      <c r="U710" s="9">
        <f t="shared" si="89"/>
        <v>25</v>
      </c>
      <c r="V710" s="8">
        <v>35612</v>
      </c>
      <c r="W710" t="s">
        <v>209</v>
      </c>
      <c r="X710" s="2">
        <v>1.7569999999999999</v>
      </c>
      <c r="Y710" s="7">
        <f t="shared" si="90"/>
        <v>4.6902111529323831E-2</v>
      </c>
      <c r="AA710">
        <v>9596658</v>
      </c>
      <c r="AB710">
        <v>17511</v>
      </c>
      <c r="AD710" t="s">
        <v>1</v>
      </c>
      <c r="AE710">
        <v>7</v>
      </c>
      <c r="AF710">
        <v>5</v>
      </c>
      <c r="AH710" t="s">
        <v>764</v>
      </c>
      <c r="AI710" t="s">
        <v>763</v>
      </c>
      <c r="AJ710" t="s">
        <v>762</v>
      </c>
      <c r="AK710" t="s">
        <v>761</v>
      </c>
      <c r="AL710">
        <v>113</v>
      </c>
      <c r="AM710" s="5">
        <f t="shared" si="91"/>
        <v>4.5199999999999996</v>
      </c>
      <c r="AN710" s="4">
        <f t="shared" si="92"/>
        <v>6.8458917076864821E-3</v>
      </c>
      <c r="AO710" s="3"/>
      <c r="AP710">
        <v>0</v>
      </c>
      <c r="AQ710" t="s">
        <v>15</v>
      </c>
      <c r="AR710" t="s">
        <v>760</v>
      </c>
      <c r="AS710" t="s">
        <v>14</v>
      </c>
      <c r="AT710" s="2">
        <v>4.3129999999999997</v>
      </c>
      <c r="AU710" s="1">
        <f t="shared" si="93"/>
        <v>3.4885245582832622</v>
      </c>
      <c r="AV710" s="1">
        <f t="shared" si="94"/>
        <v>2.6874001618505159</v>
      </c>
      <c r="AW710" s="1">
        <f t="shared" si="95"/>
        <v>1.8862757654177684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2021-11-11T10:45:18Z</dcterms:created>
  <dcterms:modified xsi:type="dcterms:W3CDTF">2022-01-19T20:28:33Z</dcterms:modified>
</cp:coreProperties>
</file>